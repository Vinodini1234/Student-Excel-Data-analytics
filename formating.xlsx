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31E6891C-5397-4313-ABB8-6BDF338AEA1D}" xr6:coauthVersionLast="47" xr6:coauthVersionMax="47" xr10:uidLastSave="{00000000-0000-0000-0000-000000000000}"/>
  <bookViews>
    <workbookView xWindow="-120" yWindow="-120" windowWidth="29040" windowHeight="15720" activeTab="4" xr2:uid="{EA9EFC94-9D27-4EFB-BB45-545FD2C829B7}"/>
  </bookViews>
  <sheets>
    <sheet name="Sheet1" sheetId="2" r:id="rId1"/>
    <sheet name="Sheet2" sheetId="3" r:id="rId2"/>
    <sheet name="Sheet3" sheetId="4" r:id="rId3"/>
    <sheet name="Sheet4" sheetId="5" r:id="rId4"/>
    <sheet name="Teen_Mental_Health_Dataset" sheetId="1" r:id="rId5"/>
  </sheets>
  <calcPr calcId="191029"/>
  <pivotCaches>
    <pivotCache cacheId="53" r:id="rId6"/>
    <pivotCache cacheId="67" r:id="rId7"/>
    <pivotCache cacheId="9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1" i="1" l="1" a="1"/>
  <c r="AB41" i="1" s="1"/>
  <c r="N5" i="1"/>
  <c r="N4" i="1"/>
  <c r="N3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<sst xmlns="http://schemas.openxmlformats.org/spreadsheetml/2006/main" count="3658" uniqueCount="31">
  <si>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</si>
  <si>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</si>
  <si>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</si>
  <si>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</si>
  <si>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</si>
  <si>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</si>
  <si>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</si>
  <si>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</si>
  <si>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</si>
  <si>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</si>
  <si>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</si>
  <si>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</si>
  <si>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</si>
  <si>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</si>
  <si>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</si>
  <si>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</si>
  <si>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</si>
  <si>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</si>
  <si>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</si>
  <si>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</si>
  <si>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</si>
  <si>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date</t>
  </si>
  <si>
    <t>time</t>
  </si>
  <si>
    <t>Count of gender</t>
  </si>
  <si>
    <t>Sum of daily_social_media_hours</t>
  </si>
  <si>
    <t>Sum of academic_performance</t>
  </si>
  <si>
    <t>Sum of sleep_hours</t>
  </si>
  <si>
    <t>Sum of screen_time_before_sleep</t>
  </si>
  <si>
    <t>Sum of addiction_level</t>
  </si>
  <si>
    <t>Sum of depression_label</t>
  </si>
  <si>
    <t>Count of platform_usage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</si>
</sst>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F800]dddd\,\ mmmm\ dd\,\ yyyy"/>
    <numFmt numFmtId="165" formatCode="[$-14009]dd/mm/yy;@"/>
    <numFmt numFmtId="166" formatCode="[$-14009]yyyy/mm/dd;@"/>
    <numFmt numFmtId="167" formatCode="[$-10409]h\.mm\.ss\ AM/PM;@"/>
    <numFmt numFmtId="168" formatCode="[$-10409]hh:mm:ss\ AM/PM;@"/>
    <numFmt numFmtId="169" formatCode="00"/>
    <numFmt numFmtId="170" formatCode="0.0"/>
    <numFmt numFmtId="171" formatCode="#,###\ "/>
    <numFmt numFmtId="172" formatCode="#,##0;&quot;ng&quot;"/>
    <numFmt numFmtId="173" formatCode="#,##0;&quot;&quot;"/>
    <numFmt numFmtId="174" formatCode="#,##0;&quot;&quot;;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5117038483843"/>
        <bgColor auto="1"/>
      </patternFill>
    </fill>
    <fill>
      <patternFill patternType="solid">
        <fgColor auto="1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4" fontId="18" fillId="33" borderId="10" xfId="0" applyNumberFormat="1" applyFont="1" applyFill="1" applyBorder="1" applyAlignment="1">
      <alignment horizontal="left" vertical="center" readingOrder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4" borderId="11" xfId="0" applyFill="1" applyBorder="1" applyAlignment="1">
      <alignment horizontal="center"/>
    </xf>
    <xf numFmtId="0" fontId="0" fillId="34" borderId="11" xfId="0" applyFill="1" applyBorder="1"/>
    <xf numFmtId="167" fontId="0" fillId="0" borderId="0" xfId="0" applyNumberFormat="1"/>
    <xf numFmtId="168" fontId="0" fillId="0" borderId="0" xfId="0" applyNumberFormat="1"/>
    <xf numFmtId="37" fontId="0" fillId="0" borderId="0" xfId="0" applyNumberFormat="1"/>
    <xf numFmtId="169" fontId="0" fillId="34" borderId="11" xfId="0" applyNumberFormat="1" applyFill="1" applyBorder="1" applyAlignment="1">
      <alignment horizontal="center"/>
    </xf>
    <xf numFmtId="169" fontId="0" fillId="0" borderId="0" xfId="0" applyNumberFormat="1"/>
    <xf numFmtId="170" fontId="0" fillId="34" borderId="11" xfId="0" applyNumberFormat="1" applyFill="1" applyBorder="1" applyAlignment="1">
      <alignment horizontal="center"/>
    </xf>
    <xf numFmtId="170" fontId="0" fillId="0" borderId="0" xfId="0" applyNumberFormat="1"/>
    <xf numFmtId="37" fontId="0" fillId="34" borderId="11" xfId="0" applyNumberFormat="1" applyFill="1" applyBorder="1" applyAlignment="1">
      <alignment horizontal="center"/>
    </xf>
    <xf numFmtId="171" fontId="18" fillId="33" borderId="10" xfId="0" applyNumberFormat="1" applyFont="1" applyFill="1" applyBorder="1" applyAlignment="1">
      <alignment horizontal="left" vertical="center" readingOrder="1"/>
    </xf>
    <xf numFmtId="171" fontId="0" fillId="34" borderId="11" xfId="0" applyNumberFormat="1" applyFill="1" applyBorder="1" applyAlignment="1">
      <alignment horizontal="center"/>
    </xf>
    <xf numFmtId="171" fontId="0" fillId="0" borderId="0" xfId="0" applyNumberFormat="1"/>
    <xf numFmtId="172" fontId="18" fillId="33" borderId="10" xfId="0" applyNumberFormat="1" applyFont="1" applyFill="1" applyBorder="1" applyAlignment="1">
      <alignment horizontal="left" vertical="center" readingOrder="1"/>
    </xf>
    <xf numFmtId="172" fontId="0" fillId="34" borderId="11" xfId="0" applyNumberFormat="1" applyFill="1" applyBorder="1" applyAlignment="1">
      <alignment horizontal="center"/>
    </xf>
    <xf numFmtId="172" fontId="0" fillId="0" borderId="0" xfId="0" applyNumberFormat="1"/>
    <xf numFmtId="173" fontId="18" fillId="33" borderId="10" xfId="0" applyNumberFormat="1" applyFont="1" applyFill="1" applyBorder="1" applyAlignment="1">
      <alignment horizontal="left" vertical="center" readingOrder="1"/>
    </xf>
    <xf numFmtId="173" fontId="0" fillId="34" borderId="11" xfId="0" applyNumberFormat="1" applyFill="1" applyBorder="1" applyAlignment="1">
      <alignment horizontal="center"/>
    </xf>
    <xf numFmtId="173" fontId="0" fillId="0" borderId="0" xfId="0" applyNumberFormat="1"/>
    <xf numFmtId="174" fontId="18" fillId="33" borderId="10" xfId="0" applyNumberFormat="1" applyFont="1" applyFill="1" applyBorder="1" applyAlignment="1">
      <alignment horizontal="left" vertical="center" readingOrder="1"/>
    </xf>
    <xf numFmtId="174" fontId="0" fillId="34" borderId="11" xfId="0" applyNumberFormat="1" applyFill="1" applyBorder="1" applyAlignment="1">
      <alignment horizontal="center"/>
    </xf>
    <xf numFmtId="174" fontId="0" fillId="0" borderId="0" xfId="0" applyNumberFormat="1"/>
    <xf numFmtId="2" fontId="16" fillId="0" borderId="0" xfId="0" applyNumberFormat="1" applyFont="1" applyAlignment="1">
      <alignment horizontal="center"/>
    </xf>
    <xf numFmtId="170" fontId="16" fillId="35" borderId="11" xfId="0" applyNumberFormat="1" applyFont="1" applyFill="1" applyBorder="1" applyAlignment="1">
      <alignment horizontal="center"/>
    </xf>
    <xf numFmtId="170" fontId="16" fillId="35" borderId="0" xfId="0" applyNumberFormat="1" applyFont="1" applyFill="1" applyAlignment="1">
      <alignment horizontal="center"/>
    </xf>
    <xf numFmtId="2" fontId="16" fillId="36" borderId="11" xfId="0" applyNumberFormat="1" applyFont="1" applyFill="1" applyBorder="1" applyAlignment="1">
      <alignment horizontal="center"/>
    </xf>
    <xf numFmtId="170" fontId="16" fillId="34" borderId="11" xfId="0" applyNumberFormat="1" applyFont="1" applyFill="1" applyBorder="1" applyAlignment="1">
      <alignment horizontal="center"/>
    </xf>
    <xf numFmtId="170" fontId="16" fillId="0" borderId="0" xfId="0" applyNumberFormat="1" applyFont="1"/>
    <xf numFmtId="0" fontId="19" fillId="33" borderId="0" xfId="0" applyFont="1" applyFill="1" applyAlignment="1">
      <alignment horizontal="left" vertical="center"/>
    </xf>
    <xf numFmtId="14" fontId="19" fillId="33" borderId="10" xfId="0" applyNumberFormat="1" applyFont="1" applyFill="1" applyBorder="1" applyAlignment="1">
      <alignment horizontal="left" vertical="center" readingOrder="1"/>
    </xf>
    <xf numFmtId="170" fontId="19" fillId="33" borderId="10" xfId="0" applyNumberFormat="1" applyFont="1" applyFill="1" applyBorder="1" applyAlignment="1">
      <alignment horizontal="left" vertical="center" readingOrder="1"/>
    </xf>
    <xf numFmtId="170" fontId="19" fillId="33" borderId="0" xfId="0" applyNumberFormat="1" applyFont="1" applyFill="1" applyAlignment="1">
      <alignment horizontal="left" vertical="center"/>
    </xf>
    <xf numFmtId="2" fontId="19" fillId="33" borderId="0" xfId="0" applyNumberFormat="1" applyFont="1" applyFill="1" applyAlignment="1">
      <alignment horizontal="left" vertical="center"/>
    </xf>
    <xf numFmtId="169" fontId="19" fillId="33" borderId="10" xfId="0" applyNumberFormat="1" applyFont="1" applyFill="1" applyBorder="1" applyAlignment="1">
      <alignment horizontal="left" vertical="center" readingOrder="1"/>
    </xf>
    <xf numFmtId="37" fontId="19" fillId="33" borderId="10" xfId="0" applyNumberFormat="1" applyFont="1" applyFill="1" applyBorder="1" applyAlignment="1">
      <alignment horizontal="left" vertical="center" readingOrder="1"/>
    </xf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00"/>
      <color rgb="FFFF99FF"/>
      <color rgb="FFDEE27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[formating.xlsx]Sheet2!PivotTable28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Sum of daily_social_media_hours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daily_social_media_hours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Sheet2!$B$4:$B$5</c:f>
              <c:numCache>
                <c:formatCode>0.0</c:formatCode>
                <c:ptCount val="2"/>
                <c:pt idx="0">
                  <c:v>2640.0999999999981</c:v>
                </c:pt>
                <c:pt idx="1">
                  <c:v>2803.9000000000033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C-4B24-9898-C9AC095DDBDD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screen_time_before_sleep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Sheet2!$C$4:$C$5</c:f>
              <c:numCache>
                <c:formatCode>0.0</c:formatCode>
                <c:ptCount val="2"/>
                <c:pt idx="0">
                  <c:v>1029.5999999999997</c:v>
                </c:pt>
                <c:pt idx="1">
                  <c:v>1058.8000000000002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CC-4B24-9898-C9AC095DDBDD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addiction_level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Sheet2!$D$4:$D$5</c:f>
              <c:numCache>
                <c:formatCode>00</c:formatCode>
                <c:ptCount val="2"/>
                <c:pt idx="0">
                  <c:v>3209</c:v>
                </c:pt>
                <c:pt idx="1">
                  <c:v>3469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CC-4B24-9898-C9AC095DDBDD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depression_label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Sheet2!$E$4:$E$5</c:f>
              <c:numCache>
                <c:formatCode>#,##0_);\(#,##0\)</c:formatCode>
                <c:ptCount val="2"/>
                <c:pt idx="0">
                  <c:v>203</c:v>
                </c:pt>
                <c:pt idx="1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CC-4B24-9898-C9AC095DDB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21775776"/>
        <c:axId val="721764256"/>
      </c:barChart>
      <c:catAx>
        <c:axId val="72177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64256"/>
        <c:crosses val="autoZero"/>
        <c:auto val="1"/>
        <c:lblAlgn val="ctr"/>
        <c:lblOffset val="100"/>
        <c:noMultiLvlLbl val="0"/>
      </c:catAx>
      <c:valAx>
        <c:axId val="7217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7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[formating.xlsx]Sheet3!PivotTable35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platform_usage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66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66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FF66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BE-41BD-8945-B8C69A470DBE}"/>
              </c:ext>
            </c:extLst>
          </c:dPt>
          <c:dPt>
            <c:idx val="2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DBE-41BD-8945-B8C69A470DBE}"/>
              </c:ext>
            </c:extLst>
          </c:dPt>
          <c:dPt>
            <c:idx val="4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BE-41BD-8945-B8C69A470D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Sheet3!$A$4:$B$9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Both</c:v>
                  </c:pt>
                  <c:pt idx="2">
                    <c:v>Instagram</c:v>
                  </c:pt>
                  <c:pt idx="4">
                    <c:v>TikTok</c:v>
                  </c:pt>
                </c:lvl>
              </c:multiLvlStrCache>
            </c:multiLvlStrRef>
          </c:cat>
          <c:val>
            <c:numRef>
              <c:f>Sheet3!$C$4:$C$9</c:f>
              <c:numCache>
                <c:formatCode>General</c:formatCode>
                <c:ptCount val="6"/>
                <c:pt idx="0">
                  <c:v>189</c:v>
                </c:pt>
                <c:pt idx="1">
                  <c:v>202</c:v>
                </c:pt>
                <c:pt idx="2">
                  <c:v>203</c:v>
                </c:pt>
                <c:pt idx="3">
                  <c:v>208</c:v>
                </c:pt>
                <c:pt idx="4">
                  <c:v>193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E-41BD-8945-B8C69A470D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3233536"/>
        <c:axId val="1165419536"/>
      </c:barChart>
      <c:catAx>
        <c:axId val="116323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19536"/>
        <c:crosses val="autoZero"/>
        <c:auto val="1"/>
        <c:lblAlgn val="ctr"/>
        <c:lblOffset val="100"/>
        <c:noMultiLvlLbl val="0"/>
      </c:catAx>
      <c:valAx>
        <c:axId val="11654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3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[formating.xlsx]Sheet4!PivotTable48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  <a:r>
              <a:rPr lang="en-IN" baseline="0"/>
              <a:t> with academic performance and sleep hours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Count of gender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Sheet4!$A$4:$B$9</c:f>
              <c:multiLvlStrCache>
                <c:ptCount val="6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medium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Sheet4!$C$4:$C$9</c:f>
              <c:numCache>
                <c:formatCode>General</c:formatCode>
                <c:ptCount val="6"/>
                <c:pt idx="0">
                  <c:v>192</c:v>
                </c:pt>
                <c:pt idx="1">
                  <c:v>196</c:v>
                </c:pt>
                <c:pt idx="2">
                  <c:v>197</c:v>
                </c:pt>
                <c:pt idx="3">
                  <c:v>177</c:v>
                </c:pt>
                <c:pt idx="4">
                  <c:v>219</c:v>
                </c:pt>
                <c:pt idx="5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8-4FE7-87EB-262707EF0F90}"/>
            </c:ext>
          </c:extLst>
        </c:ser>
        <c:ser>
          <c:idx val="1"/>
          <c:order val="1"/>
          <c:tx>
            <c:strRef>
              <c:f>Sheet4!$D$3</c:f>
              <c:strCache>
                <c:ptCount val="1"/>
                <c:pt idx="0">
                  <c:v>Sum of academic_performance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Sheet4!$A$4:$B$9</c:f>
              <c:multiLvlStrCache>
                <c:ptCount val="6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medium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Sheet4!$D$4:$D$9</c:f>
              <c:numCache>
                <c:formatCode>0.00</c:formatCode>
                <c:ptCount val="6"/>
                <c:pt idx="0">
                  <c:v>576.57000000000039</c:v>
                </c:pt>
                <c:pt idx="1">
                  <c:v>585.25999999999988</c:v>
                </c:pt>
                <c:pt idx="2">
                  <c:v>593.49</c:v>
                </c:pt>
                <c:pt idx="3">
                  <c:v>523.94999999999982</c:v>
                </c:pt>
                <c:pt idx="4">
                  <c:v>655.33999999999969</c:v>
                </c:pt>
                <c:pt idx="5">
                  <c:v>653.85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68-4FE7-87EB-262707EF0F90}"/>
            </c:ext>
          </c:extLst>
        </c:ser>
        <c:ser>
          <c:idx val="2"/>
          <c:order val="2"/>
          <c:tx>
            <c:strRef>
              <c:f>Sheet4!$E$3</c:f>
              <c:strCache>
                <c:ptCount val="1"/>
                <c:pt idx="0">
                  <c:v>Sum of sleep_hours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Sheet4!$A$4:$B$9</c:f>
              <c:multiLvlStrCache>
                <c:ptCount val="6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medium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Sheet4!$E$4:$E$9</c:f>
              <c:numCache>
                <c:formatCode>0.0</c:formatCode>
                <c:ptCount val="6"/>
                <c:pt idx="0">
                  <c:v>1253.5000000000009</c:v>
                </c:pt>
                <c:pt idx="1">
                  <c:v>1271.3999999999999</c:v>
                </c:pt>
                <c:pt idx="2">
                  <c:v>1275.4999999999995</c:v>
                </c:pt>
                <c:pt idx="3">
                  <c:v>1138.9999999999998</c:v>
                </c:pt>
                <c:pt idx="4">
                  <c:v>1410.2000000000005</c:v>
                </c:pt>
                <c:pt idx="5">
                  <c:v>1389.6999999999994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68-4FE7-87EB-262707EF0F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4020832"/>
        <c:axId val="1854021312"/>
      </c:barChart>
      <c:catAx>
        <c:axId val="18540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21312"/>
        <c:crosses val="autoZero"/>
        <c:auto val="1"/>
        <c:lblAlgn val="ctr"/>
        <c:lblOffset val="100"/>
        <c:noMultiLvlLbl val="0"/>
      </c:catAx>
      <c:valAx>
        <c:axId val="18540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2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8</xdr:row>
      <xdr:rowOff>90487</xdr:rowOff>
    </xdr:from>
    <xdr:to>
      <xdr:col>3</xdr:col>
      <xdr:colOff>228600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01B6F-9090-02CD-2C71-7AF979E06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9</xdr:row>
      <xdr:rowOff>100012</xdr:rowOff>
    </xdr:from>
    <xdr:to>
      <xdr:col>5</xdr:col>
      <xdr:colOff>514350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2C3F1-F323-00DE-CE37-D497838C2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11</xdr:row>
      <xdr:rowOff>119062</xdr:rowOff>
    </xdr:from>
    <xdr:to>
      <xdr:col>4</xdr:col>
      <xdr:colOff>933450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81E34-DE76-DFC3-7422-B425725F8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8140856478" createdVersion="8" refreshedVersion="8" minRefreshableVersion="3" recordCount="1200" xr:uid="{37C504EC-7385-463A-B777-66F185A51C7D}">
  <cacheSource type="worksheet">
    <worksheetSource ref="A1:N1201" sheet="Teen_Mental_Health_Dataset"/>
  </cacheSource>
  <cacheFields count="14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170">
      <sharedItems containsSemiMixedTypes="0" containsString="0" containsNumber="1" minValue="1" maxValue="8"/>
    </cacheField>
    <cacheField name="platform_usage" numFmtId="0">
      <sharedItems/>
    </cacheField>
    <cacheField name="sleep_hours" numFmtId="170">
      <sharedItems containsSemiMixedTypes="0" containsString="0" containsNumber="1" minValue="4" maxValue="9"/>
    </cacheField>
    <cacheField name="screen_time_before_sleep" numFmtId="170">
      <sharedItems containsSemiMixedTypes="0" containsString="0" containsNumber="1" minValue="0.5" maxValue="3"/>
    </cacheField>
    <cacheField name="academic_performance" numFmtId="2">
      <sharedItems containsSemiMixedTypes="0" containsString="0" containsNumber="1" minValue="2" maxValue="4"/>
    </cacheField>
    <cacheField name="physical_activity" numFmtId="17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169">
      <sharedItems containsSemiMixedTypes="0" containsString="0" containsNumber="1" containsInteger="1" minValue="1" maxValue="10"/>
    </cacheField>
    <cacheField name="anxiety_level" numFmtId="169">
      <sharedItems containsSemiMixedTypes="0" containsString="0" containsNumber="1" containsInteger="1" minValue="1" maxValue="10"/>
    </cacheField>
    <cacheField name="addiction_level" numFmtId="169">
      <sharedItems containsSemiMixedTypes="0" containsString="0" containsNumber="1" containsInteger="1" minValue="1" maxValue="10"/>
    </cacheField>
    <cacheField name="depression_label" numFmtId="37">
      <sharedItems containsSemiMixedTypes="0" containsString="0" containsNumber="1" containsInteger="1" minValue="-1" maxValue="1"/>
    </cacheField>
    <cacheField name="date" numFmtId="0">
      <sharedItems containsNonDate="0" containsDate="1" containsString="0" containsBlank="1" minDate="2026-06-04T00:00:00" maxDate="2026-06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8026296296" createdVersion="8" refreshedVersion="8" minRefreshableVersion="3" recordCount="1200" xr:uid="{559C3455-C908-4251-8B1E-076B6A3EBEEE}">
  <cacheSource type="worksheet">
    <worksheetSource ref="A1:N1201" sheet="Teen_Mental_Health_Dataset"/>
  </cacheSource>
  <cacheFields count="14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170">
      <sharedItems containsSemiMixedTypes="0" containsString="0" containsNumber="1" minValue="1" maxValue="8"/>
    </cacheField>
    <cacheField name="platform_usage" numFmtId="0">
      <sharedItems count="3">
        <s v="Instagram"/>
        <s v="TikTok"/>
        <s v="Both"/>
      </sharedItems>
    </cacheField>
    <cacheField name="sleep_hours" numFmtId="170">
      <sharedItems containsSemiMixedTypes="0" containsString="0" containsNumber="1" minValue="4" maxValue="9"/>
    </cacheField>
    <cacheField name="screen_time_before_sleep" numFmtId="170">
      <sharedItems containsSemiMixedTypes="0" containsString="0" containsNumber="1" minValue="0.5" maxValue="3"/>
    </cacheField>
    <cacheField name="academic_performance" numFmtId="2">
      <sharedItems containsSemiMixedTypes="0" containsString="0" containsNumber="1" minValue="2" maxValue="4"/>
    </cacheField>
    <cacheField name="physical_activity" numFmtId="17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169">
      <sharedItems containsSemiMixedTypes="0" containsString="0" containsNumber="1" containsInteger="1" minValue="1" maxValue="10"/>
    </cacheField>
    <cacheField name="anxiety_level" numFmtId="169">
      <sharedItems containsSemiMixedTypes="0" containsString="0" containsNumber="1" containsInteger="1" minValue="1" maxValue="10"/>
    </cacheField>
    <cacheField name="addiction_level" numFmtId="169">
      <sharedItems containsSemiMixedTypes="0" containsString="0" containsNumber="1" containsInteger="1" minValue="1" maxValue="10"/>
    </cacheField>
    <cacheField name="depression_label" numFmtId="37">
      <sharedItems containsSemiMixedTypes="0" containsString="0" containsNumber="1" containsInteger="1" minValue="-1" maxValue="1"/>
    </cacheField>
    <cacheField name="date" numFmtId="0">
      <sharedItems containsNonDate="0" containsDate="1" containsString="0" containsBlank="1" minDate="2026-06-04T00:00:00" maxDate="2026-06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84418518518" createdVersion="8" refreshedVersion="8" minRefreshableVersion="3" recordCount="1200" xr:uid="{C5604CA7-0AE6-401E-B137-A87D1CD18215}">
  <cacheSource type="worksheet">
    <worksheetSource ref="A1:N1201" sheet="Teen_Mental_Health_Dataset"/>
  </cacheSource>
  <cacheFields count="14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170">
      <sharedItems containsSemiMixedTypes="0" containsString="0" containsNumber="1" minValue="1" maxValue="8"/>
    </cacheField>
    <cacheField name="platform_usage" numFmtId="0">
      <sharedItems count="3">
        <s v="Instagram"/>
        <s v="TikTok"/>
        <s v="Both"/>
      </sharedItems>
    </cacheField>
    <cacheField name="sleep_hours" numFmtId="170">
      <sharedItems containsSemiMixedTypes="0" containsString="0" containsNumber="1" minValue="4" maxValue="9"/>
    </cacheField>
    <cacheField name="screen_time_before_sleep" numFmtId="170">
      <sharedItems containsSemiMixedTypes="0" containsString="0" containsNumber="1" minValue="0.5" maxValue="3"/>
    </cacheField>
    <cacheField name="academic_performance" numFmtId="2">
      <sharedItems containsSemiMixedTypes="0" containsString="0" containsNumber="1" minValue="2" maxValue="4"/>
    </cacheField>
    <cacheField name="physical_activity" numFmtId="170">
      <sharedItems containsSemiMixedTypes="0" containsString="0" containsNumber="1" minValue="0" maxValue="2"/>
    </cacheField>
    <cacheField name="social_interaction_level" numFmtId="0">
      <sharedItems count="3">
        <s v="low"/>
        <s v="high"/>
        <s v="medium"/>
      </sharedItems>
    </cacheField>
    <cacheField name="stress_level" numFmtId="169">
      <sharedItems containsSemiMixedTypes="0" containsString="0" containsNumber="1" containsInteger="1" minValue="1" maxValue="10"/>
    </cacheField>
    <cacheField name="anxiety_level" numFmtId="169">
      <sharedItems containsSemiMixedTypes="0" containsString="0" containsNumber="1" containsInteger="1" minValue="1" maxValue="10"/>
    </cacheField>
    <cacheField name="addiction_level" numFmtId="169">
      <sharedItems containsSemiMixedTypes="0" containsString="0" containsNumber="1" containsInteger="1" minValue="1" maxValue="10"/>
    </cacheField>
    <cacheField name="depression_label" numFmtId="37">
      <sharedItems containsSemiMixedTypes="0" containsString="0" containsNumber="1" containsInteger="1" minValue="-1" maxValue="1"/>
    </cacheField>
    <cacheField name="date" numFmtId="0">
      <sharedItems containsNonDate="0" containsDate="1" containsString="0" containsBlank="1" minDate="2026-06-04T00:00:00" maxDate="2026-06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4"/>
    <x v="0"/>
    <n v="7.9"/>
    <s v="Instagram"/>
    <n v="7.4"/>
    <n v="2.9"/>
    <n v="3.01"/>
    <n v="1.5"/>
    <s v="low"/>
    <n v="2"/>
    <n v="2"/>
    <n v="1"/>
    <n v="1"/>
    <d v="2026-06-04T00:00:00"/>
  </r>
  <r>
    <n v="19"/>
    <x v="1"/>
    <n v="1.9"/>
    <s v="TikTok"/>
    <n v="8"/>
    <n v="2.9"/>
    <n v="3.22"/>
    <n v="0.8"/>
    <s v="high"/>
    <n v="8"/>
    <n v="1"/>
    <n v="10"/>
    <n v="1"/>
    <d v="2026-06-05T00:00:00"/>
  </r>
  <r>
    <n v="17"/>
    <x v="1"/>
    <n v="1.3"/>
    <s v="Instagram"/>
    <n v="7.6"/>
    <n v="0.5"/>
    <n v="3.92"/>
    <n v="0"/>
    <s v="high"/>
    <n v="2"/>
    <n v="4"/>
    <n v="2"/>
    <n v="1"/>
    <d v="2026-06-06T00:00:00"/>
  </r>
  <r>
    <n v="15"/>
    <x v="0"/>
    <n v="7.4"/>
    <s v="TikTok"/>
    <n v="6.9"/>
    <n v="1.6"/>
    <n v="3.48"/>
    <n v="0.8"/>
    <s v="medium"/>
    <n v="1"/>
    <n v="7"/>
    <n v="9"/>
    <n v="1"/>
    <d v="2026-06-07T00:00:00"/>
  </r>
  <r>
    <n v="15"/>
    <x v="1"/>
    <n v="4.7"/>
    <s v="Both"/>
    <n v="4.9000000000000004"/>
    <n v="3"/>
    <n v="2.37"/>
    <n v="1.4"/>
    <s v="medium"/>
    <n v="3"/>
    <n v="5"/>
    <n v="2"/>
    <n v="1"/>
    <m/>
  </r>
  <r>
    <n v="19"/>
    <x v="1"/>
    <n v="7.4"/>
    <s v="Both"/>
    <n v="4.4000000000000004"/>
    <n v="2.4"/>
    <n v="2.63"/>
    <n v="0.6"/>
    <s v="high"/>
    <n v="3"/>
    <n v="5"/>
    <n v="7"/>
    <n v="1"/>
    <m/>
  </r>
  <r>
    <n v="18"/>
    <x v="1"/>
    <n v="2.5"/>
    <s v="Instagram"/>
    <n v="6.4"/>
    <n v="2.4"/>
    <n v="2.63"/>
    <n v="0.7"/>
    <s v="low"/>
    <n v="2"/>
    <n v="2"/>
    <n v="5"/>
    <n v="1"/>
    <m/>
  </r>
  <r>
    <n v="16"/>
    <x v="0"/>
    <n v="4"/>
    <s v="Both"/>
    <n v="4.2"/>
    <n v="0.5"/>
    <n v="2.4"/>
    <n v="1.3"/>
    <s v="low"/>
    <n v="6"/>
    <n v="10"/>
    <n v="5"/>
    <n v="1"/>
    <m/>
  </r>
  <r>
    <n v="19"/>
    <x v="1"/>
    <n v="3.3"/>
    <s v="TikTok"/>
    <n v="5"/>
    <n v="2.1"/>
    <n v="2.04"/>
    <n v="0.9"/>
    <s v="high"/>
    <n v="1"/>
    <n v="10"/>
    <n v="9"/>
    <n v="1"/>
    <m/>
  </r>
  <r>
    <n v="15"/>
    <x v="0"/>
    <n v="1.9"/>
    <s v="TikTok"/>
    <n v="4.9000000000000004"/>
    <n v="1.5"/>
    <n v="3.77"/>
    <n v="1.1000000000000001"/>
    <s v="high"/>
    <n v="1"/>
    <n v="1"/>
    <n v="4"/>
    <n v="1"/>
    <m/>
  </r>
  <r>
    <n v="16"/>
    <x v="0"/>
    <n v="7.2"/>
    <s v="Both"/>
    <n v="5.8"/>
    <n v="2.9"/>
    <n v="3.16"/>
    <n v="1.2"/>
    <s v="medium"/>
    <n v="5"/>
    <n v="8"/>
    <n v="9"/>
    <n v="1"/>
    <m/>
  </r>
  <r>
    <n v="13"/>
    <x v="0"/>
    <n v="4.9000000000000004"/>
    <s v="Instagram"/>
    <n v="4.7"/>
    <n v="2.5"/>
    <n v="3.92"/>
    <n v="1.2"/>
    <s v="low"/>
    <n v="1"/>
    <n v="10"/>
    <n v="8"/>
    <n v="-1"/>
    <m/>
  </r>
  <r>
    <n v="16"/>
    <x v="0"/>
    <n v="6.2"/>
    <s v="Both"/>
    <n v="7.2"/>
    <n v="2.6"/>
    <n v="2.02"/>
    <n v="1.7"/>
    <s v="medium"/>
    <n v="5"/>
    <n v="7"/>
    <n v="6"/>
    <n v="-1"/>
    <m/>
  </r>
  <r>
    <n v="17"/>
    <x v="1"/>
    <n v="6.8"/>
    <s v="TikTok"/>
    <n v="5.7"/>
    <n v="1.1000000000000001"/>
    <n v="3.29"/>
    <n v="1.3"/>
    <s v="medium"/>
    <n v="1"/>
    <n v="10"/>
    <n v="10"/>
    <n v="-1"/>
    <m/>
  </r>
  <r>
    <n v="15"/>
    <x v="0"/>
    <n v="5.7"/>
    <s v="TikTok"/>
    <n v="5.9"/>
    <n v="0.8"/>
    <n v="3.5"/>
    <n v="0.7"/>
    <s v="low"/>
    <n v="1"/>
    <n v="9"/>
    <n v="1"/>
    <n v="-1"/>
    <m/>
  </r>
  <r>
    <n v="14"/>
    <x v="1"/>
    <n v="3.6"/>
    <s v="Both"/>
    <n v="5.3"/>
    <n v="0.6"/>
    <n v="2.99"/>
    <n v="0.3"/>
    <s v="high"/>
    <n v="4"/>
    <n v="10"/>
    <n v="2"/>
    <n v="-1"/>
    <m/>
  </r>
  <r>
    <n v="13"/>
    <x v="0"/>
    <n v="1.5"/>
    <s v="Both"/>
    <n v="4.2"/>
    <n v="1.4"/>
    <n v="2.59"/>
    <n v="0.5"/>
    <s v="high"/>
    <n v="4"/>
    <n v="5"/>
    <n v="8"/>
    <n v="-1"/>
    <m/>
  </r>
  <r>
    <n v="16"/>
    <x v="0"/>
    <n v="3.1"/>
    <s v="Both"/>
    <n v="6.1"/>
    <n v="0.8"/>
    <n v="2.11"/>
    <n v="1.9"/>
    <s v="high"/>
    <n v="10"/>
    <n v="7"/>
    <n v="10"/>
    <n v="1"/>
    <m/>
  </r>
  <r>
    <n v="16"/>
    <x v="1"/>
    <n v="6.7"/>
    <s v="Both"/>
    <n v="6.8"/>
    <n v="1.9"/>
    <n v="3.08"/>
    <n v="1.4"/>
    <s v="high"/>
    <n v="10"/>
    <n v="9"/>
    <n v="1"/>
    <n v="1"/>
    <m/>
  </r>
  <r>
    <n v="14"/>
    <x v="1"/>
    <n v="1.2"/>
    <s v="Instagram"/>
    <n v="7.6"/>
    <n v="1"/>
    <n v="3.85"/>
    <n v="0.8"/>
    <s v="high"/>
    <n v="8"/>
    <n v="4"/>
    <n v="6"/>
    <n v="1"/>
    <m/>
  </r>
  <r>
    <n v="16"/>
    <x v="0"/>
    <n v="3.4"/>
    <s v="TikTok"/>
    <n v="4.5999999999999996"/>
    <n v="2.1"/>
    <n v="2.2400000000000002"/>
    <n v="0.4"/>
    <s v="high"/>
    <n v="4"/>
    <n v="1"/>
    <n v="3"/>
    <n v="1"/>
    <m/>
  </r>
  <r>
    <n v="18"/>
    <x v="0"/>
    <n v="4.0999999999999996"/>
    <s v="Both"/>
    <n v="7.4"/>
    <n v="2.4"/>
    <n v="2.38"/>
    <n v="1.5"/>
    <s v="medium"/>
    <n v="8"/>
    <n v="4"/>
    <n v="9"/>
    <n v="1"/>
    <m/>
  </r>
  <r>
    <n v="18"/>
    <x v="0"/>
    <n v="5.3"/>
    <s v="Instagram"/>
    <n v="4.9000000000000004"/>
    <n v="1.2"/>
    <n v="3.69"/>
    <n v="1.2"/>
    <s v="low"/>
    <n v="5"/>
    <n v="4"/>
    <n v="5"/>
    <n v="1"/>
    <m/>
  </r>
  <r>
    <n v="18"/>
    <x v="1"/>
    <n v="2.2999999999999998"/>
    <s v="TikTok"/>
    <n v="7.6"/>
    <n v="0.5"/>
    <n v="2.96"/>
    <n v="1.7"/>
    <s v="medium"/>
    <n v="9"/>
    <n v="8"/>
    <n v="7"/>
    <n v="1"/>
    <m/>
  </r>
  <r>
    <n v="18"/>
    <x v="1"/>
    <n v="2.4"/>
    <s v="Both"/>
    <n v="6.7"/>
    <n v="1.9"/>
    <n v="2.5299999999999998"/>
    <n v="0.4"/>
    <s v="high"/>
    <n v="8"/>
    <n v="8"/>
    <n v="2"/>
    <n v="1"/>
    <m/>
  </r>
  <r>
    <n v="13"/>
    <x v="1"/>
    <n v="1.5"/>
    <s v="Both"/>
    <n v="7.2"/>
    <n v="2.5"/>
    <n v="2.15"/>
    <n v="1.3"/>
    <s v="medium"/>
    <n v="4"/>
    <n v="6"/>
    <n v="2"/>
    <n v="1"/>
    <m/>
  </r>
  <r>
    <n v="14"/>
    <x v="1"/>
    <n v="5.7"/>
    <s v="Both"/>
    <n v="8.6999999999999993"/>
    <n v="0.6"/>
    <n v="2.64"/>
    <n v="0.1"/>
    <s v="low"/>
    <n v="8"/>
    <n v="9"/>
    <n v="4"/>
    <n v="1"/>
    <m/>
  </r>
  <r>
    <n v="19"/>
    <x v="0"/>
    <n v="2"/>
    <s v="TikTok"/>
    <n v="7.1"/>
    <n v="0.9"/>
    <n v="3.26"/>
    <n v="1.6"/>
    <s v="high"/>
    <n v="7"/>
    <n v="5"/>
    <n v="9"/>
    <n v="1"/>
    <m/>
  </r>
  <r>
    <n v="14"/>
    <x v="0"/>
    <n v="2.5"/>
    <s v="TikTok"/>
    <n v="5.6"/>
    <n v="2.9"/>
    <n v="2.2400000000000002"/>
    <n v="0.5"/>
    <s v="low"/>
    <n v="3"/>
    <n v="9"/>
    <n v="5"/>
    <n v="1"/>
    <m/>
  </r>
  <r>
    <n v="16"/>
    <x v="1"/>
    <n v="3.4"/>
    <s v="TikTok"/>
    <n v="7.8"/>
    <n v="2.8"/>
    <n v="3.83"/>
    <n v="1.8"/>
    <s v="medium"/>
    <n v="6"/>
    <n v="6"/>
    <n v="4"/>
    <n v="1"/>
    <m/>
  </r>
  <r>
    <n v="13"/>
    <x v="0"/>
    <n v="6.6"/>
    <s v="TikTok"/>
    <n v="5.7"/>
    <n v="2.5"/>
    <n v="2.67"/>
    <n v="1.1000000000000001"/>
    <s v="low"/>
    <n v="2"/>
    <n v="1"/>
    <n v="10"/>
    <n v="1"/>
    <m/>
  </r>
  <r>
    <n v="13"/>
    <x v="1"/>
    <n v="1.6"/>
    <s v="Instagram"/>
    <n v="8.6999999999999993"/>
    <n v="2.5"/>
    <n v="3.69"/>
    <n v="0.4"/>
    <s v="high"/>
    <n v="8"/>
    <n v="2"/>
    <n v="9"/>
    <n v="1"/>
    <m/>
  </r>
  <r>
    <n v="16"/>
    <x v="0"/>
    <n v="2.7"/>
    <s v="Instagram"/>
    <n v="4.2"/>
    <n v="2.4"/>
    <n v="3.05"/>
    <n v="0.2"/>
    <s v="high"/>
    <n v="1"/>
    <n v="8"/>
    <n v="4"/>
    <n v="0"/>
    <m/>
  </r>
  <r>
    <n v="14"/>
    <x v="0"/>
    <n v="4.0999999999999996"/>
    <s v="TikTok"/>
    <n v="8"/>
    <n v="3"/>
    <n v="2.31"/>
    <n v="0.8"/>
    <s v="low"/>
    <n v="8"/>
    <n v="4"/>
    <n v="1"/>
    <n v="0"/>
    <m/>
  </r>
  <r>
    <n v="13"/>
    <x v="1"/>
    <n v="6.6"/>
    <s v="TikTok"/>
    <n v="7.3"/>
    <n v="1.6"/>
    <n v="3.27"/>
    <n v="0.1"/>
    <s v="medium"/>
    <n v="10"/>
    <n v="2"/>
    <n v="1"/>
    <n v="0"/>
    <m/>
  </r>
  <r>
    <n v="17"/>
    <x v="1"/>
    <n v="5"/>
    <s v="Both"/>
    <n v="4.9000000000000004"/>
    <n v="2.1"/>
    <n v="2.0099999999999998"/>
    <n v="1"/>
    <s v="low"/>
    <n v="9"/>
    <n v="4"/>
    <n v="9"/>
    <n v="0"/>
    <m/>
  </r>
  <r>
    <n v="19"/>
    <x v="1"/>
    <n v="4.5999999999999996"/>
    <s v="Instagram"/>
    <n v="5.5"/>
    <n v="2.5"/>
    <n v="3.96"/>
    <n v="0.8"/>
    <s v="high"/>
    <n v="3"/>
    <n v="10"/>
    <n v="7"/>
    <n v="0"/>
    <m/>
  </r>
  <r>
    <n v="17"/>
    <x v="1"/>
    <n v="4.8"/>
    <s v="Instagram"/>
    <n v="4.4000000000000004"/>
    <n v="1.3"/>
    <n v="2.02"/>
    <n v="0.5"/>
    <s v="low"/>
    <n v="5"/>
    <n v="10"/>
    <n v="6"/>
    <n v="0"/>
    <m/>
  </r>
  <r>
    <n v="17"/>
    <x v="1"/>
    <n v="1.3"/>
    <s v="TikTok"/>
    <n v="8"/>
    <n v="2"/>
    <n v="2.84"/>
    <n v="1.8"/>
    <s v="high"/>
    <n v="1"/>
    <n v="7"/>
    <n v="8"/>
    <n v="0"/>
    <m/>
  </r>
  <r>
    <n v="17"/>
    <x v="1"/>
    <n v="6.3"/>
    <s v="Instagram"/>
    <n v="4"/>
    <n v="1"/>
    <n v="2.4300000000000002"/>
    <n v="1.2"/>
    <s v="high"/>
    <n v="1"/>
    <n v="10"/>
    <n v="9"/>
    <n v="1"/>
    <m/>
  </r>
  <r>
    <n v="14"/>
    <x v="0"/>
    <n v="6.4"/>
    <s v="Instagram"/>
    <n v="5.7"/>
    <n v="0.9"/>
    <n v="2.06"/>
    <n v="1.8"/>
    <s v="high"/>
    <n v="10"/>
    <n v="4"/>
    <n v="2"/>
    <n v="1"/>
    <m/>
  </r>
  <r>
    <n v="19"/>
    <x v="0"/>
    <n v="1.6"/>
    <s v="Instagram"/>
    <n v="8.6"/>
    <n v="2.4"/>
    <n v="3.81"/>
    <n v="0.4"/>
    <s v="low"/>
    <n v="10"/>
    <n v="4"/>
    <n v="1"/>
    <n v="1"/>
    <m/>
  </r>
  <r>
    <n v="14"/>
    <x v="1"/>
    <n v="7.3"/>
    <s v="Instagram"/>
    <n v="7.7"/>
    <n v="1.4"/>
    <n v="3.42"/>
    <n v="0.3"/>
    <s v="medium"/>
    <n v="6"/>
    <n v="1"/>
    <n v="8"/>
    <n v="1"/>
    <m/>
  </r>
  <r>
    <n v="15"/>
    <x v="0"/>
    <n v="4"/>
    <s v="Both"/>
    <n v="8.8000000000000007"/>
    <n v="1.3"/>
    <n v="3.59"/>
    <n v="1.9"/>
    <s v="medium"/>
    <n v="10"/>
    <n v="6"/>
    <n v="10"/>
    <n v="1"/>
    <m/>
  </r>
  <r>
    <n v="14"/>
    <x v="0"/>
    <n v="5.2"/>
    <s v="Both"/>
    <n v="4.0999999999999996"/>
    <n v="2.1"/>
    <n v="3.07"/>
    <n v="0.2"/>
    <s v="medium"/>
    <n v="9"/>
    <n v="3"/>
    <n v="8"/>
    <n v="1"/>
    <m/>
  </r>
  <r>
    <n v="14"/>
    <x v="1"/>
    <n v="4.5"/>
    <s v="TikTok"/>
    <n v="4.8"/>
    <n v="0.9"/>
    <n v="2.2200000000000002"/>
    <n v="0.8"/>
    <s v="low"/>
    <n v="1"/>
    <n v="4"/>
    <n v="10"/>
    <n v="1"/>
    <m/>
  </r>
  <r>
    <n v="18"/>
    <x v="0"/>
    <n v="6.8"/>
    <s v="TikTok"/>
    <n v="8.6"/>
    <n v="1.1000000000000001"/>
    <n v="2.36"/>
    <n v="1.6"/>
    <s v="high"/>
    <n v="1"/>
    <n v="10"/>
    <n v="10"/>
    <n v="1"/>
    <m/>
  </r>
  <r>
    <n v="13"/>
    <x v="1"/>
    <n v="3.5"/>
    <s v="Instagram"/>
    <n v="5.0999999999999996"/>
    <n v="1.1000000000000001"/>
    <n v="2.27"/>
    <n v="1.8"/>
    <s v="medium"/>
    <n v="2"/>
    <n v="5"/>
    <n v="6"/>
    <n v="1"/>
    <m/>
  </r>
  <r>
    <n v="16"/>
    <x v="0"/>
    <n v="2.2999999999999998"/>
    <s v="TikTok"/>
    <n v="6.3"/>
    <n v="3"/>
    <n v="3.24"/>
    <n v="1.9"/>
    <s v="medium"/>
    <n v="4"/>
    <n v="4"/>
    <n v="9"/>
    <n v="1"/>
    <m/>
  </r>
  <r>
    <n v="14"/>
    <x v="0"/>
    <n v="1.2"/>
    <s v="Instagram"/>
    <n v="8.5"/>
    <n v="1.8"/>
    <n v="3.65"/>
    <n v="1.8"/>
    <s v="high"/>
    <n v="5"/>
    <n v="10"/>
    <n v="10"/>
    <n v="1"/>
    <m/>
  </r>
  <r>
    <n v="13"/>
    <x v="0"/>
    <n v="6.2"/>
    <s v="Both"/>
    <n v="7.1"/>
    <n v="2.2000000000000002"/>
    <n v="3.43"/>
    <n v="0.2"/>
    <s v="medium"/>
    <n v="5"/>
    <n v="2"/>
    <n v="2"/>
    <n v="1"/>
    <m/>
  </r>
  <r>
    <n v="18"/>
    <x v="0"/>
    <n v="4.5"/>
    <s v="TikTok"/>
    <n v="4.0999999999999996"/>
    <n v="1.9"/>
    <n v="3.42"/>
    <n v="0.1"/>
    <s v="medium"/>
    <n v="6"/>
    <n v="7"/>
    <n v="8"/>
    <n v="1"/>
    <m/>
  </r>
  <r>
    <n v="18"/>
    <x v="0"/>
    <n v="2.9"/>
    <s v="Instagram"/>
    <n v="4.5"/>
    <n v="2.5"/>
    <n v="3.16"/>
    <n v="1.3"/>
    <s v="low"/>
    <n v="3"/>
    <n v="7"/>
    <n v="8"/>
    <n v="1"/>
    <m/>
  </r>
  <r>
    <n v="13"/>
    <x v="1"/>
    <n v="5.8"/>
    <s v="TikTok"/>
    <n v="8.5"/>
    <n v="2.2999999999999998"/>
    <n v="3.3"/>
    <n v="1.9"/>
    <s v="high"/>
    <n v="1"/>
    <n v="1"/>
    <n v="5"/>
    <n v="1"/>
    <m/>
  </r>
  <r>
    <n v="18"/>
    <x v="0"/>
    <n v="6.8"/>
    <s v="Instagram"/>
    <n v="6.5"/>
    <n v="2.7"/>
    <n v="2.97"/>
    <n v="1.9"/>
    <s v="low"/>
    <n v="4"/>
    <n v="4"/>
    <n v="5"/>
    <n v="1"/>
    <m/>
  </r>
  <r>
    <n v="15"/>
    <x v="1"/>
    <n v="7.4"/>
    <s v="Instagram"/>
    <n v="8.6"/>
    <n v="0.9"/>
    <n v="2.2999999999999998"/>
    <n v="0"/>
    <s v="low"/>
    <n v="1"/>
    <n v="5"/>
    <n v="3"/>
    <n v="1"/>
    <m/>
  </r>
  <r>
    <n v="18"/>
    <x v="0"/>
    <n v="4.5"/>
    <s v="TikTok"/>
    <n v="5"/>
    <n v="2.5"/>
    <n v="2.65"/>
    <n v="0.7"/>
    <s v="medium"/>
    <n v="8"/>
    <n v="9"/>
    <n v="1"/>
    <n v="1"/>
    <m/>
  </r>
  <r>
    <n v="16"/>
    <x v="0"/>
    <n v="6.4"/>
    <s v="TikTok"/>
    <n v="5.3"/>
    <n v="2.4"/>
    <n v="2.0299999999999998"/>
    <n v="1.7"/>
    <s v="medium"/>
    <n v="7"/>
    <n v="5"/>
    <n v="10"/>
    <n v="1"/>
    <m/>
  </r>
  <r>
    <n v="13"/>
    <x v="0"/>
    <n v="7.3"/>
    <s v="Both"/>
    <n v="4.2"/>
    <n v="1.3"/>
    <n v="2.16"/>
    <n v="1"/>
    <s v="high"/>
    <n v="4"/>
    <n v="5"/>
    <n v="2"/>
    <n v="1"/>
    <m/>
  </r>
  <r>
    <n v="17"/>
    <x v="1"/>
    <n v="7.1"/>
    <s v="Instagram"/>
    <n v="5.6"/>
    <n v="0.6"/>
    <n v="3.07"/>
    <n v="1"/>
    <s v="medium"/>
    <n v="1"/>
    <n v="3"/>
    <n v="7"/>
    <n v="1"/>
    <m/>
  </r>
  <r>
    <n v="18"/>
    <x v="0"/>
    <n v="1.6"/>
    <s v="TikTok"/>
    <n v="5.0999999999999996"/>
    <n v="2.7"/>
    <n v="3.57"/>
    <n v="0.8"/>
    <s v="high"/>
    <n v="3"/>
    <n v="9"/>
    <n v="7"/>
    <n v="0"/>
    <m/>
  </r>
  <r>
    <n v="15"/>
    <x v="1"/>
    <n v="1.5"/>
    <s v="Instagram"/>
    <n v="4.7"/>
    <n v="1"/>
    <n v="3.82"/>
    <n v="0.6"/>
    <s v="medium"/>
    <n v="6"/>
    <n v="1"/>
    <n v="4"/>
    <n v="0"/>
    <m/>
  </r>
  <r>
    <n v="13"/>
    <x v="0"/>
    <n v="4.3"/>
    <s v="Both"/>
    <n v="5.8"/>
    <n v="0.7"/>
    <n v="3.15"/>
    <n v="0.1"/>
    <s v="medium"/>
    <n v="7"/>
    <n v="2"/>
    <n v="1"/>
    <n v="0"/>
    <m/>
  </r>
  <r>
    <n v="17"/>
    <x v="0"/>
    <n v="2.5"/>
    <s v="Both"/>
    <n v="6.7"/>
    <n v="2"/>
    <n v="2.56"/>
    <n v="1.7"/>
    <s v="high"/>
    <n v="5"/>
    <n v="7"/>
    <n v="5"/>
    <n v="0"/>
    <m/>
  </r>
  <r>
    <n v="19"/>
    <x v="1"/>
    <n v="7.9"/>
    <s v="TikTok"/>
    <n v="5.0999999999999996"/>
    <n v="1.7"/>
    <n v="2.8"/>
    <n v="0.8"/>
    <s v="low"/>
    <n v="6"/>
    <n v="1"/>
    <n v="8"/>
    <n v="0"/>
    <m/>
  </r>
  <r>
    <n v="17"/>
    <x v="0"/>
    <n v="2.7"/>
    <s v="Instagram"/>
    <n v="8"/>
    <n v="2.6"/>
    <n v="3.53"/>
    <n v="1.9"/>
    <s v="high"/>
    <n v="1"/>
    <n v="8"/>
    <n v="7"/>
    <n v="0"/>
    <m/>
  </r>
  <r>
    <n v="13"/>
    <x v="0"/>
    <n v="3.1"/>
    <s v="TikTok"/>
    <n v="8.1999999999999993"/>
    <n v="1.5"/>
    <n v="2.4500000000000002"/>
    <n v="0.3"/>
    <s v="low"/>
    <n v="5"/>
    <n v="8"/>
    <n v="6"/>
    <n v="1"/>
    <m/>
  </r>
  <r>
    <n v="17"/>
    <x v="0"/>
    <n v="5.8"/>
    <s v="Both"/>
    <n v="7.6"/>
    <n v="0.7"/>
    <n v="2.83"/>
    <n v="1"/>
    <s v="medium"/>
    <n v="7"/>
    <n v="6"/>
    <n v="8"/>
    <n v="1"/>
    <m/>
  </r>
  <r>
    <n v="14"/>
    <x v="1"/>
    <n v="3.9"/>
    <s v="Both"/>
    <n v="7"/>
    <n v="2.8"/>
    <n v="2.8"/>
    <n v="0.1"/>
    <s v="low"/>
    <n v="8"/>
    <n v="2"/>
    <n v="8"/>
    <n v="1"/>
    <m/>
  </r>
  <r>
    <n v="15"/>
    <x v="0"/>
    <n v="7.5"/>
    <s v="Both"/>
    <n v="7"/>
    <n v="0.9"/>
    <n v="3.48"/>
    <n v="1.1000000000000001"/>
    <s v="high"/>
    <n v="2"/>
    <n v="2"/>
    <n v="6"/>
    <n v="1"/>
    <m/>
  </r>
  <r>
    <n v="14"/>
    <x v="0"/>
    <n v="5.2"/>
    <s v="Both"/>
    <n v="6.7"/>
    <n v="2"/>
    <n v="3.48"/>
    <n v="1"/>
    <s v="medium"/>
    <n v="2"/>
    <n v="1"/>
    <n v="5"/>
    <n v="1"/>
    <m/>
  </r>
  <r>
    <n v="16"/>
    <x v="1"/>
    <n v="3.1"/>
    <s v="TikTok"/>
    <n v="5"/>
    <n v="1.1000000000000001"/>
    <n v="2.73"/>
    <n v="1.6"/>
    <s v="low"/>
    <n v="2"/>
    <n v="8"/>
    <n v="1"/>
    <n v="1"/>
    <m/>
  </r>
  <r>
    <n v="16"/>
    <x v="1"/>
    <n v="2"/>
    <s v="Instagram"/>
    <n v="8.6999999999999993"/>
    <n v="1.2"/>
    <n v="3"/>
    <n v="0"/>
    <s v="low"/>
    <n v="8"/>
    <n v="8"/>
    <n v="4"/>
    <n v="1"/>
    <m/>
  </r>
  <r>
    <n v="14"/>
    <x v="0"/>
    <n v="2.7"/>
    <s v="Instagram"/>
    <n v="8.4"/>
    <n v="1.3"/>
    <n v="2.0099999999999998"/>
    <n v="0.6"/>
    <s v="low"/>
    <n v="6"/>
    <n v="3"/>
    <n v="8"/>
    <n v="1"/>
    <m/>
  </r>
  <r>
    <n v="14"/>
    <x v="0"/>
    <n v="1.5"/>
    <s v="Both"/>
    <n v="4.3"/>
    <n v="2.1"/>
    <n v="3.9"/>
    <n v="1.5"/>
    <s v="low"/>
    <n v="10"/>
    <n v="2"/>
    <n v="4"/>
    <n v="1"/>
    <m/>
  </r>
  <r>
    <n v="17"/>
    <x v="1"/>
    <n v="6.9"/>
    <s v="Instagram"/>
    <n v="8.1999999999999993"/>
    <n v="0.8"/>
    <n v="2.36"/>
    <n v="0"/>
    <s v="medium"/>
    <n v="10"/>
    <n v="10"/>
    <n v="7"/>
    <n v="1"/>
    <m/>
  </r>
  <r>
    <n v="13"/>
    <x v="0"/>
    <n v="1.1000000000000001"/>
    <s v="TikTok"/>
    <n v="7.1"/>
    <n v="1.8"/>
    <n v="2.5499999999999998"/>
    <n v="0.8"/>
    <s v="high"/>
    <n v="5"/>
    <n v="5"/>
    <n v="10"/>
    <n v="1"/>
    <m/>
  </r>
  <r>
    <n v="13"/>
    <x v="0"/>
    <n v="3.4"/>
    <s v="TikTok"/>
    <n v="4.4000000000000004"/>
    <n v="0.6"/>
    <n v="3.41"/>
    <n v="0.2"/>
    <s v="low"/>
    <n v="8"/>
    <n v="6"/>
    <n v="3"/>
    <n v="1"/>
    <m/>
  </r>
  <r>
    <n v="15"/>
    <x v="0"/>
    <n v="6.7"/>
    <s v="Both"/>
    <n v="4.5"/>
    <n v="2.1"/>
    <n v="3.71"/>
    <n v="1.3"/>
    <s v="high"/>
    <n v="3"/>
    <n v="3"/>
    <n v="3"/>
    <n v="1"/>
    <m/>
  </r>
  <r>
    <n v="18"/>
    <x v="0"/>
    <n v="1.1000000000000001"/>
    <s v="Both"/>
    <n v="7.2"/>
    <n v="1"/>
    <n v="3.13"/>
    <n v="0.6"/>
    <s v="medium"/>
    <n v="2"/>
    <n v="1"/>
    <n v="4"/>
    <n v="1"/>
    <m/>
  </r>
  <r>
    <n v="18"/>
    <x v="1"/>
    <n v="7.4"/>
    <s v="Instagram"/>
    <n v="7.5"/>
    <n v="2.2999999999999998"/>
    <n v="2.39"/>
    <n v="0.9"/>
    <s v="high"/>
    <n v="4"/>
    <n v="1"/>
    <n v="4"/>
    <n v="1"/>
    <m/>
  </r>
  <r>
    <n v="19"/>
    <x v="1"/>
    <n v="4.8"/>
    <s v="TikTok"/>
    <n v="6"/>
    <n v="1.5"/>
    <n v="2.61"/>
    <n v="1.2"/>
    <s v="high"/>
    <n v="2"/>
    <n v="2"/>
    <n v="6"/>
    <n v="1"/>
    <m/>
  </r>
  <r>
    <n v="14"/>
    <x v="0"/>
    <n v="1.2"/>
    <s v="Both"/>
    <n v="5.2"/>
    <n v="2.2000000000000002"/>
    <n v="2.19"/>
    <n v="1.9"/>
    <s v="medium"/>
    <n v="9"/>
    <n v="9"/>
    <n v="4"/>
    <n v="1"/>
    <m/>
  </r>
  <r>
    <n v="13"/>
    <x v="0"/>
    <n v="7.4"/>
    <s v="Instagram"/>
    <n v="5.6"/>
    <n v="1.4"/>
    <n v="2.95"/>
    <n v="1.7"/>
    <s v="high"/>
    <n v="8"/>
    <n v="5"/>
    <n v="5"/>
    <n v="1"/>
    <m/>
  </r>
  <r>
    <n v="16"/>
    <x v="1"/>
    <n v="2.6"/>
    <s v="Both"/>
    <n v="8.6"/>
    <n v="1.3"/>
    <n v="3.64"/>
    <n v="1.6"/>
    <s v="high"/>
    <n v="5"/>
    <n v="3"/>
    <n v="1"/>
    <n v="-1"/>
    <m/>
  </r>
  <r>
    <n v="17"/>
    <x v="1"/>
    <n v="5"/>
    <s v="Both"/>
    <n v="9"/>
    <n v="2.5"/>
    <n v="3.4"/>
    <n v="0.9"/>
    <s v="high"/>
    <n v="8"/>
    <n v="10"/>
    <n v="5"/>
    <n v="-1"/>
    <m/>
  </r>
  <r>
    <n v="18"/>
    <x v="0"/>
    <n v="7.5"/>
    <s v="Instagram"/>
    <n v="7.4"/>
    <n v="1.8"/>
    <n v="3.47"/>
    <n v="0"/>
    <s v="low"/>
    <n v="9"/>
    <n v="4"/>
    <n v="2"/>
    <n v="-1"/>
    <m/>
  </r>
  <r>
    <n v="17"/>
    <x v="1"/>
    <n v="5.4"/>
    <s v="Both"/>
    <n v="5.7"/>
    <n v="2.5"/>
    <n v="3.13"/>
    <n v="1.9"/>
    <s v="medium"/>
    <n v="5"/>
    <n v="10"/>
    <n v="3"/>
    <n v="-1"/>
    <m/>
  </r>
  <r>
    <n v="17"/>
    <x v="1"/>
    <n v="5.6"/>
    <s v="Instagram"/>
    <n v="5.3"/>
    <n v="1.7"/>
    <n v="2.77"/>
    <n v="0.9"/>
    <s v="medium"/>
    <n v="8"/>
    <n v="4"/>
    <n v="8"/>
    <n v="-1"/>
    <m/>
  </r>
  <r>
    <n v="18"/>
    <x v="0"/>
    <n v="6.2"/>
    <s v="Instagram"/>
    <n v="4.0999999999999996"/>
    <n v="2.8"/>
    <n v="3.41"/>
    <n v="1.1000000000000001"/>
    <s v="medium"/>
    <n v="7"/>
    <n v="8"/>
    <n v="1"/>
    <n v="-1"/>
    <m/>
  </r>
  <r>
    <n v="17"/>
    <x v="1"/>
    <n v="4.7"/>
    <s v="Instagram"/>
    <n v="4.7"/>
    <n v="2.4"/>
    <n v="3.94"/>
    <n v="0"/>
    <s v="medium"/>
    <n v="10"/>
    <n v="5"/>
    <n v="8"/>
    <n v="-1"/>
    <m/>
  </r>
  <r>
    <n v="18"/>
    <x v="1"/>
    <n v="4"/>
    <s v="Instagram"/>
    <n v="4.5999999999999996"/>
    <n v="2.2000000000000002"/>
    <n v="3.7"/>
    <n v="0.6"/>
    <s v="medium"/>
    <n v="4"/>
    <n v="1"/>
    <n v="4"/>
    <n v="1"/>
    <m/>
  </r>
  <r>
    <n v="18"/>
    <x v="0"/>
    <n v="6.2"/>
    <s v="TikTok"/>
    <n v="8.6"/>
    <n v="1.5"/>
    <n v="3.22"/>
    <n v="1.6"/>
    <s v="low"/>
    <n v="4"/>
    <n v="5"/>
    <n v="7"/>
    <n v="1"/>
    <m/>
  </r>
  <r>
    <n v="17"/>
    <x v="1"/>
    <n v="5.6"/>
    <s v="TikTok"/>
    <n v="6.8"/>
    <n v="2"/>
    <n v="2.2200000000000002"/>
    <n v="1"/>
    <s v="medium"/>
    <n v="6"/>
    <n v="9"/>
    <n v="8"/>
    <n v="1"/>
    <m/>
  </r>
  <r>
    <n v="13"/>
    <x v="1"/>
    <n v="4"/>
    <s v="Instagram"/>
    <n v="4.4000000000000004"/>
    <n v="2.5"/>
    <n v="3.6"/>
    <n v="1.4"/>
    <s v="medium"/>
    <n v="7"/>
    <n v="2"/>
    <n v="10"/>
    <n v="1"/>
    <m/>
  </r>
  <r>
    <n v="15"/>
    <x v="1"/>
    <n v="1.8"/>
    <s v="Instagram"/>
    <n v="6.4"/>
    <n v="2.4"/>
    <n v="2.16"/>
    <n v="1.9"/>
    <s v="medium"/>
    <n v="3"/>
    <n v="6"/>
    <n v="9"/>
    <n v="1"/>
    <m/>
  </r>
  <r>
    <n v="13"/>
    <x v="0"/>
    <n v="3.1"/>
    <s v="TikTok"/>
    <n v="5.4"/>
    <n v="1.9"/>
    <n v="3.66"/>
    <n v="0.4"/>
    <s v="low"/>
    <n v="7"/>
    <n v="4"/>
    <n v="2"/>
    <n v="1"/>
    <m/>
  </r>
  <r>
    <n v="13"/>
    <x v="1"/>
    <n v="3.5"/>
    <s v="TikTok"/>
    <n v="5.2"/>
    <n v="2.5"/>
    <n v="2.57"/>
    <n v="1.1000000000000001"/>
    <s v="high"/>
    <n v="1"/>
    <n v="6"/>
    <n v="3"/>
    <n v="1"/>
    <m/>
  </r>
  <r>
    <n v="18"/>
    <x v="0"/>
    <n v="7.4"/>
    <s v="TikTok"/>
    <n v="6.4"/>
    <n v="2.2000000000000002"/>
    <n v="3.51"/>
    <n v="1"/>
    <s v="high"/>
    <n v="4"/>
    <n v="5"/>
    <n v="4"/>
    <n v="1"/>
    <m/>
  </r>
  <r>
    <n v="16"/>
    <x v="0"/>
    <n v="8"/>
    <s v="Instagram"/>
    <n v="5.5"/>
    <n v="1.4"/>
    <n v="2.95"/>
    <n v="0.3"/>
    <s v="medium"/>
    <n v="2"/>
    <n v="5"/>
    <n v="2"/>
    <n v="1"/>
    <m/>
  </r>
  <r>
    <n v="13"/>
    <x v="0"/>
    <n v="5.0999999999999996"/>
    <s v="Both"/>
    <n v="4.0999999999999996"/>
    <n v="1.6"/>
    <n v="3.32"/>
    <n v="0.8"/>
    <s v="medium"/>
    <n v="1"/>
    <n v="3"/>
    <n v="8"/>
    <n v="1"/>
    <m/>
  </r>
  <r>
    <n v="18"/>
    <x v="1"/>
    <n v="2.4"/>
    <s v="Instagram"/>
    <n v="6.3"/>
    <n v="1.3"/>
    <n v="3.05"/>
    <n v="1.7"/>
    <s v="low"/>
    <n v="2"/>
    <n v="9"/>
    <n v="5"/>
    <n v="1"/>
    <m/>
  </r>
  <r>
    <n v="13"/>
    <x v="0"/>
    <n v="1.6"/>
    <s v="Instagram"/>
    <n v="4.2"/>
    <n v="1.5"/>
    <n v="3.72"/>
    <n v="1.7"/>
    <s v="medium"/>
    <n v="10"/>
    <n v="1"/>
    <n v="10"/>
    <n v="1"/>
    <m/>
  </r>
  <r>
    <n v="18"/>
    <x v="0"/>
    <n v="5.8"/>
    <s v="Instagram"/>
    <n v="6.7"/>
    <n v="1.9"/>
    <n v="3"/>
    <n v="1.9"/>
    <s v="low"/>
    <n v="5"/>
    <n v="8"/>
    <n v="2"/>
    <n v="1"/>
    <m/>
  </r>
  <r>
    <n v="15"/>
    <x v="0"/>
    <n v="2.7"/>
    <s v="TikTok"/>
    <n v="6.6"/>
    <n v="1.9"/>
    <n v="2.75"/>
    <n v="1.9"/>
    <s v="medium"/>
    <n v="3"/>
    <n v="6"/>
    <n v="6"/>
    <n v="1"/>
    <m/>
  </r>
  <r>
    <n v="13"/>
    <x v="1"/>
    <n v="4"/>
    <s v="Both"/>
    <n v="4.5"/>
    <n v="1"/>
    <n v="3.65"/>
    <n v="1.8"/>
    <s v="low"/>
    <n v="5"/>
    <n v="6"/>
    <n v="5"/>
    <n v="1"/>
    <m/>
  </r>
  <r>
    <n v="18"/>
    <x v="0"/>
    <n v="3.2"/>
    <s v="Both"/>
    <n v="8.8000000000000007"/>
    <n v="1.2"/>
    <n v="3.71"/>
    <n v="1.1000000000000001"/>
    <s v="medium"/>
    <n v="7"/>
    <n v="6"/>
    <n v="10"/>
    <n v="1"/>
    <m/>
  </r>
  <r>
    <n v="13"/>
    <x v="0"/>
    <n v="1.6"/>
    <s v="TikTok"/>
    <n v="4.3"/>
    <n v="0.6"/>
    <n v="3.91"/>
    <n v="2"/>
    <s v="medium"/>
    <n v="5"/>
    <n v="10"/>
    <n v="7"/>
    <n v="1"/>
    <m/>
  </r>
  <r>
    <n v="14"/>
    <x v="0"/>
    <n v="2.2999999999999998"/>
    <s v="TikTok"/>
    <n v="8"/>
    <n v="2.5"/>
    <n v="3.08"/>
    <n v="1.7"/>
    <s v="medium"/>
    <n v="5"/>
    <n v="6"/>
    <n v="7"/>
    <n v="1"/>
    <m/>
  </r>
  <r>
    <n v="17"/>
    <x v="0"/>
    <n v="7.7"/>
    <s v="TikTok"/>
    <n v="8.5"/>
    <n v="1.2"/>
    <n v="3.56"/>
    <n v="0"/>
    <s v="medium"/>
    <n v="7"/>
    <n v="10"/>
    <n v="7"/>
    <n v="1"/>
    <m/>
  </r>
  <r>
    <n v="16"/>
    <x v="0"/>
    <n v="4.8"/>
    <s v="Both"/>
    <n v="7.1"/>
    <n v="0.6"/>
    <n v="3.36"/>
    <n v="0.7"/>
    <s v="high"/>
    <n v="7"/>
    <n v="6"/>
    <n v="9"/>
    <n v="0"/>
    <m/>
  </r>
  <r>
    <n v="17"/>
    <x v="1"/>
    <n v="5.2"/>
    <s v="Both"/>
    <n v="6"/>
    <n v="0.6"/>
    <n v="3.07"/>
    <n v="0.6"/>
    <s v="medium"/>
    <n v="6"/>
    <n v="2"/>
    <n v="9"/>
    <n v="0"/>
    <m/>
  </r>
  <r>
    <n v="13"/>
    <x v="0"/>
    <n v="5.7"/>
    <s v="Both"/>
    <n v="6.6"/>
    <n v="2.4"/>
    <n v="3.99"/>
    <n v="1.7"/>
    <s v="high"/>
    <n v="1"/>
    <n v="3"/>
    <n v="1"/>
    <n v="0"/>
    <m/>
  </r>
  <r>
    <n v="15"/>
    <x v="0"/>
    <n v="4.5999999999999996"/>
    <s v="TikTok"/>
    <n v="5.2"/>
    <n v="1.4"/>
    <n v="2.98"/>
    <n v="1.9"/>
    <s v="low"/>
    <n v="1"/>
    <n v="4"/>
    <n v="5"/>
    <n v="0"/>
    <m/>
  </r>
  <r>
    <n v="13"/>
    <x v="0"/>
    <n v="4.3"/>
    <s v="TikTok"/>
    <n v="7.5"/>
    <n v="2.7"/>
    <n v="2.29"/>
    <n v="0.8"/>
    <s v="high"/>
    <n v="1"/>
    <n v="10"/>
    <n v="1"/>
    <n v="0"/>
    <m/>
  </r>
  <r>
    <n v="17"/>
    <x v="1"/>
    <n v="4.0999999999999996"/>
    <s v="Instagram"/>
    <n v="8.6"/>
    <n v="3"/>
    <n v="2.77"/>
    <n v="0.1"/>
    <s v="medium"/>
    <n v="3"/>
    <n v="6"/>
    <n v="1"/>
    <n v="0"/>
    <m/>
  </r>
  <r>
    <n v="15"/>
    <x v="0"/>
    <n v="6.5"/>
    <s v="Both"/>
    <n v="8.1"/>
    <n v="2"/>
    <n v="3.89"/>
    <n v="1.3"/>
    <s v="high"/>
    <n v="8"/>
    <n v="2"/>
    <n v="2"/>
    <n v="0"/>
    <m/>
  </r>
  <r>
    <n v="19"/>
    <x v="1"/>
    <n v="7.8"/>
    <s v="Both"/>
    <n v="8.8000000000000007"/>
    <n v="2.1"/>
    <n v="3.75"/>
    <n v="1.3"/>
    <s v="high"/>
    <n v="10"/>
    <n v="9"/>
    <n v="6"/>
    <n v="0"/>
    <m/>
  </r>
  <r>
    <n v="17"/>
    <x v="0"/>
    <n v="6.5"/>
    <s v="Instagram"/>
    <n v="4.0999999999999996"/>
    <n v="2.7"/>
    <n v="3.66"/>
    <n v="1.1000000000000001"/>
    <s v="medium"/>
    <n v="6"/>
    <n v="10"/>
    <n v="10"/>
    <n v="0"/>
    <m/>
  </r>
  <r>
    <n v="17"/>
    <x v="1"/>
    <n v="3.2"/>
    <s v="TikTok"/>
    <n v="4.2"/>
    <n v="0.6"/>
    <n v="2.21"/>
    <n v="1.4"/>
    <s v="medium"/>
    <n v="6"/>
    <n v="6"/>
    <n v="3"/>
    <n v="0"/>
    <m/>
  </r>
  <r>
    <n v="13"/>
    <x v="0"/>
    <n v="2.4"/>
    <s v="TikTok"/>
    <n v="4.0999999999999996"/>
    <n v="0.8"/>
    <n v="2.79"/>
    <n v="1.1000000000000001"/>
    <s v="medium"/>
    <n v="8"/>
    <n v="6"/>
    <n v="3"/>
    <n v="1"/>
    <m/>
  </r>
  <r>
    <n v="15"/>
    <x v="1"/>
    <n v="4"/>
    <s v="Instagram"/>
    <n v="8.1"/>
    <n v="2.1"/>
    <n v="2.0099999999999998"/>
    <n v="0.4"/>
    <s v="medium"/>
    <n v="4"/>
    <n v="8"/>
    <n v="8"/>
    <n v="1"/>
    <m/>
  </r>
  <r>
    <n v="17"/>
    <x v="1"/>
    <n v="6"/>
    <s v="Both"/>
    <n v="8.8000000000000007"/>
    <n v="1.3"/>
    <n v="4"/>
    <n v="0.9"/>
    <s v="medium"/>
    <n v="8"/>
    <n v="10"/>
    <n v="7"/>
    <n v="1"/>
    <m/>
  </r>
  <r>
    <n v="18"/>
    <x v="0"/>
    <n v="1.2"/>
    <s v="TikTok"/>
    <n v="8"/>
    <n v="1.7"/>
    <n v="3.12"/>
    <n v="0.1"/>
    <s v="low"/>
    <n v="6"/>
    <n v="4"/>
    <n v="2"/>
    <n v="1"/>
    <m/>
  </r>
  <r>
    <n v="16"/>
    <x v="0"/>
    <n v="5.7"/>
    <s v="Both"/>
    <n v="5.8"/>
    <n v="2.8"/>
    <n v="2.17"/>
    <n v="0.5"/>
    <s v="medium"/>
    <n v="3"/>
    <n v="9"/>
    <n v="2"/>
    <n v="1"/>
    <m/>
  </r>
  <r>
    <n v="19"/>
    <x v="0"/>
    <n v="6.5"/>
    <s v="Both"/>
    <n v="8.1"/>
    <n v="2.2999999999999998"/>
    <n v="2.21"/>
    <n v="0.4"/>
    <s v="high"/>
    <n v="8"/>
    <n v="8"/>
    <n v="6"/>
    <n v="1"/>
    <m/>
  </r>
  <r>
    <n v="16"/>
    <x v="0"/>
    <n v="6.6"/>
    <s v="Instagram"/>
    <n v="5.6"/>
    <n v="0.8"/>
    <n v="3.48"/>
    <n v="1.7"/>
    <s v="medium"/>
    <n v="4"/>
    <n v="3"/>
    <n v="4"/>
    <n v="1"/>
    <m/>
  </r>
  <r>
    <n v="13"/>
    <x v="0"/>
    <n v="6"/>
    <s v="TikTok"/>
    <n v="7.2"/>
    <n v="1.5"/>
    <n v="2.36"/>
    <n v="0.2"/>
    <s v="low"/>
    <n v="1"/>
    <n v="3"/>
    <n v="4"/>
    <n v="1"/>
    <m/>
  </r>
  <r>
    <n v="18"/>
    <x v="1"/>
    <n v="1.1000000000000001"/>
    <s v="Both"/>
    <n v="8"/>
    <n v="2.7"/>
    <n v="2.04"/>
    <n v="0.1"/>
    <s v="low"/>
    <n v="7"/>
    <n v="10"/>
    <n v="2"/>
    <n v="1"/>
    <m/>
  </r>
  <r>
    <n v="13"/>
    <x v="1"/>
    <n v="3.8"/>
    <s v="Instagram"/>
    <n v="7.9"/>
    <n v="1.3"/>
    <n v="3.97"/>
    <n v="0.2"/>
    <s v="medium"/>
    <n v="7"/>
    <n v="10"/>
    <n v="9"/>
    <n v="1"/>
    <m/>
  </r>
  <r>
    <n v="13"/>
    <x v="1"/>
    <n v="4.7"/>
    <s v="Both"/>
    <n v="6.8"/>
    <n v="1.7"/>
    <n v="3.27"/>
    <n v="1.4"/>
    <s v="low"/>
    <n v="4"/>
    <n v="2"/>
    <n v="4"/>
    <n v="1"/>
    <m/>
  </r>
  <r>
    <n v="15"/>
    <x v="0"/>
    <n v="7.4"/>
    <s v="TikTok"/>
    <n v="6.3"/>
    <n v="1.3"/>
    <n v="3.47"/>
    <n v="1.2"/>
    <s v="medium"/>
    <n v="1"/>
    <n v="3"/>
    <n v="9"/>
    <n v="1"/>
    <m/>
  </r>
  <r>
    <n v="17"/>
    <x v="0"/>
    <n v="3.9"/>
    <s v="Instagram"/>
    <n v="7.1"/>
    <n v="2.4"/>
    <n v="3.82"/>
    <n v="0.8"/>
    <s v="high"/>
    <n v="3"/>
    <n v="6"/>
    <n v="10"/>
    <n v="1"/>
    <m/>
  </r>
  <r>
    <n v="18"/>
    <x v="0"/>
    <n v="3.1"/>
    <s v="Instagram"/>
    <n v="5.7"/>
    <n v="2.9"/>
    <n v="3.1"/>
    <n v="0.6"/>
    <s v="medium"/>
    <n v="9"/>
    <n v="4"/>
    <n v="2"/>
    <n v="1"/>
    <m/>
  </r>
  <r>
    <n v="16"/>
    <x v="1"/>
    <n v="2.6"/>
    <s v="TikTok"/>
    <n v="8.8000000000000007"/>
    <n v="1.7"/>
    <n v="2.39"/>
    <n v="1"/>
    <s v="medium"/>
    <n v="5"/>
    <n v="2"/>
    <n v="6"/>
    <n v="1"/>
    <m/>
  </r>
  <r>
    <n v="13"/>
    <x v="0"/>
    <n v="5"/>
    <s v="TikTok"/>
    <n v="6.9"/>
    <n v="0.6"/>
    <n v="3.03"/>
    <n v="0.8"/>
    <s v="low"/>
    <n v="9"/>
    <n v="3"/>
    <n v="8"/>
    <n v="1"/>
    <m/>
  </r>
  <r>
    <n v="18"/>
    <x v="0"/>
    <n v="4.5"/>
    <s v="Instagram"/>
    <n v="8.1"/>
    <n v="1.6"/>
    <n v="3.72"/>
    <n v="1.2"/>
    <s v="low"/>
    <n v="1"/>
    <n v="2"/>
    <n v="1"/>
    <n v="1"/>
    <m/>
  </r>
  <r>
    <n v="17"/>
    <x v="0"/>
    <n v="2.1"/>
    <s v="TikTok"/>
    <n v="4.7"/>
    <n v="2"/>
    <n v="2.99"/>
    <n v="1.9"/>
    <s v="low"/>
    <n v="5"/>
    <n v="1"/>
    <n v="8"/>
    <n v="1"/>
    <m/>
  </r>
  <r>
    <n v="14"/>
    <x v="1"/>
    <n v="6.4"/>
    <s v="Instagram"/>
    <n v="6"/>
    <n v="1.1000000000000001"/>
    <n v="3.81"/>
    <n v="0.9"/>
    <s v="medium"/>
    <n v="8"/>
    <n v="2"/>
    <n v="3"/>
    <n v="1"/>
    <m/>
  </r>
  <r>
    <n v="15"/>
    <x v="1"/>
    <n v="2.2999999999999998"/>
    <s v="TikTok"/>
    <n v="6.5"/>
    <n v="2.6"/>
    <n v="3.18"/>
    <n v="0.1"/>
    <s v="low"/>
    <n v="1"/>
    <n v="8"/>
    <n v="4"/>
    <n v="1"/>
    <m/>
  </r>
  <r>
    <n v="13"/>
    <x v="1"/>
    <n v="4.4000000000000004"/>
    <s v="TikTok"/>
    <n v="8.8000000000000007"/>
    <n v="1.3"/>
    <n v="2.69"/>
    <n v="0.4"/>
    <s v="low"/>
    <n v="3"/>
    <n v="1"/>
    <n v="7"/>
    <n v="1"/>
    <m/>
  </r>
  <r>
    <n v="19"/>
    <x v="0"/>
    <n v="2.2999999999999998"/>
    <s v="Instagram"/>
    <n v="6.9"/>
    <n v="2.2999999999999998"/>
    <n v="2.17"/>
    <n v="1.6"/>
    <s v="medium"/>
    <n v="3"/>
    <n v="6"/>
    <n v="10"/>
    <n v="1"/>
    <m/>
  </r>
  <r>
    <n v="13"/>
    <x v="0"/>
    <n v="4.3"/>
    <s v="Instagram"/>
    <n v="4.4000000000000004"/>
    <n v="0.7"/>
    <n v="3.19"/>
    <n v="0.3"/>
    <s v="low"/>
    <n v="6"/>
    <n v="2"/>
    <n v="6"/>
    <n v="1"/>
    <m/>
  </r>
  <r>
    <n v="18"/>
    <x v="1"/>
    <n v="3.9"/>
    <s v="TikTok"/>
    <n v="5.2"/>
    <n v="1.8"/>
    <n v="2.41"/>
    <n v="0.6"/>
    <s v="high"/>
    <n v="9"/>
    <n v="5"/>
    <n v="5"/>
    <n v="1"/>
    <m/>
  </r>
  <r>
    <n v="18"/>
    <x v="0"/>
    <n v="2.9"/>
    <s v="TikTok"/>
    <n v="7.5"/>
    <n v="0.9"/>
    <n v="2.62"/>
    <n v="2"/>
    <s v="high"/>
    <n v="3"/>
    <n v="1"/>
    <n v="9"/>
    <n v="1"/>
    <m/>
  </r>
  <r>
    <n v="14"/>
    <x v="0"/>
    <n v="2.1"/>
    <s v="Instagram"/>
    <n v="8.5"/>
    <n v="1.1000000000000001"/>
    <n v="3.03"/>
    <n v="1.6"/>
    <s v="medium"/>
    <n v="5"/>
    <n v="6"/>
    <n v="7"/>
    <n v="1"/>
    <m/>
  </r>
  <r>
    <n v="14"/>
    <x v="0"/>
    <n v="2.1"/>
    <s v="TikTok"/>
    <n v="5"/>
    <n v="1.4"/>
    <n v="2.96"/>
    <n v="1.1000000000000001"/>
    <s v="low"/>
    <n v="7"/>
    <n v="1"/>
    <n v="9"/>
    <n v="1"/>
    <m/>
  </r>
  <r>
    <n v="16"/>
    <x v="0"/>
    <n v="3.8"/>
    <s v="TikTok"/>
    <n v="5.7"/>
    <n v="1.3"/>
    <n v="3.84"/>
    <n v="1.6"/>
    <s v="medium"/>
    <n v="3"/>
    <n v="4"/>
    <n v="10"/>
    <n v="1"/>
    <m/>
  </r>
  <r>
    <n v="15"/>
    <x v="1"/>
    <n v="1.1000000000000001"/>
    <s v="TikTok"/>
    <n v="8.1999999999999993"/>
    <n v="0.7"/>
    <n v="2.94"/>
    <n v="0.7"/>
    <s v="high"/>
    <n v="10"/>
    <n v="7"/>
    <n v="9"/>
    <n v="1"/>
    <m/>
  </r>
  <r>
    <n v="14"/>
    <x v="0"/>
    <n v="2.5"/>
    <s v="Both"/>
    <n v="5.3"/>
    <n v="2.4"/>
    <n v="3.87"/>
    <n v="1.3"/>
    <s v="high"/>
    <n v="10"/>
    <n v="9"/>
    <n v="6"/>
    <n v="1"/>
    <m/>
  </r>
  <r>
    <n v="19"/>
    <x v="1"/>
    <n v="4.0999999999999996"/>
    <s v="Instagram"/>
    <n v="6.4"/>
    <n v="0.9"/>
    <n v="2.4700000000000002"/>
    <n v="1.2"/>
    <s v="high"/>
    <n v="7"/>
    <n v="3"/>
    <n v="4"/>
    <n v="1"/>
    <m/>
  </r>
  <r>
    <n v="16"/>
    <x v="0"/>
    <n v="3"/>
    <s v="Instagram"/>
    <n v="8.6"/>
    <n v="1.5"/>
    <n v="2.84"/>
    <n v="0.3"/>
    <s v="high"/>
    <n v="6"/>
    <n v="4"/>
    <n v="3"/>
    <n v="1"/>
    <m/>
  </r>
  <r>
    <n v="13"/>
    <x v="1"/>
    <n v="3.9"/>
    <s v="Instagram"/>
    <n v="5"/>
    <n v="0.7"/>
    <n v="2.98"/>
    <n v="0.3"/>
    <s v="medium"/>
    <n v="10"/>
    <n v="8"/>
    <n v="3"/>
    <n v="1"/>
    <m/>
  </r>
  <r>
    <n v="13"/>
    <x v="0"/>
    <n v="7"/>
    <s v="TikTok"/>
    <n v="8.9"/>
    <n v="0.6"/>
    <n v="2.7"/>
    <n v="1.8"/>
    <s v="medium"/>
    <n v="5"/>
    <n v="4"/>
    <n v="1"/>
    <n v="1"/>
    <m/>
  </r>
  <r>
    <n v="16"/>
    <x v="0"/>
    <n v="3.6"/>
    <s v="Both"/>
    <n v="8.9"/>
    <n v="1.9"/>
    <n v="2.11"/>
    <n v="1.7"/>
    <s v="low"/>
    <n v="9"/>
    <n v="5"/>
    <n v="2"/>
    <n v="1"/>
    <m/>
  </r>
  <r>
    <n v="15"/>
    <x v="0"/>
    <n v="7.6"/>
    <s v="Instagram"/>
    <n v="7.6"/>
    <n v="2.7"/>
    <n v="2.36"/>
    <n v="1.2"/>
    <s v="medium"/>
    <n v="5"/>
    <n v="10"/>
    <n v="3"/>
    <n v="1"/>
    <m/>
  </r>
  <r>
    <n v="19"/>
    <x v="0"/>
    <n v="1.3"/>
    <s v="Instagram"/>
    <n v="4.5"/>
    <n v="0.7"/>
    <n v="2.5099999999999998"/>
    <n v="0.8"/>
    <s v="low"/>
    <n v="10"/>
    <n v="9"/>
    <n v="7"/>
    <n v="1"/>
    <m/>
  </r>
  <r>
    <n v="17"/>
    <x v="1"/>
    <n v="2.1"/>
    <s v="Both"/>
    <n v="7.8"/>
    <n v="2.1"/>
    <n v="3.29"/>
    <n v="1.5"/>
    <s v="low"/>
    <n v="8"/>
    <n v="1"/>
    <n v="7"/>
    <n v="1"/>
    <m/>
  </r>
  <r>
    <n v="15"/>
    <x v="1"/>
    <n v="2.7"/>
    <s v="Both"/>
    <n v="8.8000000000000007"/>
    <n v="1.9"/>
    <n v="2.14"/>
    <n v="0.4"/>
    <s v="high"/>
    <n v="8"/>
    <n v="10"/>
    <n v="3"/>
    <n v="-1"/>
    <m/>
  </r>
  <r>
    <n v="13"/>
    <x v="0"/>
    <n v="7.5"/>
    <s v="Both"/>
    <n v="8"/>
    <n v="2"/>
    <n v="3.25"/>
    <n v="0.7"/>
    <s v="medium"/>
    <n v="9"/>
    <n v="10"/>
    <n v="2"/>
    <n v="-1"/>
    <m/>
  </r>
  <r>
    <n v="16"/>
    <x v="1"/>
    <n v="6.1"/>
    <s v="Both"/>
    <n v="8.8000000000000007"/>
    <n v="1.7"/>
    <n v="3.55"/>
    <n v="1.3"/>
    <s v="medium"/>
    <n v="6"/>
    <n v="10"/>
    <n v="9"/>
    <n v="-1"/>
    <m/>
  </r>
  <r>
    <n v="19"/>
    <x v="0"/>
    <n v="2.4"/>
    <s v="Both"/>
    <n v="7.4"/>
    <n v="1.2"/>
    <n v="2.5"/>
    <n v="1.8"/>
    <s v="high"/>
    <n v="2"/>
    <n v="5"/>
    <n v="2"/>
    <n v="-1"/>
    <m/>
  </r>
  <r>
    <n v="19"/>
    <x v="0"/>
    <n v="2"/>
    <s v="TikTok"/>
    <n v="5.3"/>
    <n v="1.7"/>
    <n v="2.91"/>
    <n v="0.8"/>
    <s v="low"/>
    <n v="9"/>
    <n v="5"/>
    <n v="9"/>
    <n v="-1"/>
    <m/>
  </r>
  <r>
    <n v="15"/>
    <x v="1"/>
    <n v="7.8"/>
    <s v="TikTok"/>
    <n v="5.3"/>
    <n v="0.5"/>
    <n v="2.3199999999999998"/>
    <n v="0.8"/>
    <s v="low"/>
    <n v="8"/>
    <n v="9"/>
    <n v="3"/>
    <n v="-1"/>
    <m/>
  </r>
  <r>
    <n v="16"/>
    <x v="1"/>
    <n v="6.8"/>
    <s v="TikTok"/>
    <n v="7.2"/>
    <n v="2.5"/>
    <n v="3.61"/>
    <n v="0.5"/>
    <s v="medium"/>
    <n v="10"/>
    <n v="1"/>
    <n v="9"/>
    <n v="-1"/>
    <m/>
  </r>
  <r>
    <n v="17"/>
    <x v="0"/>
    <n v="8"/>
    <s v="Instagram"/>
    <n v="4.5999999999999996"/>
    <n v="2.6"/>
    <n v="3.06"/>
    <n v="0.1"/>
    <s v="high"/>
    <n v="9"/>
    <n v="2"/>
    <n v="6"/>
    <n v="1"/>
    <m/>
  </r>
  <r>
    <n v="13"/>
    <x v="1"/>
    <n v="7.3"/>
    <s v="Both"/>
    <n v="8.9"/>
    <n v="2.7"/>
    <n v="3.68"/>
    <n v="1.9"/>
    <s v="low"/>
    <n v="6"/>
    <n v="6"/>
    <n v="10"/>
    <n v="1"/>
    <m/>
  </r>
  <r>
    <n v="15"/>
    <x v="1"/>
    <n v="1.5"/>
    <s v="Both"/>
    <n v="8.6999999999999993"/>
    <n v="1.2"/>
    <n v="2.52"/>
    <n v="0.1"/>
    <s v="low"/>
    <n v="9"/>
    <n v="7"/>
    <n v="2"/>
    <n v="1"/>
    <m/>
  </r>
  <r>
    <n v="15"/>
    <x v="1"/>
    <n v="3.4"/>
    <s v="Instagram"/>
    <n v="5"/>
    <n v="1.8"/>
    <n v="3.2"/>
    <n v="1.5"/>
    <s v="medium"/>
    <n v="4"/>
    <n v="5"/>
    <n v="1"/>
    <n v="1"/>
    <m/>
  </r>
  <r>
    <n v="15"/>
    <x v="0"/>
    <n v="7.3"/>
    <s v="Both"/>
    <n v="4.8"/>
    <n v="2.6"/>
    <n v="3.81"/>
    <n v="1.5"/>
    <s v="low"/>
    <n v="4"/>
    <n v="7"/>
    <n v="4"/>
    <n v="1"/>
    <m/>
  </r>
  <r>
    <n v="13"/>
    <x v="1"/>
    <n v="1.9"/>
    <s v="TikTok"/>
    <n v="8.5"/>
    <n v="0.8"/>
    <n v="3.33"/>
    <n v="1.3"/>
    <s v="medium"/>
    <n v="5"/>
    <n v="1"/>
    <n v="3"/>
    <n v="1"/>
    <m/>
  </r>
  <r>
    <n v="17"/>
    <x v="1"/>
    <n v="3.9"/>
    <s v="Instagram"/>
    <n v="8.1999999999999993"/>
    <n v="1.3"/>
    <n v="3.21"/>
    <n v="1.8"/>
    <s v="medium"/>
    <n v="3"/>
    <n v="7"/>
    <n v="7"/>
    <n v="1"/>
    <m/>
  </r>
  <r>
    <n v="18"/>
    <x v="0"/>
    <n v="1.3"/>
    <s v="Instagram"/>
    <n v="5.8"/>
    <n v="1.3"/>
    <n v="3.35"/>
    <n v="1.9"/>
    <s v="medium"/>
    <n v="9"/>
    <n v="4"/>
    <n v="9"/>
    <n v="1"/>
    <m/>
  </r>
  <r>
    <n v="19"/>
    <x v="0"/>
    <n v="4.7"/>
    <s v="TikTok"/>
    <n v="8.1999999999999993"/>
    <n v="1.8"/>
    <n v="2.2599999999999998"/>
    <n v="1"/>
    <s v="low"/>
    <n v="7"/>
    <n v="4"/>
    <n v="7"/>
    <n v="1"/>
    <m/>
  </r>
  <r>
    <n v="15"/>
    <x v="0"/>
    <n v="1.9"/>
    <s v="TikTok"/>
    <n v="5.8"/>
    <n v="2.2999999999999998"/>
    <n v="2.4700000000000002"/>
    <n v="0.3"/>
    <s v="high"/>
    <n v="10"/>
    <n v="9"/>
    <n v="4"/>
    <n v="1"/>
    <m/>
  </r>
  <r>
    <n v="18"/>
    <x v="1"/>
    <n v="7"/>
    <s v="Both"/>
    <n v="6.3"/>
    <n v="1.6"/>
    <n v="2.5499999999999998"/>
    <n v="0.5"/>
    <s v="medium"/>
    <n v="10"/>
    <n v="1"/>
    <n v="8"/>
    <n v="1"/>
    <m/>
  </r>
  <r>
    <n v="15"/>
    <x v="0"/>
    <n v="6.2"/>
    <s v="TikTok"/>
    <n v="6.3"/>
    <n v="1.7"/>
    <n v="2.2599999999999998"/>
    <n v="1.1000000000000001"/>
    <s v="high"/>
    <n v="9"/>
    <n v="6"/>
    <n v="2"/>
    <n v="1"/>
    <m/>
  </r>
  <r>
    <n v="14"/>
    <x v="0"/>
    <n v="3.2"/>
    <s v="TikTok"/>
    <n v="8"/>
    <n v="1.3"/>
    <n v="2.5"/>
    <n v="1.1000000000000001"/>
    <s v="high"/>
    <n v="2"/>
    <n v="7"/>
    <n v="5"/>
    <n v="1"/>
    <m/>
  </r>
  <r>
    <n v="18"/>
    <x v="1"/>
    <n v="4.5"/>
    <s v="Both"/>
    <n v="7.9"/>
    <n v="1.4"/>
    <n v="2.38"/>
    <n v="0.1"/>
    <s v="high"/>
    <n v="7"/>
    <n v="9"/>
    <n v="1"/>
    <n v="1"/>
    <m/>
  </r>
  <r>
    <n v="14"/>
    <x v="1"/>
    <n v="1.1000000000000001"/>
    <s v="Both"/>
    <n v="6.1"/>
    <n v="2.5"/>
    <n v="2.8"/>
    <n v="1.8"/>
    <s v="high"/>
    <n v="4"/>
    <n v="10"/>
    <n v="3"/>
    <n v="1"/>
    <m/>
  </r>
  <r>
    <n v="13"/>
    <x v="0"/>
    <n v="5.9"/>
    <s v="Instagram"/>
    <n v="8"/>
    <n v="2.8"/>
    <n v="3.21"/>
    <n v="1.6"/>
    <s v="medium"/>
    <n v="2"/>
    <n v="8"/>
    <n v="8"/>
    <n v="1"/>
    <m/>
  </r>
  <r>
    <n v="17"/>
    <x v="0"/>
    <n v="5.0999999999999996"/>
    <s v="Both"/>
    <n v="5"/>
    <n v="2.2000000000000002"/>
    <n v="3.58"/>
    <n v="1.2"/>
    <s v="high"/>
    <n v="6"/>
    <n v="3"/>
    <n v="9"/>
    <n v="1"/>
    <m/>
  </r>
  <r>
    <n v="15"/>
    <x v="0"/>
    <n v="1.6"/>
    <s v="Instagram"/>
    <n v="6.9"/>
    <n v="2.2999999999999998"/>
    <n v="3.16"/>
    <n v="0.9"/>
    <s v="medium"/>
    <n v="3"/>
    <n v="1"/>
    <n v="5"/>
    <n v="1"/>
    <m/>
  </r>
  <r>
    <n v="15"/>
    <x v="1"/>
    <n v="7.2"/>
    <s v="TikTok"/>
    <n v="8"/>
    <n v="1.4"/>
    <n v="3.64"/>
    <n v="0.4"/>
    <s v="medium"/>
    <n v="10"/>
    <n v="5"/>
    <n v="7"/>
    <n v="1"/>
    <m/>
  </r>
  <r>
    <n v="17"/>
    <x v="1"/>
    <n v="1.4"/>
    <s v="Instagram"/>
    <n v="6.9"/>
    <n v="2.4"/>
    <n v="3.06"/>
    <n v="1.9"/>
    <s v="medium"/>
    <n v="4"/>
    <n v="10"/>
    <n v="8"/>
    <n v="1"/>
    <m/>
  </r>
  <r>
    <n v="17"/>
    <x v="1"/>
    <n v="6.6"/>
    <s v="Instagram"/>
    <n v="8"/>
    <n v="2.2000000000000002"/>
    <n v="2.21"/>
    <n v="1"/>
    <s v="high"/>
    <n v="10"/>
    <n v="8"/>
    <n v="10"/>
    <n v="1"/>
    <m/>
  </r>
  <r>
    <n v="15"/>
    <x v="1"/>
    <n v="3.5"/>
    <s v="Instagram"/>
    <n v="6.3"/>
    <n v="0.8"/>
    <n v="2.71"/>
    <n v="1.8"/>
    <s v="high"/>
    <n v="7"/>
    <n v="4"/>
    <n v="2"/>
    <n v="1"/>
    <m/>
  </r>
  <r>
    <n v="17"/>
    <x v="1"/>
    <n v="5.4"/>
    <s v="Both"/>
    <n v="6.3"/>
    <n v="2.8"/>
    <n v="3.06"/>
    <n v="0.8"/>
    <s v="low"/>
    <n v="3"/>
    <n v="7"/>
    <n v="9"/>
    <n v="1"/>
    <m/>
  </r>
  <r>
    <n v="16"/>
    <x v="1"/>
    <n v="4.2"/>
    <s v="Both"/>
    <n v="7.3"/>
    <n v="1.1000000000000001"/>
    <n v="3.1"/>
    <n v="1.6"/>
    <s v="medium"/>
    <n v="1"/>
    <n v="6"/>
    <n v="2"/>
    <n v="1"/>
    <m/>
  </r>
  <r>
    <n v="13"/>
    <x v="0"/>
    <n v="2.5"/>
    <s v="Instagram"/>
    <n v="8.3000000000000007"/>
    <n v="1.6"/>
    <n v="2.91"/>
    <n v="0.6"/>
    <s v="high"/>
    <n v="10"/>
    <n v="2"/>
    <n v="6"/>
    <n v="1"/>
    <m/>
  </r>
  <r>
    <n v="16"/>
    <x v="1"/>
    <n v="3.8"/>
    <s v="TikTok"/>
    <n v="6"/>
    <n v="3"/>
    <n v="2.1"/>
    <n v="0.2"/>
    <s v="low"/>
    <n v="7"/>
    <n v="9"/>
    <n v="1"/>
    <n v="1"/>
    <m/>
  </r>
  <r>
    <n v="13"/>
    <x v="0"/>
    <n v="1.8"/>
    <s v="Instagram"/>
    <n v="8.9"/>
    <n v="1.2"/>
    <n v="3.67"/>
    <n v="0.1"/>
    <s v="medium"/>
    <n v="2"/>
    <n v="8"/>
    <n v="9"/>
    <n v="1"/>
    <m/>
  </r>
  <r>
    <n v="14"/>
    <x v="0"/>
    <n v="5.4"/>
    <s v="Instagram"/>
    <n v="5.6"/>
    <n v="1.8"/>
    <n v="3.01"/>
    <n v="0.9"/>
    <s v="low"/>
    <n v="10"/>
    <n v="6"/>
    <n v="8"/>
    <n v="1"/>
    <m/>
  </r>
  <r>
    <n v="14"/>
    <x v="1"/>
    <n v="7.7"/>
    <s v="Instagram"/>
    <n v="6.1"/>
    <n v="0.8"/>
    <n v="3.47"/>
    <n v="1.5"/>
    <s v="medium"/>
    <n v="9"/>
    <n v="10"/>
    <n v="9"/>
    <n v="1"/>
    <m/>
  </r>
  <r>
    <n v="18"/>
    <x v="1"/>
    <n v="4.0999999999999996"/>
    <s v="Instagram"/>
    <n v="8"/>
    <n v="1.7"/>
    <n v="2.29"/>
    <n v="1.4"/>
    <s v="low"/>
    <n v="2"/>
    <n v="1"/>
    <n v="10"/>
    <n v="0"/>
    <m/>
  </r>
  <r>
    <n v="15"/>
    <x v="1"/>
    <n v="6.6"/>
    <s v="Both"/>
    <n v="4.9000000000000004"/>
    <n v="3"/>
    <n v="2.99"/>
    <n v="0.9"/>
    <s v="medium"/>
    <n v="4"/>
    <n v="8"/>
    <n v="3"/>
    <n v="0"/>
    <m/>
  </r>
  <r>
    <n v="16"/>
    <x v="0"/>
    <n v="2.2999999999999998"/>
    <s v="Both"/>
    <n v="4.0999999999999996"/>
    <n v="0.8"/>
    <n v="3.18"/>
    <n v="1.7"/>
    <s v="medium"/>
    <n v="5"/>
    <n v="3"/>
    <n v="8"/>
    <n v="0"/>
    <m/>
  </r>
  <r>
    <n v="17"/>
    <x v="1"/>
    <n v="7.5"/>
    <s v="Instagram"/>
    <n v="5.9"/>
    <n v="2.9"/>
    <n v="3.71"/>
    <n v="1.7"/>
    <s v="low"/>
    <n v="3"/>
    <n v="1"/>
    <n v="10"/>
    <n v="0"/>
    <m/>
  </r>
  <r>
    <n v="18"/>
    <x v="0"/>
    <n v="7.1"/>
    <s v="Instagram"/>
    <n v="8"/>
    <n v="2.9"/>
    <n v="2.59"/>
    <n v="1.2"/>
    <s v="high"/>
    <n v="10"/>
    <n v="8"/>
    <n v="5"/>
    <n v="0"/>
    <m/>
  </r>
  <r>
    <n v="17"/>
    <x v="1"/>
    <n v="1.7"/>
    <s v="Both"/>
    <n v="6.3"/>
    <n v="1.5"/>
    <n v="2.66"/>
    <n v="1.8"/>
    <s v="low"/>
    <n v="1"/>
    <n v="4"/>
    <n v="10"/>
    <n v="0"/>
    <m/>
  </r>
  <r>
    <n v="13"/>
    <x v="0"/>
    <n v="7.9"/>
    <s v="Instagram"/>
    <n v="5.8"/>
    <n v="0.8"/>
    <n v="3.31"/>
    <n v="1.6"/>
    <s v="medium"/>
    <n v="3"/>
    <n v="7"/>
    <n v="2"/>
    <n v="0"/>
    <m/>
  </r>
  <r>
    <n v="16"/>
    <x v="1"/>
    <n v="4"/>
    <s v="Instagram"/>
    <n v="7.9"/>
    <n v="1.9"/>
    <n v="2.56"/>
    <n v="0.1"/>
    <s v="high"/>
    <n v="4"/>
    <n v="9"/>
    <n v="9"/>
    <n v="0"/>
    <m/>
  </r>
  <r>
    <n v="15"/>
    <x v="1"/>
    <n v="1.2"/>
    <s v="TikTok"/>
    <n v="8.1"/>
    <n v="2"/>
    <n v="3.33"/>
    <n v="1.5"/>
    <s v="medium"/>
    <n v="7"/>
    <n v="3"/>
    <n v="8"/>
    <n v="0"/>
    <m/>
  </r>
  <r>
    <n v="19"/>
    <x v="0"/>
    <n v="3.5"/>
    <s v="TikTok"/>
    <n v="8.4"/>
    <n v="1.7"/>
    <n v="2.46"/>
    <n v="0.1"/>
    <s v="high"/>
    <n v="6"/>
    <n v="9"/>
    <n v="3"/>
    <n v="0"/>
    <m/>
  </r>
  <r>
    <n v="17"/>
    <x v="0"/>
    <n v="1.1000000000000001"/>
    <s v="Instagram"/>
    <n v="6.8"/>
    <n v="2"/>
    <n v="3.45"/>
    <n v="1.3"/>
    <s v="medium"/>
    <n v="7"/>
    <n v="1"/>
    <n v="2"/>
    <n v="0"/>
    <m/>
  </r>
  <r>
    <n v="19"/>
    <x v="1"/>
    <n v="1.6"/>
    <s v="TikTok"/>
    <n v="4.0999999999999996"/>
    <n v="1.6"/>
    <n v="3.15"/>
    <n v="0.9"/>
    <s v="medium"/>
    <n v="2"/>
    <n v="6"/>
    <n v="4"/>
    <n v="0"/>
    <m/>
  </r>
  <r>
    <n v="16"/>
    <x v="1"/>
    <n v="2.5"/>
    <s v="TikTok"/>
    <n v="8.9"/>
    <n v="2.9"/>
    <n v="2.5299999999999998"/>
    <n v="0.1"/>
    <s v="high"/>
    <n v="8"/>
    <n v="7"/>
    <n v="3"/>
    <n v="0"/>
    <m/>
  </r>
  <r>
    <n v="15"/>
    <x v="0"/>
    <n v="2.8"/>
    <s v="Instagram"/>
    <n v="7.2"/>
    <n v="1.8"/>
    <n v="2.91"/>
    <n v="0.2"/>
    <s v="low"/>
    <n v="5"/>
    <n v="5"/>
    <n v="4"/>
    <n v="0"/>
    <m/>
  </r>
  <r>
    <n v="15"/>
    <x v="0"/>
    <n v="2.2000000000000002"/>
    <s v="Instagram"/>
    <n v="5.2"/>
    <n v="1.4"/>
    <n v="2.62"/>
    <n v="1.5"/>
    <s v="medium"/>
    <n v="10"/>
    <n v="7"/>
    <n v="5"/>
    <n v="0"/>
    <m/>
  </r>
  <r>
    <n v="16"/>
    <x v="0"/>
    <n v="4.8"/>
    <s v="Both"/>
    <n v="6.8"/>
    <n v="1"/>
    <n v="2.6"/>
    <n v="1.1000000000000001"/>
    <s v="medium"/>
    <n v="1"/>
    <n v="5"/>
    <n v="6"/>
    <n v="0"/>
    <m/>
  </r>
  <r>
    <n v="18"/>
    <x v="1"/>
    <n v="3.7"/>
    <s v="Both"/>
    <n v="7.9"/>
    <n v="2.7"/>
    <n v="3.11"/>
    <n v="0.3"/>
    <s v="medium"/>
    <n v="6"/>
    <n v="6"/>
    <n v="5"/>
    <n v="0"/>
    <m/>
  </r>
  <r>
    <n v="16"/>
    <x v="0"/>
    <n v="5.5"/>
    <s v="Instagram"/>
    <n v="8.3000000000000007"/>
    <n v="2.2999999999999998"/>
    <n v="3.47"/>
    <n v="1.6"/>
    <s v="medium"/>
    <n v="4"/>
    <n v="8"/>
    <n v="5"/>
    <n v="0"/>
    <m/>
  </r>
  <r>
    <n v="16"/>
    <x v="0"/>
    <n v="2.5"/>
    <s v="Instagram"/>
    <n v="6.8"/>
    <n v="1"/>
    <n v="3.77"/>
    <n v="1"/>
    <s v="high"/>
    <n v="3"/>
    <n v="9"/>
    <n v="9"/>
    <n v="0"/>
    <m/>
  </r>
  <r>
    <n v="18"/>
    <x v="1"/>
    <n v="1.9"/>
    <s v="TikTok"/>
    <n v="5.8"/>
    <n v="1.7"/>
    <n v="3.52"/>
    <n v="0.2"/>
    <s v="low"/>
    <n v="6"/>
    <n v="5"/>
    <n v="1"/>
    <n v="0"/>
    <m/>
  </r>
  <r>
    <n v="13"/>
    <x v="0"/>
    <n v="5.9"/>
    <s v="Instagram"/>
    <n v="7.5"/>
    <n v="1.4"/>
    <n v="2.58"/>
    <n v="1.2"/>
    <s v="low"/>
    <n v="6"/>
    <n v="2"/>
    <n v="8"/>
    <n v="0"/>
    <m/>
  </r>
  <r>
    <n v="13"/>
    <x v="1"/>
    <n v="6.5"/>
    <s v="TikTok"/>
    <n v="8.3000000000000007"/>
    <n v="0.6"/>
    <n v="3.05"/>
    <n v="0.3"/>
    <s v="high"/>
    <n v="2"/>
    <n v="7"/>
    <n v="8"/>
    <n v="0"/>
    <m/>
  </r>
  <r>
    <n v="15"/>
    <x v="0"/>
    <n v="7.5"/>
    <s v="Instagram"/>
    <n v="8.1"/>
    <n v="2.5"/>
    <n v="3.56"/>
    <n v="1.2"/>
    <s v="medium"/>
    <n v="6"/>
    <n v="8"/>
    <n v="10"/>
    <n v="0"/>
    <m/>
  </r>
  <r>
    <n v="19"/>
    <x v="0"/>
    <n v="4.9000000000000004"/>
    <s v="TikTok"/>
    <n v="4.5"/>
    <n v="2.9"/>
    <n v="3.88"/>
    <n v="0.8"/>
    <s v="low"/>
    <n v="5"/>
    <n v="5"/>
    <n v="6"/>
    <n v="1"/>
    <m/>
  </r>
  <r>
    <n v="13"/>
    <x v="0"/>
    <n v="2.2000000000000002"/>
    <s v="TikTok"/>
    <n v="5.3"/>
    <n v="1.4"/>
    <n v="3.97"/>
    <n v="0"/>
    <s v="low"/>
    <n v="1"/>
    <n v="10"/>
    <n v="7"/>
    <n v="1"/>
    <m/>
  </r>
  <r>
    <n v="14"/>
    <x v="0"/>
    <n v="5.8"/>
    <s v="Both"/>
    <n v="6.9"/>
    <n v="0.7"/>
    <n v="3.01"/>
    <n v="1.9"/>
    <s v="high"/>
    <n v="9"/>
    <n v="9"/>
    <n v="4"/>
    <n v="1"/>
    <m/>
  </r>
  <r>
    <n v="14"/>
    <x v="0"/>
    <n v="1.3"/>
    <s v="Instagram"/>
    <n v="8.5"/>
    <n v="0.9"/>
    <n v="3.71"/>
    <n v="0.7"/>
    <s v="high"/>
    <n v="3"/>
    <n v="3"/>
    <n v="6"/>
    <n v="1"/>
    <m/>
  </r>
  <r>
    <n v="19"/>
    <x v="1"/>
    <n v="2.8"/>
    <s v="TikTok"/>
    <n v="4.8"/>
    <n v="1.7"/>
    <n v="2.8"/>
    <n v="0.6"/>
    <s v="low"/>
    <n v="5"/>
    <n v="7"/>
    <n v="4"/>
    <n v="1"/>
    <m/>
  </r>
  <r>
    <n v="19"/>
    <x v="1"/>
    <n v="4"/>
    <s v="TikTok"/>
    <n v="6.5"/>
    <n v="2.4"/>
    <n v="3.67"/>
    <n v="0.6"/>
    <s v="low"/>
    <n v="4"/>
    <n v="6"/>
    <n v="4"/>
    <n v="1"/>
    <m/>
  </r>
  <r>
    <n v="14"/>
    <x v="1"/>
    <n v="1.7"/>
    <s v="TikTok"/>
    <n v="4.9000000000000004"/>
    <n v="1.6"/>
    <n v="2.36"/>
    <n v="1.7"/>
    <s v="high"/>
    <n v="3"/>
    <n v="1"/>
    <n v="6"/>
    <n v="1"/>
    <m/>
  </r>
  <r>
    <n v="18"/>
    <x v="1"/>
    <n v="1.4"/>
    <s v="TikTok"/>
    <n v="6.1"/>
    <n v="1.6"/>
    <n v="2.56"/>
    <n v="1.2"/>
    <s v="high"/>
    <n v="2"/>
    <n v="7"/>
    <n v="8"/>
    <n v="1"/>
    <m/>
  </r>
  <r>
    <n v="19"/>
    <x v="0"/>
    <n v="2.2999999999999998"/>
    <s v="TikTok"/>
    <n v="6.5"/>
    <n v="3"/>
    <n v="3.5"/>
    <n v="0.1"/>
    <s v="high"/>
    <n v="9"/>
    <n v="10"/>
    <n v="8"/>
    <n v="1"/>
    <m/>
  </r>
  <r>
    <n v="14"/>
    <x v="0"/>
    <n v="3.8"/>
    <s v="Instagram"/>
    <n v="5.3"/>
    <n v="1"/>
    <n v="2.2799999999999998"/>
    <n v="1.2"/>
    <s v="low"/>
    <n v="9"/>
    <n v="3"/>
    <n v="1"/>
    <n v="1"/>
    <m/>
  </r>
  <r>
    <n v="13"/>
    <x v="0"/>
    <n v="6.4"/>
    <s v="TikTok"/>
    <n v="5.0999999999999996"/>
    <n v="2.5"/>
    <n v="2.62"/>
    <n v="1.3"/>
    <s v="low"/>
    <n v="5"/>
    <n v="4"/>
    <n v="7"/>
    <n v="1"/>
    <m/>
  </r>
  <r>
    <n v="19"/>
    <x v="0"/>
    <n v="6"/>
    <s v="Both"/>
    <n v="7.1"/>
    <n v="0.9"/>
    <n v="2.98"/>
    <n v="0.1"/>
    <s v="low"/>
    <n v="1"/>
    <n v="6"/>
    <n v="5"/>
    <n v="1"/>
    <m/>
  </r>
  <r>
    <n v="16"/>
    <x v="0"/>
    <n v="1.9"/>
    <s v="Instagram"/>
    <n v="7.8"/>
    <n v="2.1"/>
    <n v="2.2599999999999998"/>
    <n v="0.3"/>
    <s v="high"/>
    <n v="7"/>
    <n v="7"/>
    <n v="5"/>
    <n v="1"/>
    <m/>
  </r>
  <r>
    <n v="17"/>
    <x v="0"/>
    <n v="2.4"/>
    <s v="TikTok"/>
    <n v="8.5"/>
    <n v="2.4"/>
    <n v="2.79"/>
    <n v="1.1000000000000001"/>
    <s v="low"/>
    <n v="1"/>
    <n v="6"/>
    <n v="7"/>
    <n v="1"/>
    <m/>
  </r>
  <r>
    <n v="14"/>
    <x v="1"/>
    <n v="2.7"/>
    <s v="Instagram"/>
    <n v="5.0999999999999996"/>
    <n v="2.4"/>
    <n v="2.17"/>
    <n v="1.8"/>
    <s v="high"/>
    <n v="3"/>
    <n v="10"/>
    <n v="8"/>
    <n v="1"/>
    <m/>
  </r>
  <r>
    <n v="14"/>
    <x v="0"/>
    <n v="1.5"/>
    <s v="Both"/>
    <n v="7.2"/>
    <n v="1.7"/>
    <n v="2.76"/>
    <n v="0"/>
    <s v="low"/>
    <n v="10"/>
    <n v="7"/>
    <n v="10"/>
    <n v="1"/>
    <m/>
  </r>
  <r>
    <n v="18"/>
    <x v="0"/>
    <n v="7.7"/>
    <s v="Instagram"/>
    <n v="7.3"/>
    <n v="1.8"/>
    <n v="3.13"/>
    <n v="2"/>
    <s v="medium"/>
    <n v="7"/>
    <n v="9"/>
    <n v="7"/>
    <n v="1"/>
    <m/>
  </r>
  <r>
    <n v="13"/>
    <x v="0"/>
    <n v="2.9"/>
    <s v="TikTok"/>
    <n v="5.0999999999999996"/>
    <n v="2.2000000000000002"/>
    <n v="3.81"/>
    <n v="0.7"/>
    <s v="low"/>
    <n v="6"/>
    <n v="6"/>
    <n v="10"/>
    <n v="1"/>
    <m/>
  </r>
  <r>
    <n v="16"/>
    <x v="0"/>
    <n v="7.6"/>
    <s v="TikTok"/>
    <n v="4.3"/>
    <n v="2.7"/>
    <n v="2.5099999999999998"/>
    <n v="0.3"/>
    <s v="medium"/>
    <n v="3"/>
    <n v="9"/>
    <n v="10"/>
    <n v="1"/>
    <m/>
  </r>
  <r>
    <n v="18"/>
    <x v="0"/>
    <n v="5.7"/>
    <s v="Both"/>
    <n v="8.4"/>
    <n v="2.4"/>
    <n v="2.84"/>
    <n v="0.7"/>
    <s v="low"/>
    <n v="5"/>
    <n v="4"/>
    <n v="9"/>
    <n v="1"/>
    <m/>
  </r>
  <r>
    <n v="19"/>
    <x v="0"/>
    <n v="1.2"/>
    <s v="TikTok"/>
    <n v="5"/>
    <n v="1.5"/>
    <n v="2.09"/>
    <n v="0.6"/>
    <s v="medium"/>
    <n v="5"/>
    <n v="2"/>
    <n v="1"/>
    <n v="1"/>
    <m/>
  </r>
  <r>
    <n v="16"/>
    <x v="1"/>
    <n v="2.4"/>
    <s v="Both"/>
    <n v="6.2"/>
    <n v="1.6"/>
    <n v="2.38"/>
    <n v="0"/>
    <s v="medium"/>
    <n v="8"/>
    <n v="4"/>
    <n v="10"/>
    <n v="1"/>
    <m/>
  </r>
  <r>
    <n v="17"/>
    <x v="1"/>
    <n v="6.2"/>
    <s v="Both"/>
    <n v="5.0999999999999996"/>
    <n v="2"/>
    <n v="3.82"/>
    <n v="1.7"/>
    <s v="medium"/>
    <n v="7"/>
    <n v="3"/>
    <n v="5"/>
    <n v="1"/>
    <m/>
  </r>
  <r>
    <n v="14"/>
    <x v="1"/>
    <n v="4.7"/>
    <s v="Instagram"/>
    <n v="5.0999999999999996"/>
    <n v="2.2000000000000002"/>
    <n v="2.0299999999999998"/>
    <n v="1.1000000000000001"/>
    <s v="medium"/>
    <n v="2"/>
    <n v="10"/>
    <n v="7"/>
    <n v="-1"/>
    <m/>
  </r>
  <r>
    <n v="19"/>
    <x v="0"/>
    <n v="5.3"/>
    <s v="Instagram"/>
    <n v="6.7"/>
    <n v="0.7"/>
    <n v="3.59"/>
    <n v="1.8"/>
    <s v="high"/>
    <n v="4"/>
    <n v="8"/>
    <n v="8"/>
    <n v="-1"/>
    <m/>
  </r>
  <r>
    <n v="19"/>
    <x v="1"/>
    <n v="6"/>
    <s v="TikTok"/>
    <n v="6"/>
    <n v="0.7"/>
    <n v="3.29"/>
    <n v="1.4"/>
    <s v="low"/>
    <n v="4"/>
    <n v="5"/>
    <n v="1"/>
    <n v="-1"/>
    <m/>
  </r>
  <r>
    <n v="16"/>
    <x v="1"/>
    <n v="7.8"/>
    <s v="TikTok"/>
    <n v="4.7"/>
    <n v="2.1"/>
    <n v="2.48"/>
    <n v="2"/>
    <s v="low"/>
    <n v="8"/>
    <n v="3"/>
    <n v="1"/>
    <n v="-1"/>
    <m/>
  </r>
  <r>
    <n v="14"/>
    <x v="1"/>
    <n v="4.4000000000000004"/>
    <s v="Both"/>
    <n v="4.2"/>
    <n v="2.6"/>
    <n v="2.2799999999999998"/>
    <n v="1.3"/>
    <s v="medium"/>
    <n v="8"/>
    <n v="10"/>
    <n v="4"/>
    <n v="-1"/>
    <m/>
  </r>
  <r>
    <n v="17"/>
    <x v="0"/>
    <n v="6.7"/>
    <s v="Instagram"/>
    <n v="7.6"/>
    <n v="2.4"/>
    <n v="3.59"/>
    <n v="0.4"/>
    <s v="medium"/>
    <n v="9"/>
    <n v="5"/>
    <n v="5"/>
    <n v="1"/>
    <m/>
  </r>
  <r>
    <n v="13"/>
    <x v="1"/>
    <n v="7.2"/>
    <s v="TikTok"/>
    <n v="7.4"/>
    <n v="2.2000000000000002"/>
    <n v="3.42"/>
    <n v="0.1"/>
    <s v="low"/>
    <n v="8"/>
    <n v="9"/>
    <n v="6"/>
    <n v="1"/>
    <m/>
  </r>
  <r>
    <n v="18"/>
    <x v="0"/>
    <n v="6.1"/>
    <s v="Both"/>
    <n v="4.4000000000000004"/>
    <n v="2.1"/>
    <n v="2.23"/>
    <n v="1"/>
    <s v="low"/>
    <n v="8"/>
    <n v="2"/>
    <n v="5"/>
    <n v="1"/>
    <m/>
  </r>
  <r>
    <n v="16"/>
    <x v="0"/>
    <n v="5.4"/>
    <s v="TikTok"/>
    <n v="8.6999999999999993"/>
    <n v="1.9"/>
    <n v="2.67"/>
    <n v="1.3"/>
    <s v="low"/>
    <n v="1"/>
    <n v="5"/>
    <n v="7"/>
    <n v="1"/>
    <m/>
  </r>
  <r>
    <n v="19"/>
    <x v="0"/>
    <n v="2.7"/>
    <s v="Both"/>
    <n v="7.7"/>
    <n v="0.7"/>
    <n v="2.2200000000000002"/>
    <n v="0.4"/>
    <s v="medium"/>
    <n v="10"/>
    <n v="8"/>
    <n v="7"/>
    <n v="1"/>
    <m/>
  </r>
  <r>
    <n v="13"/>
    <x v="1"/>
    <n v="7.9"/>
    <s v="Instagram"/>
    <n v="7.2"/>
    <n v="1.5"/>
    <n v="2.36"/>
    <n v="0.2"/>
    <s v="medium"/>
    <n v="2"/>
    <n v="6"/>
    <n v="8"/>
    <n v="1"/>
    <m/>
  </r>
  <r>
    <n v="13"/>
    <x v="0"/>
    <n v="4.5999999999999996"/>
    <s v="TikTok"/>
    <n v="7.3"/>
    <n v="1.6"/>
    <n v="2.91"/>
    <n v="0.4"/>
    <s v="low"/>
    <n v="10"/>
    <n v="5"/>
    <n v="7"/>
    <n v="1"/>
    <m/>
  </r>
  <r>
    <n v="13"/>
    <x v="0"/>
    <n v="5.6"/>
    <s v="Instagram"/>
    <n v="4.5999999999999996"/>
    <n v="1.9"/>
    <n v="2.54"/>
    <n v="0.1"/>
    <s v="low"/>
    <n v="5"/>
    <n v="5"/>
    <n v="6"/>
    <n v="1"/>
    <m/>
  </r>
  <r>
    <n v="17"/>
    <x v="1"/>
    <n v="6.5"/>
    <s v="TikTok"/>
    <n v="6.4"/>
    <n v="0.7"/>
    <n v="3.57"/>
    <n v="1.1000000000000001"/>
    <s v="low"/>
    <n v="2"/>
    <n v="9"/>
    <n v="6"/>
    <n v="1"/>
    <m/>
  </r>
  <r>
    <n v="19"/>
    <x v="0"/>
    <n v="5.9"/>
    <s v="Both"/>
    <n v="7.2"/>
    <n v="0.9"/>
    <n v="3.99"/>
    <n v="1.7"/>
    <s v="low"/>
    <n v="7"/>
    <n v="9"/>
    <n v="3"/>
    <n v="1"/>
    <m/>
  </r>
  <r>
    <n v="19"/>
    <x v="1"/>
    <n v="1.1000000000000001"/>
    <s v="TikTok"/>
    <n v="5.0999999999999996"/>
    <n v="2.2000000000000002"/>
    <n v="2.13"/>
    <n v="0.9"/>
    <s v="low"/>
    <n v="7"/>
    <n v="7"/>
    <n v="2"/>
    <n v="1"/>
    <m/>
  </r>
  <r>
    <n v="18"/>
    <x v="0"/>
    <n v="3.2"/>
    <s v="TikTok"/>
    <n v="5.0999999999999996"/>
    <n v="1.2"/>
    <n v="3.54"/>
    <n v="1.3"/>
    <s v="low"/>
    <n v="6"/>
    <n v="2"/>
    <n v="8"/>
    <n v="1"/>
    <m/>
  </r>
  <r>
    <n v="14"/>
    <x v="0"/>
    <n v="6.5"/>
    <s v="Instagram"/>
    <n v="5.3"/>
    <n v="2.7"/>
    <n v="3.79"/>
    <n v="0.8"/>
    <s v="low"/>
    <n v="8"/>
    <n v="6"/>
    <n v="4"/>
    <n v="1"/>
    <m/>
  </r>
  <r>
    <n v="17"/>
    <x v="1"/>
    <n v="7.3"/>
    <s v="Instagram"/>
    <n v="6.2"/>
    <n v="1"/>
    <n v="2.02"/>
    <n v="0.2"/>
    <s v="low"/>
    <n v="1"/>
    <n v="6"/>
    <n v="3"/>
    <n v="1"/>
    <m/>
  </r>
  <r>
    <n v="17"/>
    <x v="0"/>
    <n v="1.5"/>
    <s v="TikTok"/>
    <n v="5.5"/>
    <n v="1.7"/>
    <n v="2.93"/>
    <n v="0.7"/>
    <s v="low"/>
    <n v="4"/>
    <n v="9"/>
    <n v="9"/>
    <n v="1"/>
    <m/>
  </r>
  <r>
    <n v="16"/>
    <x v="0"/>
    <n v="3.8"/>
    <s v="Instagram"/>
    <n v="6.8"/>
    <n v="2.4"/>
    <n v="3.1"/>
    <n v="1.6"/>
    <s v="low"/>
    <n v="6"/>
    <n v="10"/>
    <n v="4"/>
    <n v="1"/>
    <m/>
  </r>
  <r>
    <n v="13"/>
    <x v="1"/>
    <n v="3.6"/>
    <s v="TikTok"/>
    <n v="8.6"/>
    <n v="2.8"/>
    <n v="3.28"/>
    <n v="0.7"/>
    <s v="high"/>
    <n v="10"/>
    <n v="3"/>
    <n v="5"/>
    <n v="0"/>
    <m/>
  </r>
  <r>
    <n v="15"/>
    <x v="0"/>
    <n v="3.6"/>
    <s v="TikTok"/>
    <n v="4.3"/>
    <n v="2.9"/>
    <n v="2.2000000000000002"/>
    <n v="1"/>
    <s v="high"/>
    <n v="10"/>
    <n v="9"/>
    <n v="7"/>
    <n v="0"/>
    <m/>
  </r>
  <r>
    <n v="17"/>
    <x v="1"/>
    <n v="5.3"/>
    <s v="Instagram"/>
    <n v="7.4"/>
    <n v="1.2"/>
    <n v="3.41"/>
    <n v="1.1000000000000001"/>
    <s v="high"/>
    <n v="6"/>
    <n v="3"/>
    <n v="7"/>
    <n v="0"/>
    <m/>
  </r>
  <r>
    <n v="19"/>
    <x v="0"/>
    <n v="4.4000000000000004"/>
    <s v="TikTok"/>
    <n v="4.3"/>
    <n v="0.8"/>
    <n v="2.44"/>
    <n v="1"/>
    <s v="high"/>
    <n v="9"/>
    <n v="9"/>
    <n v="7"/>
    <n v="0"/>
    <m/>
  </r>
  <r>
    <n v="18"/>
    <x v="0"/>
    <n v="7.7"/>
    <s v="TikTok"/>
    <n v="4.7"/>
    <n v="1.4"/>
    <n v="3.04"/>
    <n v="0.6"/>
    <s v="medium"/>
    <n v="9"/>
    <n v="6"/>
    <n v="6"/>
    <n v="0"/>
    <m/>
  </r>
  <r>
    <n v="14"/>
    <x v="1"/>
    <n v="7.1"/>
    <s v="TikTok"/>
    <n v="4.5"/>
    <n v="2.4"/>
    <n v="3.53"/>
    <n v="0.4"/>
    <s v="high"/>
    <n v="3"/>
    <n v="4"/>
    <n v="4"/>
    <n v="1"/>
    <m/>
  </r>
  <r>
    <n v="16"/>
    <x v="0"/>
    <n v="4.9000000000000004"/>
    <s v="Instagram"/>
    <n v="6.8"/>
    <n v="1"/>
    <n v="3.18"/>
    <n v="1.9"/>
    <s v="high"/>
    <n v="7"/>
    <n v="4"/>
    <n v="8"/>
    <n v="1"/>
    <m/>
  </r>
  <r>
    <n v="19"/>
    <x v="0"/>
    <n v="4.5999999999999996"/>
    <s v="Both"/>
    <n v="8.9"/>
    <n v="1.9"/>
    <n v="2.5"/>
    <n v="0.4"/>
    <s v="medium"/>
    <n v="8"/>
    <n v="1"/>
    <n v="3"/>
    <n v="1"/>
    <m/>
  </r>
  <r>
    <n v="19"/>
    <x v="0"/>
    <n v="1.8"/>
    <s v="Instagram"/>
    <n v="6.5"/>
    <n v="2.6"/>
    <n v="2.75"/>
    <n v="1.7"/>
    <s v="high"/>
    <n v="7"/>
    <n v="6"/>
    <n v="1"/>
    <n v="1"/>
    <m/>
  </r>
  <r>
    <n v="16"/>
    <x v="0"/>
    <n v="4.2"/>
    <s v="Both"/>
    <n v="5.7"/>
    <n v="1"/>
    <n v="2.77"/>
    <n v="0.1"/>
    <s v="high"/>
    <n v="10"/>
    <n v="5"/>
    <n v="9"/>
    <n v="1"/>
    <m/>
  </r>
  <r>
    <n v="16"/>
    <x v="0"/>
    <n v="1.5"/>
    <s v="TikTok"/>
    <n v="6.7"/>
    <n v="0.5"/>
    <n v="2.78"/>
    <n v="1.2"/>
    <s v="low"/>
    <n v="1"/>
    <n v="9"/>
    <n v="6"/>
    <n v="1"/>
    <m/>
  </r>
  <r>
    <n v="19"/>
    <x v="0"/>
    <n v="7"/>
    <s v="Instagram"/>
    <n v="8.9"/>
    <n v="2.8"/>
    <n v="2.84"/>
    <n v="0.4"/>
    <s v="high"/>
    <n v="6"/>
    <n v="8"/>
    <n v="6"/>
    <n v="1"/>
    <m/>
  </r>
  <r>
    <n v="14"/>
    <x v="1"/>
    <n v="6.5"/>
    <s v="Both"/>
    <n v="7.8"/>
    <n v="1.5"/>
    <n v="3.26"/>
    <n v="0.8"/>
    <s v="medium"/>
    <n v="9"/>
    <n v="2"/>
    <n v="3"/>
    <n v="1"/>
    <m/>
  </r>
  <r>
    <n v="19"/>
    <x v="1"/>
    <n v="4.3"/>
    <s v="Instagram"/>
    <n v="5.9"/>
    <n v="2.1"/>
    <n v="2.85"/>
    <n v="1.7"/>
    <s v="high"/>
    <n v="9"/>
    <n v="9"/>
    <n v="8"/>
    <n v="1"/>
    <m/>
  </r>
  <r>
    <n v="16"/>
    <x v="0"/>
    <n v="7.2"/>
    <s v="Both"/>
    <n v="7.7"/>
    <n v="2.5"/>
    <n v="2.56"/>
    <n v="1.7"/>
    <s v="high"/>
    <n v="8"/>
    <n v="7"/>
    <n v="6"/>
    <n v="1"/>
    <m/>
  </r>
  <r>
    <n v="13"/>
    <x v="0"/>
    <n v="7"/>
    <s v="Both"/>
    <n v="4.0999999999999996"/>
    <n v="1.9"/>
    <n v="2.2999999999999998"/>
    <n v="0.3"/>
    <s v="medium"/>
    <n v="3"/>
    <n v="10"/>
    <n v="6"/>
    <n v="1"/>
    <m/>
  </r>
  <r>
    <n v="18"/>
    <x v="1"/>
    <n v="3.8"/>
    <s v="Both"/>
    <n v="5.4"/>
    <n v="1.7"/>
    <n v="3.06"/>
    <n v="1.9"/>
    <s v="medium"/>
    <n v="5"/>
    <n v="10"/>
    <n v="3"/>
    <n v="1"/>
    <m/>
  </r>
  <r>
    <n v="17"/>
    <x v="1"/>
    <n v="3"/>
    <s v="Instagram"/>
    <n v="6.9"/>
    <n v="2.2999999999999998"/>
    <n v="3.34"/>
    <n v="0.6"/>
    <s v="low"/>
    <n v="5"/>
    <n v="2"/>
    <n v="9"/>
    <n v="1"/>
    <m/>
  </r>
  <r>
    <n v="14"/>
    <x v="1"/>
    <n v="7"/>
    <s v="TikTok"/>
    <n v="7.8"/>
    <n v="1.1000000000000001"/>
    <n v="3.81"/>
    <n v="1.4"/>
    <s v="medium"/>
    <n v="10"/>
    <n v="4"/>
    <n v="2"/>
    <n v="1"/>
    <m/>
  </r>
  <r>
    <n v="13"/>
    <x v="0"/>
    <n v="4.5999999999999996"/>
    <s v="TikTok"/>
    <n v="5.3"/>
    <n v="2.2999999999999998"/>
    <n v="2.42"/>
    <n v="0.2"/>
    <s v="low"/>
    <n v="5"/>
    <n v="9"/>
    <n v="5"/>
    <n v="1"/>
    <m/>
  </r>
  <r>
    <n v="16"/>
    <x v="0"/>
    <n v="3.4"/>
    <s v="Both"/>
    <n v="8.9"/>
    <n v="2.6"/>
    <n v="2.54"/>
    <n v="1.8"/>
    <s v="high"/>
    <n v="6"/>
    <n v="2"/>
    <n v="5"/>
    <n v="1"/>
    <m/>
  </r>
  <r>
    <n v="19"/>
    <x v="1"/>
    <n v="3.5"/>
    <s v="TikTok"/>
    <n v="6.7"/>
    <n v="2.7"/>
    <n v="3.4"/>
    <n v="1.2"/>
    <s v="low"/>
    <n v="4"/>
    <n v="6"/>
    <n v="7"/>
    <n v="1"/>
    <m/>
  </r>
  <r>
    <n v="14"/>
    <x v="1"/>
    <n v="4.4000000000000004"/>
    <s v="Both"/>
    <n v="7.3"/>
    <n v="2.7"/>
    <n v="3.3"/>
    <n v="1.1000000000000001"/>
    <s v="low"/>
    <n v="2"/>
    <n v="1"/>
    <n v="9"/>
    <n v="1"/>
    <m/>
  </r>
  <r>
    <n v="14"/>
    <x v="1"/>
    <n v="1.8"/>
    <s v="Both"/>
    <n v="8.1999999999999993"/>
    <n v="2.2000000000000002"/>
    <n v="3.36"/>
    <n v="1.7"/>
    <s v="high"/>
    <n v="9"/>
    <n v="5"/>
    <n v="10"/>
    <n v="1"/>
    <m/>
  </r>
  <r>
    <n v="17"/>
    <x v="0"/>
    <n v="3.9"/>
    <s v="Both"/>
    <n v="7.7"/>
    <n v="1"/>
    <n v="2.1"/>
    <n v="1.8"/>
    <s v="high"/>
    <n v="7"/>
    <n v="4"/>
    <n v="5"/>
    <n v="1"/>
    <m/>
  </r>
  <r>
    <n v="14"/>
    <x v="1"/>
    <n v="4.4000000000000004"/>
    <s v="TikTok"/>
    <n v="5.7"/>
    <n v="1"/>
    <n v="3.2"/>
    <n v="1.9"/>
    <s v="high"/>
    <n v="4"/>
    <n v="2"/>
    <n v="2"/>
    <n v="1"/>
    <m/>
  </r>
  <r>
    <n v="13"/>
    <x v="1"/>
    <n v="2"/>
    <s v="Instagram"/>
    <n v="8.6999999999999993"/>
    <n v="1.9"/>
    <n v="2.2799999999999998"/>
    <n v="1.2"/>
    <s v="medium"/>
    <n v="7"/>
    <n v="7"/>
    <n v="9"/>
    <n v="1"/>
    <m/>
  </r>
  <r>
    <n v="17"/>
    <x v="0"/>
    <n v="7.2"/>
    <s v="TikTok"/>
    <n v="8.8000000000000007"/>
    <n v="2.5"/>
    <n v="3.97"/>
    <n v="1.9"/>
    <s v="low"/>
    <n v="1"/>
    <n v="3"/>
    <n v="9"/>
    <n v="1"/>
    <m/>
  </r>
  <r>
    <n v="19"/>
    <x v="0"/>
    <n v="4.4000000000000004"/>
    <s v="Both"/>
    <n v="6.4"/>
    <n v="0.9"/>
    <n v="2.72"/>
    <n v="0.2"/>
    <s v="medium"/>
    <n v="6"/>
    <n v="9"/>
    <n v="8"/>
    <n v="1"/>
    <m/>
  </r>
  <r>
    <n v="14"/>
    <x v="0"/>
    <n v="7.2"/>
    <s v="TikTok"/>
    <n v="4.8"/>
    <n v="1.4"/>
    <n v="2.36"/>
    <n v="0.1"/>
    <s v="low"/>
    <n v="5"/>
    <n v="7"/>
    <n v="1"/>
    <n v="1"/>
    <m/>
  </r>
  <r>
    <n v="13"/>
    <x v="0"/>
    <n v="5.4"/>
    <s v="Instagram"/>
    <n v="6.5"/>
    <n v="0.8"/>
    <n v="3.17"/>
    <n v="0.3"/>
    <s v="medium"/>
    <n v="10"/>
    <n v="3"/>
    <n v="3"/>
    <n v="1"/>
    <m/>
  </r>
  <r>
    <n v="16"/>
    <x v="0"/>
    <n v="1.5"/>
    <s v="TikTok"/>
    <n v="4.0999999999999996"/>
    <n v="1.3"/>
    <n v="3.67"/>
    <n v="1.2"/>
    <s v="high"/>
    <n v="10"/>
    <n v="6"/>
    <n v="6"/>
    <n v="1"/>
    <m/>
  </r>
  <r>
    <n v="15"/>
    <x v="1"/>
    <n v="1.8"/>
    <s v="Instagram"/>
    <n v="8"/>
    <n v="2.8"/>
    <n v="3.49"/>
    <n v="0.6"/>
    <s v="low"/>
    <n v="9"/>
    <n v="8"/>
    <n v="8"/>
    <n v="1"/>
    <m/>
  </r>
  <r>
    <n v="17"/>
    <x v="1"/>
    <n v="3.7"/>
    <s v="TikTok"/>
    <n v="5.3"/>
    <n v="0.7"/>
    <n v="2.09"/>
    <n v="0.8"/>
    <s v="high"/>
    <n v="8"/>
    <n v="8"/>
    <n v="10"/>
    <n v="1"/>
    <m/>
  </r>
  <r>
    <n v="13"/>
    <x v="0"/>
    <n v="6.4"/>
    <s v="Both"/>
    <n v="8.3000000000000007"/>
    <n v="1.3"/>
    <n v="2.21"/>
    <n v="1.2"/>
    <s v="high"/>
    <n v="4"/>
    <n v="5"/>
    <n v="9"/>
    <n v="1"/>
    <m/>
  </r>
  <r>
    <n v="19"/>
    <x v="0"/>
    <n v="6.4"/>
    <s v="Both"/>
    <n v="6.7"/>
    <n v="2.4"/>
    <n v="2.2000000000000002"/>
    <n v="1.3"/>
    <s v="low"/>
    <n v="5"/>
    <n v="2"/>
    <n v="2"/>
    <n v="1"/>
    <m/>
  </r>
  <r>
    <n v="17"/>
    <x v="1"/>
    <n v="1.1000000000000001"/>
    <s v="Instagram"/>
    <n v="9"/>
    <n v="2.9"/>
    <n v="2.74"/>
    <n v="1"/>
    <s v="medium"/>
    <n v="2"/>
    <n v="8"/>
    <n v="2"/>
    <n v="1"/>
    <m/>
  </r>
  <r>
    <n v="13"/>
    <x v="0"/>
    <n v="1.3"/>
    <s v="TikTok"/>
    <n v="7.8"/>
    <n v="2.6"/>
    <n v="3.01"/>
    <n v="0.3"/>
    <s v="low"/>
    <n v="2"/>
    <n v="9"/>
    <n v="10"/>
    <n v="1"/>
    <m/>
  </r>
  <r>
    <n v="17"/>
    <x v="1"/>
    <n v="4.4000000000000004"/>
    <s v="Instagram"/>
    <n v="6"/>
    <n v="1.2"/>
    <n v="2.48"/>
    <n v="0.9"/>
    <s v="medium"/>
    <n v="6"/>
    <n v="2"/>
    <n v="6"/>
    <n v="1"/>
    <m/>
  </r>
  <r>
    <n v="13"/>
    <x v="0"/>
    <n v="7.8"/>
    <s v="Instagram"/>
    <n v="5"/>
    <n v="1.8"/>
    <n v="3.57"/>
    <n v="1.5"/>
    <s v="medium"/>
    <n v="8"/>
    <n v="10"/>
    <n v="3"/>
    <n v="1"/>
    <m/>
  </r>
  <r>
    <n v="14"/>
    <x v="1"/>
    <n v="6.9"/>
    <s v="TikTok"/>
    <n v="6.4"/>
    <n v="0.9"/>
    <n v="2.04"/>
    <n v="1.3"/>
    <s v="medium"/>
    <n v="5"/>
    <n v="5"/>
    <n v="9"/>
    <n v="1"/>
    <m/>
  </r>
  <r>
    <n v="14"/>
    <x v="1"/>
    <n v="4.8"/>
    <s v="Instagram"/>
    <n v="6.8"/>
    <n v="0.8"/>
    <n v="3"/>
    <n v="0.9"/>
    <s v="low"/>
    <n v="4"/>
    <n v="3"/>
    <n v="4"/>
    <n v="1"/>
    <m/>
  </r>
  <r>
    <n v="13"/>
    <x v="0"/>
    <n v="7.5"/>
    <s v="Instagram"/>
    <n v="8.6"/>
    <n v="1.9"/>
    <n v="3.33"/>
    <n v="0.9"/>
    <s v="medium"/>
    <n v="7"/>
    <n v="3"/>
    <n v="10"/>
    <n v="1"/>
    <m/>
  </r>
  <r>
    <n v="15"/>
    <x v="1"/>
    <n v="6.7"/>
    <s v="Instagram"/>
    <n v="7"/>
    <n v="2.2000000000000002"/>
    <n v="2.61"/>
    <n v="0.7"/>
    <s v="high"/>
    <n v="2"/>
    <n v="7"/>
    <n v="8"/>
    <n v="1"/>
    <m/>
  </r>
  <r>
    <n v="14"/>
    <x v="0"/>
    <n v="3.8"/>
    <s v="Instagram"/>
    <n v="4.8"/>
    <n v="1.9"/>
    <n v="3.97"/>
    <n v="0.2"/>
    <s v="high"/>
    <n v="4"/>
    <n v="6"/>
    <n v="6"/>
    <n v="1"/>
    <m/>
  </r>
  <r>
    <n v="15"/>
    <x v="0"/>
    <n v="3"/>
    <s v="Instagram"/>
    <n v="8.6"/>
    <n v="1.5"/>
    <n v="3.27"/>
    <n v="0.8"/>
    <s v="medium"/>
    <n v="10"/>
    <n v="10"/>
    <n v="4"/>
    <n v="1"/>
    <m/>
  </r>
  <r>
    <n v="17"/>
    <x v="0"/>
    <n v="7.8"/>
    <s v="TikTok"/>
    <n v="7.1"/>
    <n v="0.8"/>
    <n v="2.79"/>
    <n v="1.4"/>
    <s v="medium"/>
    <n v="9"/>
    <n v="4"/>
    <n v="2"/>
    <n v="1"/>
    <m/>
  </r>
  <r>
    <n v="14"/>
    <x v="1"/>
    <n v="7.8"/>
    <s v="Instagram"/>
    <n v="4.3"/>
    <n v="2.6"/>
    <n v="3.33"/>
    <n v="2"/>
    <s v="high"/>
    <n v="3"/>
    <n v="7"/>
    <n v="3"/>
    <n v="1"/>
    <m/>
  </r>
  <r>
    <n v="15"/>
    <x v="1"/>
    <n v="6.6"/>
    <s v="TikTok"/>
    <n v="9"/>
    <n v="1.5"/>
    <n v="3.04"/>
    <n v="1.5"/>
    <s v="low"/>
    <n v="4"/>
    <n v="2"/>
    <n v="7"/>
    <n v="-1"/>
    <m/>
  </r>
  <r>
    <n v="13"/>
    <x v="1"/>
    <n v="7.3"/>
    <s v="Instagram"/>
    <n v="6.4"/>
    <n v="2.2999999999999998"/>
    <n v="2.5299999999999998"/>
    <n v="0.7"/>
    <s v="low"/>
    <n v="9"/>
    <n v="9"/>
    <n v="4"/>
    <n v="-1"/>
    <m/>
  </r>
  <r>
    <n v="19"/>
    <x v="0"/>
    <n v="6.6"/>
    <s v="Instagram"/>
    <n v="4.4000000000000004"/>
    <n v="1.1000000000000001"/>
    <n v="2.29"/>
    <n v="1"/>
    <s v="low"/>
    <n v="6"/>
    <n v="8"/>
    <n v="5"/>
    <n v="-1"/>
    <m/>
  </r>
  <r>
    <n v="19"/>
    <x v="1"/>
    <n v="5.6"/>
    <s v="TikTok"/>
    <n v="8.1"/>
    <n v="3"/>
    <n v="2.75"/>
    <n v="0.7"/>
    <s v="medium"/>
    <n v="6"/>
    <n v="3"/>
    <n v="4"/>
    <n v="-1"/>
    <m/>
  </r>
  <r>
    <n v="13"/>
    <x v="1"/>
    <n v="8"/>
    <s v="Instagram"/>
    <n v="5.4"/>
    <n v="2.8"/>
    <n v="3.1"/>
    <n v="1.9"/>
    <s v="high"/>
    <n v="6"/>
    <n v="10"/>
    <n v="10"/>
    <n v="-1"/>
    <m/>
  </r>
  <r>
    <n v="13"/>
    <x v="1"/>
    <n v="1.3"/>
    <s v="Instagram"/>
    <n v="8.9"/>
    <n v="2.6"/>
    <n v="3.54"/>
    <n v="1.2"/>
    <s v="high"/>
    <n v="8"/>
    <n v="5"/>
    <n v="2"/>
    <n v="-1"/>
    <m/>
  </r>
  <r>
    <n v="15"/>
    <x v="1"/>
    <n v="5.9"/>
    <s v="Both"/>
    <n v="6.9"/>
    <n v="1.4"/>
    <n v="3.62"/>
    <n v="1.5"/>
    <s v="medium"/>
    <n v="3"/>
    <n v="9"/>
    <n v="1"/>
    <n v="-1"/>
    <m/>
  </r>
  <r>
    <n v="14"/>
    <x v="1"/>
    <n v="2"/>
    <s v="Instagram"/>
    <n v="8.8000000000000007"/>
    <n v="0.9"/>
    <n v="3.61"/>
    <n v="0.7"/>
    <s v="high"/>
    <n v="10"/>
    <n v="2"/>
    <n v="3"/>
    <n v="-1"/>
    <m/>
  </r>
  <r>
    <n v="19"/>
    <x v="1"/>
    <n v="1.4"/>
    <s v="Instagram"/>
    <n v="6.6"/>
    <n v="1.8"/>
    <n v="3.07"/>
    <n v="0"/>
    <s v="low"/>
    <n v="5"/>
    <n v="2"/>
    <n v="6"/>
    <n v="-1"/>
    <m/>
  </r>
  <r>
    <n v="13"/>
    <x v="1"/>
    <n v="6.4"/>
    <s v="Both"/>
    <n v="6.7"/>
    <n v="0.8"/>
    <n v="3.9"/>
    <n v="1.9"/>
    <s v="high"/>
    <n v="3"/>
    <n v="3"/>
    <n v="10"/>
    <n v="-1"/>
    <m/>
  </r>
  <r>
    <n v="15"/>
    <x v="0"/>
    <n v="7.6"/>
    <s v="TikTok"/>
    <n v="7.9"/>
    <n v="0.8"/>
    <n v="3.55"/>
    <n v="1.9"/>
    <s v="high"/>
    <n v="10"/>
    <n v="8"/>
    <n v="6"/>
    <n v="-1"/>
    <m/>
  </r>
  <r>
    <n v="16"/>
    <x v="0"/>
    <n v="7.9"/>
    <s v="Both"/>
    <n v="5.5"/>
    <n v="0.6"/>
    <n v="3.65"/>
    <n v="1.4"/>
    <s v="low"/>
    <n v="1"/>
    <n v="4"/>
    <n v="1"/>
    <n v="-1"/>
    <m/>
  </r>
  <r>
    <n v="15"/>
    <x v="0"/>
    <n v="5.0999999999999996"/>
    <s v="Instagram"/>
    <n v="4.0999999999999996"/>
    <n v="2.8"/>
    <n v="3.79"/>
    <n v="0.8"/>
    <s v="medium"/>
    <n v="9"/>
    <n v="7"/>
    <n v="3"/>
    <n v="-1"/>
    <m/>
  </r>
  <r>
    <n v="18"/>
    <x v="0"/>
    <n v="6.4"/>
    <s v="TikTok"/>
    <n v="7.4"/>
    <n v="1.5"/>
    <n v="2.92"/>
    <n v="0.6"/>
    <s v="low"/>
    <n v="9"/>
    <n v="2"/>
    <n v="5"/>
    <n v="-1"/>
    <m/>
  </r>
  <r>
    <n v="13"/>
    <x v="1"/>
    <n v="7.2"/>
    <s v="Both"/>
    <n v="6.7"/>
    <n v="0.9"/>
    <n v="2.36"/>
    <n v="0.6"/>
    <s v="low"/>
    <n v="8"/>
    <n v="8"/>
    <n v="1"/>
    <n v="-1"/>
    <m/>
  </r>
  <r>
    <n v="18"/>
    <x v="1"/>
    <n v="2.9"/>
    <s v="Both"/>
    <n v="4.5999999999999996"/>
    <n v="2.2999999999999998"/>
    <n v="3.03"/>
    <n v="0.3"/>
    <s v="low"/>
    <n v="6"/>
    <n v="1"/>
    <n v="9"/>
    <n v="0"/>
    <m/>
  </r>
  <r>
    <n v="19"/>
    <x v="0"/>
    <n v="1.5"/>
    <s v="Instagram"/>
    <n v="7.3"/>
    <n v="2.7"/>
    <n v="2.61"/>
    <n v="0.9"/>
    <s v="low"/>
    <n v="5"/>
    <n v="7"/>
    <n v="10"/>
    <n v="0"/>
    <m/>
  </r>
  <r>
    <n v="14"/>
    <x v="0"/>
    <n v="5.4"/>
    <s v="Both"/>
    <n v="8.1"/>
    <n v="1.8"/>
    <n v="2.5299999999999998"/>
    <n v="0.9"/>
    <s v="medium"/>
    <n v="5"/>
    <n v="8"/>
    <n v="8"/>
    <n v="1"/>
    <m/>
  </r>
  <r>
    <n v="13"/>
    <x v="0"/>
    <n v="7.2"/>
    <s v="TikTok"/>
    <n v="4.0999999999999996"/>
    <n v="1.3"/>
    <n v="2.4900000000000002"/>
    <n v="1.8"/>
    <s v="medium"/>
    <n v="5"/>
    <n v="5"/>
    <n v="4"/>
    <n v="1"/>
    <m/>
  </r>
  <r>
    <n v="15"/>
    <x v="1"/>
    <n v="7"/>
    <s v="Instagram"/>
    <n v="5.9"/>
    <n v="1.3"/>
    <n v="2.91"/>
    <n v="1.2"/>
    <s v="low"/>
    <n v="10"/>
    <n v="2"/>
    <n v="6"/>
    <n v="1"/>
    <m/>
  </r>
  <r>
    <n v="17"/>
    <x v="1"/>
    <n v="7.5"/>
    <s v="TikTok"/>
    <n v="6.7"/>
    <n v="1.1000000000000001"/>
    <n v="3.77"/>
    <n v="0.6"/>
    <s v="high"/>
    <n v="3"/>
    <n v="8"/>
    <n v="6"/>
    <n v="1"/>
    <m/>
  </r>
  <r>
    <n v="14"/>
    <x v="0"/>
    <n v="1.4"/>
    <s v="Both"/>
    <n v="7"/>
    <n v="1.8"/>
    <n v="2.69"/>
    <n v="0.9"/>
    <s v="low"/>
    <n v="10"/>
    <n v="4"/>
    <n v="2"/>
    <n v="1"/>
    <m/>
  </r>
  <r>
    <n v="16"/>
    <x v="1"/>
    <n v="6.1"/>
    <s v="Instagram"/>
    <n v="8.1"/>
    <n v="1.4"/>
    <n v="3.27"/>
    <n v="1.6"/>
    <s v="low"/>
    <n v="10"/>
    <n v="1"/>
    <n v="4"/>
    <n v="1"/>
    <m/>
  </r>
  <r>
    <n v="16"/>
    <x v="1"/>
    <n v="1.4"/>
    <s v="Both"/>
    <n v="5.2"/>
    <n v="1.7"/>
    <n v="3.82"/>
    <n v="0.7"/>
    <s v="low"/>
    <n v="10"/>
    <n v="4"/>
    <n v="3"/>
    <n v="1"/>
    <m/>
  </r>
  <r>
    <n v="13"/>
    <x v="0"/>
    <n v="5.4"/>
    <s v="Instagram"/>
    <n v="4.0999999999999996"/>
    <n v="2"/>
    <n v="3.82"/>
    <n v="1.9"/>
    <s v="medium"/>
    <n v="6"/>
    <n v="10"/>
    <n v="8"/>
    <n v="1"/>
    <m/>
  </r>
  <r>
    <n v="13"/>
    <x v="1"/>
    <n v="2.1"/>
    <s v="Instagram"/>
    <n v="8.1999999999999993"/>
    <n v="0.9"/>
    <n v="2.48"/>
    <n v="0.5"/>
    <s v="high"/>
    <n v="2"/>
    <n v="7"/>
    <n v="6"/>
    <n v="1"/>
    <m/>
  </r>
  <r>
    <n v="14"/>
    <x v="0"/>
    <n v="5"/>
    <s v="Both"/>
    <n v="4.3"/>
    <n v="1.1000000000000001"/>
    <n v="3.8"/>
    <n v="0.4"/>
    <s v="medium"/>
    <n v="9"/>
    <n v="4"/>
    <n v="10"/>
    <n v="1"/>
    <m/>
  </r>
  <r>
    <n v="13"/>
    <x v="1"/>
    <n v="4.4000000000000004"/>
    <s v="Instagram"/>
    <n v="4.3"/>
    <n v="1.9"/>
    <n v="3.51"/>
    <n v="0.9"/>
    <s v="medium"/>
    <n v="8"/>
    <n v="4"/>
    <n v="3"/>
    <n v="1"/>
    <m/>
  </r>
  <r>
    <n v="13"/>
    <x v="0"/>
    <n v="3.4"/>
    <s v="Both"/>
    <n v="8.6"/>
    <n v="0.8"/>
    <n v="3.08"/>
    <n v="0.4"/>
    <s v="low"/>
    <n v="7"/>
    <n v="10"/>
    <n v="6"/>
    <n v="1"/>
    <m/>
  </r>
  <r>
    <n v="18"/>
    <x v="0"/>
    <n v="1.2"/>
    <s v="Instagram"/>
    <n v="6.4"/>
    <n v="1.3"/>
    <n v="3.03"/>
    <n v="1"/>
    <s v="low"/>
    <n v="5"/>
    <n v="9"/>
    <n v="10"/>
    <n v="1"/>
    <m/>
  </r>
  <r>
    <n v="14"/>
    <x v="0"/>
    <n v="5.5"/>
    <s v="TikTok"/>
    <n v="7.3"/>
    <n v="1.4"/>
    <n v="2.61"/>
    <n v="1.2"/>
    <s v="high"/>
    <n v="5"/>
    <n v="7"/>
    <n v="1"/>
    <n v="1"/>
    <m/>
  </r>
  <r>
    <n v="15"/>
    <x v="0"/>
    <n v="2.2999999999999998"/>
    <s v="Both"/>
    <n v="7.8"/>
    <n v="3"/>
    <n v="2.2999999999999998"/>
    <n v="1.4"/>
    <s v="medium"/>
    <n v="4"/>
    <n v="9"/>
    <n v="10"/>
    <n v="1"/>
    <m/>
  </r>
  <r>
    <n v="13"/>
    <x v="1"/>
    <n v="1.4"/>
    <s v="Both"/>
    <n v="7.4"/>
    <n v="0.5"/>
    <n v="2.3199999999999998"/>
    <n v="1.3"/>
    <s v="low"/>
    <n v="3"/>
    <n v="2"/>
    <n v="6"/>
    <n v="1"/>
    <m/>
  </r>
  <r>
    <n v="13"/>
    <x v="1"/>
    <n v="3"/>
    <s v="Instagram"/>
    <n v="7"/>
    <n v="0.9"/>
    <n v="2.73"/>
    <n v="1.7"/>
    <s v="high"/>
    <n v="5"/>
    <n v="6"/>
    <n v="9"/>
    <n v="1"/>
    <m/>
  </r>
  <r>
    <n v="14"/>
    <x v="0"/>
    <n v="2.8"/>
    <s v="Instagram"/>
    <n v="5"/>
    <n v="2.5"/>
    <n v="3.92"/>
    <n v="1.8"/>
    <s v="high"/>
    <n v="1"/>
    <n v="3"/>
    <n v="4"/>
    <n v="1"/>
    <m/>
  </r>
  <r>
    <n v="14"/>
    <x v="0"/>
    <n v="7"/>
    <s v="TikTok"/>
    <n v="6.9"/>
    <n v="1"/>
    <n v="3.93"/>
    <n v="1.1000000000000001"/>
    <s v="high"/>
    <n v="9"/>
    <n v="3"/>
    <n v="7"/>
    <n v="1"/>
    <m/>
  </r>
  <r>
    <n v="13"/>
    <x v="1"/>
    <n v="1.6"/>
    <s v="Both"/>
    <n v="8.4"/>
    <n v="1.4"/>
    <n v="3.47"/>
    <n v="0.1"/>
    <s v="medium"/>
    <n v="1"/>
    <n v="6"/>
    <n v="6"/>
    <n v="1"/>
    <m/>
  </r>
  <r>
    <n v="15"/>
    <x v="1"/>
    <n v="4.2"/>
    <s v="Instagram"/>
    <n v="8.4"/>
    <n v="1.2"/>
    <n v="2.61"/>
    <n v="0"/>
    <s v="medium"/>
    <n v="3"/>
    <n v="10"/>
    <n v="2"/>
    <n v="1"/>
    <m/>
  </r>
  <r>
    <n v="17"/>
    <x v="0"/>
    <n v="4.9000000000000004"/>
    <s v="Instagram"/>
    <n v="8.6"/>
    <n v="3"/>
    <n v="3.62"/>
    <n v="1.2"/>
    <s v="low"/>
    <n v="6"/>
    <n v="6"/>
    <n v="9"/>
    <n v="1"/>
    <m/>
  </r>
  <r>
    <n v="14"/>
    <x v="1"/>
    <n v="3.6"/>
    <s v="Instagram"/>
    <n v="4.0999999999999996"/>
    <n v="2.9"/>
    <n v="2.83"/>
    <n v="0.5"/>
    <s v="medium"/>
    <n v="10"/>
    <n v="6"/>
    <n v="7"/>
    <n v="1"/>
    <m/>
  </r>
  <r>
    <n v="19"/>
    <x v="0"/>
    <n v="1.8"/>
    <s v="TikTok"/>
    <n v="6"/>
    <n v="2.2999999999999998"/>
    <n v="3.22"/>
    <n v="1"/>
    <s v="medium"/>
    <n v="5"/>
    <n v="6"/>
    <n v="8"/>
    <n v="1"/>
    <m/>
  </r>
  <r>
    <n v="17"/>
    <x v="1"/>
    <n v="2.7"/>
    <s v="Instagram"/>
    <n v="5.4"/>
    <n v="2.6"/>
    <n v="2.0699999999999998"/>
    <n v="0"/>
    <s v="medium"/>
    <n v="6"/>
    <n v="5"/>
    <n v="6"/>
    <n v="1"/>
    <m/>
  </r>
  <r>
    <n v="15"/>
    <x v="1"/>
    <n v="1.2"/>
    <s v="Instagram"/>
    <n v="5.2"/>
    <n v="1"/>
    <n v="2.78"/>
    <n v="1.3"/>
    <s v="high"/>
    <n v="5"/>
    <n v="8"/>
    <n v="10"/>
    <n v="1"/>
    <m/>
  </r>
  <r>
    <n v="18"/>
    <x v="1"/>
    <n v="6.2"/>
    <s v="Both"/>
    <n v="6.7"/>
    <n v="1.4"/>
    <n v="3.42"/>
    <n v="0.9"/>
    <s v="low"/>
    <n v="6"/>
    <n v="8"/>
    <n v="6"/>
    <n v="1"/>
    <m/>
  </r>
  <r>
    <n v="18"/>
    <x v="0"/>
    <n v="1.6"/>
    <s v="TikTok"/>
    <n v="6.2"/>
    <n v="1.9"/>
    <n v="2.0499999999999998"/>
    <n v="0.3"/>
    <s v="low"/>
    <n v="8"/>
    <n v="9"/>
    <n v="9"/>
    <n v="1"/>
    <m/>
  </r>
  <r>
    <n v="18"/>
    <x v="1"/>
    <n v="5.0999999999999996"/>
    <s v="TikTok"/>
    <n v="7.4"/>
    <n v="1.3"/>
    <n v="3.5"/>
    <n v="1.6"/>
    <s v="high"/>
    <n v="1"/>
    <n v="5"/>
    <n v="5"/>
    <n v="1"/>
    <m/>
  </r>
  <r>
    <n v="13"/>
    <x v="1"/>
    <n v="5.2"/>
    <s v="TikTok"/>
    <n v="8.1999999999999993"/>
    <n v="2.8"/>
    <n v="2.12"/>
    <n v="1.4"/>
    <s v="medium"/>
    <n v="1"/>
    <n v="8"/>
    <n v="1"/>
    <n v="1"/>
    <m/>
  </r>
  <r>
    <n v="14"/>
    <x v="0"/>
    <n v="4.0999999999999996"/>
    <s v="TikTok"/>
    <n v="5.0999999999999996"/>
    <n v="2"/>
    <n v="3.51"/>
    <n v="0.7"/>
    <s v="high"/>
    <n v="2"/>
    <n v="9"/>
    <n v="1"/>
    <n v="1"/>
    <m/>
  </r>
  <r>
    <n v="19"/>
    <x v="1"/>
    <n v="5.4"/>
    <s v="TikTok"/>
    <n v="4.4000000000000004"/>
    <n v="2.2999999999999998"/>
    <n v="3.34"/>
    <n v="0.4"/>
    <s v="high"/>
    <n v="3"/>
    <n v="3"/>
    <n v="8"/>
    <n v="1"/>
    <m/>
  </r>
  <r>
    <n v="13"/>
    <x v="0"/>
    <n v="2.4"/>
    <s v="TikTok"/>
    <n v="8.4"/>
    <n v="1.6"/>
    <n v="2.82"/>
    <n v="1.1000000000000001"/>
    <s v="low"/>
    <n v="1"/>
    <n v="3"/>
    <n v="2"/>
    <n v="1"/>
    <m/>
  </r>
  <r>
    <n v="18"/>
    <x v="0"/>
    <n v="1.7"/>
    <s v="Both"/>
    <n v="5.6"/>
    <n v="1.4"/>
    <n v="2.85"/>
    <n v="1"/>
    <s v="high"/>
    <n v="3"/>
    <n v="3"/>
    <n v="7"/>
    <n v="1"/>
    <m/>
  </r>
  <r>
    <n v="18"/>
    <x v="0"/>
    <n v="6"/>
    <s v="Both"/>
    <n v="6.1"/>
    <n v="0.9"/>
    <n v="2.68"/>
    <n v="0.3"/>
    <s v="medium"/>
    <n v="2"/>
    <n v="10"/>
    <n v="10"/>
    <n v="1"/>
    <m/>
  </r>
  <r>
    <n v="17"/>
    <x v="0"/>
    <n v="7.2"/>
    <s v="Both"/>
    <n v="6.1"/>
    <n v="0.8"/>
    <n v="3.9"/>
    <n v="0.2"/>
    <s v="low"/>
    <n v="8"/>
    <n v="3"/>
    <n v="7"/>
    <n v="1"/>
    <m/>
  </r>
  <r>
    <n v="18"/>
    <x v="0"/>
    <n v="3.5"/>
    <s v="TikTok"/>
    <n v="6.3"/>
    <n v="2.9"/>
    <n v="3.35"/>
    <n v="1.6"/>
    <s v="high"/>
    <n v="1"/>
    <n v="4"/>
    <n v="2"/>
    <n v="1"/>
    <m/>
  </r>
  <r>
    <n v="15"/>
    <x v="1"/>
    <n v="3.8"/>
    <s v="Instagram"/>
    <n v="4.4000000000000004"/>
    <n v="1.9"/>
    <n v="2.04"/>
    <n v="0.5"/>
    <s v="medium"/>
    <n v="4"/>
    <n v="9"/>
    <n v="7"/>
    <n v="1"/>
    <m/>
  </r>
  <r>
    <n v="18"/>
    <x v="1"/>
    <n v="4.5"/>
    <s v="Both"/>
    <n v="8"/>
    <n v="1.5"/>
    <n v="3.45"/>
    <n v="1"/>
    <s v="low"/>
    <n v="4"/>
    <n v="3"/>
    <n v="9"/>
    <n v="1"/>
    <m/>
  </r>
  <r>
    <n v="16"/>
    <x v="1"/>
    <n v="7.3"/>
    <s v="Both"/>
    <n v="7.2"/>
    <n v="0.5"/>
    <n v="2.78"/>
    <n v="1.9"/>
    <s v="low"/>
    <n v="7"/>
    <n v="3"/>
    <n v="9"/>
    <n v="1"/>
    <m/>
  </r>
  <r>
    <n v="18"/>
    <x v="1"/>
    <n v="6.4"/>
    <s v="Instagram"/>
    <n v="7.7"/>
    <n v="0.5"/>
    <n v="3.05"/>
    <n v="1.2"/>
    <s v="low"/>
    <n v="3"/>
    <n v="1"/>
    <n v="2"/>
    <n v="1"/>
    <m/>
  </r>
  <r>
    <n v="16"/>
    <x v="0"/>
    <n v="5.3"/>
    <s v="TikTok"/>
    <n v="8.4"/>
    <n v="2.2000000000000002"/>
    <n v="2.81"/>
    <n v="0.6"/>
    <s v="high"/>
    <n v="2"/>
    <n v="8"/>
    <n v="8"/>
    <n v="1"/>
    <m/>
  </r>
  <r>
    <n v="13"/>
    <x v="0"/>
    <n v="2.4"/>
    <s v="Instagram"/>
    <n v="7.1"/>
    <n v="0.7"/>
    <n v="3.64"/>
    <n v="1.1000000000000001"/>
    <s v="high"/>
    <n v="6"/>
    <n v="5"/>
    <n v="5"/>
    <n v="1"/>
    <m/>
  </r>
  <r>
    <n v="13"/>
    <x v="0"/>
    <n v="8"/>
    <s v="Both"/>
    <n v="8.9"/>
    <n v="2.2000000000000002"/>
    <n v="3.82"/>
    <n v="1.2"/>
    <s v="low"/>
    <n v="8"/>
    <n v="8"/>
    <n v="4"/>
    <n v="1"/>
    <m/>
  </r>
  <r>
    <n v="15"/>
    <x v="0"/>
    <n v="7.3"/>
    <s v="Both"/>
    <n v="4.4000000000000004"/>
    <n v="2.2999999999999998"/>
    <n v="2.76"/>
    <n v="1.8"/>
    <s v="medium"/>
    <n v="4"/>
    <n v="6"/>
    <n v="9"/>
    <n v="1"/>
    <m/>
  </r>
  <r>
    <n v="17"/>
    <x v="1"/>
    <n v="4.5"/>
    <s v="Both"/>
    <n v="7.3"/>
    <n v="0.9"/>
    <n v="2.34"/>
    <n v="0.9"/>
    <s v="medium"/>
    <n v="7"/>
    <n v="3"/>
    <n v="8"/>
    <n v="1"/>
    <m/>
  </r>
  <r>
    <n v="19"/>
    <x v="0"/>
    <n v="5"/>
    <s v="Both"/>
    <n v="9"/>
    <n v="2.4"/>
    <n v="2.5299999999999998"/>
    <n v="0.4"/>
    <s v="medium"/>
    <n v="7"/>
    <n v="2"/>
    <n v="10"/>
    <n v="1"/>
    <m/>
  </r>
  <r>
    <n v="16"/>
    <x v="1"/>
    <n v="5.7"/>
    <s v="Both"/>
    <n v="4.2"/>
    <n v="1.4"/>
    <n v="2.56"/>
    <n v="0.1"/>
    <s v="high"/>
    <n v="4"/>
    <n v="3"/>
    <n v="1"/>
    <n v="1"/>
    <m/>
  </r>
  <r>
    <n v="18"/>
    <x v="1"/>
    <n v="2.9"/>
    <s v="Instagram"/>
    <n v="8.4"/>
    <n v="2.6"/>
    <n v="2.57"/>
    <n v="1.8"/>
    <s v="medium"/>
    <n v="4"/>
    <n v="1"/>
    <n v="3"/>
    <n v="1"/>
    <m/>
  </r>
  <r>
    <n v="13"/>
    <x v="0"/>
    <n v="7.9"/>
    <s v="Instagram"/>
    <n v="8.8000000000000007"/>
    <n v="2.2999999999999998"/>
    <n v="3.39"/>
    <n v="0.5"/>
    <s v="low"/>
    <n v="1"/>
    <n v="9"/>
    <n v="3"/>
    <n v="1"/>
    <m/>
  </r>
  <r>
    <n v="19"/>
    <x v="0"/>
    <n v="4.8"/>
    <s v="TikTok"/>
    <n v="5"/>
    <n v="2.6"/>
    <n v="3.25"/>
    <n v="1.6"/>
    <s v="low"/>
    <n v="4"/>
    <n v="6"/>
    <n v="1"/>
    <n v="1"/>
    <m/>
  </r>
  <r>
    <n v="13"/>
    <x v="1"/>
    <n v="3"/>
    <s v="Both"/>
    <n v="6"/>
    <n v="1"/>
    <n v="2.63"/>
    <n v="0.1"/>
    <s v="low"/>
    <n v="5"/>
    <n v="10"/>
    <n v="9"/>
    <n v="1"/>
    <m/>
  </r>
  <r>
    <n v="14"/>
    <x v="1"/>
    <n v="4.0999999999999996"/>
    <s v="Both"/>
    <n v="6.4"/>
    <n v="2"/>
    <n v="3.69"/>
    <n v="1.5"/>
    <s v="medium"/>
    <n v="7"/>
    <n v="7"/>
    <n v="9"/>
    <n v="1"/>
    <m/>
  </r>
  <r>
    <n v="19"/>
    <x v="0"/>
    <n v="6.9"/>
    <s v="Instagram"/>
    <n v="5"/>
    <n v="1.2"/>
    <n v="2.56"/>
    <n v="1.6"/>
    <s v="high"/>
    <n v="3"/>
    <n v="10"/>
    <n v="8"/>
    <n v="1"/>
    <m/>
  </r>
  <r>
    <n v="17"/>
    <x v="1"/>
    <n v="3.2"/>
    <s v="Instagram"/>
    <n v="6.2"/>
    <n v="2.2000000000000002"/>
    <n v="2.96"/>
    <n v="1.6"/>
    <s v="low"/>
    <n v="8"/>
    <n v="10"/>
    <n v="9"/>
    <n v="1"/>
    <m/>
  </r>
  <r>
    <n v="18"/>
    <x v="1"/>
    <n v="1.3"/>
    <s v="Both"/>
    <n v="4.9000000000000004"/>
    <n v="0.9"/>
    <n v="3.86"/>
    <n v="0"/>
    <s v="medium"/>
    <n v="4"/>
    <n v="9"/>
    <n v="8"/>
    <n v="1"/>
    <m/>
  </r>
  <r>
    <n v="15"/>
    <x v="1"/>
    <n v="4.2"/>
    <s v="TikTok"/>
    <n v="6.8"/>
    <n v="1.1000000000000001"/>
    <n v="3.37"/>
    <n v="0.7"/>
    <s v="high"/>
    <n v="3"/>
    <n v="6"/>
    <n v="8"/>
    <n v="1"/>
    <m/>
  </r>
  <r>
    <n v="19"/>
    <x v="0"/>
    <n v="6.6"/>
    <s v="Both"/>
    <n v="6"/>
    <n v="2.1"/>
    <n v="2.84"/>
    <n v="1.5"/>
    <s v="low"/>
    <n v="9"/>
    <n v="4"/>
    <n v="5"/>
    <n v="1"/>
    <m/>
  </r>
  <r>
    <n v="13"/>
    <x v="0"/>
    <n v="7.5"/>
    <s v="TikTok"/>
    <n v="4.8"/>
    <n v="0.7"/>
    <n v="2.91"/>
    <n v="2"/>
    <s v="high"/>
    <n v="10"/>
    <n v="9"/>
    <n v="1"/>
    <n v="1"/>
    <m/>
  </r>
  <r>
    <n v="15"/>
    <x v="0"/>
    <n v="7"/>
    <s v="Both"/>
    <n v="8.6999999999999993"/>
    <n v="3"/>
    <n v="2.84"/>
    <n v="1.4"/>
    <s v="medium"/>
    <n v="5"/>
    <n v="3"/>
    <n v="2"/>
    <n v="1"/>
    <m/>
  </r>
  <r>
    <n v="15"/>
    <x v="1"/>
    <n v="6.7"/>
    <s v="Both"/>
    <n v="5"/>
    <n v="0.6"/>
    <n v="2.75"/>
    <n v="1.5"/>
    <s v="medium"/>
    <n v="7"/>
    <n v="4"/>
    <n v="8"/>
    <n v="1"/>
    <m/>
  </r>
  <r>
    <n v="15"/>
    <x v="1"/>
    <n v="2.2999999999999998"/>
    <s v="Instagram"/>
    <n v="5.6"/>
    <n v="2.9"/>
    <n v="2.72"/>
    <n v="1"/>
    <s v="high"/>
    <n v="6"/>
    <n v="6"/>
    <n v="2"/>
    <n v="1"/>
    <m/>
  </r>
  <r>
    <n v="14"/>
    <x v="0"/>
    <n v="5.3"/>
    <s v="Both"/>
    <n v="9"/>
    <n v="2.8"/>
    <n v="3.1"/>
    <n v="1.6"/>
    <s v="high"/>
    <n v="10"/>
    <n v="7"/>
    <n v="6"/>
    <n v="1"/>
    <m/>
  </r>
  <r>
    <n v="13"/>
    <x v="1"/>
    <n v="2.7"/>
    <s v="TikTok"/>
    <n v="6.5"/>
    <n v="1.5"/>
    <n v="2.58"/>
    <n v="0.4"/>
    <s v="high"/>
    <n v="1"/>
    <n v="1"/>
    <n v="6"/>
    <n v="1"/>
    <m/>
  </r>
  <r>
    <n v="13"/>
    <x v="0"/>
    <n v="5.4"/>
    <s v="Instagram"/>
    <n v="7.8"/>
    <n v="1.8"/>
    <n v="3.46"/>
    <n v="1"/>
    <s v="high"/>
    <n v="4"/>
    <n v="7"/>
    <n v="7"/>
    <n v="1"/>
    <m/>
  </r>
  <r>
    <n v="17"/>
    <x v="0"/>
    <n v="7.2"/>
    <s v="Instagram"/>
    <n v="8"/>
    <n v="1.9"/>
    <n v="2.66"/>
    <n v="1.4"/>
    <s v="medium"/>
    <n v="5"/>
    <n v="8"/>
    <n v="6"/>
    <n v="1"/>
    <m/>
  </r>
  <r>
    <n v="19"/>
    <x v="0"/>
    <n v="1.5"/>
    <s v="TikTok"/>
    <n v="6.8"/>
    <n v="2.5"/>
    <n v="2.13"/>
    <n v="0.2"/>
    <s v="medium"/>
    <n v="9"/>
    <n v="8"/>
    <n v="10"/>
    <n v="1"/>
    <m/>
  </r>
  <r>
    <n v="13"/>
    <x v="0"/>
    <n v="4"/>
    <s v="Both"/>
    <n v="4.2"/>
    <n v="0.5"/>
    <n v="2.46"/>
    <n v="0.6"/>
    <s v="low"/>
    <n v="2"/>
    <n v="9"/>
    <n v="9"/>
    <n v="1"/>
    <m/>
  </r>
  <r>
    <n v="15"/>
    <x v="1"/>
    <n v="4.2"/>
    <s v="Both"/>
    <n v="7.1"/>
    <n v="2.1"/>
    <n v="2.21"/>
    <n v="1.8"/>
    <s v="medium"/>
    <n v="4"/>
    <n v="1"/>
    <n v="3"/>
    <n v="1"/>
    <m/>
  </r>
  <r>
    <n v="19"/>
    <x v="0"/>
    <n v="1.8"/>
    <s v="TikTok"/>
    <n v="7.7"/>
    <n v="2.2000000000000002"/>
    <n v="3.77"/>
    <n v="0.3"/>
    <s v="medium"/>
    <n v="4"/>
    <n v="6"/>
    <n v="7"/>
    <n v="1"/>
    <m/>
  </r>
  <r>
    <n v="17"/>
    <x v="1"/>
    <n v="3.3"/>
    <s v="Instagram"/>
    <n v="8.6"/>
    <n v="1.1000000000000001"/>
    <n v="2.62"/>
    <n v="0.4"/>
    <s v="low"/>
    <n v="4"/>
    <n v="7"/>
    <n v="9"/>
    <n v="1"/>
    <m/>
  </r>
  <r>
    <n v="14"/>
    <x v="1"/>
    <n v="1"/>
    <s v="Both"/>
    <n v="6.6"/>
    <n v="1.4"/>
    <n v="2.02"/>
    <n v="1.9"/>
    <s v="low"/>
    <n v="6"/>
    <n v="5"/>
    <n v="5"/>
    <n v="1"/>
    <m/>
  </r>
  <r>
    <n v="13"/>
    <x v="1"/>
    <n v="1.2"/>
    <s v="TikTok"/>
    <n v="8"/>
    <n v="2.8"/>
    <n v="2.1800000000000002"/>
    <n v="1.1000000000000001"/>
    <s v="high"/>
    <n v="5"/>
    <n v="8"/>
    <n v="5"/>
    <n v="1"/>
    <m/>
  </r>
  <r>
    <n v="19"/>
    <x v="0"/>
    <n v="2"/>
    <s v="Instagram"/>
    <n v="4.0999999999999996"/>
    <n v="1.3"/>
    <n v="3.71"/>
    <n v="1.6"/>
    <s v="low"/>
    <n v="7"/>
    <n v="7"/>
    <n v="8"/>
    <n v="1"/>
    <m/>
  </r>
  <r>
    <n v="13"/>
    <x v="1"/>
    <n v="7.1"/>
    <s v="Both"/>
    <n v="6.5"/>
    <n v="1.6"/>
    <n v="2.0299999999999998"/>
    <n v="0.3"/>
    <s v="medium"/>
    <n v="1"/>
    <n v="10"/>
    <n v="6"/>
    <n v="1"/>
    <m/>
  </r>
  <r>
    <n v="15"/>
    <x v="1"/>
    <n v="5.5"/>
    <s v="TikTok"/>
    <n v="7.8"/>
    <n v="1.5"/>
    <n v="2.79"/>
    <n v="0.7"/>
    <s v="high"/>
    <n v="9"/>
    <n v="10"/>
    <n v="7"/>
    <n v="1"/>
    <m/>
  </r>
  <r>
    <n v="17"/>
    <x v="0"/>
    <n v="7.7"/>
    <s v="TikTok"/>
    <n v="4.7"/>
    <n v="2.8"/>
    <n v="3.5"/>
    <n v="1.5"/>
    <s v="low"/>
    <n v="8"/>
    <n v="4"/>
    <n v="8"/>
    <n v="1"/>
    <m/>
  </r>
  <r>
    <n v="17"/>
    <x v="1"/>
    <n v="7.6"/>
    <s v="Instagram"/>
    <n v="5.9"/>
    <n v="2"/>
    <n v="2.52"/>
    <n v="1.5"/>
    <s v="medium"/>
    <n v="1"/>
    <n v="5"/>
    <n v="1"/>
    <n v="1"/>
    <m/>
  </r>
  <r>
    <n v="13"/>
    <x v="0"/>
    <n v="8"/>
    <s v="Instagram"/>
    <n v="6.9"/>
    <n v="2.5"/>
    <n v="2.4500000000000002"/>
    <n v="1.7"/>
    <s v="medium"/>
    <n v="10"/>
    <n v="1"/>
    <n v="3"/>
    <n v="1"/>
    <m/>
  </r>
  <r>
    <n v="16"/>
    <x v="1"/>
    <n v="4.3"/>
    <s v="Instagram"/>
    <n v="6"/>
    <n v="1.4"/>
    <n v="2.98"/>
    <n v="1.7"/>
    <s v="low"/>
    <n v="8"/>
    <n v="7"/>
    <n v="4"/>
    <n v="1"/>
    <m/>
  </r>
  <r>
    <n v="13"/>
    <x v="0"/>
    <n v="3.8"/>
    <s v="Both"/>
    <n v="5.3"/>
    <n v="2.5"/>
    <n v="3.48"/>
    <n v="1"/>
    <s v="low"/>
    <n v="6"/>
    <n v="7"/>
    <n v="7"/>
    <n v="1"/>
    <m/>
  </r>
  <r>
    <n v="16"/>
    <x v="1"/>
    <n v="2.9"/>
    <s v="TikTok"/>
    <n v="6.3"/>
    <n v="3"/>
    <n v="2.6"/>
    <n v="0.4"/>
    <s v="medium"/>
    <n v="9"/>
    <n v="7"/>
    <n v="3"/>
    <n v="1"/>
    <m/>
  </r>
  <r>
    <n v="13"/>
    <x v="1"/>
    <n v="5.3"/>
    <s v="TikTok"/>
    <n v="6.5"/>
    <n v="1.1000000000000001"/>
    <n v="3.48"/>
    <n v="1.8"/>
    <s v="low"/>
    <n v="9"/>
    <n v="5"/>
    <n v="4"/>
    <n v="1"/>
    <m/>
  </r>
  <r>
    <n v="15"/>
    <x v="1"/>
    <n v="5.7"/>
    <s v="Instagram"/>
    <n v="7.5"/>
    <n v="2.4"/>
    <n v="2.84"/>
    <n v="1.3"/>
    <s v="medium"/>
    <n v="10"/>
    <n v="10"/>
    <n v="2"/>
    <n v="1"/>
    <m/>
  </r>
  <r>
    <n v="18"/>
    <x v="1"/>
    <n v="2.8"/>
    <s v="Instagram"/>
    <n v="7.4"/>
    <n v="1"/>
    <n v="3.73"/>
    <n v="1.9"/>
    <s v="low"/>
    <n v="7"/>
    <n v="3"/>
    <n v="6"/>
    <n v="1"/>
    <m/>
  </r>
  <r>
    <n v="15"/>
    <x v="0"/>
    <n v="2.8"/>
    <s v="TikTok"/>
    <n v="6.1"/>
    <n v="2.9"/>
    <n v="2.98"/>
    <n v="1.8"/>
    <s v="medium"/>
    <n v="6"/>
    <n v="3"/>
    <n v="7"/>
    <n v="1"/>
    <m/>
  </r>
  <r>
    <n v="13"/>
    <x v="1"/>
    <n v="1.1000000000000001"/>
    <s v="Instagram"/>
    <n v="7"/>
    <n v="1.9"/>
    <n v="4"/>
    <n v="0.9"/>
    <s v="medium"/>
    <n v="2"/>
    <n v="9"/>
    <n v="6"/>
    <n v="1"/>
    <m/>
  </r>
  <r>
    <n v="14"/>
    <x v="1"/>
    <n v="2"/>
    <s v="Both"/>
    <n v="5"/>
    <n v="2.6"/>
    <n v="2.71"/>
    <n v="2"/>
    <s v="low"/>
    <n v="5"/>
    <n v="4"/>
    <n v="3"/>
    <n v="1"/>
    <m/>
  </r>
  <r>
    <n v="16"/>
    <x v="1"/>
    <n v="6.5"/>
    <s v="TikTok"/>
    <n v="5.3"/>
    <n v="1.8"/>
    <n v="2.29"/>
    <n v="0.2"/>
    <s v="high"/>
    <n v="4"/>
    <n v="10"/>
    <n v="2"/>
    <n v="1"/>
    <m/>
  </r>
  <r>
    <n v="16"/>
    <x v="1"/>
    <n v="7.5"/>
    <s v="TikTok"/>
    <n v="7.8"/>
    <n v="1.3"/>
    <n v="2.73"/>
    <n v="1.5"/>
    <s v="medium"/>
    <n v="4"/>
    <n v="5"/>
    <n v="8"/>
    <n v="1"/>
    <m/>
  </r>
  <r>
    <n v="16"/>
    <x v="1"/>
    <n v="3.1"/>
    <s v="Instagram"/>
    <n v="7.9"/>
    <n v="1.2"/>
    <n v="2.85"/>
    <n v="0.7"/>
    <s v="high"/>
    <n v="2"/>
    <n v="2"/>
    <n v="5"/>
    <n v="1"/>
    <m/>
  </r>
  <r>
    <n v="19"/>
    <x v="0"/>
    <n v="5.9"/>
    <s v="Both"/>
    <n v="7"/>
    <n v="2.2999999999999998"/>
    <n v="3"/>
    <n v="1.6"/>
    <s v="low"/>
    <n v="3"/>
    <n v="5"/>
    <n v="10"/>
    <n v="1"/>
    <m/>
  </r>
  <r>
    <n v="15"/>
    <x v="0"/>
    <n v="7.9"/>
    <s v="TikTok"/>
    <n v="4.0999999999999996"/>
    <n v="0.7"/>
    <n v="2.33"/>
    <n v="1.2"/>
    <s v="medium"/>
    <n v="3"/>
    <n v="8"/>
    <n v="1"/>
    <n v="1"/>
    <m/>
  </r>
  <r>
    <n v="15"/>
    <x v="0"/>
    <n v="5.0999999999999996"/>
    <s v="Instagram"/>
    <n v="7.4"/>
    <n v="0.7"/>
    <n v="2.64"/>
    <n v="0.2"/>
    <s v="medium"/>
    <n v="5"/>
    <n v="8"/>
    <n v="1"/>
    <n v="1"/>
    <m/>
  </r>
  <r>
    <n v="16"/>
    <x v="0"/>
    <n v="1.9"/>
    <s v="Both"/>
    <n v="5.8"/>
    <n v="2.1"/>
    <n v="2.27"/>
    <n v="0.6"/>
    <s v="medium"/>
    <n v="3"/>
    <n v="3"/>
    <n v="2"/>
    <n v="1"/>
    <m/>
  </r>
  <r>
    <n v="17"/>
    <x v="0"/>
    <n v="8"/>
    <s v="Instagram"/>
    <n v="8.6999999999999993"/>
    <n v="1.5"/>
    <n v="3.7"/>
    <n v="2"/>
    <s v="high"/>
    <n v="10"/>
    <n v="9"/>
    <n v="5"/>
    <n v="1"/>
    <m/>
  </r>
  <r>
    <n v="19"/>
    <x v="0"/>
    <n v="2.9"/>
    <s v="Both"/>
    <n v="4"/>
    <n v="0.5"/>
    <n v="3.16"/>
    <n v="0.2"/>
    <s v="high"/>
    <n v="7"/>
    <n v="6"/>
    <n v="3"/>
    <n v="1"/>
    <m/>
  </r>
  <r>
    <n v="14"/>
    <x v="0"/>
    <n v="4.3"/>
    <s v="Instagram"/>
    <n v="8.4"/>
    <n v="0.9"/>
    <n v="3.2"/>
    <n v="1.6"/>
    <s v="high"/>
    <n v="10"/>
    <n v="10"/>
    <n v="1"/>
    <n v="1"/>
    <m/>
  </r>
  <r>
    <n v="16"/>
    <x v="0"/>
    <n v="1.1000000000000001"/>
    <s v="Instagram"/>
    <n v="6.4"/>
    <n v="3"/>
    <n v="2.5099999999999998"/>
    <n v="0.1"/>
    <s v="medium"/>
    <n v="8"/>
    <n v="6"/>
    <n v="9"/>
    <n v="1"/>
    <m/>
  </r>
  <r>
    <n v="16"/>
    <x v="0"/>
    <n v="4.9000000000000004"/>
    <s v="Instagram"/>
    <n v="5.7"/>
    <n v="1.2"/>
    <n v="2.0699999999999998"/>
    <n v="0.1"/>
    <s v="medium"/>
    <n v="8"/>
    <n v="2"/>
    <n v="1"/>
    <n v="1"/>
    <m/>
  </r>
  <r>
    <n v="14"/>
    <x v="0"/>
    <n v="6.1"/>
    <s v="Both"/>
    <n v="7.6"/>
    <n v="1.4"/>
    <n v="2.72"/>
    <n v="0.9"/>
    <s v="low"/>
    <n v="9"/>
    <n v="3"/>
    <n v="3"/>
    <n v="1"/>
    <m/>
  </r>
  <r>
    <n v="15"/>
    <x v="1"/>
    <n v="2.7"/>
    <s v="Both"/>
    <n v="6.5"/>
    <n v="1.6"/>
    <n v="2.14"/>
    <n v="0.4"/>
    <s v="high"/>
    <n v="6"/>
    <n v="6"/>
    <n v="6"/>
    <n v="1"/>
    <m/>
  </r>
  <r>
    <n v="16"/>
    <x v="1"/>
    <n v="7.8"/>
    <s v="Both"/>
    <n v="7.4"/>
    <n v="0.7"/>
    <n v="2.54"/>
    <n v="1.2"/>
    <s v="medium"/>
    <n v="10"/>
    <n v="4"/>
    <n v="9"/>
    <n v="1"/>
    <m/>
  </r>
  <r>
    <n v="18"/>
    <x v="0"/>
    <n v="4.2"/>
    <s v="TikTok"/>
    <n v="6.5"/>
    <n v="1.4"/>
    <n v="2.91"/>
    <n v="1.5"/>
    <s v="low"/>
    <n v="5"/>
    <n v="6"/>
    <n v="4"/>
    <n v="1"/>
    <m/>
  </r>
  <r>
    <n v="13"/>
    <x v="1"/>
    <n v="4.4000000000000004"/>
    <s v="Instagram"/>
    <n v="5.5"/>
    <n v="2.7"/>
    <n v="3.17"/>
    <n v="0.3"/>
    <s v="low"/>
    <n v="5"/>
    <n v="1"/>
    <n v="5"/>
    <n v="1"/>
    <m/>
  </r>
  <r>
    <n v="13"/>
    <x v="1"/>
    <n v="1.4"/>
    <s v="Both"/>
    <n v="7.8"/>
    <n v="0.6"/>
    <n v="3.42"/>
    <n v="1.6"/>
    <s v="medium"/>
    <n v="10"/>
    <n v="4"/>
    <n v="6"/>
    <n v="1"/>
    <m/>
  </r>
  <r>
    <n v="17"/>
    <x v="0"/>
    <n v="3.7"/>
    <s v="TikTok"/>
    <n v="7.2"/>
    <n v="0.6"/>
    <n v="3.34"/>
    <n v="1.8"/>
    <s v="high"/>
    <n v="2"/>
    <n v="6"/>
    <n v="2"/>
    <n v="1"/>
    <m/>
  </r>
  <r>
    <n v="14"/>
    <x v="0"/>
    <n v="3.8"/>
    <s v="Instagram"/>
    <n v="8.9"/>
    <n v="1.9"/>
    <n v="2.77"/>
    <n v="0.2"/>
    <s v="medium"/>
    <n v="6"/>
    <n v="2"/>
    <n v="2"/>
    <n v="1"/>
    <m/>
  </r>
  <r>
    <n v="15"/>
    <x v="1"/>
    <n v="5.4"/>
    <s v="TikTok"/>
    <n v="7"/>
    <n v="1.8"/>
    <n v="2.54"/>
    <n v="0.1"/>
    <s v="low"/>
    <n v="1"/>
    <n v="4"/>
    <n v="4"/>
    <n v="1"/>
    <m/>
  </r>
  <r>
    <n v="17"/>
    <x v="0"/>
    <n v="4"/>
    <s v="Both"/>
    <n v="4.3"/>
    <n v="1.8"/>
    <n v="2.17"/>
    <n v="0.9"/>
    <s v="high"/>
    <n v="8"/>
    <n v="8"/>
    <n v="3"/>
    <n v="1"/>
    <m/>
  </r>
  <r>
    <n v="19"/>
    <x v="0"/>
    <n v="3.5"/>
    <s v="TikTok"/>
    <n v="5.8"/>
    <n v="1.8"/>
    <n v="3.3"/>
    <n v="0.9"/>
    <s v="low"/>
    <n v="7"/>
    <n v="6"/>
    <n v="9"/>
    <n v="1"/>
    <m/>
  </r>
  <r>
    <n v="17"/>
    <x v="0"/>
    <n v="1.3"/>
    <s v="Both"/>
    <n v="8.3000000000000007"/>
    <n v="1"/>
    <n v="3.95"/>
    <n v="1.2"/>
    <s v="medium"/>
    <n v="4"/>
    <n v="1"/>
    <n v="1"/>
    <n v="1"/>
    <m/>
  </r>
  <r>
    <n v="14"/>
    <x v="0"/>
    <n v="5.6"/>
    <s v="Instagram"/>
    <n v="8.8000000000000007"/>
    <n v="0.9"/>
    <n v="3.03"/>
    <n v="2"/>
    <s v="low"/>
    <n v="8"/>
    <n v="10"/>
    <n v="3"/>
    <n v="1"/>
    <m/>
  </r>
  <r>
    <n v="13"/>
    <x v="1"/>
    <n v="2.4"/>
    <s v="Instagram"/>
    <n v="5.5"/>
    <n v="0.6"/>
    <n v="3.56"/>
    <n v="1.6"/>
    <s v="medium"/>
    <n v="4"/>
    <n v="8"/>
    <n v="7"/>
    <n v="1"/>
    <m/>
  </r>
  <r>
    <n v="16"/>
    <x v="0"/>
    <n v="2"/>
    <s v="Both"/>
    <n v="7.8"/>
    <n v="2.8"/>
    <n v="2.1"/>
    <n v="0.6"/>
    <s v="medium"/>
    <n v="2"/>
    <n v="6"/>
    <n v="8"/>
    <n v="1"/>
    <m/>
  </r>
  <r>
    <n v="15"/>
    <x v="0"/>
    <n v="6.6"/>
    <s v="Instagram"/>
    <n v="8.6"/>
    <n v="1.5"/>
    <n v="2.63"/>
    <n v="1.1000000000000001"/>
    <s v="low"/>
    <n v="1"/>
    <n v="9"/>
    <n v="9"/>
    <n v="1"/>
    <m/>
  </r>
  <r>
    <n v="17"/>
    <x v="1"/>
    <n v="2.2999999999999998"/>
    <s v="TikTok"/>
    <n v="6.4"/>
    <n v="2.4"/>
    <n v="3.61"/>
    <n v="0.6"/>
    <s v="medium"/>
    <n v="2"/>
    <n v="1"/>
    <n v="1"/>
    <n v="1"/>
    <m/>
  </r>
  <r>
    <n v="16"/>
    <x v="0"/>
    <n v="6.4"/>
    <s v="TikTok"/>
    <n v="5.4"/>
    <n v="1.4"/>
    <n v="2.42"/>
    <n v="1.9"/>
    <s v="medium"/>
    <n v="4"/>
    <n v="9"/>
    <n v="5"/>
    <n v="1"/>
    <m/>
  </r>
  <r>
    <n v="18"/>
    <x v="1"/>
    <n v="3.5"/>
    <s v="Both"/>
    <n v="5.9"/>
    <n v="1.3"/>
    <n v="3.68"/>
    <n v="2"/>
    <s v="medium"/>
    <n v="7"/>
    <n v="4"/>
    <n v="10"/>
    <n v="1"/>
    <m/>
  </r>
  <r>
    <n v="18"/>
    <x v="1"/>
    <n v="1.7"/>
    <s v="Instagram"/>
    <n v="8.5"/>
    <n v="1"/>
    <n v="3.32"/>
    <n v="1.3"/>
    <s v="medium"/>
    <n v="1"/>
    <n v="1"/>
    <n v="7"/>
    <n v="1"/>
    <m/>
  </r>
  <r>
    <n v="14"/>
    <x v="0"/>
    <n v="4.0999999999999996"/>
    <s v="Instagram"/>
    <n v="8.1999999999999993"/>
    <n v="1.7"/>
    <n v="2.3199999999999998"/>
    <n v="1.4"/>
    <s v="high"/>
    <n v="9"/>
    <n v="2"/>
    <n v="4"/>
    <n v="1"/>
    <m/>
  </r>
  <r>
    <n v="14"/>
    <x v="0"/>
    <n v="3.3"/>
    <s v="Instagram"/>
    <n v="6.5"/>
    <n v="0.8"/>
    <n v="2.54"/>
    <n v="0.8"/>
    <s v="low"/>
    <n v="1"/>
    <n v="2"/>
    <n v="3"/>
    <n v="1"/>
    <m/>
  </r>
  <r>
    <n v="14"/>
    <x v="1"/>
    <n v="5"/>
    <s v="TikTok"/>
    <n v="4.9000000000000004"/>
    <n v="2.6"/>
    <n v="3.82"/>
    <n v="1.9"/>
    <s v="medium"/>
    <n v="3"/>
    <n v="10"/>
    <n v="10"/>
    <n v="1"/>
    <m/>
  </r>
  <r>
    <n v="19"/>
    <x v="1"/>
    <n v="1.5"/>
    <s v="Instagram"/>
    <n v="8.4"/>
    <n v="3"/>
    <n v="2.46"/>
    <n v="1.5"/>
    <s v="high"/>
    <n v="1"/>
    <n v="7"/>
    <n v="6"/>
    <n v="1"/>
    <m/>
  </r>
  <r>
    <n v="17"/>
    <x v="1"/>
    <n v="3.3"/>
    <s v="TikTok"/>
    <n v="8.4"/>
    <n v="2.1"/>
    <n v="3.4"/>
    <n v="0.2"/>
    <s v="high"/>
    <n v="1"/>
    <n v="3"/>
    <n v="10"/>
    <n v="1"/>
    <m/>
  </r>
  <r>
    <n v="13"/>
    <x v="0"/>
    <n v="6.4"/>
    <s v="Both"/>
    <n v="4.0999999999999996"/>
    <n v="1.3"/>
    <n v="2.77"/>
    <n v="1.3"/>
    <s v="low"/>
    <n v="10"/>
    <n v="6"/>
    <n v="1"/>
    <n v="1"/>
    <m/>
  </r>
  <r>
    <n v="17"/>
    <x v="1"/>
    <n v="8"/>
    <s v="Instagram"/>
    <n v="8.1"/>
    <n v="1.2"/>
    <n v="2.13"/>
    <n v="1"/>
    <s v="low"/>
    <n v="1"/>
    <n v="8"/>
    <n v="7"/>
    <n v="1"/>
    <m/>
  </r>
  <r>
    <n v="16"/>
    <x v="1"/>
    <n v="1"/>
    <s v="Both"/>
    <n v="4.0999999999999996"/>
    <n v="1.3"/>
    <n v="2.2200000000000002"/>
    <n v="0.4"/>
    <s v="low"/>
    <n v="2"/>
    <n v="1"/>
    <n v="8"/>
    <n v="1"/>
    <m/>
  </r>
  <r>
    <n v="18"/>
    <x v="1"/>
    <n v="4.2"/>
    <s v="Instagram"/>
    <n v="5.4"/>
    <n v="1.1000000000000001"/>
    <n v="2.31"/>
    <n v="0.3"/>
    <s v="low"/>
    <n v="4"/>
    <n v="9"/>
    <n v="1"/>
    <n v="1"/>
    <m/>
  </r>
  <r>
    <n v="18"/>
    <x v="1"/>
    <n v="4.5999999999999996"/>
    <s v="TikTok"/>
    <n v="7.3"/>
    <n v="2.8"/>
    <n v="3.22"/>
    <n v="0.6"/>
    <s v="high"/>
    <n v="1"/>
    <n v="3"/>
    <n v="6"/>
    <n v="0"/>
    <m/>
  </r>
  <r>
    <n v="17"/>
    <x v="1"/>
    <n v="2.8"/>
    <s v="Both"/>
    <n v="6.2"/>
    <n v="2.4"/>
    <n v="2.58"/>
    <n v="0.4"/>
    <s v="high"/>
    <n v="4"/>
    <n v="10"/>
    <n v="9"/>
    <n v="0"/>
    <m/>
  </r>
  <r>
    <n v="16"/>
    <x v="1"/>
    <n v="6.3"/>
    <s v="Instagram"/>
    <n v="6.9"/>
    <n v="1.3"/>
    <n v="2.15"/>
    <n v="1.4"/>
    <s v="low"/>
    <n v="9"/>
    <n v="2"/>
    <n v="10"/>
    <n v="0"/>
    <m/>
  </r>
  <r>
    <n v="17"/>
    <x v="1"/>
    <n v="7.2"/>
    <s v="TikTok"/>
    <n v="7"/>
    <n v="1.3"/>
    <n v="3.86"/>
    <n v="0.9"/>
    <s v="low"/>
    <n v="7"/>
    <n v="8"/>
    <n v="4"/>
    <n v="0"/>
    <m/>
  </r>
  <r>
    <n v="13"/>
    <x v="0"/>
    <n v="4.5"/>
    <s v="Both"/>
    <n v="6.7"/>
    <n v="2.2000000000000002"/>
    <n v="3.73"/>
    <n v="0.3"/>
    <s v="low"/>
    <n v="3"/>
    <n v="5"/>
    <n v="10"/>
    <n v="0"/>
    <m/>
  </r>
  <r>
    <n v="18"/>
    <x v="0"/>
    <n v="5.3"/>
    <s v="Both"/>
    <n v="5.0999999999999996"/>
    <n v="1.2"/>
    <n v="3.32"/>
    <n v="1.8"/>
    <s v="low"/>
    <n v="7"/>
    <n v="3"/>
    <n v="8"/>
    <n v="0"/>
    <m/>
  </r>
  <r>
    <n v="13"/>
    <x v="0"/>
    <n v="5.2"/>
    <s v="TikTok"/>
    <n v="6.7"/>
    <n v="2.5"/>
    <n v="3.82"/>
    <n v="0.9"/>
    <s v="medium"/>
    <n v="8"/>
    <n v="8"/>
    <n v="6"/>
    <n v="1"/>
    <m/>
  </r>
  <r>
    <n v="13"/>
    <x v="0"/>
    <n v="7.9"/>
    <s v="TikTok"/>
    <n v="6"/>
    <n v="2.7"/>
    <n v="2.85"/>
    <n v="0.3"/>
    <s v="low"/>
    <n v="9"/>
    <n v="10"/>
    <n v="3"/>
    <n v="1"/>
    <m/>
  </r>
  <r>
    <n v="19"/>
    <x v="0"/>
    <n v="6.9"/>
    <s v="TikTok"/>
    <n v="8.5"/>
    <n v="1.5"/>
    <n v="3.55"/>
    <n v="1.3"/>
    <s v="low"/>
    <n v="5"/>
    <n v="6"/>
    <n v="1"/>
    <n v="1"/>
    <m/>
  </r>
  <r>
    <n v="17"/>
    <x v="1"/>
    <n v="5.8"/>
    <s v="Instagram"/>
    <n v="4.0999999999999996"/>
    <n v="2.9"/>
    <n v="2.33"/>
    <n v="0.4"/>
    <s v="high"/>
    <n v="9"/>
    <n v="6"/>
    <n v="8"/>
    <n v="1"/>
    <m/>
  </r>
  <r>
    <n v="19"/>
    <x v="0"/>
    <n v="7"/>
    <s v="Instagram"/>
    <n v="8.3000000000000007"/>
    <n v="2.1"/>
    <n v="3.09"/>
    <n v="1.5"/>
    <s v="low"/>
    <n v="9"/>
    <n v="7"/>
    <n v="3"/>
    <n v="1"/>
    <m/>
  </r>
  <r>
    <n v="14"/>
    <x v="1"/>
    <n v="3"/>
    <s v="TikTok"/>
    <n v="8.3000000000000007"/>
    <n v="2.7"/>
    <n v="3.9"/>
    <n v="0.7"/>
    <s v="high"/>
    <n v="3"/>
    <n v="1"/>
    <n v="5"/>
    <n v="-1"/>
    <m/>
  </r>
  <r>
    <n v="18"/>
    <x v="0"/>
    <n v="6.3"/>
    <s v="Both"/>
    <n v="7.9"/>
    <n v="1.7"/>
    <n v="2.85"/>
    <n v="0.3"/>
    <s v="medium"/>
    <n v="1"/>
    <n v="1"/>
    <n v="2"/>
    <n v="-1"/>
    <m/>
  </r>
  <r>
    <n v="17"/>
    <x v="1"/>
    <n v="5.5"/>
    <s v="Instagram"/>
    <n v="4.9000000000000004"/>
    <n v="2.6"/>
    <n v="3.64"/>
    <n v="0.8"/>
    <s v="medium"/>
    <n v="6"/>
    <n v="8"/>
    <n v="3"/>
    <n v="-1"/>
    <m/>
  </r>
  <r>
    <n v="17"/>
    <x v="1"/>
    <n v="2.2000000000000002"/>
    <s v="Both"/>
    <n v="7.5"/>
    <n v="2.2000000000000002"/>
    <n v="2.95"/>
    <n v="1.6"/>
    <s v="low"/>
    <n v="9"/>
    <n v="7"/>
    <n v="4"/>
    <n v="-1"/>
    <m/>
  </r>
  <r>
    <n v="14"/>
    <x v="0"/>
    <n v="1.4"/>
    <s v="Both"/>
    <n v="4.5"/>
    <n v="1.4"/>
    <n v="3.17"/>
    <n v="1.7"/>
    <s v="high"/>
    <n v="9"/>
    <n v="10"/>
    <n v="9"/>
    <n v="-1"/>
    <m/>
  </r>
  <r>
    <n v="18"/>
    <x v="0"/>
    <n v="4.5"/>
    <s v="Instagram"/>
    <n v="4.4000000000000004"/>
    <n v="1.9"/>
    <n v="2.2599999999999998"/>
    <n v="0"/>
    <s v="low"/>
    <n v="7"/>
    <n v="8"/>
    <n v="10"/>
    <n v="-1"/>
    <m/>
  </r>
  <r>
    <n v="14"/>
    <x v="1"/>
    <n v="6.1"/>
    <s v="Instagram"/>
    <n v="5.7"/>
    <n v="2"/>
    <n v="3.9"/>
    <n v="1"/>
    <s v="low"/>
    <n v="8"/>
    <n v="4"/>
    <n v="6"/>
    <n v="1"/>
    <m/>
  </r>
  <r>
    <n v="17"/>
    <x v="0"/>
    <n v="3.3"/>
    <s v="TikTok"/>
    <n v="5.7"/>
    <n v="2"/>
    <n v="3.71"/>
    <n v="0.1"/>
    <s v="low"/>
    <n v="6"/>
    <n v="6"/>
    <n v="8"/>
    <n v="1"/>
    <m/>
  </r>
  <r>
    <n v="15"/>
    <x v="0"/>
    <n v="5.2"/>
    <s v="Both"/>
    <n v="5.6"/>
    <n v="1.1000000000000001"/>
    <n v="2.88"/>
    <n v="0.1"/>
    <s v="medium"/>
    <n v="4"/>
    <n v="8"/>
    <n v="7"/>
    <n v="1"/>
    <m/>
  </r>
  <r>
    <n v="18"/>
    <x v="0"/>
    <n v="5"/>
    <s v="Both"/>
    <n v="5.8"/>
    <n v="1.3"/>
    <n v="2.12"/>
    <n v="0.1"/>
    <s v="low"/>
    <n v="1"/>
    <n v="9"/>
    <n v="2"/>
    <n v="1"/>
    <m/>
  </r>
  <r>
    <n v="17"/>
    <x v="1"/>
    <n v="1.8"/>
    <s v="TikTok"/>
    <n v="5.9"/>
    <n v="1.9"/>
    <n v="2.89"/>
    <n v="0.6"/>
    <s v="low"/>
    <n v="8"/>
    <n v="8"/>
    <n v="5"/>
    <n v="1"/>
    <m/>
  </r>
  <r>
    <n v="13"/>
    <x v="0"/>
    <n v="2.2999999999999998"/>
    <s v="TikTok"/>
    <n v="4.5"/>
    <n v="0.7"/>
    <n v="2.71"/>
    <n v="0.2"/>
    <s v="low"/>
    <n v="6"/>
    <n v="3"/>
    <n v="7"/>
    <n v="1"/>
    <m/>
  </r>
  <r>
    <n v="14"/>
    <x v="0"/>
    <n v="2.7"/>
    <s v="Both"/>
    <n v="6.3"/>
    <n v="0.6"/>
    <n v="3.88"/>
    <n v="0.3"/>
    <s v="medium"/>
    <n v="6"/>
    <n v="6"/>
    <n v="6"/>
    <n v="1"/>
    <m/>
  </r>
  <r>
    <n v="16"/>
    <x v="0"/>
    <n v="7.4"/>
    <s v="TikTok"/>
    <n v="7.5"/>
    <n v="1.7"/>
    <n v="3.16"/>
    <n v="1.8"/>
    <s v="medium"/>
    <n v="2"/>
    <n v="3"/>
    <n v="2"/>
    <n v="1"/>
    <m/>
  </r>
  <r>
    <n v="15"/>
    <x v="0"/>
    <n v="6.2"/>
    <s v="TikTok"/>
    <n v="4.5999999999999996"/>
    <n v="1.1000000000000001"/>
    <n v="2.94"/>
    <n v="1.8"/>
    <s v="high"/>
    <n v="4"/>
    <n v="2"/>
    <n v="3"/>
    <n v="1"/>
    <m/>
  </r>
  <r>
    <n v="16"/>
    <x v="0"/>
    <n v="2.2999999999999998"/>
    <s v="TikTok"/>
    <n v="8.8000000000000007"/>
    <n v="1"/>
    <n v="2.5099999999999998"/>
    <n v="2"/>
    <s v="medium"/>
    <n v="6"/>
    <n v="10"/>
    <n v="10"/>
    <n v="1"/>
    <m/>
  </r>
  <r>
    <n v="18"/>
    <x v="0"/>
    <n v="1.8"/>
    <s v="TikTok"/>
    <n v="5.2"/>
    <n v="1.4"/>
    <n v="2.68"/>
    <n v="0.1"/>
    <s v="high"/>
    <n v="6"/>
    <n v="2"/>
    <n v="10"/>
    <n v="1"/>
    <m/>
  </r>
  <r>
    <n v="16"/>
    <x v="1"/>
    <n v="1.3"/>
    <s v="Instagram"/>
    <n v="4.9000000000000004"/>
    <n v="2.6"/>
    <n v="2.89"/>
    <n v="0.2"/>
    <s v="low"/>
    <n v="2"/>
    <n v="5"/>
    <n v="2"/>
    <n v="1"/>
    <m/>
  </r>
  <r>
    <n v="15"/>
    <x v="0"/>
    <n v="2.1"/>
    <s v="Instagram"/>
    <n v="4.4000000000000004"/>
    <n v="2.1"/>
    <n v="3.43"/>
    <n v="1.9"/>
    <s v="low"/>
    <n v="6"/>
    <n v="6"/>
    <n v="7"/>
    <n v="1"/>
    <m/>
  </r>
  <r>
    <n v="14"/>
    <x v="0"/>
    <n v="3.9"/>
    <s v="Instagram"/>
    <n v="7.7"/>
    <n v="1.4"/>
    <n v="2.86"/>
    <n v="1.7"/>
    <s v="high"/>
    <n v="3"/>
    <n v="5"/>
    <n v="1"/>
    <n v="1"/>
    <m/>
  </r>
  <r>
    <n v="18"/>
    <x v="1"/>
    <n v="3.8"/>
    <s v="Both"/>
    <n v="4.5"/>
    <n v="1.3"/>
    <n v="3.06"/>
    <n v="0.3"/>
    <s v="medium"/>
    <n v="7"/>
    <n v="8"/>
    <n v="1"/>
    <n v="1"/>
    <m/>
  </r>
  <r>
    <n v="15"/>
    <x v="0"/>
    <n v="6.4"/>
    <s v="Instagram"/>
    <n v="7.8"/>
    <n v="0.7"/>
    <n v="2.6"/>
    <n v="0.7"/>
    <s v="high"/>
    <n v="4"/>
    <n v="4"/>
    <n v="2"/>
    <n v="1"/>
    <m/>
  </r>
  <r>
    <n v="19"/>
    <x v="0"/>
    <n v="3.2"/>
    <s v="Instagram"/>
    <n v="6.2"/>
    <n v="2.6"/>
    <n v="3.72"/>
    <n v="1.9"/>
    <s v="high"/>
    <n v="9"/>
    <n v="5"/>
    <n v="7"/>
    <n v="1"/>
    <m/>
  </r>
  <r>
    <n v="13"/>
    <x v="0"/>
    <n v="4.4000000000000004"/>
    <s v="Both"/>
    <n v="8.1999999999999993"/>
    <n v="1.5"/>
    <n v="3.98"/>
    <n v="1.4"/>
    <s v="high"/>
    <n v="9"/>
    <n v="6"/>
    <n v="6"/>
    <n v="1"/>
    <m/>
  </r>
  <r>
    <n v="15"/>
    <x v="0"/>
    <n v="1.3"/>
    <s v="TikTok"/>
    <n v="7.5"/>
    <n v="1.3"/>
    <n v="2.99"/>
    <n v="1.4"/>
    <s v="low"/>
    <n v="1"/>
    <n v="5"/>
    <n v="2"/>
    <n v="1"/>
    <m/>
  </r>
  <r>
    <n v="18"/>
    <x v="1"/>
    <n v="5.7"/>
    <s v="TikTok"/>
    <n v="6.2"/>
    <n v="0.5"/>
    <n v="3.98"/>
    <n v="1.7"/>
    <s v="medium"/>
    <n v="7"/>
    <n v="6"/>
    <n v="3"/>
    <n v="1"/>
    <m/>
  </r>
  <r>
    <n v="13"/>
    <x v="0"/>
    <n v="4"/>
    <s v="TikTok"/>
    <n v="5"/>
    <n v="2.9"/>
    <n v="3.84"/>
    <n v="0.1"/>
    <s v="low"/>
    <n v="7"/>
    <n v="8"/>
    <n v="10"/>
    <n v="1"/>
    <m/>
  </r>
  <r>
    <n v="16"/>
    <x v="1"/>
    <n v="4.8"/>
    <s v="Instagram"/>
    <n v="6.7"/>
    <n v="1.4"/>
    <n v="2.44"/>
    <n v="0.3"/>
    <s v="low"/>
    <n v="1"/>
    <n v="3"/>
    <n v="1"/>
    <n v="1"/>
    <m/>
  </r>
  <r>
    <n v="19"/>
    <x v="0"/>
    <n v="5.8"/>
    <s v="Both"/>
    <n v="7.5"/>
    <n v="1.9"/>
    <n v="2.08"/>
    <n v="0.1"/>
    <s v="high"/>
    <n v="2"/>
    <n v="1"/>
    <n v="3"/>
    <n v="1"/>
    <m/>
  </r>
  <r>
    <n v="16"/>
    <x v="0"/>
    <n v="5.8"/>
    <s v="Both"/>
    <n v="8.9"/>
    <n v="1.1000000000000001"/>
    <n v="2.08"/>
    <n v="1.9"/>
    <s v="medium"/>
    <n v="8"/>
    <n v="5"/>
    <n v="9"/>
    <n v="1"/>
    <m/>
  </r>
  <r>
    <n v="13"/>
    <x v="0"/>
    <n v="3.2"/>
    <s v="TikTok"/>
    <n v="5.0999999999999996"/>
    <n v="1.6"/>
    <n v="2.87"/>
    <n v="1.8"/>
    <s v="medium"/>
    <n v="4"/>
    <n v="9"/>
    <n v="8"/>
    <n v="1"/>
    <m/>
  </r>
  <r>
    <n v="16"/>
    <x v="1"/>
    <n v="5.2"/>
    <s v="Both"/>
    <n v="4"/>
    <n v="2.4"/>
    <n v="2.35"/>
    <n v="1.6"/>
    <s v="low"/>
    <n v="10"/>
    <n v="5"/>
    <n v="2"/>
    <n v="1"/>
    <m/>
  </r>
  <r>
    <n v="17"/>
    <x v="0"/>
    <n v="2.4"/>
    <s v="TikTok"/>
    <n v="6"/>
    <n v="0.7"/>
    <n v="3.67"/>
    <n v="1.5"/>
    <s v="low"/>
    <n v="7"/>
    <n v="9"/>
    <n v="2"/>
    <n v="1"/>
    <m/>
  </r>
  <r>
    <n v="15"/>
    <x v="0"/>
    <n v="7.4"/>
    <s v="Both"/>
    <n v="5.9"/>
    <n v="2.6"/>
    <n v="2.89"/>
    <n v="1.9"/>
    <s v="medium"/>
    <n v="7"/>
    <n v="3"/>
    <n v="8"/>
    <n v="1"/>
    <m/>
  </r>
  <r>
    <n v="18"/>
    <x v="1"/>
    <n v="7.1"/>
    <s v="Instagram"/>
    <n v="4.8"/>
    <n v="2.1"/>
    <n v="2.5099999999999998"/>
    <n v="0.9"/>
    <s v="high"/>
    <n v="1"/>
    <n v="1"/>
    <n v="10"/>
    <n v="1"/>
    <m/>
  </r>
  <r>
    <n v="16"/>
    <x v="0"/>
    <n v="6.5"/>
    <s v="TikTok"/>
    <n v="7.4"/>
    <n v="1.9"/>
    <n v="2.2200000000000002"/>
    <n v="1.1000000000000001"/>
    <s v="medium"/>
    <n v="10"/>
    <n v="10"/>
    <n v="2"/>
    <n v="1"/>
    <m/>
  </r>
  <r>
    <n v="13"/>
    <x v="0"/>
    <n v="7.4"/>
    <s v="Both"/>
    <n v="7"/>
    <n v="1.8"/>
    <n v="2.17"/>
    <n v="1.4"/>
    <s v="medium"/>
    <n v="9"/>
    <n v="10"/>
    <n v="5"/>
    <n v="1"/>
    <m/>
  </r>
  <r>
    <n v="15"/>
    <x v="1"/>
    <n v="3.9"/>
    <s v="Instagram"/>
    <n v="6.4"/>
    <n v="1.7"/>
    <n v="2.87"/>
    <n v="1.8"/>
    <s v="high"/>
    <n v="6"/>
    <n v="6"/>
    <n v="6"/>
    <n v="1"/>
    <m/>
  </r>
  <r>
    <n v="15"/>
    <x v="1"/>
    <n v="4.5999999999999996"/>
    <s v="Both"/>
    <n v="8.6"/>
    <n v="2"/>
    <n v="3.01"/>
    <n v="0"/>
    <s v="low"/>
    <n v="1"/>
    <n v="8"/>
    <n v="3"/>
    <n v="1"/>
    <m/>
  </r>
  <r>
    <n v="19"/>
    <x v="0"/>
    <n v="1.5"/>
    <s v="TikTok"/>
    <n v="6.7"/>
    <n v="1"/>
    <n v="3.9"/>
    <n v="0.4"/>
    <s v="low"/>
    <n v="4"/>
    <n v="3"/>
    <n v="3"/>
    <n v="1"/>
    <m/>
  </r>
  <r>
    <n v="15"/>
    <x v="1"/>
    <n v="5.8"/>
    <s v="Instagram"/>
    <n v="7.1"/>
    <n v="1.1000000000000001"/>
    <n v="3.72"/>
    <n v="1.5"/>
    <s v="low"/>
    <n v="9"/>
    <n v="6"/>
    <n v="6"/>
    <n v="1"/>
    <m/>
  </r>
  <r>
    <n v="17"/>
    <x v="1"/>
    <n v="6.4"/>
    <s v="TikTok"/>
    <n v="4.9000000000000004"/>
    <n v="2.1"/>
    <n v="2.78"/>
    <n v="1"/>
    <s v="high"/>
    <n v="2"/>
    <n v="2"/>
    <n v="6"/>
    <n v="1"/>
    <m/>
  </r>
  <r>
    <n v="16"/>
    <x v="1"/>
    <n v="2.1"/>
    <s v="TikTok"/>
    <n v="8.1999999999999993"/>
    <n v="2.4"/>
    <n v="3.25"/>
    <n v="0.1"/>
    <s v="high"/>
    <n v="1"/>
    <n v="1"/>
    <n v="8"/>
    <n v="1"/>
    <m/>
  </r>
  <r>
    <n v="17"/>
    <x v="1"/>
    <n v="2.2000000000000002"/>
    <s v="TikTok"/>
    <n v="6.5"/>
    <n v="3"/>
    <n v="2.4900000000000002"/>
    <n v="0.2"/>
    <s v="medium"/>
    <n v="5"/>
    <n v="8"/>
    <n v="4"/>
    <n v="1"/>
    <m/>
  </r>
  <r>
    <n v="14"/>
    <x v="0"/>
    <n v="5.5"/>
    <s v="TikTok"/>
    <n v="7.4"/>
    <n v="2.9"/>
    <n v="3.54"/>
    <n v="1.1000000000000001"/>
    <s v="high"/>
    <n v="8"/>
    <n v="4"/>
    <n v="10"/>
    <n v="1"/>
    <m/>
  </r>
  <r>
    <n v="17"/>
    <x v="1"/>
    <n v="6.6"/>
    <s v="Both"/>
    <n v="7.4"/>
    <n v="2.2000000000000002"/>
    <n v="2.63"/>
    <n v="0.6"/>
    <s v="high"/>
    <n v="7"/>
    <n v="4"/>
    <n v="9"/>
    <n v="1"/>
    <m/>
  </r>
  <r>
    <n v="19"/>
    <x v="1"/>
    <n v="5.2"/>
    <s v="Instagram"/>
    <n v="6.6"/>
    <n v="1.6"/>
    <n v="2.36"/>
    <n v="1.4"/>
    <s v="low"/>
    <n v="2"/>
    <n v="6"/>
    <n v="10"/>
    <n v="1"/>
    <m/>
  </r>
  <r>
    <n v="17"/>
    <x v="0"/>
    <n v="4.7"/>
    <s v="TikTok"/>
    <n v="5.0999999999999996"/>
    <n v="2"/>
    <n v="2.35"/>
    <n v="1.8"/>
    <s v="low"/>
    <n v="8"/>
    <n v="9"/>
    <n v="1"/>
    <n v="1"/>
    <m/>
  </r>
  <r>
    <n v="19"/>
    <x v="1"/>
    <n v="7.1"/>
    <s v="Both"/>
    <n v="6.3"/>
    <n v="2.2000000000000002"/>
    <n v="3.88"/>
    <n v="0.8"/>
    <s v="high"/>
    <n v="10"/>
    <n v="4"/>
    <n v="9"/>
    <n v="1"/>
    <m/>
  </r>
  <r>
    <n v="19"/>
    <x v="1"/>
    <n v="4.2"/>
    <s v="Both"/>
    <n v="8.1"/>
    <n v="1.4"/>
    <n v="2.66"/>
    <n v="1.9"/>
    <s v="low"/>
    <n v="9"/>
    <n v="4"/>
    <n v="2"/>
    <n v="1"/>
    <m/>
  </r>
  <r>
    <n v="17"/>
    <x v="1"/>
    <n v="1.3"/>
    <s v="Instagram"/>
    <n v="5.0999999999999996"/>
    <n v="2.2000000000000002"/>
    <n v="3.44"/>
    <n v="0.6"/>
    <s v="high"/>
    <n v="7"/>
    <n v="8"/>
    <n v="6"/>
    <n v="1"/>
    <m/>
  </r>
  <r>
    <n v="18"/>
    <x v="0"/>
    <n v="2.6"/>
    <s v="Both"/>
    <n v="7.8"/>
    <n v="1.9"/>
    <n v="3.15"/>
    <n v="0.4"/>
    <s v="medium"/>
    <n v="8"/>
    <n v="3"/>
    <n v="2"/>
    <n v="1"/>
    <m/>
  </r>
  <r>
    <n v="15"/>
    <x v="0"/>
    <n v="6.2"/>
    <s v="Instagram"/>
    <n v="8.1"/>
    <n v="2.2999999999999998"/>
    <n v="3.46"/>
    <n v="1.3"/>
    <s v="low"/>
    <n v="5"/>
    <n v="4"/>
    <n v="9"/>
    <n v="1"/>
    <m/>
  </r>
  <r>
    <n v="14"/>
    <x v="1"/>
    <n v="6.2"/>
    <s v="TikTok"/>
    <n v="5.0999999999999996"/>
    <n v="1.5"/>
    <n v="3.85"/>
    <n v="0.2"/>
    <s v="high"/>
    <n v="3"/>
    <n v="4"/>
    <n v="10"/>
    <n v="1"/>
    <m/>
  </r>
  <r>
    <n v="18"/>
    <x v="0"/>
    <n v="4.8"/>
    <s v="TikTok"/>
    <n v="8.5"/>
    <n v="2.8"/>
    <n v="3.77"/>
    <n v="1.3"/>
    <s v="low"/>
    <n v="5"/>
    <n v="4"/>
    <n v="3"/>
    <n v="1"/>
    <m/>
  </r>
  <r>
    <n v="18"/>
    <x v="1"/>
    <n v="3"/>
    <s v="Both"/>
    <n v="4.5999999999999996"/>
    <n v="2"/>
    <n v="2.2400000000000002"/>
    <n v="1.5"/>
    <s v="medium"/>
    <n v="10"/>
    <n v="2"/>
    <n v="5"/>
    <n v="1"/>
    <m/>
  </r>
  <r>
    <n v="16"/>
    <x v="0"/>
    <n v="4.7"/>
    <s v="Instagram"/>
    <n v="8.1999999999999993"/>
    <n v="2.7"/>
    <n v="3.04"/>
    <n v="0.3"/>
    <s v="high"/>
    <n v="1"/>
    <n v="3"/>
    <n v="4"/>
    <n v="1"/>
    <m/>
  </r>
  <r>
    <n v="18"/>
    <x v="1"/>
    <n v="4.4000000000000004"/>
    <s v="Both"/>
    <n v="5.0999999999999996"/>
    <n v="1.4"/>
    <n v="2.33"/>
    <n v="0.6"/>
    <s v="low"/>
    <n v="2"/>
    <n v="7"/>
    <n v="4"/>
    <n v="1"/>
    <m/>
  </r>
  <r>
    <n v="14"/>
    <x v="1"/>
    <n v="2.2999999999999998"/>
    <s v="TikTok"/>
    <n v="7.3"/>
    <n v="2.2999999999999998"/>
    <n v="2.8"/>
    <n v="1.5"/>
    <s v="medium"/>
    <n v="4"/>
    <n v="6"/>
    <n v="5"/>
    <n v="1"/>
    <m/>
  </r>
  <r>
    <n v="14"/>
    <x v="1"/>
    <n v="3.1"/>
    <s v="Instagram"/>
    <n v="6.9"/>
    <n v="1.9"/>
    <n v="2.2000000000000002"/>
    <n v="1.2"/>
    <s v="medium"/>
    <n v="3"/>
    <n v="4"/>
    <n v="2"/>
    <n v="1"/>
    <m/>
  </r>
  <r>
    <n v="18"/>
    <x v="0"/>
    <n v="2.9"/>
    <s v="TikTok"/>
    <n v="7.5"/>
    <n v="0.6"/>
    <n v="2.25"/>
    <n v="1"/>
    <s v="high"/>
    <n v="4"/>
    <n v="7"/>
    <n v="4"/>
    <n v="1"/>
    <m/>
  </r>
  <r>
    <n v="13"/>
    <x v="0"/>
    <n v="1.8"/>
    <s v="Instagram"/>
    <n v="4.4000000000000004"/>
    <n v="0.6"/>
    <n v="3.48"/>
    <n v="1.7"/>
    <s v="medium"/>
    <n v="3"/>
    <n v="1"/>
    <n v="10"/>
    <n v="1"/>
    <m/>
  </r>
  <r>
    <n v="15"/>
    <x v="1"/>
    <n v="2"/>
    <s v="Instagram"/>
    <n v="4.7"/>
    <n v="1.3"/>
    <n v="3.55"/>
    <n v="1.3"/>
    <s v="low"/>
    <n v="2"/>
    <n v="6"/>
    <n v="5"/>
    <n v="1"/>
    <m/>
  </r>
  <r>
    <n v="13"/>
    <x v="1"/>
    <n v="4.2"/>
    <s v="Instagram"/>
    <n v="7.9"/>
    <n v="2.7"/>
    <n v="3.76"/>
    <n v="0.1"/>
    <s v="medium"/>
    <n v="10"/>
    <n v="7"/>
    <n v="2"/>
    <n v="1"/>
    <m/>
  </r>
  <r>
    <n v="17"/>
    <x v="1"/>
    <n v="6.7"/>
    <s v="Both"/>
    <n v="7.9"/>
    <n v="1.4"/>
    <n v="3.91"/>
    <n v="0.4"/>
    <s v="high"/>
    <n v="3"/>
    <n v="3"/>
    <n v="1"/>
    <n v="1"/>
    <m/>
  </r>
  <r>
    <n v="17"/>
    <x v="1"/>
    <n v="2.2000000000000002"/>
    <s v="Both"/>
    <n v="7.2"/>
    <n v="0.5"/>
    <n v="2.38"/>
    <n v="1.2"/>
    <s v="medium"/>
    <n v="10"/>
    <n v="4"/>
    <n v="8"/>
    <n v="1"/>
    <m/>
  </r>
  <r>
    <n v="17"/>
    <x v="1"/>
    <n v="1.1000000000000001"/>
    <s v="TikTok"/>
    <n v="6.8"/>
    <n v="0.6"/>
    <n v="2.2799999999999998"/>
    <n v="1.6"/>
    <s v="medium"/>
    <n v="9"/>
    <n v="3"/>
    <n v="7"/>
    <n v="1"/>
    <m/>
  </r>
  <r>
    <n v="16"/>
    <x v="1"/>
    <n v="6.4"/>
    <s v="TikTok"/>
    <n v="5.9"/>
    <n v="2.8"/>
    <n v="3.81"/>
    <n v="1.3"/>
    <s v="high"/>
    <n v="1"/>
    <n v="3"/>
    <n v="7"/>
    <n v="1"/>
    <m/>
  </r>
  <r>
    <n v="19"/>
    <x v="1"/>
    <n v="2.8"/>
    <s v="Instagram"/>
    <n v="5.9"/>
    <n v="1.5"/>
    <n v="2.85"/>
    <n v="0.6"/>
    <s v="high"/>
    <n v="10"/>
    <n v="9"/>
    <n v="4"/>
    <n v="1"/>
    <m/>
  </r>
  <r>
    <n v="13"/>
    <x v="0"/>
    <n v="2.2000000000000002"/>
    <s v="Both"/>
    <n v="5.8"/>
    <n v="2"/>
    <n v="3.63"/>
    <n v="1.9"/>
    <s v="low"/>
    <n v="4"/>
    <n v="4"/>
    <n v="10"/>
    <n v="1"/>
    <m/>
  </r>
  <r>
    <n v="19"/>
    <x v="0"/>
    <n v="5.7"/>
    <s v="Instagram"/>
    <n v="4.8"/>
    <n v="2.2000000000000002"/>
    <n v="3.66"/>
    <n v="0.9"/>
    <s v="low"/>
    <n v="3"/>
    <n v="7"/>
    <n v="5"/>
    <n v="1"/>
    <m/>
  </r>
  <r>
    <n v="15"/>
    <x v="0"/>
    <n v="5.3"/>
    <s v="Both"/>
    <n v="7.3"/>
    <n v="1.9"/>
    <n v="2.5099999999999998"/>
    <n v="1.4"/>
    <s v="high"/>
    <n v="10"/>
    <n v="4"/>
    <n v="2"/>
    <n v="1"/>
    <m/>
  </r>
  <r>
    <n v="14"/>
    <x v="0"/>
    <n v="3.1"/>
    <s v="TikTok"/>
    <n v="8.8000000000000007"/>
    <n v="1.5"/>
    <n v="3.91"/>
    <n v="0.6"/>
    <s v="medium"/>
    <n v="4"/>
    <n v="9"/>
    <n v="6"/>
    <n v="1"/>
    <m/>
  </r>
  <r>
    <n v="16"/>
    <x v="0"/>
    <n v="1.7"/>
    <s v="TikTok"/>
    <n v="4.9000000000000004"/>
    <n v="0.6"/>
    <n v="3.38"/>
    <n v="1.1000000000000001"/>
    <s v="medium"/>
    <n v="10"/>
    <n v="4"/>
    <n v="6"/>
    <n v="1"/>
    <m/>
  </r>
  <r>
    <n v="19"/>
    <x v="1"/>
    <n v="6.7"/>
    <s v="Instagram"/>
    <n v="7.3"/>
    <n v="2.8"/>
    <n v="2.2599999999999998"/>
    <n v="1.4"/>
    <s v="high"/>
    <n v="7"/>
    <n v="6"/>
    <n v="8"/>
    <n v="1"/>
    <m/>
  </r>
  <r>
    <n v="13"/>
    <x v="1"/>
    <n v="7.8"/>
    <s v="Instagram"/>
    <n v="7.4"/>
    <n v="1.7"/>
    <n v="2.76"/>
    <n v="1.1000000000000001"/>
    <s v="low"/>
    <n v="10"/>
    <n v="1"/>
    <n v="4"/>
    <n v="1"/>
    <m/>
  </r>
  <r>
    <n v="18"/>
    <x v="1"/>
    <n v="2.1"/>
    <s v="Both"/>
    <n v="6.7"/>
    <n v="0.9"/>
    <n v="3.73"/>
    <n v="0.7"/>
    <s v="low"/>
    <n v="3"/>
    <n v="5"/>
    <n v="7"/>
    <n v="1"/>
    <m/>
  </r>
  <r>
    <n v="17"/>
    <x v="1"/>
    <n v="5.0999999999999996"/>
    <s v="TikTok"/>
    <n v="8.6"/>
    <n v="1.9"/>
    <n v="3.33"/>
    <n v="1.1000000000000001"/>
    <s v="low"/>
    <n v="1"/>
    <n v="7"/>
    <n v="8"/>
    <n v="1"/>
    <m/>
  </r>
  <r>
    <n v="18"/>
    <x v="1"/>
    <n v="3.6"/>
    <s v="Instagram"/>
    <n v="5.4"/>
    <n v="0.9"/>
    <n v="3.45"/>
    <n v="0.5"/>
    <s v="medium"/>
    <n v="1"/>
    <n v="10"/>
    <n v="2"/>
    <n v="1"/>
    <m/>
  </r>
  <r>
    <n v="18"/>
    <x v="0"/>
    <n v="5"/>
    <s v="Both"/>
    <n v="7.6"/>
    <n v="2"/>
    <n v="3.94"/>
    <n v="0.5"/>
    <s v="low"/>
    <n v="4"/>
    <n v="3"/>
    <n v="3"/>
    <n v="1"/>
    <m/>
  </r>
  <r>
    <n v="17"/>
    <x v="0"/>
    <n v="1.7"/>
    <s v="Both"/>
    <n v="8.6"/>
    <n v="0.9"/>
    <n v="2.36"/>
    <n v="1.7"/>
    <s v="low"/>
    <n v="9"/>
    <n v="1"/>
    <n v="3"/>
    <n v="1"/>
    <m/>
  </r>
  <r>
    <n v="17"/>
    <x v="0"/>
    <n v="6.8"/>
    <s v="Instagram"/>
    <n v="4.7"/>
    <n v="0.6"/>
    <n v="3.4"/>
    <n v="0.9"/>
    <s v="low"/>
    <n v="3"/>
    <n v="9"/>
    <n v="7"/>
    <n v="1"/>
    <m/>
  </r>
  <r>
    <n v="14"/>
    <x v="0"/>
    <n v="3.8"/>
    <s v="Both"/>
    <n v="7.5"/>
    <n v="0.5"/>
    <n v="2.1800000000000002"/>
    <n v="1"/>
    <s v="medium"/>
    <n v="5"/>
    <n v="2"/>
    <n v="2"/>
    <n v="1"/>
    <m/>
  </r>
  <r>
    <n v="16"/>
    <x v="0"/>
    <n v="2.1"/>
    <s v="Instagram"/>
    <n v="7.7"/>
    <n v="1.1000000000000001"/>
    <n v="2.27"/>
    <n v="1.1000000000000001"/>
    <s v="medium"/>
    <n v="3"/>
    <n v="2"/>
    <n v="4"/>
    <n v="1"/>
    <m/>
  </r>
  <r>
    <n v="15"/>
    <x v="1"/>
    <n v="3.2"/>
    <s v="Instagram"/>
    <n v="4"/>
    <n v="2"/>
    <n v="3.25"/>
    <n v="0.7"/>
    <s v="low"/>
    <n v="8"/>
    <n v="4"/>
    <n v="8"/>
    <n v="1"/>
    <m/>
  </r>
  <r>
    <n v="18"/>
    <x v="0"/>
    <n v="1.9"/>
    <s v="Instagram"/>
    <n v="5.6"/>
    <n v="2.2999999999999998"/>
    <n v="2.8"/>
    <n v="1.9"/>
    <s v="medium"/>
    <n v="8"/>
    <n v="1"/>
    <n v="8"/>
    <n v="1"/>
    <m/>
  </r>
  <r>
    <n v="13"/>
    <x v="1"/>
    <n v="3.5"/>
    <s v="Instagram"/>
    <n v="6.8"/>
    <n v="1.5"/>
    <n v="2.35"/>
    <n v="1.8"/>
    <s v="medium"/>
    <n v="7"/>
    <n v="3"/>
    <n v="2"/>
    <n v="-1"/>
    <m/>
  </r>
  <r>
    <n v="15"/>
    <x v="1"/>
    <n v="4.5"/>
    <s v="Instagram"/>
    <n v="7.7"/>
    <n v="0.9"/>
    <n v="2.61"/>
    <n v="1.1000000000000001"/>
    <s v="medium"/>
    <n v="9"/>
    <n v="10"/>
    <n v="4"/>
    <n v="-1"/>
    <m/>
  </r>
  <r>
    <n v="13"/>
    <x v="1"/>
    <n v="6"/>
    <s v="TikTok"/>
    <n v="5"/>
    <n v="2.5"/>
    <n v="2.5499999999999998"/>
    <n v="1.8"/>
    <s v="high"/>
    <n v="4"/>
    <n v="9"/>
    <n v="2"/>
    <n v="-1"/>
    <m/>
  </r>
  <r>
    <n v="13"/>
    <x v="1"/>
    <n v="3.6"/>
    <s v="TikTok"/>
    <n v="4.8"/>
    <n v="2.2000000000000002"/>
    <n v="3.58"/>
    <n v="1.2"/>
    <s v="medium"/>
    <n v="4"/>
    <n v="4"/>
    <n v="7"/>
    <n v="1"/>
    <m/>
  </r>
  <r>
    <n v="19"/>
    <x v="0"/>
    <n v="5.2"/>
    <s v="TikTok"/>
    <n v="6.9"/>
    <n v="2.2999999999999998"/>
    <n v="2.09"/>
    <n v="0.2"/>
    <s v="high"/>
    <n v="6"/>
    <n v="4"/>
    <n v="8"/>
    <n v="1"/>
    <m/>
  </r>
  <r>
    <n v="13"/>
    <x v="0"/>
    <n v="2.7"/>
    <s v="Both"/>
    <n v="6.9"/>
    <n v="1.4"/>
    <n v="2.87"/>
    <n v="1.5"/>
    <s v="low"/>
    <n v="2"/>
    <n v="6"/>
    <n v="3"/>
    <n v="1"/>
    <m/>
  </r>
  <r>
    <n v="16"/>
    <x v="1"/>
    <n v="2.8"/>
    <s v="TikTok"/>
    <n v="7.1"/>
    <n v="1.4"/>
    <n v="3.85"/>
    <n v="0.4"/>
    <s v="high"/>
    <n v="7"/>
    <n v="9"/>
    <n v="8"/>
    <n v="1"/>
    <m/>
  </r>
  <r>
    <n v="14"/>
    <x v="0"/>
    <n v="5.6"/>
    <s v="Instagram"/>
    <n v="7"/>
    <n v="1.9"/>
    <n v="2.58"/>
    <n v="0.4"/>
    <s v="low"/>
    <n v="5"/>
    <n v="7"/>
    <n v="3"/>
    <n v="1"/>
    <m/>
  </r>
  <r>
    <n v="16"/>
    <x v="0"/>
    <n v="2.7"/>
    <s v="Both"/>
    <n v="7.2"/>
    <n v="0.6"/>
    <n v="3.98"/>
    <n v="1.7"/>
    <s v="low"/>
    <n v="6"/>
    <n v="1"/>
    <n v="5"/>
    <n v="1"/>
    <m/>
  </r>
  <r>
    <n v="14"/>
    <x v="0"/>
    <n v="4.2"/>
    <s v="Both"/>
    <n v="7"/>
    <n v="1.1000000000000001"/>
    <n v="2.12"/>
    <n v="0.9"/>
    <s v="high"/>
    <n v="4"/>
    <n v="8"/>
    <n v="1"/>
    <n v="1"/>
    <m/>
  </r>
  <r>
    <n v="18"/>
    <x v="1"/>
    <n v="5.0999999999999996"/>
    <s v="TikTok"/>
    <n v="8.1999999999999993"/>
    <n v="2.8"/>
    <n v="2.1800000000000002"/>
    <n v="0.5"/>
    <s v="high"/>
    <n v="8"/>
    <n v="8"/>
    <n v="8"/>
    <n v="1"/>
    <m/>
  </r>
  <r>
    <n v="15"/>
    <x v="1"/>
    <n v="5.7"/>
    <s v="Instagram"/>
    <n v="6.1"/>
    <n v="0.7"/>
    <n v="3.08"/>
    <n v="0.6"/>
    <s v="medium"/>
    <n v="5"/>
    <n v="9"/>
    <n v="7"/>
    <n v="1"/>
    <m/>
  </r>
  <r>
    <n v="13"/>
    <x v="1"/>
    <n v="1.5"/>
    <s v="Both"/>
    <n v="7.9"/>
    <n v="1.8"/>
    <n v="2.85"/>
    <n v="1.1000000000000001"/>
    <s v="medium"/>
    <n v="5"/>
    <n v="7"/>
    <n v="1"/>
    <n v="1"/>
    <m/>
  </r>
  <r>
    <n v="15"/>
    <x v="1"/>
    <n v="6.9"/>
    <s v="TikTok"/>
    <n v="8.3000000000000007"/>
    <n v="2.4"/>
    <n v="3.34"/>
    <n v="1.2"/>
    <s v="high"/>
    <n v="2"/>
    <n v="4"/>
    <n v="9"/>
    <n v="1"/>
    <m/>
  </r>
  <r>
    <n v="14"/>
    <x v="0"/>
    <n v="4.7"/>
    <s v="TikTok"/>
    <n v="7.9"/>
    <n v="2.9"/>
    <n v="2.54"/>
    <n v="0.7"/>
    <s v="high"/>
    <n v="5"/>
    <n v="8"/>
    <n v="7"/>
    <n v="1"/>
    <m/>
  </r>
  <r>
    <n v="15"/>
    <x v="1"/>
    <n v="2.7"/>
    <s v="Both"/>
    <n v="8.5"/>
    <n v="0.8"/>
    <n v="2.91"/>
    <n v="1.3"/>
    <s v="low"/>
    <n v="6"/>
    <n v="3"/>
    <n v="1"/>
    <n v="1"/>
    <m/>
  </r>
  <r>
    <n v="13"/>
    <x v="1"/>
    <n v="6.1"/>
    <s v="Both"/>
    <n v="6.4"/>
    <n v="2.8"/>
    <n v="2.5099999999999998"/>
    <n v="1.9"/>
    <s v="low"/>
    <n v="6"/>
    <n v="1"/>
    <n v="9"/>
    <n v="1"/>
    <m/>
  </r>
  <r>
    <n v="17"/>
    <x v="1"/>
    <n v="5"/>
    <s v="TikTok"/>
    <n v="7.3"/>
    <n v="1.9"/>
    <n v="3.83"/>
    <n v="0.4"/>
    <s v="high"/>
    <n v="8"/>
    <n v="9"/>
    <n v="9"/>
    <n v="1"/>
    <m/>
  </r>
  <r>
    <n v="17"/>
    <x v="1"/>
    <n v="5.3"/>
    <s v="Both"/>
    <n v="6.8"/>
    <n v="1.9"/>
    <n v="3.39"/>
    <n v="1.6"/>
    <s v="low"/>
    <n v="10"/>
    <n v="6"/>
    <n v="8"/>
    <n v="1"/>
    <m/>
  </r>
  <r>
    <n v="19"/>
    <x v="0"/>
    <n v="7.2"/>
    <s v="TikTok"/>
    <n v="6.6"/>
    <n v="2.9"/>
    <n v="2.74"/>
    <n v="0.3"/>
    <s v="medium"/>
    <n v="1"/>
    <n v="10"/>
    <n v="9"/>
    <n v="0"/>
    <m/>
  </r>
  <r>
    <n v="15"/>
    <x v="0"/>
    <n v="2.2999999999999998"/>
    <s v="Both"/>
    <n v="5.7"/>
    <n v="2.8"/>
    <n v="2.79"/>
    <n v="1.9"/>
    <s v="medium"/>
    <n v="4"/>
    <n v="1"/>
    <n v="4"/>
    <n v="0"/>
    <m/>
  </r>
  <r>
    <n v="17"/>
    <x v="1"/>
    <n v="7.3"/>
    <s v="Both"/>
    <n v="7.8"/>
    <n v="1.1000000000000001"/>
    <n v="2.0299999999999998"/>
    <n v="1.1000000000000001"/>
    <s v="low"/>
    <n v="3"/>
    <n v="10"/>
    <n v="6"/>
    <n v="1"/>
    <m/>
  </r>
  <r>
    <n v="16"/>
    <x v="1"/>
    <n v="1.5"/>
    <s v="Instagram"/>
    <n v="8"/>
    <n v="0.7"/>
    <n v="2.1800000000000002"/>
    <n v="0.6"/>
    <s v="medium"/>
    <n v="4"/>
    <n v="7"/>
    <n v="5"/>
    <n v="1"/>
    <m/>
  </r>
  <r>
    <n v="18"/>
    <x v="1"/>
    <n v="2.2000000000000002"/>
    <s v="Instagram"/>
    <n v="6.5"/>
    <n v="1.9"/>
    <n v="3.79"/>
    <n v="0.2"/>
    <s v="low"/>
    <n v="1"/>
    <n v="6"/>
    <n v="2"/>
    <n v="1"/>
    <m/>
  </r>
  <r>
    <n v="13"/>
    <x v="1"/>
    <n v="5.5"/>
    <s v="Both"/>
    <n v="6.7"/>
    <n v="1.6"/>
    <n v="3.09"/>
    <n v="1.7"/>
    <s v="high"/>
    <n v="10"/>
    <n v="1"/>
    <n v="6"/>
    <n v="1"/>
    <m/>
  </r>
  <r>
    <n v="19"/>
    <x v="0"/>
    <n v="2.1"/>
    <s v="TikTok"/>
    <n v="5.2"/>
    <n v="2.5"/>
    <n v="3.1"/>
    <n v="0.3"/>
    <s v="low"/>
    <n v="9"/>
    <n v="9"/>
    <n v="3"/>
    <n v="1"/>
    <m/>
  </r>
  <r>
    <n v="15"/>
    <x v="1"/>
    <n v="4.5"/>
    <s v="Both"/>
    <n v="5.4"/>
    <n v="1.2"/>
    <n v="3.76"/>
    <n v="1.7"/>
    <s v="high"/>
    <n v="1"/>
    <n v="8"/>
    <n v="7"/>
    <n v="1"/>
    <m/>
  </r>
  <r>
    <n v="13"/>
    <x v="0"/>
    <n v="3.9"/>
    <s v="Both"/>
    <n v="5.8"/>
    <n v="0.7"/>
    <n v="2.77"/>
    <n v="1.3"/>
    <s v="medium"/>
    <n v="10"/>
    <n v="3"/>
    <n v="1"/>
    <n v="1"/>
    <m/>
  </r>
  <r>
    <n v="14"/>
    <x v="0"/>
    <n v="5.8"/>
    <s v="Instagram"/>
    <n v="5.0999999999999996"/>
    <n v="2.6"/>
    <n v="2.06"/>
    <n v="1.5"/>
    <s v="medium"/>
    <n v="7"/>
    <n v="5"/>
    <n v="2"/>
    <n v="1"/>
    <m/>
  </r>
  <r>
    <n v="13"/>
    <x v="1"/>
    <n v="7.2"/>
    <s v="Both"/>
    <n v="4.2"/>
    <n v="2.5"/>
    <n v="2.65"/>
    <n v="1.6"/>
    <s v="low"/>
    <n v="10"/>
    <n v="9"/>
    <n v="3"/>
    <n v="1"/>
    <m/>
  </r>
  <r>
    <n v="17"/>
    <x v="1"/>
    <n v="2.9"/>
    <s v="Both"/>
    <n v="7.5"/>
    <n v="1.4"/>
    <n v="3.42"/>
    <n v="1.7"/>
    <s v="low"/>
    <n v="5"/>
    <n v="6"/>
    <n v="3"/>
    <n v="1"/>
    <m/>
  </r>
  <r>
    <n v="17"/>
    <x v="0"/>
    <n v="6.2"/>
    <s v="Instagram"/>
    <n v="7.4"/>
    <n v="0.6"/>
    <n v="3.38"/>
    <n v="1.5"/>
    <s v="low"/>
    <n v="4"/>
    <n v="7"/>
    <n v="9"/>
    <n v="0"/>
    <m/>
  </r>
  <r>
    <n v="18"/>
    <x v="1"/>
    <n v="1.1000000000000001"/>
    <s v="Both"/>
    <n v="4.9000000000000004"/>
    <n v="2.6"/>
    <n v="2.4300000000000002"/>
    <n v="1.3"/>
    <s v="high"/>
    <n v="9"/>
    <n v="7"/>
    <n v="6"/>
    <n v="1"/>
    <m/>
  </r>
  <r>
    <n v="19"/>
    <x v="0"/>
    <n v="5.2"/>
    <s v="Instagram"/>
    <n v="4.3"/>
    <n v="1.3"/>
    <n v="2.29"/>
    <n v="1.3"/>
    <s v="medium"/>
    <n v="10"/>
    <n v="8"/>
    <n v="10"/>
    <n v="1"/>
    <m/>
  </r>
  <r>
    <n v="15"/>
    <x v="1"/>
    <n v="5"/>
    <s v="Instagram"/>
    <n v="7.6"/>
    <n v="1.8"/>
    <n v="2.52"/>
    <n v="1.4"/>
    <s v="high"/>
    <n v="1"/>
    <n v="4"/>
    <n v="3"/>
    <n v="1"/>
    <m/>
  </r>
  <r>
    <n v="13"/>
    <x v="1"/>
    <n v="2.2999999999999998"/>
    <s v="TikTok"/>
    <n v="8.6999999999999993"/>
    <n v="1.2"/>
    <n v="3.25"/>
    <n v="1.5"/>
    <s v="high"/>
    <n v="9"/>
    <n v="9"/>
    <n v="1"/>
    <n v="1"/>
    <m/>
  </r>
  <r>
    <n v="15"/>
    <x v="1"/>
    <n v="5.2"/>
    <s v="TikTok"/>
    <n v="5.6"/>
    <n v="1.5"/>
    <n v="3.13"/>
    <n v="0.1"/>
    <s v="low"/>
    <n v="7"/>
    <n v="9"/>
    <n v="4"/>
    <n v="1"/>
    <m/>
  </r>
  <r>
    <n v="13"/>
    <x v="1"/>
    <n v="3.5"/>
    <s v="Both"/>
    <n v="8.6999999999999993"/>
    <n v="1.4"/>
    <n v="3.5"/>
    <n v="1.3"/>
    <s v="high"/>
    <n v="9"/>
    <n v="4"/>
    <n v="5"/>
    <n v="1"/>
    <m/>
  </r>
  <r>
    <n v="16"/>
    <x v="1"/>
    <n v="3.5"/>
    <s v="Both"/>
    <n v="4.2"/>
    <n v="1.5"/>
    <n v="3.98"/>
    <n v="0.4"/>
    <s v="medium"/>
    <n v="1"/>
    <n v="7"/>
    <n v="2"/>
    <n v="1"/>
    <m/>
  </r>
  <r>
    <n v="19"/>
    <x v="0"/>
    <n v="7.7"/>
    <s v="Instagram"/>
    <n v="4.2"/>
    <n v="2.6"/>
    <n v="2.2000000000000002"/>
    <n v="1.8"/>
    <s v="low"/>
    <n v="8"/>
    <n v="9"/>
    <n v="4"/>
    <n v="1"/>
    <m/>
  </r>
  <r>
    <n v="18"/>
    <x v="1"/>
    <n v="2"/>
    <s v="Both"/>
    <n v="8.6"/>
    <n v="2.2000000000000002"/>
    <n v="3.53"/>
    <n v="1.9"/>
    <s v="low"/>
    <n v="2"/>
    <n v="5"/>
    <n v="8"/>
    <n v="0"/>
    <m/>
  </r>
  <r>
    <n v="13"/>
    <x v="1"/>
    <n v="5.0999999999999996"/>
    <s v="TikTok"/>
    <n v="4.5"/>
    <n v="2.7"/>
    <n v="2.54"/>
    <n v="1.4"/>
    <s v="high"/>
    <n v="2"/>
    <n v="3"/>
    <n v="10"/>
    <n v="0"/>
    <m/>
  </r>
  <r>
    <n v="16"/>
    <x v="0"/>
    <n v="2"/>
    <s v="Instagram"/>
    <n v="7.9"/>
    <n v="2.4"/>
    <n v="2.81"/>
    <n v="1.9"/>
    <s v="low"/>
    <n v="10"/>
    <n v="6"/>
    <n v="6"/>
    <n v="0"/>
    <m/>
  </r>
  <r>
    <n v="15"/>
    <x v="0"/>
    <n v="4.7"/>
    <s v="Instagram"/>
    <n v="8.4"/>
    <n v="1.9"/>
    <n v="3.9"/>
    <n v="1"/>
    <s v="high"/>
    <n v="4"/>
    <n v="10"/>
    <n v="6"/>
    <n v="0"/>
    <m/>
  </r>
  <r>
    <n v="17"/>
    <x v="1"/>
    <n v="6.9"/>
    <s v="TikTok"/>
    <n v="6.1"/>
    <n v="2.4"/>
    <n v="3.77"/>
    <n v="1.1000000000000001"/>
    <s v="medium"/>
    <n v="9"/>
    <n v="4"/>
    <n v="9"/>
    <n v="0"/>
    <m/>
  </r>
  <r>
    <n v="18"/>
    <x v="0"/>
    <n v="5.9"/>
    <s v="Instagram"/>
    <n v="4.4000000000000004"/>
    <n v="2.7"/>
    <n v="2.09"/>
    <n v="1.8"/>
    <s v="high"/>
    <n v="1"/>
    <n v="6"/>
    <n v="6"/>
    <n v="0"/>
    <m/>
  </r>
  <r>
    <n v="19"/>
    <x v="0"/>
    <n v="2.7"/>
    <s v="Instagram"/>
    <n v="6.3"/>
    <n v="1.3"/>
    <n v="3.91"/>
    <n v="1.2"/>
    <s v="high"/>
    <n v="7"/>
    <n v="5"/>
    <n v="7"/>
    <n v="0"/>
    <m/>
  </r>
  <r>
    <n v="16"/>
    <x v="0"/>
    <n v="7.9"/>
    <s v="TikTok"/>
    <n v="8"/>
    <n v="1.6"/>
    <n v="3.47"/>
    <n v="1.5"/>
    <s v="high"/>
    <n v="3"/>
    <n v="5"/>
    <n v="6"/>
    <n v="0"/>
    <m/>
  </r>
  <r>
    <n v="16"/>
    <x v="1"/>
    <n v="7.4"/>
    <s v="TikTok"/>
    <n v="5.5"/>
    <n v="1.8"/>
    <n v="2.13"/>
    <n v="0.3"/>
    <s v="high"/>
    <n v="7"/>
    <n v="9"/>
    <n v="9"/>
    <n v="1"/>
    <m/>
  </r>
  <r>
    <n v="17"/>
    <x v="1"/>
    <n v="2.2999999999999998"/>
    <s v="Instagram"/>
    <n v="4.9000000000000004"/>
    <n v="1.7"/>
    <n v="2.0699999999999998"/>
    <n v="0.3"/>
    <s v="medium"/>
    <n v="3"/>
    <n v="7"/>
    <n v="7"/>
    <n v="0"/>
    <m/>
  </r>
  <r>
    <n v="13"/>
    <x v="0"/>
    <n v="7.1"/>
    <s v="Both"/>
    <n v="5.7"/>
    <n v="2.1"/>
    <n v="3.52"/>
    <n v="1.7"/>
    <s v="low"/>
    <n v="1"/>
    <n v="1"/>
    <n v="3"/>
    <n v="0"/>
    <m/>
  </r>
  <r>
    <n v="16"/>
    <x v="0"/>
    <n v="6.9"/>
    <s v="Instagram"/>
    <n v="6.8"/>
    <n v="1.1000000000000001"/>
    <n v="3.33"/>
    <n v="1"/>
    <s v="medium"/>
    <n v="7"/>
    <n v="9"/>
    <n v="4"/>
    <n v="0"/>
    <m/>
  </r>
  <r>
    <n v="16"/>
    <x v="1"/>
    <n v="5.6"/>
    <s v="TikTok"/>
    <n v="7.9"/>
    <n v="2"/>
    <n v="3.91"/>
    <n v="0.6"/>
    <s v="medium"/>
    <n v="7"/>
    <n v="3"/>
    <n v="10"/>
    <n v="0"/>
    <m/>
  </r>
  <r>
    <n v="16"/>
    <x v="1"/>
    <n v="5.2"/>
    <s v="TikTok"/>
    <n v="8.1"/>
    <n v="2.1"/>
    <n v="2.67"/>
    <n v="1.7"/>
    <s v="medium"/>
    <n v="9"/>
    <n v="10"/>
    <n v="10"/>
    <n v="0"/>
    <m/>
  </r>
  <r>
    <n v="17"/>
    <x v="0"/>
    <n v="4.5"/>
    <s v="Both"/>
    <n v="4.9000000000000004"/>
    <n v="0.5"/>
    <n v="3.44"/>
    <n v="1.2"/>
    <s v="medium"/>
    <n v="5"/>
    <n v="3"/>
    <n v="1"/>
    <n v="0"/>
    <m/>
  </r>
  <r>
    <n v="14"/>
    <x v="0"/>
    <n v="3.6"/>
    <s v="TikTok"/>
    <n v="4"/>
    <n v="1.4"/>
    <n v="3.83"/>
    <n v="0.5"/>
    <s v="medium"/>
    <n v="1"/>
    <n v="5"/>
    <n v="2"/>
    <n v="0"/>
    <m/>
  </r>
  <r>
    <n v="19"/>
    <x v="0"/>
    <n v="7.2"/>
    <s v="Instagram"/>
    <n v="5"/>
    <n v="2.2000000000000002"/>
    <n v="2.5"/>
    <n v="0.7"/>
    <s v="high"/>
    <n v="6"/>
    <n v="9"/>
    <n v="2"/>
    <n v="0"/>
    <m/>
  </r>
  <r>
    <n v="17"/>
    <x v="0"/>
    <n v="6.4"/>
    <s v="TikTok"/>
    <n v="8.6"/>
    <n v="2.2999999999999998"/>
    <n v="2.57"/>
    <n v="1.3"/>
    <s v="low"/>
    <n v="9"/>
    <n v="10"/>
    <n v="5"/>
    <n v="0"/>
    <m/>
  </r>
  <r>
    <n v="15"/>
    <x v="0"/>
    <n v="7.1"/>
    <s v="Both"/>
    <n v="6.5"/>
    <n v="0.7"/>
    <n v="3.94"/>
    <n v="0.2"/>
    <s v="medium"/>
    <n v="4"/>
    <n v="7"/>
    <n v="1"/>
    <n v="0"/>
    <m/>
  </r>
  <r>
    <n v="18"/>
    <x v="0"/>
    <n v="1.2"/>
    <s v="Both"/>
    <n v="4.0999999999999996"/>
    <n v="1.1000000000000001"/>
    <n v="3.04"/>
    <n v="1.6"/>
    <s v="low"/>
    <n v="1"/>
    <n v="3"/>
    <n v="6"/>
    <n v="0"/>
    <m/>
  </r>
  <r>
    <n v="19"/>
    <x v="0"/>
    <n v="6.6"/>
    <s v="TikTok"/>
    <n v="8.8000000000000007"/>
    <n v="0.9"/>
    <n v="3.84"/>
    <n v="0.3"/>
    <s v="high"/>
    <n v="10"/>
    <n v="10"/>
    <n v="6"/>
    <n v="0"/>
    <m/>
  </r>
  <r>
    <n v="19"/>
    <x v="1"/>
    <n v="6.5"/>
    <s v="TikTok"/>
    <n v="6.4"/>
    <n v="1.1000000000000001"/>
    <n v="3.71"/>
    <n v="1.2"/>
    <s v="low"/>
    <n v="8"/>
    <n v="9"/>
    <n v="8"/>
    <n v="0"/>
    <m/>
  </r>
  <r>
    <n v="16"/>
    <x v="0"/>
    <n v="2"/>
    <s v="TikTok"/>
    <n v="4.4000000000000004"/>
    <n v="0.7"/>
    <n v="2.68"/>
    <n v="0.8"/>
    <s v="medium"/>
    <n v="1"/>
    <n v="4"/>
    <n v="10"/>
    <n v="0"/>
    <m/>
  </r>
  <r>
    <n v="13"/>
    <x v="0"/>
    <n v="2.5"/>
    <s v="Instagram"/>
    <n v="5.3"/>
    <n v="0.8"/>
    <n v="3.12"/>
    <n v="0.4"/>
    <s v="high"/>
    <n v="3"/>
    <n v="5"/>
    <n v="3"/>
    <n v="0"/>
    <m/>
  </r>
  <r>
    <n v="19"/>
    <x v="0"/>
    <n v="2.1"/>
    <s v="Instagram"/>
    <n v="8.8000000000000007"/>
    <n v="2.2999999999999998"/>
    <n v="2.2200000000000002"/>
    <n v="1.2"/>
    <s v="high"/>
    <n v="5"/>
    <n v="5"/>
    <n v="3"/>
    <n v="0"/>
    <m/>
  </r>
  <r>
    <n v="16"/>
    <x v="1"/>
    <n v="7.1"/>
    <s v="TikTok"/>
    <n v="8.8000000000000007"/>
    <n v="1.8"/>
    <n v="3.99"/>
    <n v="0.8"/>
    <s v="low"/>
    <n v="6"/>
    <n v="10"/>
    <n v="8"/>
    <n v="0"/>
    <m/>
  </r>
  <r>
    <n v="19"/>
    <x v="1"/>
    <n v="6.8"/>
    <s v="Both"/>
    <n v="4.4000000000000004"/>
    <n v="2.1"/>
    <n v="3.69"/>
    <n v="0.4"/>
    <s v="high"/>
    <n v="3"/>
    <n v="2"/>
    <n v="8"/>
    <n v="0"/>
    <m/>
  </r>
  <r>
    <n v="13"/>
    <x v="0"/>
    <n v="5.2"/>
    <s v="Both"/>
    <n v="5.4"/>
    <n v="0.8"/>
    <n v="2.39"/>
    <n v="2"/>
    <s v="low"/>
    <n v="8"/>
    <n v="3"/>
    <n v="10"/>
    <n v="0"/>
    <m/>
  </r>
  <r>
    <n v="19"/>
    <x v="0"/>
    <n v="7"/>
    <s v="TikTok"/>
    <n v="4.5"/>
    <n v="2.2999999999999998"/>
    <n v="3.26"/>
    <n v="1.7"/>
    <s v="high"/>
    <n v="9"/>
    <n v="10"/>
    <n v="3"/>
    <n v="1"/>
    <m/>
  </r>
  <r>
    <n v="19"/>
    <x v="0"/>
    <n v="6.8"/>
    <s v="TikTok"/>
    <n v="8.4"/>
    <n v="2"/>
    <n v="2.6"/>
    <n v="1.5"/>
    <s v="low"/>
    <n v="7"/>
    <n v="2"/>
    <n v="2"/>
    <n v="0"/>
    <m/>
  </r>
  <r>
    <n v="16"/>
    <x v="1"/>
    <n v="3.8"/>
    <s v="TikTok"/>
    <n v="5.3"/>
    <n v="1.5"/>
    <n v="2.04"/>
    <n v="1.5"/>
    <s v="high"/>
    <n v="5"/>
    <n v="10"/>
    <n v="5"/>
    <n v="0"/>
    <m/>
  </r>
  <r>
    <n v="14"/>
    <x v="0"/>
    <n v="2.9"/>
    <s v="Instagram"/>
    <n v="7.2"/>
    <n v="2"/>
    <n v="3.96"/>
    <n v="1.5"/>
    <s v="medium"/>
    <n v="9"/>
    <n v="10"/>
    <n v="4"/>
    <n v="0"/>
    <m/>
  </r>
  <r>
    <n v="16"/>
    <x v="0"/>
    <n v="3.6"/>
    <s v="Instagram"/>
    <n v="6.6"/>
    <n v="0.7"/>
    <n v="2.25"/>
    <n v="1.9"/>
    <s v="low"/>
    <n v="4"/>
    <n v="1"/>
    <n v="8"/>
    <n v="0"/>
    <m/>
  </r>
  <r>
    <n v="13"/>
    <x v="0"/>
    <n v="4"/>
    <s v="Both"/>
    <n v="8.3000000000000007"/>
    <n v="0.6"/>
    <n v="3.71"/>
    <n v="0.1"/>
    <s v="low"/>
    <n v="2"/>
    <n v="6"/>
    <n v="1"/>
    <n v="0"/>
    <m/>
  </r>
  <r>
    <n v="17"/>
    <x v="1"/>
    <n v="7.5"/>
    <s v="Both"/>
    <n v="4.7"/>
    <n v="2.1"/>
    <n v="2.5499999999999998"/>
    <n v="0.1"/>
    <s v="high"/>
    <n v="3"/>
    <n v="9"/>
    <n v="1"/>
    <n v="0"/>
    <m/>
  </r>
  <r>
    <n v="16"/>
    <x v="1"/>
    <n v="6"/>
    <s v="Both"/>
    <n v="8.6999999999999993"/>
    <n v="1.5"/>
    <n v="3.76"/>
    <n v="0.1"/>
    <s v="medium"/>
    <n v="2"/>
    <n v="5"/>
    <n v="4"/>
    <n v="0"/>
    <m/>
  </r>
  <r>
    <n v="16"/>
    <x v="1"/>
    <n v="3.6"/>
    <s v="Instagram"/>
    <n v="6.1"/>
    <n v="2.8"/>
    <n v="3.8"/>
    <n v="0.1"/>
    <s v="high"/>
    <n v="2"/>
    <n v="1"/>
    <n v="7"/>
    <n v="0"/>
    <m/>
  </r>
  <r>
    <n v="19"/>
    <x v="0"/>
    <n v="4.7"/>
    <s v="Both"/>
    <n v="8.1999999999999993"/>
    <n v="1.2"/>
    <n v="2.83"/>
    <n v="1.2"/>
    <s v="high"/>
    <n v="5"/>
    <n v="9"/>
    <n v="9"/>
    <n v="0"/>
    <m/>
  </r>
  <r>
    <n v="13"/>
    <x v="0"/>
    <n v="2"/>
    <s v="Instagram"/>
    <n v="6.6"/>
    <n v="0.9"/>
    <n v="3.34"/>
    <n v="1.5"/>
    <s v="high"/>
    <n v="5"/>
    <n v="9"/>
    <n v="4"/>
    <n v="0"/>
    <m/>
  </r>
  <r>
    <n v="13"/>
    <x v="0"/>
    <n v="7.8"/>
    <s v="TikTok"/>
    <n v="7.2"/>
    <n v="1.3"/>
    <n v="3.31"/>
    <n v="0.8"/>
    <s v="high"/>
    <n v="9"/>
    <n v="2"/>
    <n v="4"/>
    <n v="0"/>
    <m/>
  </r>
  <r>
    <n v="19"/>
    <x v="0"/>
    <n v="5.9"/>
    <s v="TikTok"/>
    <n v="7.4"/>
    <n v="0.7"/>
    <n v="3.27"/>
    <n v="1.7"/>
    <s v="high"/>
    <n v="1"/>
    <n v="9"/>
    <n v="9"/>
    <n v="0"/>
    <m/>
  </r>
  <r>
    <n v="19"/>
    <x v="0"/>
    <n v="7.7"/>
    <s v="TikTok"/>
    <n v="8.4"/>
    <n v="2.8"/>
    <n v="3.43"/>
    <n v="0.2"/>
    <s v="medium"/>
    <n v="7"/>
    <n v="6"/>
    <n v="6"/>
    <n v="0"/>
    <m/>
  </r>
  <r>
    <n v="13"/>
    <x v="0"/>
    <n v="2.2000000000000002"/>
    <s v="TikTok"/>
    <n v="5.4"/>
    <n v="1.2"/>
    <n v="2.33"/>
    <n v="0.8"/>
    <s v="medium"/>
    <n v="10"/>
    <n v="3"/>
    <n v="4"/>
    <n v="0"/>
    <m/>
  </r>
  <r>
    <n v="18"/>
    <x v="1"/>
    <n v="7.7"/>
    <s v="TikTok"/>
    <n v="7.6"/>
    <n v="2.9"/>
    <n v="3.81"/>
    <n v="0.5"/>
    <s v="high"/>
    <n v="10"/>
    <n v="3"/>
    <n v="6"/>
    <n v="0"/>
    <m/>
  </r>
  <r>
    <n v="18"/>
    <x v="0"/>
    <n v="3.2"/>
    <s v="Instagram"/>
    <n v="6"/>
    <n v="1.5"/>
    <n v="3.36"/>
    <n v="1.5"/>
    <s v="high"/>
    <n v="9"/>
    <n v="7"/>
    <n v="10"/>
    <n v="0"/>
    <m/>
  </r>
  <r>
    <n v="16"/>
    <x v="0"/>
    <n v="2"/>
    <s v="TikTok"/>
    <n v="7.8"/>
    <n v="0.5"/>
    <n v="2.81"/>
    <n v="1.4"/>
    <s v="high"/>
    <n v="10"/>
    <n v="2"/>
    <n v="4"/>
    <n v="0"/>
    <m/>
  </r>
  <r>
    <n v="15"/>
    <x v="1"/>
    <n v="6.2"/>
    <s v="Both"/>
    <n v="5.2"/>
    <n v="1"/>
    <n v="3.94"/>
    <n v="1.4"/>
    <s v="low"/>
    <n v="5"/>
    <n v="2"/>
    <n v="7"/>
    <n v="0"/>
    <m/>
  </r>
  <r>
    <n v="19"/>
    <x v="1"/>
    <n v="2.4"/>
    <s v="Instagram"/>
    <n v="8.6999999999999993"/>
    <n v="1.6"/>
    <n v="2.4"/>
    <n v="0.1"/>
    <s v="medium"/>
    <n v="2"/>
    <n v="9"/>
    <n v="7"/>
    <n v="0"/>
    <m/>
  </r>
  <r>
    <n v="15"/>
    <x v="0"/>
    <n v="3.4"/>
    <s v="Both"/>
    <n v="8"/>
    <n v="1"/>
    <n v="2.31"/>
    <n v="1"/>
    <s v="high"/>
    <n v="4"/>
    <n v="7"/>
    <n v="6"/>
    <n v="0"/>
    <m/>
  </r>
  <r>
    <n v="19"/>
    <x v="0"/>
    <n v="6"/>
    <s v="Instagram"/>
    <n v="4.2"/>
    <n v="0.9"/>
    <n v="2.41"/>
    <n v="0.8"/>
    <s v="medium"/>
    <n v="7"/>
    <n v="9"/>
    <n v="9"/>
    <n v="1"/>
    <m/>
  </r>
  <r>
    <n v="16"/>
    <x v="1"/>
    <n v="5.3"/>
    <s v="Both"/>
    <n v="5.6"/>
    <n v="2.5"/>
    <n v="2.73"/>
    <n v="1.3"/>
    <s v="medium"/>
    <n v="7"/>
    <n v="10"/>
    <n v="4"/>
    <n v="1"/>
    <m/>
  </r>
  <r>
    <n v="17"/>
    <x v="1"/>
    <n v="5.5"/>
    <s v="Instagram"/>
    <n v="6.3"/>
    <n v="0.8"/>
    <n v="2.59"/>
    <n v="1.6"/>
    <s v="high"/>
    <n v="6"/>
    <n v="8"/>
    <n v="7"/>
    <n v="0"/>
    <m/>
  </r>
  <r>
    <n v="17"/>
    <x v="0"/>
    <n v="3.6"/>
    <s v="Both"/>
    <n v="6.1"/>
    <n v="2.8"/>
    <n v="2.39"/>
    <n v="0.6"/>
    <s v="low"/>
    <n v="6"/>
    <n v="8"/>
    <n v="5"/>
    <n v="0"/>
    <m/>
  </r>
  <r>
    <n v="17"/>
    <x v="1"/>
    <n v="3.7"/>
    <s v="Instagram"/>
    <n v="6.3"/>
    <n v="1.3"/>
    <n v="2.7"/>
    <n v="1.1000000000000001"/>
    <s v="medium"/>
    <n v="2"/>
    <n v="6"/>
    <n v="9"/>
    <n v="0"/>
    <m/>
  </r>
  <r>
    <n v="16"/>
    <x v="1"/>
    <n v="7.4"/>
    <s v="Instagram"/>
    <n v="7.4"/>
    <n v="0.9"/>
    <n v="3.7"/>
    <n v="1.3"/>
    <s v="medium"/>
    <n v="10"/>
    <n v="6"/>
    <n v="2"/>
    <n v="0"/>
    <m/>
  </r>
  <r>
    <n v="13"/>
    <x v="0"/>
    <n v="5.3"/>
    <s v="Instagram"/>
    <n v="6"/>
    <n v="1"/>
    <n v="2.92"/>
    <n v="0.7"/>
    <s v="high"/>
    <n v="3"/>
    <n v="8"/>
    <n v="5"/>
    <n v="0"/>
    <m/>
  </r>
  <r>
    <n v="18"/>
    <x v="1"/>
    <n v="4.8"/>
    <s v="Instagram"/>
    <n v="5.5"/>
    <n v="1.8"/>
    <n v="2.9"/>
    <n v="0.6"/>
    <s v="low"/>
    <n v="6"/>
    <n v="2"/>
    <n v="5"/>
    <n v="0"/>
    <m/>
  </r>
  <r>
    <n v="13"/>
    <x v="0"/>
    <n v="3.4"/>
    <s v="TikTok"/>
    <n v="4.5"/>
    <n v="0.5"/>
    <n v="3.71"/>
    <n v="1"/>
    <s v="medium"/>
    <n v="1"/>
    <n v="10"/>
    <n v="1"/>
    <n v="0"/>
    <m/>
  </r>
  <r>
    <n v="17"/>
    <x v="1"/>
    <n v="7"/>
    <s v="TikTok"/>
    <n v="8.9"/>
    <n v="0.6"/>
    <n v="3.67"/>
    <n v="0.2"/>
    <s v="medium"/>
    <n v="9"/>
    <n v="2"/>
    <n v="4"/>
    <n v="0"/>
    <m/>
  </r>
  <r>
    <n v="15"/>
    <x v="0"/>
    <n v="5.4"/>
    <s v="Instagram"/>
    <n v="7.2"/>
    <n v="1.2"/>
    <n v="3.32"/>
    <n v="1.3"/>
    <s v="high"/>
    <n v="7"/>
    <n v="8"/>
    <n v="1"/>
    <n v="0"/>
    <m/>
  </r>
  <r>
    <n v="17"/>
    <x v="0"/>
    <n v="5.3"/>
    <s v="Instagram"/>
    <n v="6.4"/>
    <n v="2.9"/>
    <n v="2.42"/>
    <n v="1.1000000000000001"/>
    <s v="low"/>
    <n v="3"/>
    <n v="8"/>
    <n v="3"/>
    <n v="0"/>
    <m/>
  </r>
  <r>
    <n v="14"/>
    <x v="0"/>
    <n v="1.8"/>
    <s v="Both"/>
    <n v="5.0999999999999996"/>
    <n v="2.7"/>
    <n v="3.47"/>
    <n v="0.2"/>
    <s v="low"/>
    <n v="8"/>
    <n v="4"/>
    <n v="6"/>
    <n v="0"/>
    <m/>
  </r>
  <r>
    <n v="15"/>
    <x v="0"/>
    <n v="4.5"/>
    <s v="TikTok"/>
    <n v="6.2"/>
    <n v="2.8"/>
    <n v="2.74"/>
    <n v="0.1"/>
    <s v="high"/>
    <n v="2"/>
    <n v="3"/>
    <n v="5"/>
    <n v="0"/>
    <m/>
  </r>
  <r>
    <n v="17"/>
    <x v="1"/>
    <n v="5.4"/>
    <s v="TikTok"/>
    <n v="7.1"/>
    <n v="2.5"/>
    <n v="2.68"/>
    <n v="1.6"/>
    <s v="low"/>
    <n v="3"/>
    <n v="5"/>
    <n v="7"/>
    <n v="0"/>
    <m/>
  </r>
  <r>
    <n v="13"/>
    <x v="0"/>
    <n v="3.6"/>
    <s v="Instagram"/>
    <n v="8.6"/>
    <n v="0.7"/>
    <n v="2.42"/>
    <n v="0.2"/>
    <s v="medium"/>
    <n v="2"/>
    <n v="6"/>
    <n v="8"/>
    <n v="0"/>
    <m/>
  </r>
  <r>
    <n v="14"/>
    <x v="1"/>
    <n v="5.7"/>
    <s v="Instagram"/>
    <n v="8.9"/>
    <n v="0.7"/>
    <n v="2.17"/>
    <n v="1.3"/>
    <s v="high"/>
    <n v="10"/>
    <n v="4"/>
    <n v="3"/>
    <n v="0"/>
    <m/>
  </r>
  <r>
    <n v="15"/>
    <x v="1"/>
    <n v="5.5"/>
    <s v="Both"/>
    <n v="7.3"/>
    <n v="2.5"/>
    <n v="3.67"/>
    <n v="0.5"/>
    <s v="low"/>
    <n v="4"/>
    <n v="3"/>
    <n v="6"/>
    <n v="0"/>
    <m/>
  </r>
  <r>
    <n v="14"/>
    <x v="1"/>
    <n v="5.3"/>
    <s v="Both"/>
    <n v="4.7"/>
    <n v="1.1000000000000001"/>
    <n v="3.68"/>
    <n v="1.8"/>
    <s v="high"/>
    <n v="10"/>
    <n v="8"/>
    <n v="10"/>
    <n v="1"/>
    <m/>
  </r>
  <r>
    <n v="15"/>
    <x v="0"/>
    <n v="2.7"/>
    <s v="Instagram"/>
    <n v="5.4"/>
    <n v="1.6"/>
    <n v="2.34"/>
    <n v="0.3"/>
    <s v="high"/>
    <n v="2"/>
    <n v="6"/>
    <n v="8"/>
    <n v="0"/>
    <m/>
  </r>
  <r>
    <n v="14"/>
    <x v="0"/>
    <n v="6.4"/>
    <s v="Instagram"/>
    <n v="5.6"/>
    <n v="0.8"/>
    <n v="4"/>
    <n v="1.9"/>
    <s v="medium"/>
    <n v="5"/>
    <n v="1"/>
    <n v="3"/>
    <n v="0"/>
    <m/>
  </r>
  <r>
    <n v="16"/>
    <x v="0"/>
    <n v="5"/>
    <s v="TikTok"/>
    <n v="6.3"/>
    <n v="3"/>
    <n v="3.72"/>
    <n v="1.6"/>
    <s v="medium"/>
    <n v="5"/>
    <n v="10"/>
    <n v="3"/>
    <n v="0"/>
    <m/>
  </r>
  <r>
    <n v="13"/>
    <x v="1"/>
    <n v="2.5"/>
    <s v="Instagram"/>
    <n v="4.5999999999999996"/>
    <n v="1.6"/>
    <n v="3.22"/>
    <n v="0.9"/>
    <s v="medium"/>
    <n v="6"/>
    <n v="4"/>
    <n v="3"/>
    <n v="0"/>
    <m/>
  </r>
  <r>
    <n v="18"/>
    <x v="0"/>
    <n v="2.2000000000000002"/>
    <s v="Both"/>
    <n v="4.5"/>
    <n v="2"/>
    <n v="2.4900000000000002"/>
    <n v="0.8"/>
    <s v="high"/>
    <n v="1"/>
    <n v="7"/>
    <n v="6"/>
    <n v="0"/>
    <m/>
  </r>
  <r>
    <n v="16"/>
    <x v="0"/>
    <n v="4.0999999999999996"/>
    <s v="Both"/>
    <n v="5.5"/>
    <n v="1.9"/>
    <n v="2.65"/>
    <n v="1.5"/>
    <s v="low"/>
    <n v="5"/>
    <n v="7"/>
    <n v="9"/>
    <n v="0"/>
    <m/>
  </r>
  <r>
    <n v="16"/>
    <x v="1"/>
    <n v="2.8"/>
    <s v="TikTok"/>
    <n v="7.4"/>
    <n v="2"/>
    <n v="3.4"/>
    <n v="1.6"/>
    <s v="low"/>
    <n v="4"/>
    <n v="1"/>
    <n v="1"/>
    <n v="0"/>
    <m/>
  </r>
  <r>
    <n v="17"/>
    <x v="1"/>
    <n v="1.1000000000000001"/>
    <s v="TikTok"/>
    <n v="8.1999999999999993"/>
    <n v="2.7"/>
    <n v="2.84"/>
    <n v="0.2"/>
    <s v="high"/>
    <n v="2"/>
    <n v="4"/>
    <n v="1"/>
    <n v="0"/>
    <m/>
  </r>
  <r>
    <n v="13"/>
    <x v="0"/>
    <n v="7"/>
    <s v="Both"/>
    <n v="5.7"/>
    <n v="1.6"/>
    <n v="3.45"/>
    <n v="1.2"/>
    <s v="medium"/>
    <n v="7"/>
    <n v="1"/>
    <n v="10"/>
    <n v="0"/>
    <m/>
  </r>
  <r>
    <n v="18"/>
    <x v="0"/>
    <n v="2.6"/>
    <s v="TikTok"/>
    <n v="7.9"/>
    <n v="2.2999999999999998"/>
    <n v="2.4300000000000002"/>
    <n v="0.1"/>
    <s v="high"/>
    <n v="5"/>
    <n v="1"/>
    <n v="6"/>
    <n v="0"/>
    <m/>
  </r>
  <r>
    <n v="13"/>
    <x v="1"/>
    <n v="2.6"/>
    <s v="TikTok"/>
    <n v="6.1"/>
    <n v="1.4"/>
    <n v="2.11"/>
    <n v="0.4"/>
    <s v="high"/>
    <n v="7"/>
    <n v="5"/>
    <n v="10"/>
    <n v="0"/>
    <m/>
  </r>
  <r>
    <n v="14"/>
    <x v="0"/>
    <n v="3.4"/>
    <s v="Instagram"/>
    <n v="4.5999999999999996"/>
    <n v="2"/>
    <n v="2.27"/>
    <n v="1.9"/>
    <s v="high"/>
    <n v="7"/>
    <n v="10"/>
    <n v="6"/>
    <n v="0"/>
    <m/>
  </r>
  <r>
    <n v="14"/>
    <x v="0"/>
    <n v="7.9"/>
    <s v="Instagram"/>
    <n v="5.7"/>
    <n v="1.6"/>
    <n v="3.67"/>
    <n v="0.6"/>
    <s v="medium"/>
    <n v="4"/>
    <n v="3"/>
    <n v="4"/>
    <n v="0"/>
    <m/>
  </r>
  <r>
    <n v="13"/>
    <x v="0"/>
    <n v="5.0999999999999996"/>
    <s v="TikTok"/>
    <n v="5.3"/>
    <n v="2.6"/>
    <n v="2.95"/>
    <n v="1.2"/>
    <s v="medium"/>
    <n v="2"/>
    <n v="6"/>
    <n v="10"/>
    <n v="0"/>
    <m/>
  </r>
  <r>
    <n v="13"/>
    <x v="1"/>
    <n v="2.8"/>
    <s v="Both"/>
    <n v="6.4"/>
    <n v="1.4"/>
    <n v="2.38"/>
    <n v="1.4"/>
    <s v="medium"/>
    <n v="4"/>
    <n v="8"/>
    <n v="10"/>
    <n v="0"/>
    <m/>
  </r>
  <r>
    <n v="19"/>
    <x v="1"/>
    <n v="3.4"/>
    <s v="TikTok"/>
    <n v="4.3"/>
    <n v="0.7"/>
    <n v="2.17"/>
    <n v="0.7"/>
    <s v="high"/>
    <n v="3"/>
    <n v="1"/>
    <n v="4"/>
    <n v="0"/>
    <m/>
  </r>
  <r>
    <n v="18"/>
    <x v="0"/>
    <n v="6.3"/>
    <s v="Both"/>
    <n v="6.9"/>
    <n v="1"/>
    <n v="3.22"/>
    <n v="0.8"/>
    <s v="medium"/>
    <n v="4"/>
    <n v="6"/>
    <n v="1"/>
    <n v="0"/>
    <m/>
  </r>
  <r>
    <n v="17"/>
    <x v="1"/>
    <n v="1.1000000000000001"/>
    <s v="TikTok"/>
    <n v="4.5999999999999996"/>
    <n v="2.5"/>
    <n v="3.93"/>
    <n v="0.3"/>
    <s v="high"/>
    <n v="10"/>
    <n v="6"/>
    <n v="2"/>
    <n v="0"/>
    <m/>
  </r>
  <r>
    <n v="19"/>
    <x v="0"/>
    <n v="3.8"/>
    <s v="Instagram"/>
    <n v="7.1"/>
    <n v="2.5"/>
    <n v="3.81"/>
    <n v="0.9"/>
    <s v="low"/>
    <n v="6"/>
    <n v="9"/>
    <n v="4"/>
    <n v="0"/>
    <m/>
  </r>
  <r>
    <n v="13"/>
    <x v="0"/>
    <n v="2.1"/>
    <s v="Instagram"/>
    <n v="4.0999999999999996"/>
    <n v="1.6"/>
    <n v="2.12"/>
    <n v="1.8"/>
    <s v="high"/>
    <n v="10"/>
    <n v="9"/>
    <n v="6"/>
    <n v="0"/>
    <m/>
  </r>
  <r>
    <n v="17"/>
    <x v="1"/>
    <n v="6.2"/>
    <s v="Both"/>
    <n v="6.1"/>
    <n v="2.4"/>
    <n v="3.05"/>
    <n v="1.8"/>
    <s v="high"/>
    <n v="3"/>
    <n v="6"/>
    <n v="8"/>
    <n v="0"/>
    <m/>
  </r>
  <r>
    <n v="19"/>
    <x v="0"/>
    <n v="6.8"/>
    <s v="Instagram"/>
    <n v="8.4"/>
    <n v="2.1"/>
    <n v="3.15"/>
    <n v="2"/>
    <s v="medium"/>
    <n v="4"/>
    <n v="10"/>
    <n v="1"/>
    <n v="0"/>
    <m/>
  </r>
  <r>
    <n v="14"/>
    <x v="0"/>
    <n v="5.2"/>
    <s v="Instagram"/>
    <n v="5.5"/>
    <n v="1.6"/>
    <n v="3.08"/>
    <n v="0.5"/>
    <s v="medium"/>
    <n v="3"/>
    <n v="8"/>
    <n v="1"/>
    <n v="0"/>
    <m/>
  </r>
  <r>
    <n v="15"/>
    <x v="0"/>
    <n v="3.7"/>
    <s v="Both"/>
    <n v="4"/>
    <n v="0.9"/>
    <n v="3"/>
    <n v="1.4"/>
    <s v="medium"/>
    <n v="1"/>
    <n v="8"/>
    <n v="10"/>
    <n v="0"/>
    <m/>
  </r>
  <r>
    <n v="19"/>
    <x v="0"/>
    <n v="2.4"/>
    <s v="Both"/>
    <n v="7.5"/>
    <n v="1.8"/>
    <n v="2.35"/>
    <n v="1.4"/>
    <s v="low"/>
    <n v="3"/>
    <n v="8"/>
    <n v="6"/>
    <n v="0"/>
    <m/>
  </r>
  <r>
    <n v="13"/>
    <x v="0"/>
    <n v="2.1"/>
    <s v="TikTok"/>
    <n v="5.8"/>
    <n v="2.7"/>
    <n v="3.83"/>
    <n v="1.9"/>
    <s v="low"/>
    <n v="4"/>
    <n v="6"/>
    <n v="6"/>
    <n v="0"/>
    <m/>
  </r>
  <r>
    <n v="17"/>
    <x v="1"/>
    <n v="2.6"/>
    <s v="TikTok"/>
    <n v="4.2"/>
    <n v="0.7"/>
    <n v="3.02"/>
    <n v="1.6"/>
    <s v="low"/>
    <n v="7"/>
    <n v="4"/>
    <n v="7"/>
    <n v="0"/>
    <m/>
  </r>
  <r>
    <n v="19"/>
    <x v="0"/>
    <n v="6.5"/>
    <s v="Instagram"/>
    <n v="6"/>
    <n v="1.5"/>
    <n v="2.12"/>
    <n v="1.7"/>
    <s v="medium"/>
    <n v="8"/>
    <n v="5"/>
    <n v="7"/>
    <n v="0"/>
    <m/>
  </r>
  <r>
    <n v="16"/>
    <x v="1"/>
    <n v="3.4"/>
    <s v="Instagram"/>
    <n v="5.3"/>
    <n v="1.8"/>
    <n v="3.33"/>
    <n v="0.3"/>
    <s v="low"/>
    <n v="9"/>
    <n v="2"/>
    <n v="4"/>
    <n v="0"/>
    <m/>
  </r>
  <r>
    <n v="16"/>
    <x v="0"/>
    <n v="1.7"/>
    <s v="Both"/>
    <n v="4.3"/>
    <n v="1.4"/>
    <n v="3.27"/>
    <n v="1.2"/>
    <s v="medium"/>
    <n v="10"/>
    <n v="4"/>
    <n v="10"/>
    <n v="0"/>
    <m/>
  </r>
  <r>
    <n v="13"/>
    <x v="0"/>
    <n v="5.6"/>
    <s v="Both"/>
    <n v="4.4000000000000004"/>
    <n v="2.9"/>
    <n v="3.19"/>
    <n v="0.9"/>
    <s v="medium"/>
    <n v="6"/>
    <n v="3"/>
    <n v="4"/>
    <n v="0"/>
    <m/>
  </r>
  <r>
    <n v="15"/>
    <x v="1"/>
    <n v="8"/>
    <s v="Both"/>
    <n v="5.7"/>
    <n v="1.3"/>
    <n v="3.54"/>
    <n v="0.1"/>
    <s v="high"/>
    <n v="9"/>
    <n v="7"/>
    <n v="5"/>
    <n v="1"/>
    <m/>
  </r>
  <r>
    <n v="15"/>
    <x v="1"/>
    <n v="5.7"/>
    <s v="Instagram"/>
    <n v="8.4"/>
    <n v="1.3"/>
    <n v="2.48"/>
    <n v="0.9"/>
    <s v="high"/>
    <n v="5"/>
    <n v="2"/>
    <n v="4"/>
    <n v="0"/>
    <m/>
  </r>
  <r>
    <n v="16"/>
    <x v="1"/>
    <n v="4"/>
    <s v="TikTok"/>
    <n v="5.4"/>
    <n v="2.7"/>
    <n v="2.88"/>
    <n v="1.2"/>
    <s v="medium"/>
    <n v="4"/>
    <n v="10"/>
    <n v="1"/>
    <n v="0"/>
    <m/>
  </r>
  <r>
    <n v="13"/>
    <x v="1"/>
    <n v="3.5"/>
    <s v="Instagram"/>
    <n v="5.3"/>
    <n v="1.7"/>
    <n v="2.2000000000000002"/>
    <n v="0.8"/>
    <s v="high"/>
    <n v="6"/>
    <n v="10"/>
    <n v="8"/>
    <n v="0"/>
    <m/>
  </r>
  <r>
    <n v="15"/>
    <x v="1"/>
    <n v="4.2"/>
    <s v="TikTok"/>
    <n v="5.5"/>
    <n v="1.3"/>
    <n v="3.49"/>
    <n v="0.5"/>
    <s v="low"/>
    <n v="2"/>
    <n v="5"/>
    <n v="2"/>
    <n v="0"/>
    <m/>
  </r>
  <r>
    <n v="19"/>
    <x v="1"/>
    <n v="3.9"/>
    <s v="TikTok"/>
    <n v="7.4"/>
    <n v="2.5"/>
    <n v="3.74"/>
    <n v="0.3"/>
    <s v="medium"/>
    <n v="5"/>
    <n v="8"/>
    <n v="3"/>
    <n v="0"/>
    <m/>
  </r>
  <r>
    <n v="17"/>
    <x v="1"/>
    <n v="6.7"/>
    <s v="Instagram"/>
    <n v="4.3"/>
    <n v="0.6"/>
    <n v="3.76"/>
    <n v="0"/>
    <s v="low"/>
    <n v="2"/>
    <n v="1"/>
    <n v="7"/>
    <n v="0"/>
    <m/>
  </r>
  <r>
    <n v="15"/>
    <x v="0"/>
    <n v="6.7"/>
    <s v="Both"/>
    <n v="4.3"/>
    <n v="1.8"/>
    <n v="3.69"/>
    <n v="0.7"/>
    <s v="high"/>
    <n v="2"/>
    <n v="8"/>
    <n v="7"/>
    <n v="0"/>
    <m/>
  </r>
  <r>
    <n v="14"/>
    <x v="1"/>
    <n v="3.4"/>
    <s v="Instagram"/>
    <n v="5.6"/>
    <n v="1.7"/>
    <n v="3.38"/>
    <n v="0.3"/>
    <s v="high"/>
    <n v="9"/>
    <n v="3"/>
    <n v="1"/>
    <n v="0"/>
    <m/>
  </r>
  <r>
    <n v="16"/>
    <x v="0"/>
    <n v="5"/>
    <s v="TikTok"/>
    <n v="4.3"/>
    <n v="0.7"/>
    <n v="3.68"/>
    <n v="1.2"/>
    <s v="low"/>
    <n v="6"/>
    <n v="2"/>
    <n v="4"/>
    <n v="0"/>
    <m/>
  </r>
  <r>
    <n v="18"/>
    <x v="1"/>
    <n v="3.8"/>
    <s v="Instagram"/>
    <n v="5.9"/>
    <n v="1"/>
    <n v="2.2200000000000002"/>
    <n v="0.6"/>
    <s v="low"/>
    <n v="9"/>
    <n v="10"/>
    <n v="9"/>
    <n v="0"/>
    <m/>
  </r>
  <r>
    <n v="15"/>
    <x v="1"/>
    <n v="7.3"/>
    <s v="TikTok"/>
    <n v="7.3"/>
    <n v="2.8"/>
    <n v="2.46"/>
    <n v="0.3"/>
    <s v="low"/>
    <n v="2"/>
    <n v="7"/>
    <n v="5"/>
    <n v="0"/>
    <m/>
  </r>
  <r>
    <n v="18"/>
    <x v="1"/>
    <n v="7.2"/>
    <s v="TikTok"/>
    <n v="5"/>
    <n v="1.4"/>
    <n v="3.65"/>
    <n v="1.1000000000000001"/>
    <s v="low"/>
    <n v="8"/>
    <n v="8"/>
    <n v="4"/>
    <n v="1"/>
    <m/>
  </r>
  <r>
    <n v="15"/>
    <x v="1"/>
    <n v="3.1"/>
    <s v="Both"/>
    <n v="4.2"/>
    <n v="2.1"/>
    <n v="3.21"/>
    <n v="1.1000000000000001"/>
    <s v="medium"/>
    <n v="8"/>
    <n v="2"/>
    <n v="10"/>
    <n v="0"/>
    <m/>
  </r>
  <r>
    <n v="15"/>
    <x v="1"/>
    <n v="8"/>
    <s v="Instagram"/>
    <n v="4.4000000000000004"/>
    <n v="0.7"/>
    <n v="2.62"/>
    <n v="1.6"/>
    <s v="high"/>
    <n v="6"/>
    <n v="7"/>
    <n v="2"/>
    <n v="0"/>
    <m/>
  </r>
  <r>
    <n v="15"/>
    <x v="0"/>
    <n v="4.3"/>
    <s v="Instagram"/>
    <n v="7.5"/>
    <n v="1.1000000000000001"/>
    <n v="2.06"/>
    <n v="1.8"/>
    <s v="medium"/>
    <n v="5"/>
    <n v="7"/>
    <n v="2"/>
    <n v="0"/>
    <m/>
  </r>
  <r>
    <n v="14"/>
    <x v="1"/>
    <n v="4"/>
    <s v="TikTok"/>
    <n v="5.0999999999999996"/>
    <n v="1.1000000000000001"/>
    <n v="3.98"/>
    <n v="1.3"/>
    <s v="medium"/>
    <n v="5"/>
    <n v="4"/>
    <n v="9"/>
    <n v="0"/>
    <m/>
  </r>
  <r>
    <n v="15"/>
    <x v="0"/>
    <n v="6.9"/>
    <s v="TikTok"/>
    <n v="5.6"/>
    <n v="1.4"/>
    <n v="2.09"/>
    <n v="0.7"/>
    <s v="low"/>
    <n v="9"/>
    <n v="5"/>
    <n v="9"/>
    <n v="0"/>
    <m/>
  </r>
  <r>
    <n v="13"/>
    <x v="0"/>
    <n v="7"/>
    <s v="TikTok"/>
    <n v="4.4000000000000004"/>
    <n v="0.9"/>
    <n v="3.67"/>
    <n v="0.4"/>
    <s v="low"/>
    <n v="5"/>
    <n v="3"/>
    <n v="6"/>
    <n v="0"/>
    <m/>
  </r>
  <r>
    <n v="13"/>
    <x v="0"/>
    <n v="6.2"/>
    <s v="Instagram"/>
    <n v="8.6"/>
    <n v="1.8"/>
    <n v="2.19"/>
    <n v="0.7"/>
    <s v="high"/>
    <n v="8"/>
    <n v="4"/>
    <n v="7"/>
    <n v="0"/>
    <m/>
  </r>
  <r>
    <n v="15"/>
    <x v="0"/>
    <n v="7.7"/>
    <s v="Instagram"/>
    <n v="8"/>
    <n v="1.3"/>
    <n v="3.78"/>
    <n v="1.1000000000000001"/>
    <s v="medium"/>
    <n v="1"/>
    <n v="6"/>
    <n v="5"/>
    <n v="0"/>
    <m/>
  </r>
  <r>
    <n v="19"/>
    <x v="1"/>
    <n v="5.0999999999999996"/>
    <s v="Both"/>
    <n v="6.3"/>
    <n v="2.2999999999999998"/>
    <n v="2.5499999999999998"/>
    <n v="2"/>
    <s v="medium"/>
    <n v="6"/>
    <n v="9"/>
    <n v="7"/>
    <n v="0"/>
    <m/>
  </r>
  <r>
    <n v="15"/>
    <x v="0"/>
    <n v="1"/>
    <s v="TikTok"/>
    <n v="8.5"/>
    <n v="2"/>
    <n v="3.77"/>
    <n v="1.9"/>
    <s v="high"/>
    <n v="4"/>
    <n v="1"/>
    <n v="7"/>
    <n v="0"/>
    <m/>
  </r>
  <r>
    <n v="15"/>
    <x v="1"/>
    <n v="1.1000000000000001"/>
    <s v="Instagram"/>
    <n v="4.5999999999999996"/>
    <n v="1.8"/>
    <n v="2.35"/>
    <n v="1.1000000000000001"/>
    <s v="medium"/>
    <n v="10"/>
    <n v="6"/>
    <n v="6"/>
    <n v="0"/>
    <m/>
  </r>
  <r>
    <n v="13"/>
    <x v="1"/>
    <n v="7"/>
    <s v="Instagram"/>
    <n v="4.9000000000000004"/>
    <n v="1.2"/>
    <n v="3.61"/>
    <n v="0.2"/>
    <s v="medium"/>
    <n v="2"/>
    <n v="3"/>
    <n v="5"/>
    <n v="0"/>
    <m/>
  </r>
  <r>
    <n v="15"/>
    <x v="1"/>
    <n v="2.7"/>
    <s v="Both"/>
    <n v="7.8"/>
    <n v="1.8"/>
    <n v="3.9"/>
    <n v="1.4"/>
    <s v="low"/>
    <n v="5"/>
    <n v="8"/>
    <n v="9"/>
    <n v="0"/>
    <m/>
  </r>
  <r>
    <n v="18"/>
    <x v="0"/>
    <n v="2.5"/>
    <s v="Instagram"/>
    <n v="4.2"/>
    <n v="1.4"/>
    <n v="3.9"/>
    <n v="0.7"/>
    <s v="high"/>
    <n v="5"/>
    <n v="2"/>
    <n v="3"/>
    <n v="0"/>
    <m/>
  </r>
  <r>
    <n v="18"/>
    <x v="1"/>
    <n v="2.2999999999999998"/>
    <s v="TikTok"/>
    <n v="4.3"/>
    <n v="0.9"/>
    <n v="3.27"/>
    <n v="0.1"/>
    <s v="high"/>
    <n v="5"/>
    <n v="9"/>
    <n v="10"/>
    <n v="0"/>
    <m/>
  </r>
  <r>
    <n v="17"/>
    <x v="1"/>
    <n v="2.7"/>
    <s v="TikTok"/>
    <n v="6.6"/>
    <n v="1.6"/>
    <n v="3.36"/>
    <n v="1.6"/>
    <s v="high"/>
    <n v="3"/>
    <n v="1"/>
    <n v="2"/>
    <n v="0"/>
    <m/>
  </r>
  <r>
    <n v="14"/>
    <x v="0"/>
    <n v="3.2"/>
    <s v="Instagram"/>
    <n v="5.4"/>
    <n v="2.6"/>
    <n v="3.18"/>
    <n v="0.9"/>
    <s v="low"/>
    <n v="9"/>
    <n v="1"/>
    <n v="7"/>
    <n v="0"/>
    <m/>
  </r>
  <r>
    <n v="18"/>
    <x v="1"/>
    <n v="3.8"/>
    <s v="Both"/>
    <n v="5.3"/>
    <n v="2.2999999999999998"/>
    <n v="3.42"/>
    <n v="0.4"/>
    <s v="low"/>
    <n v="4"/>
    <n v="8"/>
    <n v="2"/>
    <n v="0"/>
    <m/>
  </r>
  <r>
    <n v="14"/>
    <x v="1"/>
    <n v="4.0999999999999996"/>
    <s v="TikTok"/>
    <n v="5.4"/>
    <n v="2.4"/>
    <n v="2.71"/>
    <n v="1.3"/>
    <s v="low"/>
    <n v="9"/>
    <n v="5"/>
    <n v="10"/>
    <n v="0"/>
    <m/>
  </r>
  <r>
    <n v="13"/>
    <x v="1"/>
    <n v="2.2999999999999998"/>
    <s v="TikTok"/>
    <n v="6.6"/>
    <n v="1.4"/>
    <n v="3.74"/>
    <n v="1.5"/>
    <s v="medium"/>
    <n v="6"/>
    <n v="10"/>
    <n v="1"/>
    <n v="0"/>
    <m/>
  </r>
  <r>
    <n v="15"/>
    <x v="0"/>
    <n v="8"/>
    <s v="Instagram"/>
    <n v="4.7"/>
    <n v="0.6"/>
    <n v="3.01"/>
    <n v="1.8"/>
    <s v="medium"/>
    <n v="2"/>
    <n v="9"/>
    <n v="10"/>
    <n v="0"/>
    <m/>
  </r>
  <r>
    <n v="15"/>
    <x v="1"/>
    <n v="2.9"/>
    <s v="TikTok"/>
    <n v="6.4"/>
    <n v="0.7"/>
    <n v="3.41"/>
    <n v="1.6"/>
    <s v="low"/>
    <n v="3"/>
    <n v="10"/>
    <n v="7"/>
    <n v="0"/>
    <m/>
  </r>
  <r>
    <n v="19"/>
    <x v="1"/>
    <n v="4.4000000000000004"/>
    <s v="Both"/>
    <n v="5"/>
    <n v="2.8"/>
    <n v="2.69"/>
    <n v="0.4"/>
    <s v="high"/>
    <n v="3"/>
    <n v="8"/>
    <n v="8"/>
    <n v="0"/>
    <m/>
  </r>
  <r>
    <n v="18"/>
    <x v="1"/>
    <n v="3.1"/>
    <s v="Both"/>
    <n v="6.8"/>
    <n v="2"/>
    <n v="3.77"/>
    <n v="1.4"/>
    <s v="low"/>
    <n v="1"/>
    <n v="3"/>
    <n v="4"/>
    <n v="0"/>
    <m/>
  </r>
  <r>
    <n v="18"/>
    <x v="0"/>
    <n v="7.9"/>
    <s v="TikTok"/>
    <n v="7.5"/>
    <n v="2"/>
    <n v="2.77"/>
    <n v="0.9"/>
    <s v="low"/>
    <n v="10"/>
    <n v="4"/>
    <n v="4"/>
    <n v="0"/>
    <m/>
  </r>
  <r>
    <n v="14"/>
    <x v="1"/>
    <n v="1.2"/>
    <s v="Both"/>
    <n v="7"/>
    <n v="2.2000000000000002"/>
    <n v="3.83"/>
    <n v="0.8"/>
    <s v="low"/>
    <n v="6"/>
    <n v="10"/>
    <n v="5"/>
    <n v="0"/>
    <m/>
  </r>
  <r>
    <n v="19"/>
    <x v="1"/>
    <n v="4"/>
    <s v="Both"/>
    <n v="7.4"/>
    <n v="2.7"/>
    <n v="3.41"/>
    <n v="1.4"/>
    <s v="medium"/>
    <n v="9"/>
    <n v="4"/>
    <n v="7"/>
    <n v="0"/>
    <m/>
  </r>
  <r>
    <n v="18"/>
    <x v="0"/>
    <n v="1"/>
    <s v="Instagram"/>
    <n v="7.1"/>
    <n v="0.8"/>
    <n v="2.4700000000000002"/>
    <n v="1.9"/>
    <s v="high"/>
    <n v="4"/>
    <n v="2"/>
    <n v="4"/>
    <n v="0"/>
    <m/>
  </r>
  <r>
    <n v="19"/>
    <x v="1"/>
    <n v="7.9"/>
    <s v="Instagram"/>
    <n v="5.7"/>
    <n v="2.4"/>
    <n v="3.59"/>
    <n v="1.9"/>
    <s v="high"/>
    <n v="1"/>
    <n v="9"/>
    <n v="9"/>
    <n v="0"/>
    <m/>
  </r>
  <r>
    <n v="14"/>
    <x v="0"/>
    <n v="6.2"/>
    <s v="TikTok"/>
    <n v="4.4000000000000004"/>
    <n v="0.7"/>
    <n v="3.45"/>
    <n v="0.5"/>
    <s v="medium"/>
    <n v="9"/>
    <n v="10"/>
    <n v="3"/>
    <n v="1"/>
    <m/>
  </r>
  <r>
    <n v="16"/>
    <x v="1"/>
    <n v="2.5"/>
    <s v="Instagram"/>
    <n v="5.4"/>
    <n v="2.2999999999999998"/>
    <n v="3.43"/>
    <n v="0.5"/>
    <s v="high"/>
    <n v="9"/>
    <n v="1"/>
    <n v="2"/>
    <n v="0"/>
    <m/>
  </r>
  <r>
    <n v="16"/>
    <x v="0"/>
    <n v="4.7"/>
    <s v="Both"/>
    <n v="8.1999999999999993"/>
    <n v="2.6"/>
    <n v="3.05"/>
    <n v="1"/>
    <s v="medium"/>
    <n v="4"/>
    <n v="7"/>
    <n v="2"/>
    <n v="0"/>
    <m/>
  </r>
  <r>
    <n v="16"/>
    <x v="0"/>
    <n v="6.3"/>
    <s v="Instagram"/>
    <n v="6.5"/>
    <n v="1"/>
    <n v="2.52"/>
    <n v="0.4"/>
    <s v="low"/>
    <n v="1"/>
    <n v="10"/>
    <n v="6"/>
    <n v="0"/>
    <m/>
  </r>
  <r>
    <n v="17"/>
    <x v="1"/>
    <n v="7.5"/>
    <s v="TikTok"/>
    <n v="5.4"/>
    <n v="2.2999999999999998"/>
    <n v="3.44"/>
    <n v="0.4"/>
    <s v="medium"/>
    <n v="7"/>
    <n v="9"/>
    <n v="7"/>
    <n v="1"/>
    <m/>
  </r>
  <r>
    <n v="18"/>
    <x v="0"/>
    <n v="2"/>
    <s v="TikTok"/>
    <n v="8.4"/>
    <n v="1.5"/>
    <n v="2.83"/>
    <n v="1.2"/>
    <s v="low"/>
    <n v="9"/>
    <n v="4"/>
    <n v="5"/>
    <n v="0"/>
    <m/>
  </r>
  <r>
    <n v="13"/>
    <x v="1"/>
    <n v="6.3"/>
    <s v="Instagram"/>
    <n v="8.4"/>
    <n v="1.6"/>
    <n v="2.0299999999999998"/>
    <n v="1.5"/>
    <s v="medium"/>
    <n v="5"/>
    <n v="3"/>
    <n v="9"/>
    <n v="0"/>
    <m/>
  </r>
  <r>
    <n v="16"/>
    <x v="0"/>
    <n v="6.6"/>
    <s v="Both"/>
    <n v="8.9"/>
    <n v="2"/>
    <n v="3.44"/>
    <n v="1.7"/>
    <s v="low"/>
    <n v="10"/>
    <n v="9"/>
    <n v="3"/>
    <n v="0"/>
    <m/>
  </r>
  <r>
    <n v="19"/>
    <x v="1"/>
    <n v="3.6"/>
    <s v="Both"/>
    <n v="5.6"/>
    <n v="1.7"/>
    <n v="3.57"/>
    <n v="1.5"/>
    <s v="low"/>
    <n v="10"/>
    <n v="4"/>
    <n v="3"/>
    <n v="0"/>
    <m/>
  </r>
  <r>
    <n v="16"/>
    <x v="1"/>
    <n v="3.2"/>
    <s v="Both"/>
    <n v="4.5999999999999996"/>
    <n v="2.5"/>
    <n v="2.62"/>
    <n v="1.8"/>
    <s v="low"/>
    <n v="9"/>
    <n v="5"/>
    <n v="1"/>
    <n v="0"/>
    <m/>
  </r>
  <r>
    <n v="13"/>
    <x v="1"/>
    <n v="3.1"/>
    <s v="Instagram"/>
    <n v="6.4"/>
    <n v="1.6"/>
    <n v="3.69"/>
    <n v="0.9"/>
    <s v="medium"/>
    <n v="1"/>
    <n v="2"/>
    <n v="1"/>
    <n v="0"/>
    <m/>
  </r>
  <r>
    <n v="18"/>
    <x v="0"/>
    <n v="6.7"/>
    <s v="Instagram"/>
    <n v="8.8000000000000007"/>
    <n v="1.9"/>
    <n v="2.5499999999999998"/>
    <n v="1"/>
    <s v="low"/>
    <n v="5"/>
    <n v="8"/>
    <n v="3"/>
    <n v="0"/>
    <m/>
  </r>
  <r>
    <n v="17"/>
    <x v="0"/>
    <n v="6.6"/>
    <s v="TikTok"/>
    <n v="8.1999999999999993"/>
    <n v="0.7"/>
    <n v="2.88"/>
    <n v="0.8"/>
    <s v="low"/>
    <n v="1"/>
    <n v="7"/>
    <n v="7"/>
    <n v="0"/>
    <m/>
  </r>
  <r>
    <n v="14"/>
    <x v="1"/>
    <n v="7"/>
    <s v="Instagram"/>
    <n v="4.5"/>
    <n v="1.6"/>
    <n v="2.83"/>
    <n v="0.4"/>
    <s v="medium"/>
    <n v="8"/>
    <n v="1"/>
    <n v="7"/>
    <n v="0"/>
    <m/>
  </r>
  <r>
    <n v="16"/>
    <x v="1"/>
    <n v="4.8"/>
    <s v="Both"/>
    <n v="5.0999999999999996"/>
    <n v="2.1"/>
    <n v="2.4900000000000002"/>
    <n v="1.6"/>
    <s v="low"/>
    <n v="4"/>
    <n v="9"/>
    <n v="1"/>
    <n v="0"/>
    <m/>
  </r>
  <r>
    <n v="13"/>
    <x v="1"/>
    <n v="5.8"/>
    <s v="Instagram"/>
    <n v="6.3"/>
    <n v="1.1000000000000001"/>
    <n v="3.09"/>
    <n v="0.9"/>
    <s v="medium"/>
    <n v="8"/>
    <n v="4"/>
    <n v="9"/>
    <n v="0"/>
    <m/>
  </r>
  <r>
    <n v="19"/>
    <x v="1"/>
    <n v="6"/>
    <s v="Both"/>
    <n v="6.3"/>
    <n v="2.8"/>
    <n v="3.98"/>
    <n v="2"/>
    <s v="medium"/>
    <n v="2"/>
    <n v="6"/>
    <n v="2"/>
    <n v="0"/>
    <m/>
  </r>
  <r>
    <n v="15"/>
    <x v="0"/>
    <n v="4"/>
    <s v="Both"/>
    <n v="5.2"/>
    <n v="1.8"/>
    <n v="3.3"/>
    <n v="0.7"/>
    <s v="medium"/>
    <n v="10"/>
    <n v="5"/>
    <n v="1"/>
    <n v="0"/>
    <m/>
  </r>
  <r>
    <n v="14"/>
    <x v="1"/>
    <n v="5.8"/>
    <s v="Both"/>
    <n v="4.8"/>
    <n v="2.6"/>
    <n v="2.08"/>
    <n v="0.8"/>
    <s v="medium"/>
    <n v="6"/>
    <n v="4"/>
    <n v="9"/>
    <n v="0"/>
    <m/>
  </r>
  <r>
    <n v="19"/>
    <x v="0"/>
    <n v="5.2"/>
    <s v="Instagram"/>
    <n v="7.6"/>
    <n v="1.3"/>
    <n v="3.89"/>
    <n v="1.5"/>
    <s v="high"/>
    <n v="4"/>
    <n v="5"/>
    <n v="8"/>
    <n v="0"/>
    <m/>
  </r>
  <r>
    <n v="17"/>
    <x v="0"/>
    <n v="2.9"/>
    <s v="Both"/>
    <n v="6.7"/>
    <n v="1.5"/>
    <n v="3.62"/>
    <n v="0.8"/>
    <s v="medium"/>
    <n v="10"/>
    <n v="6"/>
    <n v="4"/>
    <n v="0"/>
    <m/>
  </r>
  <r>
    <n v="18"/>
    <x v="1"/>
    <n v="7.5"/>
    <s v="TikTok"/>
    <n v="7.5"/>
    <n v="1.4"/>
    <n v="3.14"/>
    <n v="2"/>
    <s v="low"/>
    <n v="2"/>
    <n v="9"/>
    <n v="2"/>
    <n v="0"/>
    <m/>
  </r>
  <r>
    <n v="13"/>
    <x v="1"/>
    <n v="5.8"/>
    <s v="Instagram"/>
    <n v="6.1"/>
    <n v="1.2"/>
    <n v="3.81"/>
    <n v="1.8"/>
    <s v="medium"/>
    <n v="6"/>
    <n v="10"/>
    <n v="6"/>
    <n v="0"/>
    <m/>
  </r>
  <r>
    <n v="14"/>
    <x v="0"/>
    <n v="7.6"/>
    <s v="Instagram"/>
    <n v="5.8"/>
    <n v="1.9"/>
    <n v="3.49"/>
    <n v="1.7"/>
    <s v="high"/>
    <n v="10"/>
    <n v="1"/>
    <n v="3"/>
    <n v="0"/>
    <m/>
  </r>
  <r>
    <n v="15"/>
    <x v="1"/>
    <n v="1.3"/>
    <s v="TikTok"/>
    <n v="7.6"/>
    <n v="0.6"/>
    <n v="3.46"/>
    <n v="1.9"/>
    <s v="low"/>
    <n v="1"/>
    <n v="1"/>
    <n v="4"/>
    <n v="0"/>
    <m/>
  </r>
  <r>
    <n v="15"/>
    <x v="0"/>
    <n v="3.7"/>
    <s v="Both"/>
    <n v="5.7"/>
    <n v="1.3"/>
    <n v="3.24"/>
    <n v="0.2"/>
    <s v="low"/>
    <n v="4"/>
    <n v="9"/>
    <n v="10"/>
    <n v="0"/>
    <m/>
  </r>
  <r>
    <n v="18"/>
    <x v="0"/>
    <n v="3.6"/>
    <s v="Instagram"/>
    <n v="4.7"/>
    <n v="2.5"/>
    <n v="2.73"/>
    <n v="1.2"/>
    <s v="medium"/>
    <n v="9"/>
    <n v="7"/>
    <n v="6"/>
    <n v="0"/>
    <m/>
  </r>
  <r>
    <n v="15"/>
    <x v="0"/>
    <n v="6.4"/>
    <s v="TikTok"/>
    <n v="6.9"/>
    <n v="2.9"/>
    <n v="2.48"/>
    <n v="0.9"/>
    <s v="low"/>
    <n v="8"/>
    <n v="4"/>
    <n v="8"/>
    <n v="0"/>
    <m/>
  </r>
  <r>
    <n v="13"/>
    <x v="0"/>
    <n v="6"/>
    <s v="TikTok"/>
    <n v="4.8"/>
    <n v="2.6"/>
    <n v="2.74"/>
    <n v="1.6"/>
    <s v="high"/>
    <n v="6"/>
    <n v="10"/>
    <n v="8"/>
    <n v="0"/>
    <m/>
  </r>
  <r>
    <n v="14"/>
    <x v="1"/>
    <n v="1.3"/>
    <s v="TikTok"/>
    <n v="7.7"/>
    <n v="1.9"/>
    <n v="2.27"/>
    <n v="1.5"/>
    <s v="low"/>
    <n v="7"/>
    <n v="2"/>
    <n v="2"/>
    <n v="0"/>
    <m/>
  </r>
  <r>
    <n v="18"/>
    <x v="0"/>
    <n v="3.7"/>
    <s v="Instagram"/>
    <n v="7"/>
    <n v="1.4"/>
    <n v="2.0499999999999998"/>
    <n v="0.4"/>
    <s v="medium"/>
    <n v="10"/>
    <n v="9"/>
    <n v="5"/>
    <n v="0"/>
    <m/>
  </r>
  <r>
    <n v="18"/>
    <x v="1"/>
    <n v="8"/>
    <s v="TikTok"/>
    <n v="4.3"/>
    <n v="0.8"/>
    <n v="3.44"/>
    <n v="0.8"/>
    <s v="medium"/>
    <n v="3"/>
    <n v="4"/>
    <n v="4"/>
    <n v="0"/>
    <m/>
  </r>
  <r>
    <n v="19"/>
    <x v="1"/>
    <n v="4.0999999999999996"/>
    <s v="Both"/>
    <n v="7.5"/>
    <n v="2.7"/>
    <n v="2.66"/>
    <n v="1.6"/>
    <s v="high"/>
    <n v="5"/>
    <n v="10"/>
    <n v="5"/>
    <n v="0"/>
    <m/>
  </r>
  <r>
    <n v="13"/>
    <x v="0"/>
    <n v="3.9"/>
    <s v="Both"/>
    <n v="8.6999999999999993"/>
    <n v="1.5"/>
    <n v="2.71"/>
    <n v="0.7"/>
    <s v="low"/>
    <n v="7"/>
    <n v="1"/>
    <n v="4"/>
    <n v="0"/>
    <m/>
  </r>
  <r>
    <n v="15"/>
    <x v="1"/>
    <n v="6.4"/>
    <s v="Instagram"/>
    <n v="5.9"/>
    <n v="1.6"/>
    <n v="3.97"/>
    <n v="1"/>
    <s v="high"/>
    <n v="10"/>
    <n v="2"/>
    <n v="6"/>
    <n v="0"/>
    <m/>
  </r>
  <r>
    <n v="19"/>
    <x v="1"/>
    <n v="1.3"/>
    <s v="TikTok"/>
    <n v="6.5"/>
    <n v="2.1"/>
    <n v="3.68"/>
    <n v="1.1000000000000001"/>
    <s v="high"/>
    <n v="7"/>
    <n v="1"/>
    <n v="9"/>
    <n v="0"/>
    <m/>
  </r>
  <r>
    <n v="18"/>
    <x v="1"/>
    <n v="5"/>
    <s v="Instagram"/>
    <n v="6.6"/>
    <n v="1.8"/>
    <n v="3.87"/>
    <n v="1.2"/>
    <s v="high"/>
    <n v="3"/>
    <n v="4"/>
    <n v="2"/>
    <n v="0"/>
    <m/>
  </r>
  <r>
    <n v="18"/>
    <x v="0"/>
    <n v="5.5"/>
    <s v="Both"/>
    <n v="5.2"/>
    <n v="1.4"/>
    <n v="3.24"/>
    <n v="0.9"/>
    <s v="medium"/>
    <n v="10"/>
    <n v="5"/>
    <n v="7"/>
    <n v="0"/>
    <m/>
  </r>
  <r>
    <n v="13"/>
    <x v="1"/>
    <n v="7.6"/>
    <s v="Instagram"/>
    <n v="7.9"/>
    <n v="3"/>
    <n v="2.54"/>
    <n v="1.2"/>
    <s v="high"/>
    <n v="8"/>
    <n v="8"/>
    <n v="1"/>
    <n v="0"/>
    <m/>
  </r>
  <r>
    <n v="19"/>
    <x v="1"/>
    <n v="6.3"/>
    <s v="Both"/>
    <n v="5.7"/>
    <n v="2.2999999999999998"/>
    <n v="2.16"/>
    <n v="1.9"/>
    <s v="high"/>
    <n v="6"/>
    <n v="3"/>
    <n v="6"/>
    <n v="0"/>
    <m/>
  </r>
  <r>
    <n v="18"/>
    <x v="1"/>
    <n v="2"/>
    <s v="Instagram"/>
    <n v="5.9"/>
    <n v="2.9"/>
    <n v="3.52"/>
    <n v="1.1000000000000001"/>
    <s v="high"/>
    <n v="8"/>
    <n v="6"/>
    <n v="10"/>
    <n v="0"/>
    <m/>
  </r>
  <r>
    <n v="15"/>
    <x v="0"/>
    <n v="4"/>
    <s v="TikTok"/>
    <n v="4.5"/>
    <n v="1.9"/>
    <n v="3.22"/>
    <n v="0.2"/>
    <s v="medium"/>
    <n v="4"/>
    <n v="5"/>
    <n v="3"/>
    <n v="0"/>
    <m/>
  </r>
  <r>
    <n v="14"/>
    <x v="0"/>
    <n v="4.9000000000000004"/>
    <s v="Instagram"/>
    <n v="5.5"/>
    <n v="1.6"/>
    <n v="2.85"/>
    <n v="0.4"/>
    <s v="low"/>
    <n v="8"/>
    <n v="1"/>
    <n v="8"/>
    <n v="0"/>
    <m/>
  </r>
  <r>
    <n v="14"/>
    <x v="1"/>
    <n v="6.9"/>
    <s v="TikTok"/>
    <n v="8"/>
    <n v="1.6"/>
    <n v="2.64"/>
    <n v="0.1"/>
    <s v="medium"/>
    <n v="3"/>
    <n v="3"/>
    <n v="3"/>
    <n v="0"/>
    <m/>
  </r>
  <r>
    <n v="15"/>
    <x v="0"/>
    <n v="5.4"/>
    <s v="TikTok"/>
    <n v="4.2"/>
    <n v="1.8"/>
    <n v="2.15"/>
    <n v="0.3"/>
    <s v="medium"/>
    <n v="1"/>
    <n v="10"/>
    <n v="5"/>
    <n v="0"/>
    <m/>
  </r>
  <r>
    <n v="13"/>
    <x v="1"/>
    <n v="3.8"/>
    <s v="Both"/>
    <n v="8.9"/>
    <n v="2.5"/>
    <n v="2.29"/>
    <n v="0.6"/>
    <s v="high"/>
    <n v="9"/>
    <n v="9"/>
    <n v="7"/>
    <n v="0"/>
    <m/>
  </r>
  <r>
    <n v="15"/>
    <x v="0"/>
    <n v="7.8"/>
    <s v="Both"/>
    <n v="6.8"/>
    <n v="0.6"/>
    <n v="3.2"/>
    <n v="1.7"/>
    <s v="medium"/>
    <n v="1"/>
    <n v="7"/>
    <n v="5"/>
    <n v="0"/>
    <m/>
  </r>
  <r>
    <n v="15"/>
    <x v="0"/>
    <n v="3.5"/>
    <s v="Both"/>
    <n v="8.8000000000000007"/>
    <n v="1.8"/>
    <n v="3.5"/>
    <n v="0.8"/>
    <s v="low"/>
    <n v="3"/>
    <n v="6"/>
    <n v="3"/>
    <n v="0"/>
    <m/>
  </r>
  <r>
    <n v="19"/>
    <x v="1"/>
    <n v="5.4"/>
    <s v="Instagram"/>
    <n v="7.3"/>
    <n v="2"/>
    <n v="3.98"/>
    <n v="0.9"/>
    <s v="medium"/>
    <n v="6"/>
    <n v="6"/>
    <n v="1"/>
    <n v="0"/>
    <m/>
  </r>
  <r>
    <n v="17"/>
    <x v="0"/>
    <n v="3.8"/>
    <s v="Both"/>
    <n v="5.7"/>
    <n v="2"/>
    <n v="3.01"/>
    <n v="1"/>
    <s v="low"/>
    <n v="1"/>
    <n v="3"/>
    <n v="1"/>
    <n v="0"/>
    <m/>
  </r>
  <r>
    <n v="17"/>
    <x v="0"/>
    <n v="8"/>
    <s v="Instagram"/>
    <n v="6.9"/>
    <n v="2.2000000000000002"/>
    <n v="2.36"/>
    <n v="1.6"/>
    <s v="low"/>
    <n v="4"/>
    <n v="2"/>
    <n v="8"/>
    <n v="0"/>
    <m/>
  </r>
  <r>
    <n v="14"/>
    <x v="1"/>
    <n v="3.7"/>
    <s v="TikTok"/>
    <n v="5.7"/>
    <n v="1.7"/>
    <n v="2.88"/>
    <n v="0.2"/>
    <s v="low"/>
    <n v="9"/>
    <n v="10"/>
    <n v="3"/>
    <n v="0"/>
    <m/>
  </r>
  <r>
    <n v="19"/>
    <x v="1"/>
    <n v="5"/>
    <s v="Instagram"/>
    <n v="6.3"/>
    <n v="2.9"/>
    <n v="2.04"/>
    <n v="0.5"/>
    <s v="medium"/>
    <n v="5"/>
    <n v="2"/>
    <n v="2"/>
    <n v="0"/>
    <m/>
  </r>
  <r>
    <n v="19"/>
    <x v="1"/>
    <n v="4.2"/>
    <s v="Instagram"/>
    <n v="7.1"/>
    <n v="2.5"/>
    <n v="3.91"/>
    <n v="1.5"/>
    <s v="high"/>
    <n v="6"/>
    <n v="8"/>
    <n v="9"/>
    <n v="0"/>
    <m/>
  </r>
  <r>
    <n v="16"/>
    <x v="0"/>
    <n v="4.5999999999999996"/>
    <s v="Instagram"/>
    <n v="8.1999999999999993"/>
    <n v="1.5"/>
    <n v="2.13"/>
    <n v="1"/>
    <s v="low"/>
    <n v="3"/>
    <n v="2"/>
    <n v="2"/>
    <n v="0"/>
    <m/>
  </r>
  <r>
    <n v="18"/>
    <x v="0"/>
    <n v="5.5"/>
    <s v="Instagram"/>
    <n v="5"/>
    <n v="0.9"/>
    <n v="2.93"/>
    <n v="1.1000000000000001"/>
    <s v="low"/>
    <n v="4"/>
    <n v="10"/>
    <n v="10"/>
    <n v="0"/>
    <m/>
  </r>
  <r>
    <n v="19"/>
    <x v="1"/>
    <n v="1.8"/>
    <s v="Instagram"/>
    <n v="4.5"/>
    <n v="2.8"/>
    <n v="3.22"/>
    <n v="1.6"/>
    <s v="medium"/>
    <n v="5"/>
    <n v="3"/>
    <n v="10"/>
    <n v="0"/>
    <m/>
  </r>
  <r>
    <n v="14"/>
    <x v="1"/>
    <n v="6.6"/>
    <s v="TikTok"/>
    <n v="6.2"/>
    <n v="1.8"/>
    <n v="2.36"/>
    <n v="1.7"/>
    <s v="high"/>
    <n v="4"/>
    <n v="1"/>
    <n v="8"/>
    <n v="0"/>
    <m/>
  </r>
  <r>
    <n v="15"/>
    <x v="1"/>
    <n v="4.4000000000000004"/>
    <s v="TikTok"/>
    <n v="5.3"/>
    <n v="0.9"/>
    <n v="3.75"/>
    <n v="0.5"/>
    <s v="high"/>
    <n v="10"/>
    <n v="5"/>
    <n v="5"/>
    <n v="0"/>
    <m/>
  </r>
  <r>
    <n v="14"/>
    <x v="1"/>
    <n v="4.7"/>
    <s v="TikTok"/>
    <n v="4.4000000000000004"/>
    <n v="2.1"/>
    <n v="3.92"/>
    <n v="0.9"/>
    <s v="low"/>
    <n v="10"/>
    <n v="1"/>
    <n v="4"/>
    <n v="0"/>
    <m/>
  </r>
  <r>
    <n v="18"/>
    <x v="1"/>
    <n v="7.1"/>
    <s v="Instagram"/>
    <n v="5.7"/>
    <n v="0.6"/>
    <n v="2.9"/>
    <n v="1.7"/>
    <s v="medium"/>
    <n v="3"/>
    <n v="1"/>
    <n v="6"/>
    <n v="0"/>
    <m/>
  </r>
  <r>
    <n v="17"/>
    <x v="0"/>
    <n v="4"/>
    <s v="Both"/>
    <n v="8.5"/>
    <n v="1"/>
    <n v="2.16"/>
    <n v="0.1"/>
    <s v="low"/>
    <n v="1"/>
    <n v="7"/>
    <n v="5"/>
    <n v="0"/>
    <m/>
  </r>
  <r>
    <n v="18"/>
    <x v="1"/>
    <n v="5.5"/>
    <s v="Instagram"/>
    <n v="5.3"/>
    <n v="2.6"/>
    <n v="3.09"/>
    <n v="2"/>
    <s v="low"/>
    <n v="8"/>
    <n v="6"/>
    <n v="3"/>
    <n v="0"/>
    <m/>
  </r>
  <r>
    <n v="19"/>
    <x v="0"/>
    <n v="5.6"/>
    <s v="TikTok"/>
    <n v="6.5"/>
    <n v="1.4"/>
    <n v="3.19"/>
    <n v="0"/>
    <s v="high"/>
    <n v="9"/>
    <n v="9"/>
    <n v="7"/>
    <n v="0"/>
    <m/>
  </r>
  <r>
    <n v="14"/>
    <x v="1"/>
    <n v="3.7"/>
    <s v="Both"/>
    <n v="7.1"/>
    <n v="1.7"/>
    <n v="2.5"/>
    <n v="1.8"/>
    <s v="medium"/>
    <n v="10"/>
    <n v="4"/>
    <n v="5"/>
    <n v="0"/>
    <m/>
  </r>
  <r>
    <n v="16"/>
    <x v="0"/>
    <n v="1.8"/>
    <s v="TikTok"/>
    <n v="7.4"/>
    <n v="2.2999999999999998"/>
    <n v="3.76"/>
    <n v="0.8"/>
    <s v="low"/>
    <n v="9"/>
    <n v="5"/>
    <n v="8"/>
    <n v="0"/>
    <m/>
  </r>
  <r>
    <n v="16"/>
    <x v="1"/>
    <n v="7.6"/>
    <s v="TikTok"/>
    <n v="4.2"/>
    <n v="2.8"/>
    <n v="3.87"/>
    <n v="0.7"/>
    <s v="high"/>
    <n v="10"/>
    <n v="2"/>
    <n v="9"/>
    <n v="0"/>
    <m/>
  </r>
  <r>
    <n v="18"/>
    <x v="0"/>
    <n v="5.7"/>
    <s v="TikTok"/>
    <n v="8"/>
    <n v="2.5"/>
    <n v="3.4"/>
    <n v="0.1"/>
    <s v="low"/>
    <n v="5"/>
    <n v="2"/>
    <n v="1"/>
    <n v="0"/>
    <m/>
  </r>
  <r>
    <n v="14"/>
    <x v="1"/>
    <n v="6.1"/>
    <s v="Instagram"/>
    <n v="7"/>
    <n v="2.7"/>
    <n v="3.97"/>
    <n v="1"/>
    <s v="medium"/>
    <n v="1"/>
    <n v="8"/>
    <n v="8"/>
    <n v="0"/>
    <m/>
  </r>
  <r>
    <n v="13"/>
    <x v="1"/>
    <n v="6"/>
    <s v="Instagram"/>
    <n v="7.2"/>
    <n v="0.6"/>
    <n v="2.11"/>
    <n v="1.1000000000000001"/>
    <s v="low"/>
    <n v="1"/>
    <n v="3"/>
    <n v="6"/>
    <n v="0"/>
    <m/>
  </r>
  <r>
    <n v="15"/>
    <x v="1"/>
    <n v="3.1"/>
    <s v="TikTok"/>
    <n v="4.2"/>
    <n v="2.4"/>
    <n v="3.41"/>
    <n v="0.2"/>
    <s v="low"/>
    <n v="3"/>
    <n v="7"/>
    <n v="5"/>
    <n v="0"/>
    <m/>
  </r>
  <r>
    <n v="17"/>
    <x v="0"/>
    <n v="7.6"/>
    <s v="Instagram"/>
    <n v="6"/>
    <n v="2"/>
    <n v="3.82"/>
    <n v="1.5"/>
    <s v="low"/>
    <n v="8"/>
    <n v="9"/>
    <n v="7"/>
    <n v="0"/>
    <m/>
  </r>
  <r>
    <n v="17"/>
    <x v="0"/>
    <n v="6"/>
    <s v="Both"/>
    <n v="5.3"/>
    <n v="2.7"/>
    <n v="3.2"/>
    <n v="1.4"/>
    <s v="medium"/>
    <n v="8"/>
    <n v="2"/>
    <n v="4"/>
    <n v="0"/>
    <m/>
  </r>
  <r>
    <n v="13"/>
    <x v="1"/>
    <n v="3.5"/>
    <s v="Instagram"/>
    <n v="5.3"/>
    <n v="2.7"/>
    <n v="3.7"/>
    <n v="0.5"/>
    <s v="low"/>
    <n v="3"/>
    <n v="7"/>
    <n v="2"/>
    <n v="0"/>
    <m/>
  </r>
  <r>
    <n v="14"/>
    <x v="1"/>
    <n v="1.3"/>
    <s v="TikTok"/>
    <n v="7.5"/>
    <n v="1.4"/>
    <n v="3.85"/>
    <n v="1.6"/>
    <s v="medium"/>
    <n v="10"/>
    <n v="8"/>
    <n v="7"/>
    <n v="0"/>
    <m/>
  </r>
  <r>
    <n v="18"/>
    <x v="1"/>
    <n v="2.8"/>
    <s v="TikTok"/>
    <n v="7"/>
    <n v="2.9"/>
    <n v="3.91"/>
    <n v="1.1000000000000001"/>
    <s v="medium"/>
    <n v="9"/>
    <n v="9"/>
    <n v="1"/>
    <n v="0"/>
    <m/>
  </r>
  <r>
    <n v="14"/>
    <x v="0"/>
    <n v="3.9"/>
    <s v="Both"/>
    <n v="4.8"/>
    <n v="0.8"/>
    <n v="3.32"/>
    <n v="0.3"/>
    <s v="high"/>
    <n v="5"/>
    <n v="2"/>
    <n v="5"/>
    <n v="0"/>
    <m/>
  </r>
  <r>
    <n v="19"/>
    <x v="0"/>
    <n v="3.9"/>
    <s v="Both"/>
    <n v="4.8"/>
    <n v="2.8"/>
    <n v="3.98"/>
    <n v="1.9"/>
    <s v="medium"/>
    <n v="7"/>
    <n v="5"/>
    <n v="3"/>
    <n v="0"/>
    <m/>
  </r>
  <r>
    <n v="14"/>
    <x v="0"/>
    <n v="7.4"/>
    <s v="Instagram"/>
    <n v="8.9"/>
    <n v="2.4"/>
    <n v="2.29"/>
    <n v="1.1000000000000001"/>
    <s v="low"/>
    <n v="10"/>
    <n v="4"/>
    <n v="8"/>
    <n v="0"/>
    <m/>
  </r>
  <r>
    <n v="19"/>
    <x v="1"/>
    <n v="5.4"/>
    <s v="TikTok"/>
    <n v="7.4"/>
    <n v="1.7"/>
    <n v="2.88"/>
    <n v="0.6"/>
    <s v="low"/>
    <n v="6"/>
    <n v="10"/>
    <n v="9"/>
    <n v="0"/>
    <m/>
  </r>
  <r>
    <n v="19"/>
    <x v="1"/>
    <n v="6.6"/>
    <s v="Both"/>
    <n v="6.8"/>
    <n v="0.8"/>
    <n v="2.64"/>
    <n v="1.5"/>
    <s v="low"/>
    <n v="5"/>
    <n v="4"/>
    <n v="6"/>
    <n v="0"/>
    <m/>
  </r>
  <r>
    <n v="17"/>
    <x v="0"/>
    <n v="5.9"/>
    <s v="Instagram"/>
    <n v="7.4"/>
    <n v="1.7"/>
    <n v="2.5"/>
    <n v="0.7"/>
    <s v="high"/>
    <n v="6"/>
    <n v="7"/>
    <n v="1"/>
    <n v="0"/>
    <m/>
  </r>
  <r>
    <n v="17"/>
    <x v="0"/>
    <n v="3.3"/>
    <s v="Both"/>
    <n v="5.2"/>
    <n v="1.8"/>
    <n v="2.1"/>
    <n v="1.2"/>
    <s v="low"/>
    <n v="2"/>
    <n v="3"/>
    <n v="9"/>
    <n v="0"/>
    <m/>
  </r>
  <r>
    <n v="15"/>
    <x v="1"/>
    <n v="2.8"/>
    <s v="Instagram"/>
    <n v="7.7"/>
    <n v="1"/>
    <n v="3.73"/>
    <n v="0.5"/>
    <s v="medium"/>
    <n v="6"/>
    <n v="10"/>
    <n v="1"/>
    <n v="0"/>
    <m/>
  </r>
  <r>
    <n v="14"/>
    <x v="1"/>
    <n v="7.3"/>
    <s v="TikTok"/>
    <n v="8.8000000000000007"/>
    <n v="2.5"/>
    <n v="2.12"/>
    <n v="0.5"/>
    <s v="high"/>
    <n v="10"/>
    <n v="10"/>
    <n v="1"/>
    <n v="0"/>
    <m/>
  </r>
  <r>
    <n v="18"/>
    <x v="0"/>
    <n v="2.8"/>
    <s v="Instagram"/>
    <n v="6.9"/>
    <n v="2.2999999999999998"/>
    <n v="3.11"/>
    <n v="0.1"/>
    <s v="medium"/>
    <n v="7"/>
    <n v="1"/>
    <n v="9"/>
    <n v="0"/>
    <m/>
  </r>
  <r>
    <n v="18"/>
    <x v="1"/>
    <n v="7.2"/>
    <s v="TikTok"/>
    <n v="7.7"/>
    <n v="1.2"/>
    <n v="3.7"/>
    <n v="0.1"/>
    <s v="low"/>
    <n v="6"/>
    <n v="3"/>
    <n v="9"/>
    <n v="0"/>
    <m/>
  </r>
  <r>
    <n v="19"/>
    <x v="1"/>
    <n v="7.1"/>
    <s v="TikTok"/>
    <n v="6.3"/>
    <n v="0.8"/>
    <n v="3.66"/>
    <n v="0.5"/>
    <s v="high"/>
    <n v="3"/>
    <n v="7"/>
    <n v="7"/>
    <n v="0"/>
    <m/>
  </r>
  <r>
    <n v="13"/>
    <x v="1"/>
    <n v="4.3"/>
    <s v="TikTok"/>
    <n v="4.4000000000000004"/>
    <n v="0.9"/>
    <n v="2.35"/>
    <n v="1.5"/>
    <s v="high"/>
    <n v="3"/>
    <n v="1"/>
    <n v="7"/>
    <n v="0"/>
    <m/>
  </r>
  <r>
    <n v="19"/>
    <x v="0"/>
    <n v="1.6"/>
    <s v="Both"/>
    <n v="4.4000000000000004"/>
    <n v="1.4"/>
    <n v="2.0299999999999998"/>
    <n v="1.1000000000000001"/>
    <s v="high"/>
    <n v="2"/>
    <n v="9"/>
    <n v="5"/>
    <n v="0"/>
    <m/>
  </r>
  <r>
    <n v="19"/>
    <x v="1"/>
    <n v="1.4"/>
    <s v="Both"/>
    <n v="8"/>
    <n v="2.5"/>
    <n v="3.54"/>
    <n v="1.8"/>
    <s v="low"/>
    <n v="4"/>
    <n v="8"/>
    <n v="3"/>
    <n v="0"/>
    <m/>
  </r>
  <r>
    <n v="18"/>
    <x v="1"/>
    <n v="3.2"/>
    <s v="Instagram"/>
    <n v="6.8"/>
    <n v="2.2999999999999998"/>
    <n v="3.16"/>
    <n v="1.8"/>
    <s v="low"/>
    <n v="4"/>
    <n v="8"/>
    <n v="5"/>
    <n v="0"/>
    <m/>
  </r>
  <r>
    <n v="17"/>
    <x v="0"/>
    <n v="1.5"/>
    <s v="Both"/>
    <n v="8"/>
    <n v="0.5"/>
    <n v="3.01"/>
    <n v="0.4"/>
    <s v="medium"/>
    <n v="10"/>
    <n v="2"/>
    <n v="3"/>
    <n v="0"/>
    <m/>
  </r>
  <r>
    <n v="18"/>
    <x v="0"/>
    <n v="7.5"/>
    <s v="TikTok"/>
    <n v="5.0999999999999996"/>
    <n v="2.6"/>
    <n v="3.82"/>
    <n v="0.7"/>
    <s v="low"/>
    <n v="7"/>
    <n v="3"/>
    <n v="8"/>
    <n v="0"/>
    <m/>
  </r>
  <r>
    <n v="14"/>
    <x v="1"/>
    <n v="3.5"/>
    <s v="Instagram"/>
    <n v="4.5999999999999996"/>
    <n v="0.7"/>
    <n v="2.74"/>
    <n v="1"/>
    <s v="low"/>
    <n v="2"/>
    <n v="7"/>
    <n v="8"/>
    <n v="0"/>
    <m/>
  </r>
  <r>
    <n v="17"/>
    <x v="0"/>
    <n v="4.4000000000000004"/>
    <s v="Both"/>
    <n v="8.1999999999999993"/>
    <n v="2.7"/>
    <n v="3.13"/>
    <n v="0.3"/>
    <s v="medium"/>
    <n v="3"/>
    <n v="1"/>
    <n v="2"/>
    <n v="0"/>
    <m/>
  </r>
  <r>
    <n v="17"/>
    <x v="0"/>
    <n v="4.5999999999999996"/>
    <s v="TikTok"/>
    <n v="5.0999999999999996"/>
    <n v="2.5"/>
    <n v="2.13"/>
    <n v="1"/>
    <s v="medium"/>
    <n v="2"/>
    <n v="5"/>
    <n v="6"/>
    <n v="0"/>
    <m/>
  </r>
  <r>
    <n v="13"/>
    <x v="0"/>
    <n v="5.9"/>
    <s v="TikTok"/>
    <n v="6.6"/>
    <n v="2.6"/>
    <n v="3.58"/>
    <n v="1.6"/>
    <s v="medium"/>
    <n v="7"/>
    <n v="7"/>
    <n v="10"/>
    <n v="0"/>
    <m/>
  </r>
  <r>
    <n v="16"/>
    <x v="1"/>
    <n v="7.8"/>
    <s v="TikTok"/>
    <n v="4.7"/>
    <n v="1.1000000000000001"/>
    <n v="3.53"/>
    <n v="2"/>
    <s v="medium"/>
    <n v="9"/>
    <n v="3"/>
    <n v="8"/>
    <n v="0"/>
    <m/>
  </r>
  <r>
    <n v="15"/>
    <x v="1"/>
    <n v="4.8"/>
    <s v="TikTok"/>
    <n v="7.3"/>
    <n v="1.9"/>
    <n v="2.76"/>
    <n v="0.9"/>
    <s v="high"/>
    <n v="2"/>
    <n v="10"/>
    <n v="1"/>
    <n v="0"/>
    <m/>
  </r>
  <r>
    <n v="16"/>
    <x v="1"/>
    <n v="7.4"/>
    <s v="TikTok"/>
    <n v="4.5999999999999996"/>
    <n v="1"/>
    <n v="2.23"/>
    <n v="1.1000000000000001"/>
    <s v="low"/>
    <n v="2"/>
    <n v="4"/>
    <n v="5"/>
    <n v="0"/>
    <m/>
  </r>
  <r>
    <n v="18"/>
    <x v="0"/>
    <n v="2.7"/>
    <s v="Instagram"/>
    <n v="7.9"/>
    <n v="1.2"/>
    <n v="2.75"/>
    <n v="1.9"/>
    <s v="medium"/>
    <n v="5"/>
    <n v="8"/>
    <n v="3"/>
    <n v="0"/>
    <m/>
  </r>
  <r>
    <n v="13"/>
    <x v="1"/>
    <n v="5.3"/>
    <s v="TikTok"/>
    <n v="6.4"/>
    <n v="1.1000000000000001"/>
    <n v="3.32"/>
    <n v="1.9"/>
    <s v="medium"/>
    <n v="8"/>
    <n v="5"/>
    <n v="10"/>
    <n v="0"/>
    <m/>
  </r>
  <r>
    <n v="16"/>
    <x v="1"/>
    <n v="3.6"/>
    <s v="Both"/>
    <n v="4.4000000000000004"/>
    <n v="2.4"/>
    <n v="2.5299999999999998"/>
    <n v="0.7"/>
    <s v="medium"/>
    <n v="1"/>
    <n v="7"/>
    <n v="5"/>
    <n v="0"/>
    <m/>
  </r>
  <r>
    <n v="18"/>
    <x v="0"/>
    <n v="2.5"/>
    <s v="Both"/>
    <n v="5.7"/>
    <n v="2.1"/>
    <n v="3.33"/>
    <n v="0.6"/>
    <s v="low"/>
    <n v="8"/>
    <n v="4"/>
    <n v="6"/>
    <n v="0"/>
    <m/>
  </r>
  <r>
    <n v="15"/>
    <x v="0"/>
    <n v="4.5"/>
    <s v="Both"/>
    <n v="7"/>
    <n v="1.5"/>
    <n v="3.16"/>
    <n v="1.7"/>
    <s v="medium"/>
    <n v="4"/>
    <n v="7"/>
    <n v="10"/>
    <n v="0"/>
    <m/>
  </r>
  <r>
    <n v="18"/>
    <x v="1"/>
    <n v="1.9"/>
    <s v="Both"/>
    <n v="5.0999999999999996"/>
    <n v="2.9"/>
    <n v="2.62"/>
    <n v="1"/>
    <s v="low"/>
    <n v="4"/>
    <n v="3"/>
    <n v="2"/>
    <n v="0"/>
    <m/>
  </r>
  <r>
    <n v="17"/>
    <x v="0"/>
    <n v="3.8"/>
    <s v="Instagram"/>
    <n v="7.7"/>
    <n v="0.7"/>
    <n v="3.45"/>
    <n v="1"/>
    <s v="low"/>
    <n v="2"/>
    <n v="8"/>
    <n v="9"/>
    <n v="0"/>
    <m/>
  </r>
  <r>
    <n v="18"/>
    <x v="1"/>
    <n v="3.9"/>
    <s v="Both"/>
    <n v="4"/>
    <n v="1.8"/>
    <n v="2.19"/>
    <n v="1.4"/>
    <s v="high"/>
    <n v="1"/>
    <n v="2"/>
    <n v="5"/>
    <n v="0"/>
    <m/>
  </r>
  <r>
    <n v="17"/>
    <x v="1"/>
    <n v="1.1000000000000001"/>
    <s v="Both"/>
    <n v="8.6999999999999993"/>
    <n v="2.1"/>
    <n v="3.01"/>
    <n v="0.7"/>
    <s v="medium"/>
    <n v="1"/>
    <n v="1"/>
    <n v="3"/>
    <n v="0"/>
    <m/>
  </r>
  <r>
    <n v="15"/>
    <x v="1"/>
    <n v="3.9"/>
    <s v="Both"/>
    <n v="8.6999999999999993"/>
    <n v="1.1000000000000001"/>
    <n v="2.82"/>
    <n v="0.3"/>
    <s v="high"/>
    <n v="5"/>
    <n v="10"/>
    <n v="6"/>
    <n v="0"/>
    <m/>
  </r>
  <r>
    <n v="16"/>
    <x v="0"/>
    <n v="8"/>
    <s v="Instagram"/>
    <n v="8.1"/>
    <n v="2.5"/>
    <n v="2.7"/>
    <n v="1.7"/>
    <s v="medium"/>
    <n v="4"/>
    <n v="5"/>
    <n v="7"/>
    <n v="0"/>
    <m/>
  </r>
  <r>
    <n v="14"/>
    <x v="1"/>
    <n v="1.2"/>
    <s v="TikTok"/>
    <n v="8.5"/>
    <n v="2.2999999999999998"/>
    <n v="3.91"/>
    <n v="1.8"/>
    <s v="high"/>
    <n v="1"/>
    <n v="8"/>
    <n v="1"/>
    <n v="0"/>
    <m/>
  </r>
  <r>
    <n v="15"/>
    <x v="0"/>
    <n v="2.2000000000000002"/>
    <s v="Instagram"/>
    <n v="6.1"/>
    <n v="0.9"/>
    <n v="3.81"/>
    <n v="0.1"/>
    <s v="high"/>
    <n v="2"/>
    <n v="7"/>
    <n v="3"/>
    <n v="0"/>
    <m/>
  </r>
  <r>
    <n v="15"/>
    <x v="1"/>
    <n v="4.2"/>
    <s v="TikTok"/>
    <n v="6.8"/>
    <n v="1.4"/>
    <n v="2.0099999999999998"/>
    <n v="1"/>
    <s v="low"/>
    <n v="6"/>
    <n v="6"/>
    <n v="4"/>
    <n v="0"/>
    <m/>
  </r>
  <r>
    <n v="19"/>
    <x v="0"/>
    <n v="6"/>
    <s v="Both"/>
    <n v="5.6"/>
    <n v="1.1000000000000001"/>
    <n v="2.4300000000000002"/>
    <n v="1.7"/>
    <s v="medium"/>
    <n v="1"/>
    <n v="3"/>
    <n v="3"/>
    <n v="0"/>
    <m/>
  </r>
  <r>
    <n v="19"/>
    <x v="0"/>
    <n v="5.4"/>
    <s v="Instagram"/>
    <n v="4.9000000000000004"/>
    <n v="0.6"/>
    <n v="3.17"/>
    <n v="0"/>
    <s v="low"/>
    <n v="5"/>
    <n v="6"/>
    <n v="10"/>
    <n v="0"/>
    <m/>
  </r>
  <r>
    <n v="15"/>
    <x v="1"/>
    <n v="2.7"/>
    <s v="TikTok"/>
    <n v="7.6"/>
    <n v="2.5"/>
    <n v="2.37"/>
    <n v="1.9"/>
    <s v="high"/>
    <n v="1"/>
    <n v="8"/>
    <n v="7"/>
    <n v="0"/>
    <m/>
  </r>
  <r>
    <n v="19"/>
    <x v="1"/>
    <n v="1.9"/>
    <s v="Both"/>
    <n v="6.2"/>
    <n v="0.9"/>
    <n v="2.4700000000000002"/>
    <n v="1.4"/>
    <s v="low"/>
    <n v="5"/>
    <n v="6"/>
    <n v="7"/>
    <n v="0"/>
    <m/>
  </r>
  <r>
    <n v="14"/>
    <x v="0"/>
    <n v="1.5"/>
    <s v="Both"/>
    <n v="6.8"/>
    <n v="0.8"/>
    <n v="3.14"/>
    <n v="0"/>
    <s v="medium"/>
    <n v="4"/>
    <n v="5"/>
    <n v="8"/>
    <n v="0"/>
    <m/>
  </r>
  <r>
    <n v="17"/>
    <x v="1"/>
    <n v="2.6"/>
    <s v="TikTok"/>
    <n v="4.8"/>
    <n v="0.7"/>
    <n v="2.52"/>
    <n v="1.8"/>
    <s v="medium"/>
    <n v="9"/>
    <n v="6"/>
    <n v="6"/>
    <n v="0"/>
    <m/>
  </r>
  <r>
    <n v="16"/>
    <x v="0"/>
    <n v="1.2"/>
    <s v="Instagram"/>
    <n v="7.3"/>
    <n v="1"/>
    <n v="2.36"/>
    <n v="1.1000000000000001"/>
    <s v="medium"/>
    <n v="5"/>
    <n v="3"/>
    <n v="6"/>
    <n v="0"/>
    <m/>
  </r>
  <r>
    <n v="18"/>
    <x v="1"/>
    <n v="1.8"/>
    <s v="Both"/>
    <n v="7.8"/>
    <n v="2"/>
    <n v="2.67"/>
    <n v="0.8"/>
    <s v="low"/>
    <n v="4"/>
    <n v="6"/>
    <n v="3"/>
    <n v="0"/>
    <m/>
  </r>
  <r>
    <n v="19"/>
    <x v="0"/>
    <n v="4.8"/>
    <s v="Both"/>
    <n v="7.5"/>
    <n v="1"/>
    <n v="2.68"/>
    <n v="1.5"/>
    <s v="low"/>
    <n v="9"/>
    <n v="4"/>
    <n v="6"/>
    <n v="0"/>
    <m/>
  </r>
  <r>
    <n v="19"/>
    <x v="0"/>
    <n v="2.1"/>
    <s v="Both"/>
    <n v="5.6"/>
    <n v="2.4"/>
    <n v="3.56"/>
    <n v="1"/>
    <s v="high"/>
    <n v="9"/>
    <n v="3"/>
    <n v="4"/>
    <n v="0"/>
    <m/>
  </r>
  <r>
    <n v="15"/>
    <x v="0"/>
    <n v="4.4000000000000004"/>
    <s v="Instagram"/>
    <n v="6"/>
    <n v="0.5"/>
    <n v="3.33"/>
    <n v="0.7"/>
    <s v="medium"/>
    <n v="1"/>
    <n v="6"/>
    <n v="10"/>
    <n v="0"/>
    <m/>
  </r>
  <r>
    <n v="14"/>
    <x v="0"/>
    <n v="2.8"/>
    <s v="Both"/>
    <n v="4.3"/>
    <n v="3"/>
    <n v="2.14"/>
    <n v="1.9"/>
    <s v="medium"/>
    <n v="9"/>
    <n v="3"/>
    <n v="7"/>
    <n v="0"/>
    <m/>
  </r>
  <r>
    <n v="15"/>
    <x v="0"/>
    <n v="3.5"/>
    <s v="TikTok"/>
    <n v="4.5"/>
    <n v="2.7"/>
    <n v="2.4700000000000002"/>
    <n v="1.4"/>
    <s v="low"/>
    <n v="1"/>
    <n v="5"/>
    <n v="10"/>
    <n v="0"/>
    <m/>
  </r>
  <r>
    <n v="15"/>
    <x v="0"/>
    <n v="6.8"/>
    <s v="Both"/>
    <n v="6.6"/>
    <n v="2.1"/>
    <n v="3.43"/>
    <n v="1.7"/>
    <s v="low"/>
    <n v="10"/>
    <n v="10"/>
    <n v="8"/>
    <n v="0"/>
    <m/>
  </r>
  <r>
    <n v="14"/>
    <x v="0"/>
    <n v="7"/>
    <s v="Instagram"/>
    <n v="5.2"/>
    <n v="1.4"/>
    <n v="3.27"/>
    <n v="1.7"/>
    <s v="medium"/>
    <n v="5"/>
    <n v="7"/>
    <n v="8"/>
    <n v="0"/>
    <m/>
  </r>
  <r>
    <n v="17"/>
    <x v="1"/>
    <n v="7.5"/>
    <s v="Both"/>
    <n v="8.1"/>
    <n v="2.8"/>
    <n v="2.58"/>
    <n v="0.5"/>
    <s v="medium"/>
    <n v="2"/>
    <n v="2"/>
    <n v="3"/>
    <n v="0"/>
    <m/>
  </r>
  <r>
    <n v="17"/>
    <x v="1"/>
    <n v="2.5"/>
    <s v="Instagram"/>
    <n v="4.4000000000000004"/>
    <n v="2"/>
    <n v="3.29"/>
    <n v="0.7"/>
    <s v="low"/>
    <n v="4"/>
    <n v="6"/>
    <n v="5"/>
    <n v="0"/>
    <m/>
  </r>
  <r>
    <n v="15"/>
    <x v="0"/>
    <n v="6.5"/>
    <s v="TikTok"/>
    <n v="5.4"/>
    <n v="2.1"/>
    <n v="3.44"/>
    <n v="1.8"/>
    <s v="low"/>
    <n v="7"/>
    <n v="3"/>
    <n v="6"/>
    <n v="0"/>
    <m/>
  </r>
  <r>
    <n v="13"/>
    <x v="0"/>
    <n v="7.7"/>
    <s v="Instagram"/>
    <n v="4.4000000000000004"/>
    <n v="2"/>
    <n v="3.09"/>
    <n v="1"/>
    <s v="high"/>
    <n v="8"/>
    <n v="7"/>
    <n v="8"/>
    <n v="1"/>
    <m/>
  </r>
  <r>
    <n v="18"/>
    <x v="1"/>
    <n v="3.2"/>
    <s v="Both"/>
    <n v="7.8"/>
    <n v="0.7"/>
    <n v="3.46"/>
    <n v="1.3"/>
    <s v="low"/>
    <n v="5"/>
    <n v="10"/>
    <n v="6"/>
    <n v="0"/>
    <m/>
  </r>
  <r>
    <n v="16"/>
    <x v="1"/>
    <n v="5.3"/>
    <s v="TikTok"/>
    <n v="4.3"/>
    <n v="1.5"/>
    <n v="2.54"/>
    <n v="0.3"/>
    <s v="high"/>
    <n v="7"/>
    <n v="7"/>
    <n v="10"/>
    <n v="1"/>
    <m/>
  </r>
  <r>
    <n v="14"/>
    <x v="0"/>
    <n v="5"/>
    <s v="TikTok"/>
    <n v="5.2"/>
    <n v="0.5"/>
    <n v="3.55"/>
    <n v="0.4"/>
    <s v="low"/>
    <n v="10"/>
    <n v="6"/>
    <n v="8"/>
    <n v="0"/>
    <m/>
  </r>
  <r>
    <n v="19"/>
    <x v="0"/>
    <n v="6.1"/>
    <s v="Instagram"/>
    <n v="7.1"/>
    <n v="2.2999999999999998"/>
    <n v="3.22"/>
    <n v="0.5"/>
    <s v="low"/>
    <n v="4"/>
    <n v="3"/>
    <n v="7"/>
    <n v="0"/>
    <m/>
  </r>
  <r>
    <n v="17"/>
    <x v="0"/>
    <n v="4.2"/>
    <s v="TikTok"/>
    <n v="7.3"/>
    <n v="2.6"/>
    <n v="3.2"/>
    <n v="0.2"/>
    <s v="high"/>
    <n v="7"/>
    <n v="1"/>
    <n v="3"/>
    <n v="0"/>
    <m/>
  </r>
  <r>
    <n v="15"/>
    <x v="0"/>
    <n v="4.7"/>
    <s v="Instagram"/>
    <n v="8.1999999999999993"/>
    <n v="2.2999999999999998"/>
    <n v="3.35"/>
    <n v="0.6"/>
    <s v="low"/>
    <n v="6"/>
    <n v="2"/>
    <n v="5"/>
    <n v="0"/>
    <m/>
  </r>
  <r>
    <n v="18"/>
    <x v="0"/>
    <n v="1.6"/>
    <s v="TikTok"/>
    <n v="5.8"/>
    <n v="0.6"/>
    <n v="3.63"/>
    <n v="1.1000000000000001"/>
    <s v="high"/>
    <n v="6"/>
    <n v="9"/>
    <n v="7"/>
    <n v="0"/>
    <m/>
  </r>
  <r>
    <n v="14"/>
    <x v="1"/>
    <n v="1.7"/>
    <s v="TikTok"/>
    <n v="6.5"/>
    <n v="2.7"/>
    <n v="2.06"/>
    <n v="0.1"/>
    <s v="medium"/>
    <n v="9"/>
    <n v="5"/>
    <n v="9"/>
    <n v="0"/>
    <m/>
  </r>
  <r>
    <n v="18"/>
    <x v="0"/>
    <n v="4.5999999999999996"/>
    <s v="Instagram"/>
    <n v="4.0999999999999996"/>
    <n v="1.4"/>
    <n v="2.2799999999999998"/>
    <n v="0.4"/>
    <s v="medium"/>
    <n v="4"/>
    <n v="10"/>
    <n v="10"/>
    <n v="0"/>
    <m/>
  </r>
  <r>
    <n v="13"/>
    <x v="1"/>
    <n v="2.5"/>
    <s v="TikTok"/>
    <n v="6.8"/>
    <n v="2.8"/>
    <n v="2.77"/>
    <n v="0.5"/>
    <s v="low"/>
    <n v="2"/>
    <n v="6"/>
    <n v="10"/>
    <n v="0"/>
    <m/>
  </r>
  <r>
    <n v="16"/>
    <x v="1"/>
    <n v="4.2"/>
    <s v="TikTok"/>
    <n v="6.3"/>
    <n v="1.2"/>
    <n v="3.72"/>
    <n v="1.9"/>
    <s v="low"/>
    <n v="5"/>
    <n v="3"/>
    <n v="7"/>
    <n v="0"/>
    <m/>
  </r>
  <r>
    <n v="19"/>
    <x v="1"/>
    <n v="1.2"/>
    <s v="TikTok"/>
    <n v="4.8"/>
    <n v="1.7"/>
    <n v="2.16"/>
    <n v="0.6"/>
    <s v="medium"/>
    <n v="10"/>
    <n v="10"/>
    <n v="10"/>
    <n v="0"/>
    <m/>
  </r>
  <r>
    <n v="15"/>
    <x v="0"/>
    <n v="2.7"/>
    <s v="Instagram"/>
    <n v="7.2"/>
    <n v="2.9"/>
    <n v="3.27"/>
    <n v="0.8"/>
    <s v="medium"/>
    <n v="5"/>
    <n v="2"/>
    <n v="9"/>
    <n v="0"/>
    <m/>
  </r>
  <r>
    <n v="13"/>
    <x v="0"/>
    <n v="1.5"/>
    <s v="Both"/>
    <n v="5.2"/>
    <n v="0.8"/>
    <n v="2.16"/>
    <n v="0.9"/>
    <s v="medium"/>
    <n v="10"/>
    <n v="6"/>
    <n v="8"/>
    <n v="0"/>
    <m/>
  </r>
  <r>
    <n v="15"/>
    <x v="0"/>
    <n v="3.2"/>
    <s v="Instagram"/>
    <n v="5.6"/>
    <n v="0.7"/>
    <n v="3.1"/>
    <n v="1.5"/>
    <s v="high"/>
    <n v="6"/>
    <n v="3"/>
    <n v="1"/>
    <n v="0"/>
    <m/>
  </r>
  <r>
    <n v="19"/>
    <x v="1"/>
    <n v="7.3"/>
    <s v="Both"/>
    <n v="7.4"/>
    <n v="1.5"/>
    <n v="2.84"/>
    <n v="1"/>
    <s v="medium"/>
    <n v="9"/>
    <n v="8"/>
    <n v="5"/>
    <n v="0"/>
    <m/>
  </r>
  <r>
    <n v="16"/>
    <x v="0"/>
    <n v="2"/>
    <s v="Instagram"/>
    <n v="8.1999999999999993"/>
    <n v="1"/>
    <n v="3.15"/>
    <n v="0.9"/>
    <s v="medium"/>
    <n v="9"/>
    <n v="7"/>
    <n v="10"/>
    <n v="0"/>
    <m/>
  </r>
  <r>
    <n v="19"/>
    <x v="0"/>
    <n v="2.5"/>
    <s v="TikTok"/>
    <n v="7.1"/>
    <n v="1.9"/>
    <n v="2.35"/>
    <n v="1.1000000000000001"/>
    <s v="low"/>
    <n v="4"/>
    <n v="4"/>
    <n v="8"/>
    <n v="0"/>
    <m/>
  </r>
  <r>
    <n v="16"/>
    <x v="1"/>
    <n v="7.7"/>
    <s v="Instagram"/>
    <n v="4.7"/>
    <n v="2.9"/>
    <n v="2.17"/>
    <n v="1.2"/>
    <s v="medium"/>
    <n v="5"/>
    <n v="7"/>
    <n v="6"/>
    <n v="0"/>
    <m/>
  </r>
  <r>
    <n v="19"/>
    <x v="1"/>
    <n v="3.9"/>
    <s v="Both"/>
    <n v="7.9"/>
    <n v="2.1"/>
    <n v="3.52"/>
    <n v="0.6"/>
    <s v="high"/>
    <n v="3"/>
    <n v="2"/>
    <n v="4"/>
    <n v="0"/>
    <m/>
  </r>
  <r>
    <n v="16"/>
    <x v="1"/>
    <n v="3.5"/>
    <s v="TikTok"/>
    <n v="6.1"/>
    <n v="2.7"/>
    <n v="3.83"/>
    <n v="0.1"/>
    <s v="medium"/>
    <n v="4"/>
    <n v="5"/>
    <n v="10"/>
    <n v="0"/>
    <m/>
  </r>
  <r>
    <n v="17"/>
    <x v="0"/>
    <n v="4.9000000000000004"/>
    <s v="Instagram"/>
    <n v="6.4"/>
    <n v="2.5"/>
    <n v="2.64"/>
    <n v="1.9"/>
    <s v="medium"/>
    <n v="6"/>
    <n v="2"/>
    <n v="10"/>
    <n v="0"/>
    <m/>
  </r>
  <r>
    <n v="14"/>
    <x v="0"/>
    <n v="3.4"/>
    <s v="Both"/>
    <n v="5.8"/>
    <n v="3"/>
    <n v="3.32"/>
    <n v="0.6"/>
    <s v="medium"/>
    <n v="1"/>
    <n v="4"/>
    <n v="4"/>
    <n v="0"/>
    <m/>
  </r>
  <r>
    <n v="18"/>
    <x v="0"/>
    <n v="2.5"/>
    <s v="TikTok"/>
    <n v="4.5999999999999996"/>
    <n v="2.2000000000000002"/>
    <n v="2.0499999999999998"/>
    <n v="0.7"/>
    <s v="medium"/>
    <n v="9"/>
    <n v="5"/>
    <n v="10"/>
    <n v="0"/>
    <m/>
  </r>
  <r>
    <n v="16"/>
    <x v="0"/>
    <n v="4.8"/>
    <s v="Both"/>
    <n v="5.4"/>
    <n v="0.9"/>
    <n v="2.06"/>
    <n v="1.9"/>
    <s v="low"/>
    <n v="8"/>
    <n v="3"/>
    <n v="2"/>
    <n v="0"/>
    <m/>
  </r>
  <r>
    <n v="19"/>
    <x v="0"/>
    <n v="7.4"/>
    <s v="TikTok"/>
    <n v="6.1"/>
    <n v="1.1000000000000001"/>
    <n v="2.15"/>
    <n v="1.6"/>
    <s v="high"/>
    <n v="4"/>
    <n v="4"/>
    <n v="1"/>
    <n v="0"/>
    <m/>
  </r>
  <r>
    <n v="16"/>
    <x v="1"/>
    <n v="2.1"/>
    <s v="Instagram"/>
    <n v="4.8"/>
    <n v="1.3"/>
    <n v="2.29"/>
    <n v="1.8"/>
    <s v="high"/>
    <n v="6"/>
    <n v="9"/>
    <n v="2"/>
    <n v="0"/>
    <m/>
  </r>
  <r>
    <n v="19"/>
    <x v="0"/>
    <n v="2.1"/>
    <s v="TikTok"/>
    <n v="6.8"/>
    <n v="2.2000000000000002"/>
    <n v="2.33"/>
    <n v="1"/>
    <s v="medium"/>
    <n v="7"/>
    <n v="6"/>
    <n v="7"/>
    <n v="0"/>
    <m/>
  </r>
  <r>
    <n v="16"/>
    <x v="0"/>
    <n v="1.8"/>
    <s v="Instagram"/>
    <n v="4.9000000000000004"/>
    <n v="2.2999999999999998"/>
    <n v="2.67"/>
    <n v="1.4"/>
    <s v="medium"/>
    <n v="3"/>
    <n v="8"/>
    <n v="6"/>
    <n v="0"/>
    <m/>
  </r>
  <r>
    <n v="18"/>
    <x v="0"/>
    <n v="6.8"/>
    <s v="Both"/>
    <n v="5.4"/>
    <n v="0.9"/>
    <n v="2.64"/>
    <n v="0.3"/>
    <s v="high"/>
    <n v="9"/>
    <n v="1"/>
    <n v="8"/>
    <n v="0"/>
    <m/>
  </r>
  <r>
    <n v="18"/>
    <x v="0"/>
    <n v="7.9"/>
    <s v="Instagram"/>
    <n v="4.0999999999999996"/>
    <n v="2.8"/>
    <n v="3.25"/>
    <n v="1.4"/>
    <s v="high"/>
    <n v="4"/>
    <n v="2"/>
    <n v="4"/>
    <n v="0"/>
    <m/>
  </r>
  <r>
    <n v="15"/>
    <x v="0"/>
    <n v="7.6"/>
    <s v="Both"/>
    <n v="6"/>
    <n v="2.9"/>
    <n v="2.72"/>
    <n v="1.8"/>
    <s v="high"/>
    <n v="1"/>
    <n v="9"/>
    <n v="6"/>
    <n v="0"/>
    <m/>
  </r>
  <r>
    <n v="18"/>
    <x v="0"/>
    <n v="6.1"/>
    <s v="TikTok"/>
    <n v="5.8"/>
    <n v="1.8"/>
    <n v="3.59"/>
    <n v="0.2"/>
    <s v="low"/>
    <n v="2"/>
    <n v="5"/>
    <n v="4"/>
    <n v="0"/>
    <m/>
  </r>
  <r>
    <n v="16"/>
    <x v="1"/>
    <n v="1.4"/>
    <s v="Both"/>
    <n v="5.7"/>
    <n v="1.8"/>
    <n v="2"/>
    <n v="1.4"/>
    <s v="low"/>
    <n v="4"/>
    <n v="8"/>
    <n v="7"/>
    <n v="0"/>
    <m/>
  </r>
  <r>
    <n v="19"/>
    <x v="0"/>
    <n v="6.3"/>
    <s v="TikTok"/>
    <n v="5.7"/>
    <n v="1.4"/>
    <n v="2.0299999999999998"/>
    <n v="1.1000000000000001"/>
    <s v="low"/>
    <n v="4"/>
    <n v="6"/>
    <n v="1"/>
    <n v="0"/>
    <m/>
  </r>
  <r>
    <n v="13"/>
    <x v="0"/>
    <n v="1.3"/>
    <s v="Instagram"/>
    <n v="5.7"/>
    <n v="1.1000000000000001"/>
    <n v="3.74"/>
    <n v="1.3"/>
    <s v="low"/>
    <n v="9"/>
    <n v="5"/>
    <n v="10"/>
    <n v="0"/>
    <m/>
  </r>
  <r>
    <n v="17"/>
    <x v="0"/>
    <n v="5.0999999999999996"/>
    <s v="TikTok"/>
    <n v="5.0999999999999996"/>
    <n v="2.9"/>
    <n v="3.99"/>
    <n v="0.6"/>
    <s v="medium"/>
    <n v="4"/>
    <n v="2"/>
    <n v="9"/>
    <n v="0"/>
    <m/>
  </r>
  <r>
    <n v="19"/>
    <x v="1"/>
    <n v="4"/>
    <s v="Instagram"/>
    <n v="8.1999999999999993"/>
    <n v="1.4"/>
    <n v="3.63"/>
    <n v="1.3"/>
    <s v="low"/>
    <n v="5"/>
    <n v="3"/>
    <n v="10"/>
    <n v="0"/>
    <m/>
  </r>
  <r>
    <n v="17"/>
    <x v="1"/>
    <n v="7.6"/>
    <s v="Instagram"/>
    <n v="7.3"/>
    <n v="1.9"/>
    <n v="3.05"/>
    <n v="1.1000000000000001"/>
    <s v="medium"/>
    <n v="10"/>
    <n v="8"/>
    <n v="1"/>
    <n v="0"/>
    <m/>
  </r>
  <r>
    <n v="19"/>
    <x v="0"/>
    <n v="3.8"/>
    <s v="TikTok"/>
    <n v="7.4"/>
    <n v="2.6"/>
    <n v="2.25"/>
    <n v="0.5"/>
    <s v="low"/>
    <n v="7"/>
    <n v="4"/>
    <n v="8"/>
    <n v="0"/>
    <m/>
  </r>
  <r>
    <n v="17"/>
    <x v="0"/>
    <n v="5.2"/>
    <s v="Instagram"/>
    <n v="4.7"/>
    <n v="2.4"/>
    <n v="2.77"/>
    <n v="1.3"/>
    <s v="high"/>
    <n v="9"/>
    <n v="6"/>
    <n v="9"/>
    <n v="0"/>
    <m/>
  </r>
  <r>
    <n v="13"/>
    <x v="0"/>
    <n v="5"/>
    <s v="Both"/>
    <n v="8.6"/>
    <n v="0.7"/>
    <n v="2.99"/>
    <n v="1.5"/>
    <s v="low"/>
    <n v="3"/>
    <n v="8"/>
    <n v="3"/>
    <n v="0"/>
    <m/>
  </r>
  <r>
    <n v="19"/>
    <x v="1"/>
    <n v="7.4"/>
    <s v="Both"/>
    <n v="8.3000000000000007"/>
    <n v="1.4"/>
    <n v="3.64"/>
    <n v="0.4"/>
    <s v="low"/>
    <n v="6"/>
    <n v="9"/>
    <n v="6"/>
    <n v="0"/>
    <m/>
  </r>
  <r>
    <n v="16"/>
    <x v="0"/>
    <n v="6.1"/>
    <s v="TikTok"/>
    <n v="6.8"/>
    <n v="0.8"/>
    <n v="2.61"/>
    <n v="0.9"/>
    <s v="low"/>
    <n v="10"/>
    <n v="10"/>
    <n v="4"/>
    <n v="0"/>
    <m/>
  </r>
  <r>
    <n v="13"/>
    <x v="1"/>
    <n v="7.4"/>
    <s v="Both"/>
    <n v="6.7"/>
    <n v="2"/>
    <n v="2.42"/>
    <n v="1.5"/>
    <s v="low"/>
    <n v="10"/>
    <n v="1"/>
    <n v="1"/>
    <n v="0"/>
    <m/>
  </r>
  <r>
    <n v="16"/>
    <x v="0"/>
    <n v="3.5"/>
    <s v="Both"/>
    <n v="4.4000000000000004"/>
    <n v="1.5"/>
    <n v="2.7"/>
    <n v="0.8"/>
    <s v="high"/>
    <n v="2"/>
    <n v="10"/>
    <n v="8"/>
    <n v="0"/>
    <m/>
  </r>
  <r>
    <n v="14"/>
    <x v="0"/>
    <n v="5.0999999999999996"/>
    <s v="Instagram"/>
    <n v="6.3"/>
    <n v="1.6"/>
    <n v="2.7"/>
    <n v="0.1"/>
    <s v="medium"/>
    <n v="7"/>
    <n v="2"/>
    <n v="7"/>
    <n v="0"/>
    <m/>
  </r>
  <r>
    <n v="17"/>
    <x v="0"/>
    <n v="4.8"/>
    <s v="TikTok"/>
    <n v="6"/>
    <n v="2.1"/>
    <n v="2.39"/>
    <n v="1.8"/>
    <s v="high"/>
    <n v="5"/>
    <n v="8"/>
    <n v="7"/>
    <n v="0"/>
    <m/>
  </r>
  <r>
    <n v="14"/>
    <x v="0"/>
    <n v="7.5"/>
    <s v="Both"/>
    <n v="7.6"/>
    <n v="2.8"/>
    <n v="3.1"/>
    <n v="0.7"/>
    <s v="medium"/>
    <n v="3"/>
    <n v="1"/>
    <n v="2"/>
    <n v="0"/>
    <m/>
  </r>
  <r>
    <n v="19"/>
    <x v="0"/>
    <n v="4.7"/>
    <s v="Both"/>
    <n v="8.6999999999999993"/>
    <n v="2"/>
    <n v="3.23"/>
    <n v="1.7"/>
    <s v="low"/>
    <n v="4"/>
    <n v="10"/>
    <n v="3"/>
    <n v="0"/>
    <m/>
  </r>
  <r>
    <n v="19"/>
    <x v="0"/>
    <n v="3.3"/>
    <s v="TikTok"/>
    <n v="8.5"/>
    <n v="1.2"/>
    <n v="3.29"/>
    <n v="0.5"/>
    <s v="medium"/>
    <n v="6"/>
    <n v="2"/>
    <n v="9"/>
    <n v="0"/>
    <m/>
  </r>
  <r>
    <n v="16"/>
    <x v="1"/>
    <n v="6.9"/>
    <s v="Instagram"/>
    <n v="5.8"/>
    <n v="0.6"/>
    <n v="3.65"/>
    <n v="0.5"/>
    <s v="high"/>
    <n v="10"/>
    <n v="8"/>
    <n v="10"/>
    <n v="1"/>
    <m/>
  </r>
  <r>
    <n v="15"/>
    <x v="0"/>
    <n v="5.4"/>
    <s v="Instagram"/>
    <n v="4.2"/>
    <n v="1.5"/>
    <n v="2.72"/>
    <n v="0.4"/>
    <s v="high"/>
    <n v="1"/>
    <n v="6"/>
    <n v="5"/>
    <n v="0"/>
    <m/>
  </r>
  <r>
    <n v="13"/>
    <x v="1"/>
    <n v="5.2"/>
    <s v="Both"/>
    <n v="7.7"/>
    <n v="2.7"/>
    <n v="2.84"/>
    <n v="0.8"/>
    <s v="high"/>
    <n v="2"/>
    <n v="5"/>
    <n v="5"/>
    <n v="0"/>
    <m/>
  </r>
  <r>
    <n v="15"/>
    <x v="1"/>
    <n v="3.3"/>
    <s v="Instagram"/>
    <n v="6.5"/>
    <n v="1.3"/>
    <n v="2.44"/>
    <n v="0.3"/>
    <s v="medium"/>
    <n v="7"/>
    <n v="6"/>
    <n v="7"/>
    <n v="0"/>
    <m/>
  </r>
  <r>
    <n v="15"/>
    <x v="1"/>
    <n v="7.3"/>
    <s v="Both"/>
    <n v="7.6"/>
    <n v="1.9"/>
    <n v="2.31"/>
    <n v="0.8"/>
    <s v="medium"/>
    <n v="8"/>
    <n v="7"/>
    <n v="5"/>
    <n v="0"/>
    <m/>
  </r>
  <r>
    <n v="17"/>
    <x v="0"/>
    <n v="7.6"/>
    <s v="Both"/>
    <n v="4.9000000000000004"/>
    <n v="0.6"/>
    <n v="2.56"/>
    <n v="0.8"/>
    <s v="low"/>
    <n v="4"/>
    <n v="1"/>
    <n v="9"/>
    <n v="0"/>
    <m/>
  </r>
  <r>
    <n v="17"/>
    <x v="0"/>
    <n v="1.7"/>
    <s v="Both"/>
    <n v="7"/>
    <n v="0.8"/>
    <n v="3.39"/>
    <n v="0.9"/>
    <s v="high"/>
    <n v="7"/>
    <n v="7"/>
    <n v="10"/>
    <n v="0"/>
    <m/>
  </r>
  <r>
    <n v="18"/>
    <x v="0"/>
    <n v="1.5"/>
    <s v="Both"/>
    <n v="5.6"/>
    <n v="2.9"/>
    <n v="2.57"/>
    <n v="0.6"/>
    <s v="high"/>
    <n v="5"/>
    <n v="8"/>
    <n v="4"/>
    <n v="0"/>
    <m/>
  </r>
  <r>
    <n v="17"/>
    <x v="0"/>
    <n v="7.3"/>
    <s v="Both"/>
    <n v="8.5"/>
    <n v="1.5"/>
    <n v="3.54"/>
    <n v="1.2"/>
    <s v="low"/>
    <n v="3"/>
    <n v="3"/>
    <n v="7"/>
    <n v="0"/>
    <m/>
  </r>
  <r>
    <n v="14"/>
    <x v="0"/>
    <n v="2.8"/>
    <s v="Both"/>
    <n v="6.2"/>
    <n v="1.2"/>
    <n v="3.21"/>
    <n v="1"/>
    <s v="low"/>
    <n v="3"/>
    <n v="10"/>
    <n v="6"/>
    <n v="0"/>
    <m/>
  </r>
  <r>
    <n v="15"/>
    <x v="0"/>
    <n v="1.2"/>
    <s v="Both"/>
    <n v="7.4"/>
    <n v="2.7"/>
    <n v="2.92"/>
    <n v="1.4"/>
    <s v="low"/>
    <n v="3"/>
    <n v="7"/>
    <n v="4"/>
    <n v="0"/>
    <m/>
  </r>
  <r>
    <n v="16"/>
    <x v="1"/>
    <n v="2.5"/>
    <s v="TikTok"/>
    <n v="8.9"/>
    <n v="1.2"/>
    <n v="3.33"/>
    <n v="1.5"/>
    <s v="high"/>
    <n v="4"/>
    <n v="4"/>
    <n v="10"/>
    <n v="0"/>
    <m/>
  </r>
  <r>
    <n v="17"/>
    <x v="0"/>
    <n v="4.8"/>
    <s v="TikTok"/>
    <n v="5.6"/>
    <n v="1.6"/>
    <n v="2"/>
    <n v="1.3"/>
    <s v="low"/>
    <n v="3"/>
    <n v="8"/>
    <n v="4"/>
    <n v="0"/>
    <m/>
  </r>
  <r>
    <n v="18"/>
    <x v="1"/>
    <n v="6.4"/>
    <s v="Both"/>
    <n v="4.2"/>
    <n v="1.1000000000000001"/>
    <n v="2.68"/>
    <n v="0.3"/>
    <s v="high"/>
    <n v="10"/>
    <n v="9"/>
    <n v="4"/>
    <n v="1"/>
    <m/>
  </r>
  <r>
    <n v="16"/>
    <x v="1"/>
    <n v="6.6"/>
    <s v="Instagram"/>
    <n v="6.1"/>
    <n v="1.7"/>
    <n v="2.67"/>
    <n v="1.8"/>
    <s v="low"/>
    <n v="10"/>
    <n v="8"/>
    <n v="2"/>
    <n v="0"/>
    <m/>
  </r>
  <r>
    <n v="14"/>
    <x v="1"/>
    <n v="3.5"/>
    <s v="Both"/>
    <n v="5.7"/>
    <n v="2.4"/>
    <n v="3.46"/>
    <n v="0.9"/>
    <s v="low"/>
    <n v="8"/>
    <n v="4"/>
    <n v="10"/>
    <n v="0"/>
    <m/>
  </r>
  <r>
    <n v="14"/>
    <x v="1"/>
    <n v="2.4"/>
    <s v="TikTok"/>
    <n v="6.3"/>
    <n v="2.8"/>
    <n v="2.41"/>
    <n v="0.7"/>
    <s v="low"/>
    <n v="9"/>
    <n v="5"/>
    <n v="2"/>
    <n v="0"/>
    <m/>
  </r>
  <r>
    <n v="13"/>
    <x v="0"/>
    <n v="5.9"/>
    <s v="Instagram"/>
    <n v="4.3"/>
    <n v="0.8"/>
    <n v="3.41"/>
    <n v="1.1000000000000001"/>
    <s v="medium"/>
    <n v="4"/>
    <n v="3"/>
    <n v="2"/>
    <n v="0"/>
    <m/>
  </r>
  <r>
    <n v="19"/>
    <x v="1"/>
    <n v="7.4"/>
    <s v="Instagram"/>
    <n v="5"/>
    <n v="2"/>
    <n v="2.68"/>
    <n v="1.2"/>
    <s v="low"/>
    <n v="1"/>
    <n v="6"/>
    <n v="8"/>
    <n v="0"/>
    <m/>
  </r>
  <r>
    <n v="15"/>
    <x v="1"/>
    <n v="4.5999999999999996"/>
    <s v="TikTok"/>
    <n v="5.3"/>
    <n v="3"/>
    <n v="3.25"/>
    <n v="0.2"/>
    <s v="low"/>
    <n v="1"/>
    <n v="8"/>
    <n v="7"/>
    <n v="0"/>
    <m/>
  </r>
  <r>
    <n v="17"/>
    <x v="0"/>
    <n v="7.3"/>
    <s v="Instagram"/>
    <n v="5.8"/>
    <n v="2.9"/>
    <n v="3.93"/>
    <n v="0.9"/>
    <s v="medium"/>
    <n v="6"/>
    <n v="2"/>
    <n v="9"/>
    <n v="0"/>
    <m/>
  </r>
  <r>
    <n v="17"/>
    <x v="1"/>
    <n v="2.9"/>
    <s v="TikTok"/>
    <n v="4.5"/>
    <n v="0.9"/>
    <n v="3.71"/>
    <n v="0.1"/>
    <s v="low"/>
    <n v="1"/>
    <n v="6"/>
    <n v="4"/>
    <n v="0"/>
    <m/>
  </r>
  <r>
    <n v="19"/>
    <x v="0"/>
    <n v="5.3"/>
    <s v="TikTok"/>
    <n v="8.4"/>
    <n v="0.6"/>
    <n v="3.08"/>
    <n v="0.4"/>
    <s v="medium"/>
    <n v="9"/>
    <n v="4"/>
    <n v="6"/>
    <n v="0"/>
    <m/>
  </r>
  <r>
    <n v="17"/>
    <x v="1"/>
    <n v="7.2"/>
    <s v="TikTok"/>
    <n v="8.1999999999999993"/>
    <n v="2.9"/>
    <n v="3.69"/>
    <n v="1"/>
    <s v="high"/>
    <n v="6"/>
    <n v="2"/>
    <n v="5"/>
    <n v="0"/>
    <m/>
  </r>
  <r>
    <n v="15"/>
    <x v="1"/>
    <n v="2.6"/>
    <s v="Both"/>
    <n v="7.9"/>
    <n v="1.8"/>
    <n v="3.91"/>
    <n v="0.5"/>
    <s v="medium"/>
    <n v="4"/>
    <n v="5"/>
    <n v="6"/>
    <n v="0"/>
    <m/>
  </r>
  <r>
    <n v="15"/>
    <x v="0"/>
    <n v="3.6"/>
    <s v="Instagram"/>
    <n v="4.8"/>
    <n v="1"/>
    <n v="3.71"/>
    <n v="1.1000000000000001"/>
    <s v="medium"/>
    <n v="5"/>
    <n v="7"/>
    <n v="4"/>
    <n v="0"/>
    <m/>
  </r>
  <r>
    <n v="19"/>
    <x v="0"/>
    <n v="3.6"/>
    <s v="Instagram"/>
    <n v="6.5"/>
    <n v="1.1000000000000001"/>
    <n v="3.65"/>
    <n v="1.1000000000000001"/>
    <s v="low"/>
    <n v="5"/>
    <n v="9"/>
    <n v="10"/>
    <n v="0"/>
    <m/>
  </r>
  <r>
    <n v="15"/>
    <x v="1"/>
    <n v="1.8"/>
    <s v="Instagram"/>
    <n v="5.5"/>
    <n v="1.6"/>
    <n v="3.29"/>
    <n v="1.3"/>
    <s v="medium"/>
    <n v="6"/>
    <n v="5"/>
    <n v="9"/>
    <n v="0"/>
    <m/>
  </r>
  <r>
    <n v="14"/>
    <x v="1"/>
    <n v="1.8"/>
    <s v="Instagram"/>
    <n v="7.6"/>
    <n v="1.2"/>
    <n v="2.84"/>
    <n v="1.1000000000000001"/>
    <s v="high"/>
    <n v="10"/>
    <n v="1"/>
    <n v="3"/>
    <n v="0"/>
    <m/>
  </r>
  <r>
    <n v="15"/>
    <x v="1"/>
    <n v="7.4"/>
    <s v="Both"/>
    <n v="8.4"/>
    <n v="1.9"/>
    <n v="3.73"/>
    <n v="0.8"/>
    <s v="high"/>
    <n v="9"/>
    <n v="9"/>
    <n v="4"/>
    <n v="0"/>
    <m/>
  </r>
  <r>
    <n v="15"/>
    <x v="0"/>
    <n v="4.8"/>
    <s v="Both"/>
    <n v="4.3"/>
    <n v="2.2000000000000002"/>
    <n v="2.5"/>
    <n v="0"/>
    <s v="medium"/>
    <n v="4"/>
    <n v="1"/>
    <n v="4"/>
    <n v="0"/>
    <m/>
  </r>
  <r>
    <n v="18"/>
    <x v="0"/>
    <n v="2.4"/>
    <s v="Both"/>
    <n v="6.8"/>
    <n v="1"/>
    <n v="2.86"/>
    <n v="1.5"/>
    <s v="high"/>
    <n v="9"/>
    <n v="10"/>
    <n v="8"/>
    <n v="0"/>
    <m/>
  </r>
  <r>
    <n v="15"/>
    <x v="0"/>
    <n v="5.4"/>
    <s v="TikTok"/>
    <n v="5.2"/>
    <n v="0.6"/>
    <n v="3.65"/>
    <n v="1.5"/>
    <s v="low"/>
    <n v="7"/>
    <n v="9"/>
    <n v="10"/>
    <n v="1"/>
    <m/>
  </r>
  <r>
    <n v="17"/>
    <x v="1"/>
    <n v="3.5"/>
    <s v="Both"/>
    <n v="8.5"/>
    <n v="2.2000000000000002"/>
    <n v="2.11"/>
    <n v="1.3"/>
    <s v="medium"/>
    <n v="8"/>
    <n v="8"/>
    <n v="2"/>
    <n v="0"/>
    <m/>
  </r>
  <r>
    <n v="18"/>
    <x v="1"/>
    <n v="3"/>
    <s v="Instagram"/>
    <n v="5"/>
    <n v="2"/>
    <n v="2.4500000000000002"/>
    <n v="1.2"/>
    <s v="medium"/>
    <n v="1"/>
    <n v="10"/>
    <n v="7"/>
    <n v="0"/>
    <m/>
  </r>
  <r>
    <n v="13"/>
    <x v="1"/>
    <n v="3.3"/>
    <s v="Both"/>
    <n v="7.4"/>
    <n v="0.9"/>
    <n v="2.5299999999999998"/>
    <n v="0.2"/>
    <s v="medium"/>
    <n v="4"/>
    <n v="10"/>
    <n v="6"/>
    <n v="0"/>
    <m/>
  </r>
  <r>
    <n v="19"/>
    <x v="0"/>
    <n v="5.5"/>
    <s v="TikTok"/>
    <n v="5.0999999999999996"/>
    <n v="2.7"/>
    <n v="2.56"/>
    <n v="1.4"/>
    <s v="low"/>
    <n v="2"/>
    <n v="3"/>
    <n v="7"/>
    <n v="0"/>
    <m/>
  </r>
  <r>
    <n v="15"/>
    <x v="0"/>
    <n v="3.8"/>
    <s v="Both"/>
    <n v="8.3000000000000007"/>
    <n v="2.6"/>
    <n v="3.19"/>
    <n v="2"/>
    <s v="medium"/>
    <n v="1"/>
    <n v="2"/>
    <n v="2"/>
    <n v="0"/>
    <m/>
  </r>
  <r>
    <n v="17"/>
    <x v="0"/>
    <n v="5.7"/>
    <s v="TikTok"/>
    <n v="8.6999999999999993"/>
    <n v="2"/>
    <n v="3.14"/>
    <n v="1.7"/>
    <s v="low"/>
    <n v="1"/>
    <n v="9"/>
    <n v="8"/>
    <n v="0"/>
    <m/>
  </r>
  <r>
    <n v="13"/>
    <x v="1"/>
    <n v="4.7"/>
    <s v="TikTok"/>
    <n v="8"/>
    <n v="1.1000000000000001"/>
    <n v="2.37"/>
    <n v="0.2"/>
    <s v="low"/>
    <n v="5"/>
    <n v="10"/>
    <n v="6"/>
    <n v="0"/>
    <m/>
  </r>
  <r>
    <n v="17"/>
    <x v="1"/>
    <n v="4"/>
    <s v="Instagram"/>
    <n v="6.7"/>
    <n v="0.6"/>
    <n v="2.5099999999999998"/>
    <n v="1.5"/>
    <s v="high"/>
    <n v="9"/>
    <n v="8"/>
    <n v="5"/>
    <n v="0"/>
    <m/>
  </r>
  <r>
    <n v="16"/>
    <x v="0"/>
    <n v="5.3"/>
    <s v="TikTok"/>
    <n v="6.8"/>
    <n v="0.7"/>
    <n v="3.9"/>
    <n v="1.5"/>
    <s v="low"/>
    <n v="5"/>
    <n v="8"/>
    <n v="3"/>
    <n v="0"/>
    <m/>
  </r>
  <r>
    <n v="17"/>
    <x v="0"/>
    <n v="3.8"/>
    <s v="Instagram"/>
    <n v="4.7"/>
    <n v="1.2"/>
    <n v="3.7"/>
    <n v="1.4"/>
    <s v="high"/>
    <n v="2"/>
    <n v="2"/>
    <n v="5"/>
    <n v="0"/>
    <m/>
  </r>
  <r>
    <n v="16"/>
    <x v="1"/>
    <n v="6"/>
    <s v="Both"/>
    <n v="4.0999999999999996"/>
    <n v="2.4"/>
    <n v="2.61"/>
    <n v="1.1000000000000001"/>
    <s v="high"/>
    <n v="1"/>
    <n v="6"/>
    <n v="3"/>
    <n v="0"/>
    <m/>
  </r>
  <r>
    <n v="15"/>
    <x v="0"/>
    <n v="2.2000000000000002"/>
    <s v="Both"/>
    <n v="4.5"/>
    <n v="1.3"/>
    <n v="2.63"/>
    <n v="1.7"/>
    <s v="low"/>
    <n v="10"/>
    <n v="2"/>
    <n v="6"/>
    <n v="0"/>
    <m/>
  </r>
  <r>
    <n v="18"/>
    <x v="0"/>
    <n v="4.3"/>
    <s v="TikTok"/>
    <n v="8.4"/>
    <n v="2.1"/>
    <n v="2.69"/>
    <n v="0.2"/>
    <s v="low"/>
    <n v="1"/>
    <n v="10"/>
    <n v="8"/>
    <n v="0"/>
    <m/>
  </r>
  <r>
    <n v="19"/>
    <x v="1"/>
    <n v="7.5"/>
    <s v="TikTok"/>
    <n v="4.5"/>
    <n v="2.7"/>
    <n v="2.41"/>
    <n v="1"/>
    <s v="high"/>
    <n v="3"/>
    <n v="2"/>
    <n v="6"/>
    <n v="0"/>
    <m/>
  </r>
  <r>
    <n v="14"/>
    <x v="0"/>
    <n v="5.3"/>
    <s v="Instagram"/>
    <n v="6.8"/>
    <n v="2.9"/>
    <n v="2.1800000000000002"/>
    <n v="0.8"/>
    <s v="medium"/>
    <n v="10"/>
    <n v="1"/>
    <n v="6"/>
    <n v="0"/>
    <m/>
  </r>
  <r>
    <n v="14"/>
    <x v="1"/>
    <n v="7"/>
    <s v="Instagram"/>
    <n v="6.9"/>
    <n v="2.1"/>
    <n v="3.42"/>
    <n v="1.1000000000000001"/>
    <s v="high"/>
    <n v="10"/>
    <n v="3"/>
    <n v="6"/>
    <n v="0"/>
    <m/>
  </r>
  <r>
    <n v="16"/>
    <x v="1"/>
    <n v="2.1"/>
    <s v="Both"/>
    <n v="4.5999999999999996"/>
    <n v="2"/>
    <n v="2.5499999999999998"/>
    <n v="1.8"/>
    <s v="high"/>
    <n v="5"/>
    <n v="4"/>
    <n v="4"/>
    <n v="0"/>
    <m/>
  </r>
  <r>
    <n v="18"/>
    <x v="1"/>
    <n v="7.3"/>
    <s v="Both"/>
    <n v="7.3"/>
    <n v="2.8"/>
    <n v="3.3"/>
    <n v="0.4"/>
    <s v="low"/>
    <n v="1"/>
    <n v="8"/>
    <n v="1"/>
    <n v="0"/>
    <m/>
  </r>
  <r>
    <n v="17"/>
    <x v="1"/>
    <n v="2.6"/>
    <s v="Instagram"/>
    <n v="6.5"/>
    <n v="1.5"/>
    <n v="3.8"/>
    <n v="0.2"/>
    <s v="high"/>
    <n v="8"/>
    <n v="6"/>
    <n v="1"/>
    <n v="0"/>
    <m/>
  </r>
  <r>
    <n v="17"/>
    <x v="0"/>
    <n v="5.4"/>
    <s v="Both"/>
    <n v="4.9000000000000004"/>
    <n v="1.5"/>
    <n v="3.4"/>
    <n v="0"/>
    <s v="medium"/>
    <n v="2"/>
    <n v="2"/>
    <n v="1"/>
    <n v="0"/>
    <m/>
  </r>
  <r>
    <n v="15"/>
    <x v="0"/>
    <n v="6.9"/>
    <s v="Instagram"/>
    <n v="6.2"/>
    <n v="0.6"/>
    <n v="2.37"/>
    <n v="0.2"/>
    <s v="low"/>
    <n v="3"/>
    <n v="1"/>
    <n v="4"/>
    <n v="0"/>
    <m/>
  </r>
  <r>
    <n v="19"/>
    <x v="1"/>
    <n v="3"/>
    <s v="Instagram"/>
    <n v="5.5"/>
    <n v="2.1"/>
    <n v="3.08"/>
    <n v="0.7"/>
    <s v="low"/>
    <n v="9"/>
    <n v="3"/>
    <n v="5"/>
    <n v="0"/>
    <m/>
  </r>
  <r>
    <n v="18"/>
    <x v="0"/>
    <n v="1.3"/>
    <s v="Instagram"/>
    <n v="4.5"/>
    <n v="2.2999999999999998"/>
    <n v="2.2799999999999998"/>
    <n v="1"/>
    <s v="low"/>
    <n v="2"/>
    <n v="7"/>
    <n v="8"/>
    <n v="0"/>
    <m/>
  </r>
  <r>
    <n v="15"/>
    <x v="0"/>
    <n v="6.2"/>
    <s v="Both"/>
    <n v="6.4"/>
    <n v="1.4"/>
    <n v="3.34"/>
    <n v="0.9"/>
    <s v="high"/>
    <n v="8"/>
    <n v="9"/>
    <n v="9"/>
    <n v="0"/>
    <m/>
  </r>
  <r>
    <n v="15"/>
    <x v="0"/>
    <n v="3.6"/>
    <s v="Instagram"/>
    <n v="5.5"/>
    <n v="1.2"/>
    <n v="2.4900000000000002"/>
    <n v="1.9"/>
    <s v="low"/>
    <n v="1"/>
    <n v="4"/>
    <n v="9"/>
    <n v="0"/>
    <m/>
  </r>
  <r>
    <n v="18"/>
    <x v="1"/>
    <n v="6.5"/>
    <s v="Both"/>
    <n v="6.7"/>
    <n v="2.5"/>
    <n v="2.98"/>
    <n v="0.1"/>
    <s v="high"/>
    <n v="9"/>
    <n v="7"/>
    <n v="7"/>
    <n v="0"/>
    <m/>
  </r>
  <r>
    <n v="17"/>
    <x v="1"/>
    <n v="5.3"/>
    <s v="Instagram"/>
    <n v="6.6"/>
    <n v="0.6"/>
    <n v="3.04"/>
    <n v="0.1"/>
    <s v="high"/>
    <n v="3"/>
    <n v="7"/>
    <n v="1"/>
    <n v="0"/>
    <m/>
  </r>
  <r>
    <n v="16"/>
    <x v="0"/>
    <n v="4.5999999999999996"/>
    <s v="Both"/>
    <n v="5.3"/>
    <n v="1.3"/>
    <n v="3.76"/>
    <n v="0.5"/>
    <s v="medium"/>
    <n v="3"/>
    <n v="8"/>
    <n v="8"/>
    <n v="0"/>
    <m/>
  </r>
  <r>
    <n v="18"/>
    <x v="0"/>
    <n v="7.7"/>
    <s v="Both"/>
    <n v="6.6"/>
    <n v="1.6"/>
    <n v="4"/>
    <n v="1.9"/>
    <s v="high"/>
    <n v="3"/>
    <n v="3"/>
    <n v="9"/>
    <n v="0"/>
    <m/>
  </r>
  <r>
    <n v="19"/>
    <x v="0"/>
    <n v="7.1"/>
    <s v="TikTok"/>
    <n v="8.4"/>
    <n v="1.8"/>
    <n v="2.93"/>
    <n v="1.3"/>
    <s v="medium"/>
    <n v="1"/>
    <n v="6"/>
    <n v="8"/>
    <n v="0"/>
    <m/>
  </r>
  <r>
    <n v="16"/>
    <x v="0"/>
    <n v="3.9"/>
    <s v="TikTok"/>
    <n v="7.5"/>
    <n v="2.1"/>
    <n v="3.24"/>
    <n v="0.9"/>
    <s v="low"/>
    <n v="4"/>
    <n v="3"/>
    <n v="2"/>
    <n v="0"/>
    <m/>
  </r>
  <r>
    <n v="19"/>
    <x v="1"/>
    <n v="7.5"/>
    <s v="TikTok"/>
    <n v="8.6"/>
    <n v="0.9"/>
    <n v="2.25"/>
    <n v="1.6"/>
    <s v="high"/>
    <n v="9"/>
    <n v="8"/>
    <n v="4"/>
    <n v="0"/>
    <m/>
  </r>
  <r>
    <n v="18"/>
    <x v="0"/>
    <n v="5.8"/>
    <s v="TikTok"/>
    <n v="7.5"/>
    <n v="2.2000000000000002"/>
    <n v="3.65"/>
    <n v="1.4"/>
    <s v="medium"/>
    <n v="4"/>
    <n v="4"/>
    <n v="8"/>
    <n v="0"/>
    <m/>
  </r>
  <r>
    <n v="17"/>
    <x v="1"/>
    <n v="7.6"/>
    <s v="Instagram"/>
    <n v="7.3"/>
    <n v="2.9"/>
    <n v="2.99"/>
    <n v="1.2"/>
    <s v="high"/>
    <n v="4"/>
    <n v="8"/>
    <n v="10"/>
    <n v="0"/>
    <m/>
  </r>
  <r>
    <n v="19"/>
    <x v="1"/>
    <n v="4.4000000000000004"/>
    <s v="Instagram"/>
    <n v="7.4"/>
    <n v="2.8"/>
    <n v="3.28"/>
    <n v="1.5"/>
    <s v="medium"/>
    <n v="7"/>
    <n v="5"/>
    <n v="4"/>
    <n v="0"/>
    <m/>
  </r>
  <r>
    <n v="19"/>
    <x v="0"/>
    <n v="4.5999999999999996"/>
    <s v="Both"/>
    <n v="4.5999999999999996"/>
    <n v="2.5"/>
    <n v="2.4"/>
    <n v="1"/>
    <s v="high"/>
    <n v="10"/>
    <n v="10"/>
    <n v="8"/>
    <n v="0"/>
    <m/>
  </r>
  <r>
    <n v="18"/>
    <x v="1"/>
    <n v="7"/>
    <s v="Both"/>
    <n v="8.9"/>
    <n v="0.7"/>
    <n v="2.79"/>
    <n v="0.4"/>
    <s v="medium"/>
    <n v="2"/>
    <n v="10"/>
    <n v="8"/>
    <n v="0"/>
    <m/>
  </r>
  <r>
    <n v="16"/>
    <x v="1"/>
    <n v="3.6"/>
    <s v="TikTok"/>
    <n v="8.8000000000000007"/>
    <n v="1.2"/>
    <n v="2.3199999999999998"/>
    <n v="0.5"/>
    <s v="low"/>
    <n v="2"/>
    <n v="4"/>
    <n v="5"/>
    <n v="0"/>
    <m/>
  </r>
  <r>
    <n v="15"/>
    <x v="1"/>
    <n v="3"/>
    <s v="TikTok"/>
    <n v="6.6"/>
    <n v="0.9"/>
    <n v="2.69"/>
    <n v="1.8"/>
    <s v="medium"/>
    <n v="1"/>
    <n v="2"/>
    <n v="2"/>
    <n v="0"/>
    <m/>
  </r>
  <r>
    <n v="19"/>
    <x v="1"/>
    <n v="7.2"/>
    <s v="Instagram"/>
    <n v="6.4"/>
    <n v="2.9"/>
    <n v="3.82"/>
    <n v="1"/>
    <s v="medium"/>
    <n v="5"/>
    <n v="4"/>
    <n v="5"/>
    <n v="0"/>
    <m/>
  </r>
  <r>
    <n v="15"/>
    <x v="1"/>
    <n v="5.6"/>
    <s v="Both"/>
    <n v="5.9"/>
    <n v="2"/>
    <n v="2.97"/>
    <n v="0.6"/>
    <s v="low"/>
    <n v="9"/>
    <n v="3"/>
    <n v="3"/>
    <n v="0"/>
    <m/>
  </r>
  <r>
    <n v="14"/>
    <x v="1"/>
    <n v="2"/>
    <s v="Instagram"/>
    <n v="4.7"/>
    <n v="1.1000000000000001"/>
    <n v="2.5099999999999998"/>
    <n v="0"/>
    <s v="high"/>
    <n v="2"/>
    <n v="9"/>
    <n v="4"/>
    <n v="0"/>
    <m/>
  </r>
  <r>
    <n v="14"/>
    <x v="1"/>
    <n v="4.4000000000000004"/>
    <s v="TikTok"/>
    <n v="5.0999999999999996"/>
    <n v="2.8"/>
    <n v="2.2200000000000002"/>
    <n v="0.5"/>
    <s v="high"/>
    <n v="5"/>
    <n v="4"/>
    <n v="1"/>
    <n v="0"/>
    <m/>
  </r>
  <r>
    <n v="13"/>
    <x v="0"/>
    <n v="3.5"/>
    <s v="TikTok"/>
    <n v="5.8"/>
    <n v="1.2"/>
    <n v="2.44"/>
    <n v="1.5"/>
    <s v="medium"/>
    <n v="4"/>
    <n v="1"/>
    <n v="8"/>
    <n v="0"/>
    <m/>
  </r>
  <r>
    <n v="13"/>
    <x v="0"/>
    <n v="6.5"/>
    <s v="Instagram"/>
    <n v="6.5"/>
    <n v="1.5"/>
    <n v="2.0499999999999998"/>
    <n v="0.5"/>
    <s v="low"/>
    <n v="3"/>
    <n v="9"/>
    <n v="4"/>
    <n v="0"/>
    <m/>
  </r>
  <r>
    <n v="14"/>
    <x v="0"/>
    <n v="4.4000000000000004"/>
    <s v="Instagram"/>
    <n v="8.8000000000000007"/>
    <n v="2.2999999999999998"/>
    <n v="2.73"/>
    <n v="0.3"/>
    <s v="medium"/>
    <n v="9"/>
    <n v="2"/>
    <n v="2"/>
    <n v="0"/>
    <m/>
  </r>
  <r>
    <n v="17"/>
    <x v="1"/>
    <n v="3.1"/>
    <s v="TikTok"/>
    <n v="4.2"/>
    <n v="0.8"/>
    <n v="2.2799999999999998"/>
    <n v="1.6"/>
    <s v="medium"/>
    <n v="4"/>
    <n v="9"/>
    <n v="6"/>
    <n v="0"/>
    <m/>
  </r>
  <r>
    <n v="15"/>
    <x v="0"/>
    <n v="7.8"/>
    <s v="Both"/>
    <n v="4.2"/>
    <n v="2.1"/>
    <n v="3.42"/>
    <n v="0"/>
    <s v="low"/>
    <n v="10"/>
    <n v="7"/>
    <n v="9"/>
    <n v="1"/>
    <m/>
  </r>
  <r>
    <n v="19"/>
    <x v="1"/>
    <n v="2.1"/>
    <s v="Both"/>
    <n v="4.4000000000000004"/>
    <n v="2.2000000000000002"/>
    <n v="2.4700000000000002"/>
    <n v="0.7"/>
    <s v="high"/>
    <n v="9"/>
    <n v="5"/>
    <n v="6"/>
    <n v="0"/>
    <m/>
  </r>
  <r>
    <n v="14"/>
    <x v="1"/>
    <n v="5.5"/>
    <s v="Both"/>
    <n v="5.7"/>
    <n v="2.2999999999999998"/>
    <n v="3.05"/>
    <n v="1.3"/>
    <s v="medium"/>
    <n v="7"/>
    <n v="8"/>
    <n v="5"/>
    <n v="1"/>
    <m/>
  </r>
  <r>
    <n v="15"/>
    <x v="1"/>
    <n v="5.7"/>
    <s v="Instagram"/>
    <n v="7.2"/>
    <n v="2.4"/>
    <n v="2.1800000000000002"/>
    <n v="1.6"/>
    <s v="medium"/>
    <n v="5"/>
    <n v="1"/>
    <n v="7"/>
    <n v="0"/>
    <m/>
  </r>
  <r>
    <n v="15"/>
    <x v="1"/>
    <n v="5"/>
    <s v="TikTok"/>
    <n v="6.3"/>
    <n v="1.5"/>
    <n v="2.67"/>
    <n v="1.1000000000000001"/>
    <s v="high"/>
    <n v="6"/>
    <n v="2"/>
    <n v="5"/>
    <n v="0"/>
    <m/>
  </r>
  <r>
    <n v="16"/>
    <x v="1"/>
    <n v="7.5"/>
    <s v="Both"/>
    <n v="4"/>
    <n v="0.5"/>
    <n v="3.72"/>
    <n v="1.1000000000000001"/>
    <s v="medium"/>
    <n v="4"/>
    <n v="5"/>
    <n v="7"/>
    <n v="0"/>
    <m/>
  </r>
  <r>
    <n v="17"/>
    <x v="0"/>
    <n v="2.2000000000000002"/>
    <s v="TikTok"/>
    <n v="7.1"/>
    <n v="1.1000000000000001"/>
    <n v="2.5"/>
    <n v="1.5"/>
    <s v="low"/>
    <n v="2"/>
    <n v="1"/>
    <n v="2"/>
    <n v="0"/>
    <m/>
  </r>
  <r>
    <n v="15"/>
    <x v="1"/>
    <n v="7.3"/>
    <s v="Instagram"/>
    <n v="4.0999999999999996"/>
    <n v="2.1"/>
    <n v="2.87"/>
    <n v="0.4"/>
    <s v="low"/>
    <n v="10"/>
    <n v="10"/>
    <n v="1"/>
    <n v="1"/>
    <m/>
  </r>
  <r>
    <n v="17"/>
    <x v="0"/>
    <n v="2.7"/>
    <s v="Instagram"/>
    <n v="7.5"/>
    <n v="1.5"/>
    <n v="3.23"/>
    <n v="1.4"/>
    <s v="low"/>
    <n v="5"/>
    <n v="7"/>
    <n v="3"/>
    <n v="0"/>
    <m/>
  </r>
  <r>
    <n v="18"/>
    <x v="0"/>
    <n v="1.6"/>
    <s v="Instagram"/>
    <n v="8.6"/>
    <n v="2.6"/>
    <n v="3.53"/>
    <n v="0.1"/>
    <s v="medium"/>
    <n v="8"/>
    <n v="8"/>
    <n v="10"/>
    <n v="0"/>
    <m/>
  </r>
  <r>
    <n v="14"/>
    <x v="0"/>
    <n v="4"/>
    <s v="TikTok"/>
    <n v="4.9000000000000004"/>
    <n v="2.7"/>
    <n v="2.2999999999999998"/>
    <n v="0.5"/>
    <s v="high"/>
    <n v="7"/>
    <n v="8"/>
    <n v="6"/>
    <n v="0"/>
    <m/>
  </r>
  <r>
    <n v="18"/>
    <x v="1"/>
    <n v="6.3"/>
    <s v="Both"/>
    <n v="4.7"/>
    <n v="2.4"/>
    <n v="2.2999999999999998"/>
    <n v="0.9"/>
    <s v="medium"/>
    <n v="6"/>
    <n v="1"/>
    <n v="6"/>
    <n v="0"/>
    <m/>
  </r>
  <r>
    <n v="16"/>
    <x v="1"/>
    <n v="6.8"/>
    <s v="TikTok"/>
    <n v="7.1"/>
    <n v="2.9"/>
    <n v="3.26"/>
    <n v="0.6"/>
    <s v="low"/>
    <n v="6"/>
    <n v="10"/>
    <n v="4"/>
    <n v="0"/>
    <m/>
  </r>
  <r>
    <n v="18"/>
    <x v="1"/>
    <n v="6.6"/>
    <s v="Both"/>
    <n v="8.1"/>
    <n v="2"/>
    <n v="3.59"/>
    <n v="1.6"/>
    <s v="low"/>
    <n v="9"/>
    <n v="4"/>
    <n v="3"/>
    <n v="0"/>
    <m/>
  </r>
  <r>
    <n v="13"/>
    <x v="0"/>
    <n v="4"/>
    <s v="Instagram"/>
    <n v="4.2"/>
    <n v="0.9"/>
    <n v="2.75"/>
    <n v="1"/>
    <s v="high"/>
    <n v="5"/>
    <n v="4"/>
    <n v="8"/>
    <n v="0"/>
    <m/>
  </r>
  <r>
    <n v="13"/>
    <x v="0"/>
    <n v="1.6"/>
    <s v="TikTok"/>
    <n v="5"/>
    <n v="2.7"/>
    <n v="2.31"/>
    <n v="1.9"/>
    <s v="low"/>
    <n v="8"/>
    <n v="9"/>
    <n v="5"/>
    <n v="0"/>
    <m/>
  </r>
  <r>
    <n v="18"/>
    <x v="0"/>
    <n v="5.3"/>
    <s v="Both"/>
    <n v="8.1999999999999993"/>
    <n v="1.9"/>
    <n v="3.87"/>
    <n v="1.9"/>
    <s v="low"/>
    <n v="2"/>
    <n v="9"/>
    <n v="8"/>
    <n v="0"/>
    <m/>
  </r>
  <r>
    <n v="19"/>
    <x v="1"/>
    <n v="7.4"/>
    <s v="Both"/>
    <n v="4.4000000000000004"/>
    <n v="1.4"/>
    <n v="3.78"/>
    <n v="1.1000000000000001"/>
    <s v="low"/>
    <n v="9"/>
    <n v="7"/>
    <n v="5"/>
    <n v="1"/>
    <m/>
  </r>
  <r>
    <n v="18"/>
    <x v="1"/>
    <n v="2.2999999999999998"/>
    <s v="Instagram"/>
    <n v="8.6999999999999993"/>
    <n v="0.6"/>
    <n v="2.76"/>
    <n v="1.9"/>
    <s v="high"/>
    <n v="4"/>
    <n v="8"/>
    <n v="7"/>
    <n v="0"/>
    <m/>
  </r>
  <r>
    <n v="16"/>
    <x v="0"/>
    <n v="7.6"/>
    <s v="Both"/>
    <n v="6.1"/>
    <n v="0.8"/>
    <n v="3.09"/>
    <n v="1.3"/>
    <s v="low"/>
    <n v="8"/>
    <n v="4"/>
    <n v="4"/>
    <n v="0"/>
    <m/>
  </r>
  <r>
    <n v="16"/>
    <x v="1"/>
    <n v="7.6"/>
    <s v="TikTok"/>
    <n v="7.6"/>
    <n v="2.4"/>
    <n v="2.2400000000000002"/>
    <n v="1.1000000000000001"/>
    <s v="medium"/>
    <n v="1"/>
    <n v="5"/>
    <n v="5"/>
    <n v="0"/>
    <m/>
  </r>
  <r>
    <n v="17"/>
    <x v="1"/>
    <n v="3.4"/>
    <s v="Both"/>
    <n v="4.7"/>
    <n v="0.5"/>
    <n v="2.91"/>
    <n v="2"/>
    <s v="high"/>
    <n v="2"/>
    <n v="8"/>
    <n v="1"/>
    <n v="0"/>
    <m/>
  </r>
  <r>
    <n v="18"/>
    <x v="1"/>
    <n v="2.2999999999999998"/>
    <s v="Instagram"/>
    <n v="4.2"/>
    <n v="0.9"/>
    <n v="3.84"/>
    <n v="1.3"/>
    <s v="high"/>
    <n v="6"/>
    <n v="6"/>
    <n v="10"/>
    <n v="0"/>
    <m/>
  </r>
  <r>
    <n v="18"/>
    <x v="0"/>
    <n v="5"/>
    <s v="Instagram"/>
    <n v="4.3"/>
    <n v="1.1000000000000001"/>
    <n v="2.2200000000000002"/>
    <n v="0.1"/>
    <s v="high"/>
    <n v="7"/>
    <n v="2"/>
    <n v="2"/>
    <n v="0"/>
    <m/>
  </r>
  <r>
    <n v="15"/>
    <x v="0"/>
    <n v="3.8"/>
    <s v="TikTok"/>
    <n v="7.1"/>
    <n v="0.5"/>
    <n v="3.08"/>
    <n v="0.2"/>
    <s v="medium"/>
    <n v="2"/>
    <n v="9"/>
    <n v="7"/>
    <n v="0"/>
    <m/>
  </r>
  <r>
    <n v="16"/>
    <x v="0"/>
    <n v="3.7"/>
    <s v="Instagram"/>
    <n v="7.6"/>
    <n v="1.2"/>
    <n v="3.2"/>
    <n v="1"/>
    <s v="medium"/>
    <n v="4"/>
    <n v="8"/>
    <n v="6"/>
    <n v="0"/>
    <m/>
  </r>
  <r>
    <n v="13"/>
    <x v="0"/>
    <n v="1.4"/>
    <s v="Both"/>
    <n v="8.6"/>
    <n v="2.4"/>
    <n v="3.31"/>
    <n v="0.7"/>
    <s v="low"/>
    <n v="2"/>
    <n v="6"/>
    <n v="2"/>
    <n v="0"/>
    <m/>
  </r>
  <r>
    <n v="18"/>
    <x v="0"/>
    <n v="1.8"/>
    <s v="Both"/>
    <n v="4.9000000000000004"/>
    <n v="2.7"/>
    <n v="2.12"/>
    <n v="0.2"/>
    <s v="low"/>
    <n v="1"/>
    <n v="3"/>
    <n v="8"/>
    <n v="0"/>
    <m/>
  </r>
  <r>
    <n v="19"/>
    <x v="0"/>
    <n v="1.5"/>
    <s v="TikTok"/>
    <n v="5.8"/>
    <n v="1.1000000000000001"/>
    <n v="3.29"/>
    <n v="1.7"/>
    <s v="high"/>
    <n v="6"/>
    <n v="4"/>
    <n v="2"/>
    <n v="0"/>
    <m/>
  </r>
  <r>
    <n v="18"/>
    <x v="1"/>
    <n v="5.5"/>
    <s v="Both"/>
    <n v="5.5"/>
    <n v="1.8"/>
    <n v="2.2400000000000002"/>
    <n v="0"/>
    <s v="high"/>
    <n v="3"/>
    <n v="4"/>
    <n v="10"/>
    <n v="0"/>
    <m/>
  </r>
  <r>
    <n v="15"/>
    <x v="0"/>
    <n v="4.9000000000000004"/>
    <s v="Both"/>
    <n v="5.2"/>
    <n v="0.7"/>
    <n v="2.5499999999999998"/>
    <n v="0.1"/>
    <s v="low"/>
    <n v="10"/>
    <n v="6"/>
    <n v="4"/>
    <n v="0"/>
    <m/>
  </r>
  <r>
    <n v="14"/>
    <x v="1"/>
    <n v="7.2"/>
    <s v="Both"/>
    <n v="7"/>
    <n v="2.2999999999999998"/>
    <n v="3.74"/>
    <n v="0.7"/>
    <s v="low"/>
    <n v="8"/>
    <n v="4"/>
    <n v="7"/>
    <n v="0"/>
    <m/>
  </r>
  <r>
    <n v="16"/>
    <x v="1"/>
    <n v="6.8"/>
    <s v="Instagram"/>
    <n v="7.2"/>
    <n v="1.1000000000000001"/>
    <n v="2.29"/>
    <n v="1.9"/>
    <s v="low"/>
    <n v="8"/>
    <n v="5"/>
    <n v="9"/>
    <n v="0"/>
    <m/>
  </r>
  <r>
    <n v="13"/>
    <x v="1"/>
    <n v="2.2000000000000002"/>
    <s v="Both"/>
    <n v="7.7"/>
    <n v="2.1"/>
    <n v="2.33"/>
    <n v="1.7"/>
    <s v="low"/>
    <n v="2"/>
    <n v="8"/>
    <n v="7"/>
    <n v="0"/>
    <m/>
  </r>
  <r>
    <n v="16"/>
    <x v="1"/>
    <n v="5.9"/>
    <s v="TikTok"/>
    <n v="7"/>
    <n v="0.8"/>
    <n v="2.29"/>
    <n v="1.6"/>
    <s v="low"/>
    <n v="6"/>
    <n v="8"/>
    <n v="1"/>
    <n v="0"/>
    <m/>
  </r>
  <r>
    <n v="15"/>
    <x v="1"/>
    <n v="2.2000000000000002"/>
    <s v="Instagram"/>
    <n v="7.5"/>
    <n v="1.4"/>
    <n v="3.19"/>
    <n v="1.8"/>
    <s v="low"/>
    <n v="6"/>
    <n v="1"/>
    <n v="7"/>
    <n v="0"/>
    <m/>
  </r>
  <r>
    <n v="19"/>
    <x v="1"/>
    <n v="2.4"/>
    <s v="Instagram"/>
    <n v="4.2"/>
    <n v="1.2"/>
    <n v="3.87"/>
    <n v="1.3"/>
    <s v="low"/>
    <n v="1"/>
    <n v="9"/>
    <n v="5"/>
    <n v="0"/>
    <m/>
  </r>
  <r>
    <n v="15"/>
    <x v="0"/>
    <n v="4.0999999999999996"/>
    <s v="Instagram"/>
    <n v="7.6"/>
    <n v="1"/>
    <n v="2.17"/>
    <n v="1.1000000000000001"/>
    <s v="low"/>
    <n v="4"/>
    <n v="5"/>
    <n v="1"/>
    <n v="0"/>
    <m/>
  </r>
  <r>
    <n v="18"/>
    <x v="1"/>
    <n v="4.5"/>
    <s v="Instagram"/>
    <n v="7"/>
    <n v="2.7"/>
    <n v="2.89"/>
    <n v="1.8"/>
    <s v="high"/>
    <n v="1"/>
    <n v="1"/>
    <n v="2"/>
    <n v="0"/>
    <m/>
  </r>
  <r>
    <n v="14"/>
    <x v="1"/>
    <n v="4.5999999999999996"/>
    <s v="Instagram"/>
    <n v="5.9"/>
    <n v="1.4"/>
    <n v="2.15"/>
    <n v="0.3"/>
    <s v="high"/>
    <n v="3"/>
    <n v="10"/>
    <n v="2"/>
    <n v="0"/>
    <m/>
  </r>
  <r>
    <n v="17"/>
    <x v="1"/>
    <n v="4.5"/>
    <s v="Both"/>
    <n v="6.1"/>
    <n v="2.8"/>
    <n v="3.38"/>
    <n v="1.2"/>
    <s v="low"/>
    <n v="10"/>
    <n v="4"/>
    <n v="2"/>
    <n v="0"/>
    <m/>
  </r>
  <r>
    <n v="13"/>
    <x v="0"/>
    <n v="5"/>
    <s v="Instagram"/>
    <n v="5.2"/>
    <n v="2.6"/>
    <n v="2.04"/>
    <n v="1.7"/>
    <s v="medium"/>
    <n v="4"/>
    <n v="4"/>
    <n v="5"/>
    <n v="0"/>
    <m/>
  </r>
  <r>
    <n v="19"/>
    <x v="1"/>
    <n v="4.0999999999999996"/>
    <s v="Both"/>
    <n v="6.4"/>
    <n v="1.4"/>
    <n v="2.2599999999999998"/>
    <n v="1.6"/>
    <s v="high"/>
    <n v="2"/>
    <n v="3"/>
    <n v="6"/>
    <n v="0"/>
    <m/>
  </r>
  <r>
    <n v="18"/>
    <x v="0"/>
    <n v="7.5"/>
    <s v="TikTok"/>
    <n v="7.6"/>
    <n v="1.8"/>
    <n v="3.19"/>
    <n v="1.7"/>
    <s v="high"/>
    <n v="2"/>
    <n v="6"/>
    <n v="6"/>
    <n v="0"/>
    <m/>
  </r>
  <r>
    <n v="18"/>
    <x v="0"/>
    <n v="4.2"/>
    <s v="Instagram"/>
    <n v="5.5"/>
    <n v="1.8"/>
    <n v="3.83"/>
    <n v="1.9"/>
    <s v="low"/>
    <n v="3"/>
    <n v="8"/>
    <n v="8"/>
    <n v="0"/>
    <m/>
  </r>
  <r>
    <n v="14"/>
    <x v="1"/>
    <n v="7.2"/>
    <s v="Both"/>
    <n v="5"/>
    <n v="2.9"/>
    <n v="3.76"/>
    <n v="0.4"/>
    <s v="medium"/>
    <n v="7"/>
    <n v="4"/>
    <n v="2"/>
    <n v="0"/>
    <m/>
  </r>
  <r>
    <n v="13"/>
    <x v="0"/>
    <n v="4.8"/>
    <s v="Instagram"/>
    <n v="6"/>
    <n v="0.6"/>
    <n v="2.41"/>
    <n v="0"/>
    <s v="high"/>
    <n v="3"/>
    <n v="6"/>
    <n v="9"/>
    <n v="0"/>
    <m/>
  </r>
  <r>
    <n v="17"/>
    <x v="1"/>
    <n v="7.3"/>
    <s v="Instagram"/>
    <n v="6.7"/>
    <n v="1"/>
    <n v="3.41"/>
    <n v="1.7"/>
    <s v="medium"/>
    <n v="6"/>
    <n v="5"/>
    <n v="2"/>
    <n v="0"/>
    <m/>
  </r>
  <r>
    <n v="13"/>
    <x v="0"/>
    <n v="3.9"/>
    <s v="Both"/>
    <n v="4.5"/>
    <n v="1.6"/>
    <n v="2.02"/>
    <n v="0.6"/>
    <s v="high"/>
    <n v="6"/>
    <n v="6"/>
    <n v="5"/>
    <n v="0"/>
    <m/>
  </r>
  <r>
    <n v="15"/>
    <x v="1"/>
    <n v="5.5"/>
    <s v="Both"/>
    <n v="4"/>
    <n v="2.4"/>
    <n v="3.01"/>
    <n v="0.9"/>
    <s v="low"/>
    <n v="10"/>
    <n v="3"/>
    <n v="2"/>
    <n v="0"/>
    <m/>
  </r>
  <r>
    <n v="15"/>
    <x v="0"/>
    <n v="7.5"/>
    <s v="Both"/>
    <n v="6.3"/>
    <n v="2.8"/>
    <n v="3.04"/>
    <n v="1.8"/>
    <s v="low"/>
    <n v="1"/>
    <n v="5"/>
    <n v="8"/>
    <n v="0"/>
    <m/>
  </r>
  <r>
    <n v="17"/>
    <x v="0"/>
    <n v="1.8"/>
    <s v="Instagram"/>
    <n v="6.9"/>
    <n v="2.7"/>
    <n v="2.5299999999999998"/>
    <n v="1.7"/>
    <s v="high"/>
    <n v="2"/>
    <n v="2"/>
    <n v="7"/>
    <n v="0"/>
    <m/>
  </r>
  <r>
    <n v="16"/>
    <x v="0"/>
    <n v="2.6"/>
    <s v="Instagram"/>
    <n v="5.0999999999999996"/>
    <n v="0.9"/>
    <n v="2.57"/>
    <n v="1.4"/>
    <s v="medium"/>
    <n v="8"/>
    <n v="5"/>
    <n v="8"/>
    <n v="0"/>
    <m/>
  </r>
  <r>
    <n v="17"/>
    <x v="1"/>
    <n v="5.5"/>
    <s v="Both"/>
    <n v="6"/>
    <n v="2.8"/>
    <n v="3.4"/>
    <n v="0"/>
    <s v="medium"/>
    <n v="2"/>
    <n v="3"/>
    <n v="8"/>
    <n v="0"/>
    <m/>
  </r>
  <r>
    <n v="15"/>
    <x v="1"/>
    <n v="3.6"/>
    <s v="TikTok"/>
    <n v="7.1"/>
    <n v="0.9"/>
    <n v="2.84"/>
    <n v="0.3"/>
    <s v="low"/>
    <n v="1"/>
    <n v="9"/>
    <n v="4"/>
    <n v="0"/>
    <m/>
  </r>
  <r>
    <n v="19"/>
    <x v="1"/>
    <n v="7.6"/>
    <s v="Both"/>
    <n v="5.4"/>
    <n v="1.9"/>
    <n v="2.56"/>
    <n v="1.4"/>
    <s v="low"/>
    <n v="2"/>
    <n v="7"/>
    <n v="9"/>
    <n v="0"/>
    <m/>
  </r>
  <r>
    <n v="13"/>
    <x v="0"/>
    <n v="7.9"/>
    <s v="Instagram"/>
    <n v="7.1"/>
    <n v="0.7"/>
    <n v="2.8"/>
    <n v="0.3"/>
    <s v="medium"/>
    <n v="6"/>
    <n v="8"/>
    <n v="8"/>
    <n v="0"/>
    <m/>
  </r>
  <r>
    <n v="15"/>
    <x v="0"/>
    <n v="2.6"/>
    <s v="Both"/>
    <n v="6.8"/>
    <n v="1.7"/>
    <n v="2.06"/>
    <n v="0.4"/>
    <s v="medium"/>
    <n v="8"/>
    <n v="6"/>
    <n v="6"/>
    <n v="0"/>
    <m/>
  </r>
  <r>
    <n v="19"/>
    <x v="0"/>
    <n v="5.7"/>
    <s v="TikTok"/>
    <n v="6.4"/>
    <n v="0.9"/>
    <n v="3.57"/>
    <n v="1.5"/>
    <s v="high"/>
    <n v="3"/>
    <n v="7"/>
    <n v="2"/>
    <n v="0"/>
    <m/>
  </r>
  <r>
    <n v="13"/>
    <x v="1"/>
    <n v="7.1"/>
    <s v="Instagram"/>
    <n v="5.7"/>
    <n v="1.2"/>
    <n v="3.83"/>
    <n v="2"/>
    <s v="medium"/>
    <n v="2"/>
    <n v="8"/>
    <n v="7"/>
    <n v="0"/>
    <m/>
  </r>
  <r>
    <n v="13"/>
    <x v="1"/>
    <n v="1.3"/>
    <s v="TikTok"/>
    <n v="8.6999999999999993"/>
    <n v="0.9"/>
    <n v="4"/>
    <n v="0.1"/>
    <s v="low"/>
    <n v="10"/>
    <n v="9"/>
    <n v="9"/>
    <n v="0"/>
    <m/>
  </r>
  <r>
    <n v="13"/>
    <x v="1"/>
    <n v="1.1000000000000001"/>
    <s v="Both"/>
    <n v="6.7"/>
    <n v="2"/>
    <n v="3.63"/>
    <n v="0.2"/>
    <s v="medium"/>
    <n v="3"/>
    <n v="10"/>
    <n v="5"/>
    <n v="0"/>
    <m/>
  </r>
  <r>
    <n v="13"/>
    <x v="1"/>
    <n v="3.3"/>
    <s v="TikTok"/>
    <n v="9"/>
    <n v="0.7"/>
    <n v="2.4900000000000002"/>
    <n v="0.6"/>
    <s v="medium"/>
    <n v="3"/>
    <n v="6"/>
    <n v="4"/>
    <n v="0"/>
    <m/>
  </r>
  <r>
    <n v="16"/>
    <x v="0"/>
    <n v="7.4"/>
    <s v="Both"/>
    <n v="7.2"/>
    <n v="1.8"/>
    <n v="2.11"/>
    <n v="1.4"/>
    <s v="medium"/>
    <n v="3"/>
    <n v="7"/>
    <n v="3"/>
    <n v="0"/>
    <m/>
  </r>
  <r>
    <n v="13"/>
    <x v="0"/>
    <n v="5.8"/>
    <s v="TikTok"/>
    <n v="8.3000000000000007"/>
    <n v="2.8"/>
    <n v="2.63"/>
    <n v="0.6"/>
    <s v="high"/>
    <n v="5"/>
    <n v="3"/>
    <n v="7"/>
    <n v="0"/>
    <m/>
  </r>
  <r>
    <n v="18"/>
    <x v="1"/>
    <n v="4.5999999999999996"/>
    <s v="TikTok"/>
    <n v="6.8"/>
    <n v="1.5"/>
    <n v="2.4"/>
    <n v="1.4"/>
    <s v="medium"/>
    <n v="5"/>
    <n v="10"/>
    <n v="2"/>
    <n v="0"/>
    <m/>
  </r>
  <r>
    <n v="18"/>
    <x v="1"/>
    <n v="2.5"/>
    <s v="TikTok"/>
    <n v="7.1"/>
    <n v="1.6"/>
    <n v="3.97"/>
    <n v="0.7"/>
    <s v="medium"/>
    <n v="10"/>
    <n v="7"/>
    <n v="3"/>
    <n v="0"/>
    <m/>
  </r>
  <r>
    <n v="18"/>
    <x v="0"/>
    <n v="4"/>
    <s v="Both"/>
    <n v="8"/>
    <n v="2"/>
    <n v="3.04"/>
    <n v="1.4"/>
    <s v="high"/>
    <n v="3"/>
    <n v="1"/>
    <n v="8"/>
    <n v="0"/>
    <m/>
  </r>
  <r>
    <n v="17"/>
    <x v="1"/>
    <n v="6.6"/>
    <s v="Both"/>
    <n v="8"/>
    <n v="1.9"/>
    <n v="2.86"/>
    <n v="0.4"/>
    <s v="medium"/>
    <n v="4"/>
    <n v="8"/>
    <n v="5"/>
    <n v="0"/>
    <m/>
  </r>
  <r>
    <n v="14"/>
    <x v="1"/>
    <n v="2.9"/>
    <s v="TikTok"/>
    <n v="5.8"/>
    <n v="1.6"/>
    <n v="3.34"/>
    <n v="1.1000000000000001"/>
    <s v="medium"/>
    <n v="6"/>
    <n v="10"/>
    <n v="3"/>
    <n v="0"/>
    <m/>
  </r>
  <r>
    <n v="14"/>
    <x v="0"/>
    <n v="7.2"/>
    <s v="TikTok"/>
    <n v="5.7"/>
    <n v="2.7"/>
    <n v="2.76"/>
    <n v="0.4"/>
    <s v="low"/>
    <n v="7"/>
    <n v="3"/>
    <n v="7"/>
    <n v="0"/>
    <m/>
  </r>
  <r>
    <n v="13"/>
    <x v="1"/>
    <n v="2.9"/>
    <s v="Instagram"/>
    <n v="5.3"/>
    <n v="1"/>
    <n v="3.89"/>
    <n v="1.7"/>
    <s v="high"/>
    <n v="9"/>
    <n v="2"/>
    <n v="4"/>
    <n v="0"/>
    <m/>
  </r>
  <r>
    <n v="15"/>
    <x v="1"/>
    <n v="7.3"/>
    <s v="Both"/>
    <n v="5.7"/>
    <n v="2.9"/>
    <n v="3.48"/>
    <n v="1.8"/>
    <s v="medium"/>
    <n v="2"/>
    <n v="7"/>
    <n v="8"/>
    <n v="0"/>
    <m/>
  </r>
  <r>
    <n v="16"/>
    <x v="1"/>
    <n v="3.7"/>
    <s v="TikTok"/>
    <n v="9"/>
    <n v="1.5"/>
    <n v="3.37"/>
    <n v="1.9"/>
    <s v="low"/>
    <n v="4"/>
    <n v="3"/>
    <n v="1"/>
    <n v="0"/>
    <m/>
  </r>
  <r>
    <n v="16"/>
    <x v="0"/>
    <n v="7"/>
    <s v="Instagram"/>
    <n v="4.8"/>
    <n v="1.7"/>
    <n v="2.9"/>
    <n v="0.3"/>
    <s v="low"/>
    <n v="4"/>
    <n v="1"/>
    <n v="8"/>
    <n v="0"/>
    <m/>
  </r>
  <r>
    <n v="15"/>
    <x v="0"/>
    <n v="4"/>
    <s v="TikTok"/>
    <n v="8.4"/>
    <n v="2.2999999999999998"/>
    <n v="2.52"/>
    <n v="0.9"/>
    <s v="low"/>
    <n v="4"/>
    <n v="5"/>
    <n v="3"/>
    <n v="0"/>
    <m/>
  </r>
  <r>
    <n v="16"/>
    <x v="0"/>
    <n v="2.7"/>
    <s v="Both"/>
    <n v="7.5"/>
    <n v="2.8"/>
    <n v="3.53"/>
    <n v="0.9"/>
    <s v="medium"/>
    <n v="3"/>
    <n v="1"/>
    <n v="5"/>
    <n v="0"/>
    <m/>
  </r>
  <r>
    <n v="15"/>
    <x v="0"/>
    <n v="7.2"/>
    <s v="Both"/>
    <n v="5.7"/>
    <n v="0.7"/>
    <n v="3.89"/>
    <n v="1"/>
    <s v="medium"/>
    <n v="1"/>
    <n v="3"/>
    <n v="6"/>
    <n v="0"/>
    <m/>
  </r>
  <r>
    <n v="18"/>
    <x v="0"/>
    <n v="7.9"/>
    <s v="Both"/>
    <n v="7"/>
    <n v="2.7"/>
    <n v="3.9"/>
    <n v="1"/>
    <s v="medium"/>
    <n v="1"/>
    <n v="2"/>
    <n v="10"/>
    <n v="0"/>
    <m/>
  </r>
  <r>
    <n v="14"/>
    <x v="1"/>
    <n v="5.0999999999999996"/>
    <s v="Instagram"/>
    <n v="5.3"/>
    <n v="2.2999999999999998"/>
    <n v="2.31"/>
    <n v="0.2"/>
    <s v="high"/>
    <n v="3"/>
    <n v="3"/>
    <n v="6"/>
    <n v="0"/>
    <m/>
  </r>
  <r>
    <n v="15"/>
    <x v="1"/>
    <n v="6.4"/>
    <s v="Both"/>
    <n v="7.7"/>
    <n v="0.7"/>
    <n v="3.86"/>
    <n v="1.5"/>
    <s v="high"/>
    <n v="10"/>
    <n v="2"/>
    <n v="7"/>
    <n v="0"/>
    <m/>
  </r>
  <r>
    <n v="16"/>
    <x v="1"/>
    <n v="4.4000000000000004"/>
    <s v="Both"/>
    <n v="4.2"/>
    <n v="2"/>
    <n v="3.89"/>
    <n v="1.1000000000000001"/>
    <s v="medium"/>
    <n v="2"/>
    <n v="9"/>
    <n v="8"/>
    <n v="0"/>
    <m/>
  </r>
  <r>
    <n v="16"/>
    <x v="0"/>
    <n v="7"/>
    <s v="TikTok"/>
    <n v="7.4"/>
    <n v="2.6"/>
    <n v="2.92"/>
    <n v="1"/>
    <s v="medium"/>
    <n v="10"/>
    <n v="6"/>
    <n v="3"/>
    <n v="0"/>
    <m/>
  </r>
  <r>
    <n v="17"/>
    <x v="1"/>
    <n v="7.8"/>
    <s v="TikTok"/>
    <n v="5.7"/>
    <n v="1.2"/>
    <n v="3.72"/>
    <n v="1.2"/>
    <s v="high"/>
    <n v="10"/>
    <n v="2"/>
    <n v="6"/>
    <n v="0"/>
    <m/>
  </r>
  <r>
    <n v="14"/>
    <x v="1"/>
    <n v="5"/>
    <s v="Instagram"/>
    <n v="6.2"/>
    <n v="1"/>
    <n v="2"/>
    <n v="1.5"/>
    <s v="low"/>
    <n v="5"/>
    <n v="6"/>
    <n v="1"/>
    <n v="0"/>
    <m/>
  </r>
  <r>
    <n v="17"/>
    <x v="0"/>
    <n v="6.6"/>
    <s v="TikTok"/>
    <n v="5.3"/>
    <n v="1.1000000000000001"/>
    <n v="3.5"/>
    <n v="1.7"/>
    <s v="medium"/>
    <n v="1"/>
    <n v="10"/>
    <n v="7"/>
    <n v="0"/>
    <m/>
  </r>
  <r>
    <n v="18"/>
    <x v="0"/>
    <n v="2.6"/>
    <s v="Both"/>
    <n v="8.6"/>
    <n v="2.7"/>
    <n v="3.28"/>
    <n v="0.8"/>
    <s v="high"/>
    <n v="5"/>
    <n v="4"/>
    <n v="6"/>
    <n v="0"/>
    <m/>
  </r>
  <r>
    <n v="13"/>
    <x v="1"/>
    <n v="5.8"/>
    <s v="Instagram"/>
    <n v="4.4000000000000004"/>
    <n v="1.8"/>
    <n v="3.8"/>
    <n v="1"/>
    <s v="high"/>
    <n v="2"/>
    <n v="2"/>
    <n v="1"/>
    <n v="0"/>
    <m/>
  </r>
  <r>
    <n v="14"/>
    <x v="1"/>
    <n v="5.6"/>
    <s v="TikTok"/>
    <n v="6.8"/>
    <n v="2.2999999999999998"/>
    <n v="2.66"/>
    <n v="1.1000000000000001"/>
    <s v="high"/>
    <n v="7"/>
    <n v="6"/>
    <n v="2"/>
    <n v="0"/>
    <m/>
  </r>
  <r>
    <n v="18"/>
    <x v="0"/>
    <n v="4.5999999999999996"/>
    <s v="Both"/>
    <n v="4.3"/>
    <n v="2.9"/>
    <n v="2.95"/>
    <n v="0.6"/>
    <s v="medium"/>
    <n v="7"/>
    <n v="9"/>
    <n v="8"/>
    <n v="0"/>
    <m/>
  </r>
  <r>
    <n v="19"/>
    <x v="0"/>
    <n v="1.4"/>
    <s v="Both"/>
    <n v="4.7"/>
    <n v="0.5"/>
    <n v="3.57"/>
    <n v="1.7"/>
    <s v="high"/>
    <n v="1"/>
    <n v="5"/>
    <n v="6"/>
    <n v="0"/>
    <m/>
  </r>
  <r>
    <n v="13"/>
    <x v="1"/>
    <n v="2.9"/>
    <s v="Both"/>
    <n v="8.1999999999999993"/>
    <n v="2.2999999999999998"/>
    <n v="2.48"/>
    <n v="0.9"/>
    <s v="low"/>
    <n v="5"/>
    <n v="8"/>
    <n v="9"/>
    <n v="0"/>
    <m/>
  </r>
  <r>
    <n v="16"/>
    <x v="1"/>
    <n v="7.9"/>
    <s v="Instagram"/>
    <n v="6.3"/>
    <n v="2.7"/>
    <n v="2.88"/>
    <n v="0.2"/>
    <s v="high"/>
    <n v="2"/>
    <n v="7"/>
    <n v="5"/>
    <n v="0"/>
    <m/>
  </r>
  <r>
    <n v="13"/>
    <x v="0"/>
    <n v="3.5"/>
    <s v="Both"/>
    <n v="6.8"/>
    <n v="2.2999999999999998"/>
    <n v="2.2799999999999998"/>
    <n v="1"/>
    <s v="low"/>
    <n v="7"/>
    <n v="2"/>
    <n v="6"/>
    <n v="0"/>
    <m/>
  </r>
  <r>
    <n v="14"/>
    <x v="1"/>
    <n v="3.8"/>
    <s v="Instagram"/>
    <n v="7.9"/>
    <n v="1.2"/>
    <n v="3.24"/>
    <n v="1.6"/>
    <s v="high"/>
    <n v="6"/>
    <n v="10"/>
    <n v="5"/>
    <n v="0"/>
    <m/>
  </r>
  <r>
    <n v="19"/>
    <x v="0"/>
    <n v="2.9"/>
    <s v="Instagram"/>
    <n v="8.6999999999999993"/>
    <n v="0.9"/>
    <n v="2.99"/>
    <n v="0.8"/>
    <s v="medium"/>
    <n v="7"/>
    <n v="8"/>
    <n v="2"/>
    <n v="0"/>
    <m/>
  </r>
  <r>
    <n v="17"/>
    <x v="0"/>
    <n v="3.5"/>
    <s v="Both"/>
    <n v="4.5999999999999996"/>
    <n v="0.7"/>
    <n v="3.9"/>
    <n v="0.6"/>
    <s v="high"/>
    <n v="7"/>
    <n v="3"/>
    <n v="1"/>
    <n v="0"/>
    <m/>
  </r>
  <r>
    <n v="16"/>
    <x v="0"/>
    <n v="4.8"/>
    <s v="Instagram"/>
    <n v="8.6"/>
    <n v="1.8"/>
    <n v="2.44"/>
    <n v="1.7"/>
    <s v="high"/>
    <n v="8"/>
    <n v="7"/>
    <n v="3"/>
    <n v="0"/>
    <m/>
  </r>
  <r>
    <n v="13"/>
    <x v="0"/>
    <n v="5.8"/>
    <s v="TikTok"/>
    <n v="7.2"/>
    <n v="1.1000000000000001"/>
    <n v="2.69"/>
    <n v="0.4"/>
    <s v="low"/>
    <n v="7"/>
    <n v="3"/>
    <n v="7"/>
    <n v="0"/>
    <m/>
  </r>
  <r>
    <n v="16"/>
    <x v="1"/>
    <n v="6.1"/>
    <s v="Both"/>
    <n v="7.5"/>
    <n v="2.5"/>
    <n v="3.14"/>
    <n v="0.5"/>
    <s v="low"/>
    <n v="9"/>
    <n v="6"/>
    <n v="10"/>
    <n v="0"/>
    <m/>
  </r>
  <r>
    <n v="14"/>
    <x v="1"/>
    <n v="4.3"/>
    <s v="Both"/>
    <n v="7.8"/>
    <n v="0.5"/>
    <n v="3.92"/>
    <n v="0.7"/>
    <s v="high"/>
    <n v="3"/>
    <n v="4"/>
    <n v="8"/>
    <n v="0"/>
    <m/>
  </r>
  <r>
    <n v="15"/>
    <x v="1"/>
    <n v="7.8"/>
    <s v="Instagram"/>
    <n v="4.5999999999999996"/>
    <n v="3"/>
    <n v="2.44"/>
    <n v="1.4"/>
    <s v="medium"/>
    <n v="8"/>
    <n v="10"/>
    <n v="6"/>
    <n v="1"/>
    <m/>
  </r>
  <r>
    <n v="15"/>
    <x v="1"/>
    <n v="5.2"/>
    <s v="TikTok"/>
    <n v="7.5"/>
    <n v="1.1000000000000001"/>
    <n v="3.61"/>
    <n v="0.1"/>
    <s v="low"/>
    <n v="4"/>
    <n v="6"/>
    <n v="7"/>
    <n v="0"/>
    <m/>
  </r>
  <r>
    <n v="17"/>
    <x v="0"/>
    <n v="3.5"/>
    <s v="Instagram"/>
    <n v="4.3"/>
    <n v="2.2000000000000002"/>
    <n v="3.19"/>
    <n v="1"/>
    <s v="high"/>
    <n v="4"/>
    <n v="5"/>
    <n v="9"/>
    <n v="0"/>
    <m/>
  </r>
  <r>
    <n v="16"/>
    <x v="1"/>
    <n v="6.5"/>
    <s v="TikTok"/>
    <n v="4.5999999999999996"/>
    <n v="1.8"/>
    <n v="2.2000000000000002"/>
    <n v="1.2"/>
    <s v="low"/>
    <n v="7"/>
    <n v="4"/>
    <n v="4"/>
    <n v="0"/>
    <m/>
  </r>
  <r>
    <n v="17"/>
    <x v="0"/>
    <n v="4.7"/>
    <s v="TikTok"/>
    <n v="7.2"/>
    <n v="2.7"/>
    <n v="2.06"/>
    <n v="1.4"/>
    <s v="low"/>
    <n v="3"/>
    <n v="1"/>
    <n v="4"/>
    <n v="0"/>
    <m/>
  </r>
  <r>
    <n v="13"/>
    <x v="0"/>
    <n v="2.5"/>
    <s v="Instagram"/>
    <n v="6.3"/>
    <n v="1.8"/>
    <n v="2.2000000000000002"/>
    <n v="0.1"/>
    <s v="high"/>
    <n v="9"/>
    <n v="3"/>
    <n v="9"/>
    <n v="0"/>
    <m/>
  </r>
  <r>
    <n v="19"/>
    <x v="1"/>
    <n v="5.5"/>
    <s v="TikTok"/>
    <n v="7.4"/>
    <n v="2"/>
    <n v="2.8"/>
    <n v="1.8"/>
    <s v="high"/>
    <n v="9"/>
    <n v="8"/>
    <n v="10"/>
    <n v="0"/>
    <m/>
  </r>
  <r>
    <n v="15"/>
    <x v="1"/>
    <n v="3.5"/>
    <s v="Instagram"/>
    <n v="8"/>
    <n v="1.9"/>
    <n v="3.45"/>
    <n v="1.5"/>
    <s v="high"/>
    <n v="10"/>
    <n v="4"/>
    <n v="1"/>
    <n v="0"/>
    <m/>
  </r>
  <r>
    <n v="14"/>
    <x v="1"/>
    <n v="4.5999999999999996"/>
    <s v="TikTok"/>
    <n v="7"/>
    <n v="1.6"/>
    <n v="2.74"/>
    <n v="0.9"/>
    <s v="low"/>
    <n v="3"/>
    <n v="2"/>
    <n v="9"/>
    <n v="0"/>
    <m/>
  </r>
  <r>
    <n v="13"/>
    <x v="1"/>
    <n v="3.5"/>
    <s v="Instagram"/>
    <n v="6.9"/>
    <n v="1.6"/>
    <n v="2.08"/>
    <n v="0.7"/>
    <s v="low"/>
    <n v="9"/>
    <n v="9"/>
    <n v="9"/>
    <n v="0"/>
    <m/>
  </r>
  <r>
    <n v="19"/>
    <x v="0"/>
    <n v="1.6"/>
    <s v="TikTok"/>
    <n v="8.6"/>
    <n v="1.4"/>
    <n v="2.69"/>
    <n v="1.6"/>
    <s v="medium"/>
    <n v="4"/>
    <n v="3"/>
    <n v="4"/>
    <n v="0"/>
    <m/>
  </r>
  <r>
    <n v="13"/>
    <x v="1"/>
    <n v="3.2"/>
    <s v="Both"/>
    <n v="5.9"/>
    <n v="0.7"/>
    <n v="3.98"/>
    <n v="0.8"/>
    <s v="low"/>
    <n v="6"/>
    <n v="8"/>
    <n v="1"/>
    <n v="0"/>
    <m/>
  </r>
  <r>
    <n v="19"/>
    <x v="1"/>
    <n v="1.7"/>
    <s v="Both"/>
    <n v="7"/>
    <n v="2.7"/>
    <n v="2.0699999999999998"/>
    <n v="0.5"/>
    <s v="high"/>
    <n v="6"/>
    <n v="4"/>
    <n v="10"/>
    <n v="0"/>
    <m/>
  </r>
  <r>
    <n v="14"/>
    <x v="0"/>
    <n v="6.4"/>
    <s v="Instagram"/>
    <n v="4.3"/>
    <n v="2.2999999999999998"/>
    <n v="3.99"/>
    <n v="1.1000000000000001"/>
    <s v="low"/>
    <n v="7"/>
    <n v="4"/>
    <n v="3"/>
    <n v="0"/>
    <m/>
  </r>
  <r>
    <n v="13"/>
    <x v="1"/>
    <n v="3.3"/>
    <s v="TikTok"/>
    <n v="6.4"/>
    <n v="1"/>
    <n v="2.4900000000000002"/>
    <n v="1"/>
    <s v="low"/>
    <n v="9"/>
    <n v="2"/>
    <n v="4"/>
    <n v="0"/>
    <m/>
  </r>
  <r>
    <n v="18"/>
    <x v="0"/>
    <n v="1.2"/>
    <s v="Both"/>
    <n v="6.8"/>
    <n v="2.6"/>
    <n v="2.85"/>
    <n v="1.8"/>
    <s v="medium"/>
    <n v="4"/>
    <n v="3"/>
    <n v="9"/>
    <n v="0"/>
    <m/>
  </r>
  <r>
    <n v="13"/>
    <x v="1"/>
    <n v="2.5"/>
    <s v="Both"/>
    <n v="7.8"/>
    <n v="1.4"/>
    <n v="3.43"/>
    <n v="0.9"/>
    <s v="medium"/>
    <n v="1"/>
    <n v="4"/>
    <n v="6"/>
    <n v="0"/>
    <m/>
  </r>
  <r>
    <n v="16"/>
    <x v="0"/>
    <n v="2.2000000000000002"/>
    <s v="TikTok"/>
    <n v="5.0999999999999996"/>
    <n v="2.2999999999999998"/>
    <n v="3.6"/>
    <n v="1"/>
    <s v="high"/>
    <n v="4"/>
    <n v="7"/>
    <n v="6"/>
    <n v="0"/>
    <m/>
  </r>
  <r>
    <n v="18"/>
    <x v="1"/>
    <n v="5.2"/>
    <s v="Both"/>
    <n v="7.1"/>
    <n v="1.9"/>
    <n v="2.87"/>
    <n v="1.7"/>
    <s v="medium"/>
    <n v="5"/>
    <n v="8"/>
    <n v="6"/>
    <n v="0"/>
    <m/>
  </r>
  <r>
    <n v="16"/>
    <x v="0"/>
    <n v="7.9"/>
    <s v="Instagram"/>
    <n v="8.6999999999999993"/>
    <n v="2.5"/>
    <n v="2.29"/>
    <n v="0.7"/>
    <s v="high"/>
    <n v="7"/>
    <n v="7"/>
    <n v="4"/>
    <n v="0"/>
    <m/>
  </r>
  <r>
    <n v="18"/>
    <x v="0"/>
    <n v="5.6"/>
    <s v="Both"/>
    <n v="8"/>
    <n v="2.4"/>
    <n v="2.95"/>
    <n v="0"/>
    <s v="low"/>
    <n v="2"/>
    <n v="10"/>
    <n v="3"/>
    <n v="0"/>
    <m/>
  </r>
  <r>
    <n v="16"/>
    <x v="0"/>
    <n v="3.9"/>
    <s v="TikTok"/>
    <n v="4.2"/>
    <n v="2.1"/>
    <n v="2.2799999999999998"/>
    <n v="1.1000000000000001"/>
    <s v="medium"/>
    <n v="6"/>
    <n v="5"/>
    <n v="7"/>
    <n v="0"/>
    <m/>
  </r>
  <r>
    <n v="18"/>
    <x v="1"/>
    <n v="1.8"/>
    <s v="TikTok"/>
    <n v="6.1"/>
    <n v="2.7"/>
    <n v="2.86"/>
    <n v="1.1000000000000001"/>
    <s v="low"/>
    <n v="4"/>
    <n v="2"/>
    <n v="4"/>
    <n v="0"/>
    <m/>
  </r>
  <r>
    <n v="18"/>
    <x v="1"/>
    <n v="5.8"/>
    <s v="Both"/>
    <n v="5.0999999999999996"/>
    <n v="1.2"/>
    <n v="3.24"/>
    <n v="0.4"/>
    <s v="high"/>
    <n v="5"/>
    <n v="9"/>
    <n v="2"/>
    <n v="0"/>
    <m/>
  </r>
  <r>
    <n v="18"/>
    <x v="1"/>
    <n v="2.2000000000000002"/>
    <s v="Instagram"/>
    <n v="4.4000000000000004"/>
    <n v="1.7"/>
    <n v="2.86"/>
    <n v="1.1000000000000001"/>
    <s v="high"/>
    <n v="8"/>
    <n v="9"/>
    <n v="7"/>
    <n v="0"/>
    <m/>
  </r>
  <r>
    <n v="17"/>
    <x v="0"/>
    <n v="6.9"/>
    <s v="Both"/>
    <n v="4.5999999999999996"/>
    <n v="2.5"/>
    <n v="2.04"/>
    <n v="0.8"/>
    <s v="high"/>
    <n v="10"/>
    <n v="9"/>
    <n v="2"/>
    <n v="1"/>
    <m/>
  </r>
  <r>
    <n v="14"/>
    <x v="1"/>
    <n v="5.7"/>
    <s v="Instagram"/>
    <n v="6.7"/>
    <n v="2.6"/>
    <n v="2.35"/>
    <n v="1.8"/>
    <s v="high"/>
    <n v="10"/>
    <n v="10"/>
    <n v="7"/>
    <n v="0"/>
    <m/>
  </r>
  <r>
    <n v="17"/>
    <x v="0"/>
    <n v="7.5"/>
    <s v="TikTok"/>
    <n v="5.6"/>
    <n v="2.2999999999999998"/>
    <n v="2.37"/>
    <n v="0"/>
    <s v="high"/>
    <n v="3"/>
    <n v="10"/>
    <n v="8"/>
    <n v="0"/>
    <m/>
  </r>
  <r>
    <n v="13"/>
    <x v="0"/>
    <n v="5.2"/>
    <s v="Both"/>
    <n v="6.4"/>
    <n v="2.5"/>
    <n v="3.13"/>
    <n v="0.3"/>
    <s v="medium"/>
    <n v="8"/>
    <n v="6"/>
    <n v="7"/>
    <n v="0"/>
    <m/>
  </r>
  <r>
    <n v="16"/>
    <x v="0"/>
    <n v="7.2"/>
    <s v="Both"/>
    <n v="6.9"/>
    <n v="2.1"/>
    <n v="2.3199999999999998"/>
    <n v="1.1000000000000001"/>
    <s v="low"/>
    <n v="3"/>
    <n v="4"/>
    <n v="10"/>
    <n v="0"/>
    <m/>
  </r>
  <r>
    <n v="19"/>
    <x v="0"/>
    <n v="2"/>
    <s v="TikTok"/>
    <n v="4.3"/>
    <n v="0.8"/>
    <n v="3.4"/>
    <n v="0.7"/>
    <s v="low"/>
    <n v="8"/>
    <n v="1"/>
    <n v="1"/>
    <n v="0"/>
    <m/>
  </r>
  <r>
    <n v="13"/>
    <x v="1"/>
    <n v="4.7"/>
    <s v="Both"/>
    <n v="6.8"/>
    <n v="1.4"/>
    <n v="3.91"/>
    <n v="0.8"/>
    <s v="high"/>
    <n v="10"/>
    <n v="6"/>
    <n v="9"/>
    <n v="0"/>
    <m/>
  </r>
  <r>
    <n v="14"/>
    <x v="0"/>
    <n v="5.6"/>
    <s v="Both"/>
    <n v="4.5"/>
    <n v="1.4"/>
    <n v="2.44"/>
    <n v="1.2"/>
    <s v="low"/>
    <n v="5"/>
    <n v="10"/>
    <n v="9"/>
    <n v="0"/>
    <m/>
  </r>
  <r>
    <n v="18"/>
    <x v="1"/>
    <n v="4.5"/>
    <s v="Instagram"/>
    <n v="4"/>
    <n v="2.9"/>
    <n v="3.15"/>
    <n v="1.9"/>
    <s v="medium"/>
    <n v="8"/>
    <n v="6"/>
    <n v="5"/>
    <n v="0"/>
    <m/>
  </r>
  <r>
    <n v="15"/>
    <x v="1"/>
    <n v="1.1000000000000001"/>
    <s v="Instagram"/>
    <n v="9"/>
    <n v="1.2"/>
    <n v="2.9"/>
    <n v="1.8"/>
    <s v="medium"/>
    <n v="5"/>
    <n v="10"/>
    <n v="2"/>
    <n v="0"/>
    <m/>
  </r>
  <r>
    <n v="18"/>
    <x v="1"/>
    <n v="5.3"/>
    <s v="Both"/>
    <n v="4.5999999999999996"/>
    <n v="1.5"/>
    <n v="2.54"/>
    <n v="0.6"/>
    <s v="medium"/>
    <n v="4"/>
    <n v="3"/>
    <n v="4"/>
    <n v="0"/>
    <m/>
  </r>
  <r>
    <n v="14"/>
    <x v="1"/>
    <n v="3.5"/>
    <s v="Both"/>
    <n v="5.3"/>
    <n v="2.5"/>
    <n v="2.29"/>
    <n v="0.7"/>
    <s v="low"/>
    <n v="1"/>
    <n v="10"/>
    <n v="3"/>
    <n v="0"/>
    <m/>
  </r>
  <r>
    <n v="15"/>
    <x v="0"/>
    <n v="6.5"/>
    <s v="Both"/>
    <n v="6.2"/>
    <n v="1.2"/>
    <n v="3.19"/>
    <n v="0"/>
    <s v="medium"/>
    <n v="6"/>
    <n v="5"/>
    <n v="2"/>
    <n v="0"/>
    <m/>
  </r>
  <r>
    <n v="14"/>
    <x v="0"/>
    <n v="7"/>
    <s v="Both"/>
    <n v="6.7"/>
    <n v="1.9"/>
    <n v="2.48"/>
    <n v="1.3"/>
    <s v="low"/>
    <n v="7"/>
    <n v="1"/>
    <n v="5"/>
    <n v="0"/>
    <m/>
  </r>
  <r>
    <n v="14"/>
    <x v="1"/>
    <n v="4"/>
    <s v="TikTok"/>
    <n v="4.0999999999999996"/>
    <n v="0.9"/>
    <n v="2.99"/>
    <n v="1.9"/>
    <s v="low"/>
    <n v="2"/>
    <n v="9"/>
    <n v="10"/>
    <n v="0"/>
    <m/>
  </r>
  <r>
    <n v="15"/>
    <x v="1"/>
    <n v="1.7"/>
    <s v="Instagram"/>
    <n v="5.3"/>
    <n v="1.5"/>
    <n v="3.6"/>
    <n v="1.5"/>
    <s v="high"/>
    <n v="6"/>
    <n v="4"/>
    <n v="3"/>
    <n v="0"/>
    <m/>
  </r>
  <r>
    <n v="14"/>
    <x v="1"/>
    <n v="7.8"/>
    <s v="TikTok"/>
    <n v="4.7"/>
    <n v="2.2000000000000002"/>
    <n v="3.53"/>
    <n v="0.6"/>
    <s v="low"/>
    <n v="5"/>
    <n v="8"/>
    <n v="2"/>
    <n v="0"/>
    <m/>
  </r>
  <r>
    <n v="15"/>
    <x v="1"/>
    <n v="5.2"/>
    <s v="Instagram"/>
    <n v="6.7"/>
    <n v="3"/>
    <n v="3.18"/>
    <n v="0.6"/>
    <s v="low"/>
    <n v="9"/>
    <n v="7"/>
    <n v="9"/>
    <n v="0"/>
    <m/>
  </r>
  <r>
    <n v="19"/>
    <x v="1"/>
    <n v="7.9"/>
    <s v="TikTok"/>
    <n v="5.8"/>
    <n v="2.1"/>
    <n v="3.91"/>
    <n v="1.4"/>
    <s v="high"/>
    <n v="7"/>
    <n v="1"/>
    <n v="10"/>
    <n v="0"/>
    <m/>
  </r>
  <r>
    <n v="17"/>
    <x v="0"/>
    <n v="5.9"/>
    <s v="Both"/>
    <n v="6.6"/>
    <n v="1.3"/>
    <n v="2.11"/>
    <n v="1.4"/>
    <s v="low"/>
    <n v="10"/>
    <n v="4"/>
    <n v="9"/>
    <n v="0"/>
    <m/>
  </r>
  <r>
    <n v="13"/>
    <x v="1"/>
    <n v="2.6"/>
    <s v="TikTok"/>
    <n v="8.5"/>
    <n v="1.9"/>
    <n v="3.06"/>
    <n v="1.9"/>
    <s v="high"/>
    <n v="5"/>
    <n v="7"/>
    <n v="6"/>
    <n v="0"/>
    <m/>
  </r>
  <r>
    <n v="18"/>
    <x v="1"/>
    <n v="6.3"/>
    <s v="TikTok"/>
    <n v="4.8"/>
    <n v="1.2"/>
    <n v="2.91"/>
    <n v="1.3"/>
    <s v="medium"/>
    <n v="9"/>
    <n v="10"/>
    <n v="3"/>
    <n v="1"/>
    <m/>
  </r>
  <r>
    <n v="19"/>
    <x v="1"/>
    <n v="4.5"/>
    <s v="TikTok"/>
    <n v="8.4"/>
    <n v="2.1"/>
    <n v="2.62"/>
    <n v="2"/>
    <s v="low"/>
    <n v="5"/>
    <n v="10"/>
    <n v="5"/>
    <n v="0"/>
    <m/>
  </r>
  <r>
    <n v="19"/>
    <x v="0"/>
    <n v="5.3"/>
    <s v="Instagram"/>
    <n v="4.7"/>
    <n v="2.8"/>
    <n v="2.82"/>
    <n v="0.3"/>
    <s v="high"/>
    <n v="1"/>
    <n v="9"/>
    <n v="6"/>
    <n v="0"/>
    <m/>
  </r>
  <r>
    <n v="13"/>
    <x v="1"/>
    <n v="5.2"/>
    <s v="Both"/>
    <n v="7.4"/>
    <n v="2.5"/>
    <n v="3.93"/>
    <n v="0.8"/>
    <s v="low"/>
    <n v="4"/>
    <n v="4"/>
    <n v="8"/>
    <n v="0"/>
    <m/>
  </r>
  <r>
    <n v="15"/>
    <x v="0"/>
    <n v="3.3"/>
    <s v="Both"/>
    <n v="6.1"/>
    <n v="1.2"/>
    <n v="2.56"/>
    <n v="1.4"/>
    <s v="low"/>
    <n v="8"/>
    <n v="6"/>
    <n v="3"/>
    <n v="0"/>
    <m/>
  </r>
  <r>
    <n v="14"/>
    <x v="1"/>
    <n v="1.1000000000000001"/>
    <s v="Both"/>
    <n v="5.4"/>
    <n v="1.6"/>
    <n v="3.34"/>
    <n v="1.5"/>
    <s v="medium"/>
    <n v="4"/>
    <n v="5"/>
    <n v="8"/>
    <n v="0"/>
    <m/>
  </r>
  <r>
    <n v="17"/>
    <x v="1"/>
    <n v="5"/>
    <s v="Instagram"/>
    <n v="7.3"/>
    <n v="1.2"/>
    <n v="3.39"/>
    <n v="0.7"/>
    <s v="medium"/>
    <n v="9"/>
    <n v="10"/>
    <n v="8"/>
    <n v="0"/>
    <m/>
  </r>
  <r>
    <n v="15"/>
    <x v="1"/>
    <n v="7.4"/>
    <s v="TikTok"/>
    <n v="8.6"/>
    <n v="1.4"/>
    <n v="2.19"/>
    <n v="1.8"/>
    <s v="low"/>
    <n v="10"/>
    <n v="10"/>
    <n v="1"/>
    <n v="0"/>
    <m/>
  </r>
  <r>
    <n v="15"/>
    <x v="1"/>
    <n v="7.4"/>
    <s v="TikTok"/>
    <n v="8.9"/>
    <n v="2.9"/>
    <n v="3.39"/>
    <n v="1.1000000000000001"/>
    <s v="high"/>
    <n v="4"/>
    <n v="9"/>
    <n v="1"/>
    <n v="0"/>
    <m/>
  </r>
  <r>
    <n v="17"/>
    <x v="0"/>
    <n v="6.6"/>
    <s v="TikTok"/>
    <n v="5.2"/>
    <n v="2.2000000000000002"/>
    <n v="2.98"/>
    <n v="0.8"/>
    <s v="high"/>
    <n v="6"/>
    <n v="8"/>
    <n v="7"/>
    <n v="0"/>
    <m/>
  </r>
  <r>
    <n v="13"/>
    <x v="1"/>
    <n v="7.1"/>
    <s v="Both"/>
    <n v="7.2"/>
    <n v="1.1000000000000001"/>
    <n v="3.69"/>
    <n v="1"/>
    <s v="low"/>
    <n v="4"/>
    <n v="6"/>
    <n v="3"/>
    <n v="0"/>
    <m/>
  </r>
  <r>
    <n v="15"/>
    <x v="1"/>
    <n v="1.1000000000000001"/>
    <s v="TikTok"/>
    <n v="8.6"/>
    <n v="2.2999999999999998"/>
    <n v="3.68"/>
    <n v="0.5"/>
    <s v="low"/>
    <n v="1"/>
    <n v="2"/>
    <n v="7"/>
    <n v="0"/>
    <m/>
  </r>
  <r>
    <n v="13"/>
    <x v="1"/>
    <n v="3.6"/>
    <s v="TikTok"/>
    <n v="8.6999999999999993"/>
    <n v="0.8"/>
    <n v="2.41"/>
    <n v="1.3"/>
    <s v="low"/>
    <n v="4"/>
    <n v="6"/>
    <n v="8"/>
    <n v="0"/>
    <m/>
  </r>
  <r>
    <n v="16"/>
    <x v="0"/>
    <n v="5.0999999999999996"/>
    <s v="TikTok"/>
    <n v="4.5999999999999996"/>
    <n v="1.1000000000000001"/>
    <n v="2.75"/>
    <n v="1.5"/>
    <s v="medium"/>
    <n v="6"/>
    <n v="3"/>
    <n v="6"/>
    <n v="0"/>
    <m/>
  </r>
  <r>
    <n v="19"/>
    <x v="1"/>
    <n v="7.3"/>
    <s v="Instagram"/>
    <n v="7.8"/>
    <n v="1"/>
    <n v="2.91"/>
    <n v="0.8"/>
    <s v="medium"/>
    <n v="9"/>
    <n v="7"/>
    <n v="5"/>
    <n v="0"/>
    <m/>
  </r>
  <r>
    <n v="13"/>
    <x v="1"/>
    <n v="7.7"/>
    <s v="Both"/>
    <n v="7.5"/>
    <n v="1.4"/>
    <n v="2.2400000000000002"/>
    <n v="0.1"/>
    <s v="low"/>
    <n v="5"/>
    <n v="3"/>
    <n v="3"/>
    <n v="0"/>
    <m/>
  </r>
  <r>
    <n v="13"/>
    <x v="1"/>
    <n v="7.9"/>
    <s v="TikTok"/>
    <n v="4.0999999999999996"/>
    <n v="1.6"/>
    <n v="2.74"/>
    <n v="0.9"/>
    <s v="medium"/>
    <n v="9"/>
    <n v="3"/>
    <n v="5"/>
    <n v="0"/>
    <m/>
  </r>
  <r>
    <n v="16"/>
    <x v="1"/>
    <n v="5.5"/>
    <s v="Both"/>
    <n v="5.8"/>
    <n v="2.5"/>
    <n v="2.34"/>
    <n v="1"/>
    <s v="low"/>
    <n v="5"/>
    <n v="2"/>
    <n v="8"/>
    <n v="0"/>
    <m/>
  </r>
  <r>
    <n v="19"/>
    <x v="0"/>
    <n v="4"/>
    <s v="Instagram"/>
    <n v="7.8"/>
    <n v="0.6"/>
    <n v="3.61"/>
    <n v="1.7"/>
    <s v="high"/>
    <n v="2"/>
    <n v="7"/>
    <n v="9"/>
    <n v="0"/>
    <m/>
  </r>
  <r>
    <n v="15"/>
    <x v="1"/>
    <n v="7.9"/>
    <s v="TikTok"/>
    <n v="4.7"/>
    <n v="1.5"/>
    <n v="3.3"/>
    <n v="0"/>
    <s v="low"/>
    <n v="5"/>
    <n v="8"/>
    <n v="5"/>
    <n v="0"/>
    <m/>
  </r>
  <r>
    <n v="18"/>
    <x v="1"/>
    <n v="5.5"/>
    <s v="Both"/>
    <n v="8.1999999999999993"/>
    <n v="0.5"/>
    <n v="3.15"/>
    <n v="1.2"/>
    <s v="medium"/>
    <n v="8"/>
    <n v="7"/>
    <n v="7"/>
    <n v="0"/>
    <m/>
  </r>
  <r>
    <n v="17"/>
    <x v="1"/>
    <n v="7.6"/>
    <s v="Both"/>
    <n v="7.1"/>
    <n v="1.1000000000000001"/>
    <n v="2.0699999999999998"/>
    <n v="1.9"/>
    <s v="high"/>
    <n v="3"/>
    <n v="2"/>
    <n v="6"/>
    <n v="0"/>
    <m/>
  </r>
  <r>
    <n v="13"/>
    <x v="0"/>
    <n v="1.3"/>
    <s v="TikTok"/>
    <n v="4.4000000000000004"/>
    <n v="0.9"/>
    <n v="2.99"/>
    <n v="0"/>
    <s v="high"/>
    <n v="8"/>
    <n v="2"/>
    <n v="5"/>
    <n v="0"/>
    <m/>
  </r>
  <r>
    <n v="16"/>
    <x v="0"/>
    <n v="7.3"/>
    <s v="TikTok"/>
    <n v="7"/>
    <n v="2.2000000000000002"/>
    <n v="2.0699999999999998"/>
    <n v="1"/>
    <s v="medium"/>
    <n v="3"/>
    <n v="7"/>
    <n v="1"/>
    <n v="0"/>
    <m/>
  </r>
  <r>
    <n v="18"/>
    <x v="0"/>
    <n v="4.3"/>
    <s v="Instagram"/>
    <n v="6.7"/>
    <n v="2.5"/>
    <n v="3.19"/>
    <n v="1"/>
    <s v="high"/>
    <n v="5"/>
    <n v="5"/>
    <n v="5"/>
    <n v="0"/>
    <m/>
  </r>
  <r>
    <n v="16"/>
    <x v="0"/>
    <n v="7.1"/>
    <s v="TikTok"/>
    <n v="7.7"/>
    <n v="1.9"/>
    <n v="2.2400000000000002"/>
    <n v="0.6"/>
    <s v="high"/>
    <n v="8"/>
    <n v="10"/>
    <n v="5"/>
    <n v="0"/>
    <m/>
  </r>
  <r>
    <n v="14"/>
    <x v="1"/>
    <n v="5.7"/>
    <s v="TikTok"/>
    <n v="6.4"/>
    <n v="1.9"/>
    <n v="3.3"/>
    <n v="1.3"/>
    <s v="high"/>
    <n v="6"/>
    <n v="8"/>
    <n v="5"/>
    <n v="0"/>
    <m/>
  </r>
  <r>
    <n v="18"/>
    <x v="1"/>
    <n v="5.2"/>
    <s v="Both"/>
    <n v="7.3"/>
    <n v="1.7"/>
    <n v="3.33"/>
    <n v="0.9"/>
    <s v="low"/>
    <n v="7"/>
    <n v="4"/>
    <n v="9"/>
    <n v="0"/>
    <m/>
  </r>
  <r>
    <n v="17"/>
    <x v="0"/>
    <n v="3.1"/>
    <s v="TikTok"/>
    <n v="7.7"/>
    <n v="2.2000000000000002"/>
    <n v="3.72"/>
    <n v="1.4"/>
    <s v="medium"/>
    <n v="1"/>
    <n v="5"/>
    <n v="8"/>
    <n v="0"/>
    <m/>
  </r>
  <r>
    <n v="13"/>
    <x v="0"/>
    <n v="3"/>
    <s v="Both"/>
    <n v="6.2"/>
    <n v="0.8"/>
    <n v="3.96"/>
    <n v="1.1000000000000001"/>
    <s v="low"/>
    <n v="9"/>
    <n v="10"/>
    <n v="3"/>
    <n v="0"/>
    <m/>
  </r>
  <r>
    <n v="17"/>
    <x v="1"/>
    <n v="6"/>
    <s v="Both"/>
    <n v="4.2"/>
    <n v="2.2000000000000002"/>
    <n v="2.27"/>
    <n v="0.5"/>
    <s v="medium"/>
    <n v="1"/>
    <n v="4"/>
    <n v="5"/>
    <n v="0"/>
    <m/>
  </r>
  <r>
    <n v="13"/>
    <x v="0"/>
    <n v="5.9"/>
    <s v="Instagram"/>
    <n v="8.6"/>
    <n v="1.9"/>
    <n v="3.88"/>
    <n v="0.2"/>
    <s v="medium"/>
    <n v="1"/>
    <n v="6"/>
    <n v="9"/>
    <n v="0"/>
    <m/>
  </r>
  <r>
    <n v="15"/>
    <x v="0"/>
    <n v="5.0999999999999996"/>
    <s v="TikTok"/>
    <n v="5.5"/>
    <n v="0.7"/>
    <n v="2.13"/>
    <n v="0.5"/>
    <s v="medium"/>
    <n v="6"/>
    <n v="10"/>
    <n v="8"/>
    <n v="0"/>
    <m/>
  </r>
  <r>
    <n v="19"/>
    <x v="1"/>
    <n v="3.5"/>
    <s v="Instagram"/>
    <n v="4.9000000000000004"/>
    <n v="0.5"/>
    <n v="3.68"/>
    <n v="1.7"/>
    <s v="high"/>
    <n v="8"/>
    <n v="4"/>
    <n v="3"/>
    <n v="0"/>
    <m/>
  </r>
  <r>
    <n v="16"/>
    <x v="0"/>
    <n v="5.3"/>
    <s v="TikTok"/>
    <n v="5.3"/>
    <n v="2.4"/>
    <n v="3.01"/>
    <n v="1.6"/>
    <s v="medium"/>
    <n v="2"/>
    <n v="9"/>
    <n v="1"/>
    <n v="0"/>
    <m/>
  </r>
  <r>
    <n v="13"/>
    <x v="1"/>
    <n v="4.0999999999999996"/>
    <s v="Instagram"/>
    <n v="7.5"/>
    <n v="1.7"/>
    <n v="3.12"/>
    <n v="2"/>
    <s v="medium"/>
    <n v="1"/>
    <n v="4"/>
    <n v="9"/>
    <n v="0"/>
    <m/>
  </r>
  <r>
    <n v="18"/>
    <x v="0"/>
    <n v="4.0999999999999996"/>
    <s v="Instagram"/>
    <n v="6.7"/>
    <n v="2.1"/>
    <n v="2.5"/>
    <n v="0.1"/>
    <s v="medium"/>
    <n v="8"/>
    <n v="1"/>
    <n v="5"/>
    <n v="0"/>
    <m/>
  </r>
  <r>
    <n v="15"/>
    <x v="0"/>
    <n v="6.3"/>
    <s v="TikTok"/>
    <n v="6.8"/>
    <n v="1.8"/>
    <n v="2.59"/>
    <n v="1.9"/>
    <s v="high"/>
    <n v="10"/>
    <n v="5"/>
    <n v="5"/>
    <n v="0"/>
    <m/>
  </r>
  <r>
    <n v="19"/>
    <x v="1"/>
    <n v="6.6"/>
    <s v="Both"/>
    <n v="9"/>
    <n v="2.9"/>
    <n v="2.4700000000000002"/>
    <n v="1.7"/>
    <s v="medium"/>
    <n v="3"/>
    <n v="7"/>
    <n v="9"/>
    <n v="0"/>
    <m/>
  </r>
  <r>
    <n v="19"/>
    <x v="0"/>
    <n v="1.4"/>
    <s v="Both"/>
    <n v="4.5"/>
    <n v="2.2999999999999998"/>
    <n v="3.9"/>
    <n v="0"/>
    <s v="medium"/>
    <n v="2"/>
    <n v="8"/>
    <n v="10"/>
    <n v="0"/>
    <m/>
  </r>
  <r>
    <n v="19"/>
    <x v="0"/>
    <n v="2.4"/>
    <s v="TikTok"/>
    <n v="9"/>
    <n v="2.4"/>
    <n v="3.13"/>
    <n v="0.5"/>
    <s v="high"/>
    <n v="5"/>
    <n v="3"/>
    <n v="3"/>
    <n v="0"/>
    <m/>
  </r>
  <r>
    <n v="18"/>
    <x v="0"/>
    <n v="1.6"/>
    <s v="Both"/>
    <n v="5.4"/>
    <n v="2"/>
    <n v="3.2"/>
    <n v="1.8"/>
    <s v="low"/>
    <n v="8"/>
    <n v="8"/>
    <n v="3"/>
    <n v="0"/>
    <m/>
  </r>
  <r>
    <n v="18"/>
    <x v="0"/>
    <n v="2"/>
    <s v="Instagram"/>
    <n v="8.9"/>
    <n v="0.8"/>
    <n v="2.96"/>
    <n v="0.5"/>
    <s v="medium"/>
    <n v="6"/>
    <n v="2"/>
    <n v="2"/>
    <n v="0"/>
    <m/>
  </r>
  <r>
    <n v="17"/>
    <x v="1"/>
    <n v="7.4"/>
    <s v="Instagram"/>
    <n v="7.4"/>
    <n v="2"/>
    <n v="3.76"/>
    <n v="1.7"/>
    <s v="high"/>
    <n v="10"/>
    <n v="1"/>
    <n v="4"/>
    <n v="0"/>
    <m/>
  </r>
  <r>
    <n v="14"/>
    <x v="1"/>
    <n v="1.6"/>
    <s v="TikTok"/>
    <n v="4.8"/>
    <n v="2.4"/>
    <n v="2.97"/>
    <n v="1.9"/>
    <s v="low"/>
    <n v="9"/>
    <n v="9"/>
    <n v="10"/>
    <n v="0"/>
    <m/>
  </r>
  <r>
    <n v="17"/>
    <x v="1"/>
    <n v="3.8"/>
    <s v="Instagram"/>
    <n v="8.4"/>
    <n v="0.9"/>
    <n v="3.6"/>
    <n v="1.9"/>
    <s v="high"/>
    <n v="1"/>
    <n v="2"/>
    <n v="2"/>
    <n v="0"/>
    <m/>
  </r>
  <r>
    <n v="19"/>
    <x v="0"/>
    <n v="8"/>
    <s v="TikTok"/>
    <n v="4.7"/>
    <n v="0.5"/>
    <n v="2.1800000000000002"/>
    <n v="0.6"/>
    <s v="medium"/>
    <n v="8"/>
    <n v="8"/>
    <n v="6"/>
    <n v="1"/>
    <m/>
  </r>
  <r>
    <n v="13"/>
    <x v="0"/>
    <n v="7.8"/>
    <s v="TikTok"/>
    <n v="5.9"/>
    <n v="1.5"/>
    <n v="3.31"/>
    <n v="1.9"/>
    <s v="high"/>
    <n v="10"/>
    <n v="1"/>
    <n v="10"/>
    <n v="0"/>
    <m/>
  </r>
  <r>
    <n v="13"/>
    <x v="1"/>
    <n v="7.2"/>
    <s v="Instagram"/>
    <n v="8.1"/>
    <n v="2.1"/>
    <n v="2.52"/>
    <n v="0.4"/>
    <s v="medium"/>
    <n v="3"/>
    <n v="3"/>
    <n v="7"/>
    <n v="0"/>
    <m/>
  </r>
  <r>
    <n v="17"/>
    <x v="0"/>
    <n v="2"/>
    <s v="Both"/>
    <n v="4.5"/>
    <n v="1.7"/>
    <n v="2.65"/>
    <n v="0"/>
    <s v="medium"/>
    <n v="9"/>
    <n v="4"/>
    <n v="2"/>
    <n v="0"/>
    <m/>
  </r>
  <r>
    <n v="18"/>
    <x v="1"/>
    <n v="6.8"/>
    <s v="Instagram"/>
    <n v="6.6"/>
    <n v="2"/>
    <n v="2.76"/>
    <n v="1"/>
    <s v="low"/>
    <n v="3"/>
    <n v="4"/>
    <n v="4"/>
    <n v="0"/>
    <m/>
  </r>
  <r>
    <n v="16"/>
    <x v="0"/>
    <n v="2.2999999999999998"/>
    <s v="Both"/>
    <n v="8"/>
    <n v="1.9"/>
    <n v="2.12"/>
    <n v="0.4"/>
    <s v="high"/>
    <n v="7"/>
    <n v="4"/>
    <n v="4"/>
    <n v="0"/>
    <m/>
  </r>
  <r>
    <n v="14"/>
    <x v="1"/>
    <n v="1.7"/>
    <s v="Both"/>
    <n v="8.6999999999999993"/>
    <n v="0.7"/>
    <n v="3.98"/>
    <n v="0.8"/>
    <s v="high"/>
    <n v="1"/>
    <n v="1"/>
    <n v="1"/>
    <n v="0"/>
    <m/>
  </r>
  <r>
    <n v="15"/>
    <x v="0"/>
    <n v="3.9"/>
    <s v="Both"/>
    <n v="8.5"/>
    <n v="2.1"/>
    <n v="3.19"/>
    <n v="0.6"/>
    <s v="high"/>
    <n v="7"/>
    <n v="9"/>
    <n v="9"/>
    <n v="0"/>
    <m/>
  </r>
  <r>
    <n v="16"/>
    <x v="1"/>
    <n v="4.7"/>
    <s v="TikTok"/>
    <n v="6.5"/>
    <n v="1"/>
    <n v="2.91"/>
    <n v="0.9"/>
    <s v="medium"/>
    <n v="5"/>
    <n v="7"/>
    <n v="3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4"/>
    <x v="0"/>
    <n v="7.9"/>
    <x v="0"/>
    <n v="7.4"/>
    <n v="2.9"/>
    <n v="3.01"/>
    <n v="1.5"/>
    <s v="low"/>
    <n v="2"/>
    <n v="2"/>
    <n v="1"/>
    <n v="1"/>
    <d v="2026-06-04T00:00:00"/>
  </r>
  <r>
    <n v="19"/>
    <x v="1"/>
    <n v="1.9"/>
    <x v="1"/>
    <n v="8"/>
    <n v="2.9"/>
    <n v="3.22"/>
    <n v="0.8"/>
    <s v="high"/>
    <n v="8"/>
    <n v="1"/>
    <n v="10"/>
    <n v="1"/>
    <d v="2026-06-05T00:00:00"/>
  </r>
  <r>
    <n v="17"/>
    <x v="1"/>
    <n v="1.3"/>
    <x v="0"/>
    <n v="7.6"/>
    <n v="0.5"/>
    <n v="3.92"/>
    <n v="0"/>
    <s v="high"/>
    <n v="2"/>
    <n v="4"/>
    <n v="2"/>
    <n v="1"/>
    <d v="2026-06-06T00:00:00"/>
  </r>
  <r>
    <n v="15"/>
    <x v="0"/>
    <n v="7.4"/>
    <x v="1"/>
    <n v="6.9"/>
    <n v="1.6"/>
    <n v="3.48"/>
    <n v="0.8"/>
    <s v="medium"/>
    <n v="1"/>
    <n v="7"/>
    <n v="9"/>
    <n v="1"/>
    <d v="2026-06-07T00:00:00"/>
  </r>
  <r>
    <n v="15"/>
    <x v="1"/>
    <n v="4.7"/>
    <x v="2"/>
    <n v="4.9000000000000004"/>
    <n v="3"/>
    <n v="2.37"/>
    <n v="1.4"/>
    <s v="medium"/>
    <n v="3"/>
    <n v="5"/>
    <n v="2"/>
    <n v="1"/>
    <m/>
  </r>
  <r>
    <n v="19"/>
    <x v="1"/>
    <n v="7.4"/>
    <x v="2"/>
    <n v="4.4000000000000004"/>
    <n v="2.4"/>
    <n v="2.63"/>
    <n v="0.6"/>
    <s v="high"/>
    <n v="3"/>
    <n v="5"/>
    <n v="7"/>
    <n v="1"/>
    <m/>
  </r>
  <r>
    <n v="18"/>
    <x v="1"/>
    <n v="2.5"/>
    <x v="0"/>
    <n v="6.4"/>
    <n v="2.4"/>
    <n v="2.63"/>
    <n v="0.7"/>
    <s v="low"/>
    <n v="2"/>
    <n v="2"/>
    <n v="5"/>
    <n v="1"/>
    <m/>
  </r>
  <r>
    <n v="16"/>
    <x v="0"/>
    <n v="4"/>
    <x v="2"/>
    <n v="4.2"/>
    <n v="0.5"/>
    <n v="2.4"/>
    <n v="1.3"/>
    <s v="low"/>
    <n v="6"/>
    <n v="10"/>
    <n v="5"/>
    <n v="1"/>
    <m/>
  </r>
  <r>
    <n v="19"/>
    <x v="1"/>
    <n v="3.3"/>
    <x v="1"/>
    <n v="5"/>
    <n v="2.1"/>
    <n v="2.04"/>
    <n v="0.9"/>
    <s v="high"/>
    <n v="1"/>
    <n v="10"/>
    <n v="9"/>
    <n v="1"/>
    <m/>
  </r>
  <r>
    <n v="15"/>
    <x v="0"/>
    <n v="1.9"/>
    <x v="1"/>
    <n v="4.9000000000000004"/>
    <n v="1.5"/>
    <n v="3.77"/>
    <n v="1.1000000000000001"/>
    <s v="high"/>
    <n v="1"/>
    <n v="1"/>
    <n v="4"/>
    <n v="1"/>
    <m/>
  </r>
  <r>
    <n v="16"/>
    <x v="0"/>
    <n v="7.2"/>
    <x v="2"/>
    <n v="5.8"/>
    <n v="2.9"/>
    <n v="3.16"/>
    <n v="1.2"/>
    <s v="medium"/>
    <n v="5"/>
    <n v="8"/>
    <n v="9"/>
    <n v="1"/>
    <m/>
  </r>
  <r>
    <n v="13"/>
    <x v="0"/>
    <n v="4.9000000000000004"/>
    <x v="0"/>
    <n v="4.7"/>
    <n v="2.5"/>
    <n v="3.92"/>
    <n v="1.2"/>
    <s v="low"/>
    <n v="1"/>
    <n v="10"/>
    <n v="8"/>
    <n v="-1"/>
    <m/>
  </r>
  <r>
    <n v="16"/>
    <x v="0"/>
    <n v="6.2"/>
    <x v="2"/>
    <n v="7.2"/>
    <n v="2.6"/>
    <n v="2.02"/>
    <n v="1.7"/>
    <s v="medium"/>
    <n v="5"/>
    <n v="7"/>
    <n v="6"/>
    <n v="-1"/>
    <m/>
  </r>
  <r>
    <n v="17"/>
    <x v="1"/>
    <n v="6.8"/>
    <x v="1"/>
    <n v="5.7"/>
    <n v="1.1000000000000001"/>
    <n v="3.29"/>
    <n v="1.3"/>
    <s v="medium"/>
    <n v="1"/>
    <n v="10"/>
    <n v="10"/>
    <n v="-1"/>
    <m/>
  </r>
  <r>
    <n v="15"/>
    <x v="0"/>
    <n v="5.7"/>
    <x v="1"/>
    <n v="5.9"/>
    <n v="0.8"/>
    <n v="3.5"/>
    <n v="0.7"/>
    <s v="low"/>
    <n v="1"/>
    <n v="9"/>
    <n v="1"/>
    <n v="-1"/>
    <m/>
  </r>
  <r>
    <n v="14"/>
    <x v="1"/>
    <n v="3.6"/>
    <x v="2"/>
    <n v="5.3"/>
    <n v="0.6"/>
    <n v="2.99"/>
    <n v="0.3"/>
    <s v="high"/>
    <n v="4"/>
    <n v="10"/>
    <n v="2"/>
    <n v="-1"/>
    <m/>
  </r>
  <r>
    <n v="13"/>
    <x v="0"/>
    <n v="1.5"/>
    <x v="2"/>
    <n v="4.2"/>
    <n v="1.4"/>
    <n v="2.59"/>
    <n v="0.5"/>
    <s v="high"/>
    <n v="4"/>
    <n v="5"/>
    <n v="8"/>
    <n v="-1"/>
    <m/>
  </r>
  <r>
    <n v="16"/>
    <x v="0"/>
    <n v="3.1"/>
    <x v="2"/>
    <n v="6.1"/>
    <n v="0.8"/>
    <n v="2.11"/>
    <n v="1.9"/>
    <s v="high"/>
    <n v="10"/>
    <n v="7"/>
    <n v="10"/>
    <n v="1"/>
    <m/>
  </r>
  <r>
    <n v="16"/>
    <x v="1"/>
    <n v="6.7"/>
    <x v="2"/>
    <n v="6.8"/>
    <n v="1.9"/>
    <n v="3.08"/>
    <n v="1.4"/>
    <s v="high"/>
    <n v="10"/>
    <n v="9"/>
    <n v="1"/>
    <n v="1"/>
    <m/>
  </r>
  <r>
    <n v="14"/>
    <x v="1"/>
    <n v="1.2"/>
    <x v="0"/>
    <n v="7.6"/>
    <n v="1"/>
    <n v="3.85"/>
    <n v="0.8"/>
    <s v="high"/>
    <n v="8"/>
    <n v="4"/>
    <n v="6"/>
    <n v="1"/>
    <m/>
  </r>
  <r>
    <n v="16"/>
    <x v="0"/>
    <n v="3.4"/>
    <x v="1"/>
    <n v="4.5999999999999996"/>
    <n v="2.1"/>
    <n v="2.2400000000000002"/>
    <n v="0.4"/>
    <s v="high"/>
    <n v="4"/>
    <n v="1"/>
    <n v="3"/>
    <n v="1"/>
    <m/>
  </r>
  <r>
    <n v="18"/>
    <x v="0"/>
    <n v="4.0999999999999996"/>
    <x v="2"/>
    <n v="7.4"/>
    <n v="2.4"/>
    <n v="2.38"/>
    <n v="1.5"/>
    <s v="medium"/>
    <n v="8"/>
    <n v="4"/>
    <n v="9"/>
    <n v="1"/>
    <m/>
  </r>
  <r>
    <n v="18"/>
    <x v="0"/>
    <n v="5.3"/>
    <x v="0"/>
    <n v="4.9000000000000004"/>
    <n v="1.2"/>
    <n v="3.69"/>
    <n v="1.2"/>
    <s v="low"/>
    <n v="5"/>
    <n v="4"/>
    <n v="5"/>
    <n v="1"/>
    <m/>
  </r>
  <r>
    <n v="18"/>
    <x v="1"/>
    <n v="2.2999999999999998"/>
    <x v="1"/>
    <n v="7.6"/>
    <n v="0.5"/>
    <n v="2.96"/>
    <n v="1.7"/>
    <s v="medium"/>
    <n v="9"/>
    <n v="8"/>
    <n v="7"/>
    <n v="1"/>
    <m/>
  </r>
  <r>
    <n v="18"/>
    <x v="1"/>
    <n v="2.4"/>
    <x v="2"/>
    <n v="6.7"/>
    <n v="1.9"/>
    <n v="2.5299999999999998"/>
    <n v="0.4"/>
    <s v="high"/>
    <n v="8"/>
    <n v="8"/>
    <n v="2"/>
    <n v="1"/>
    <m/>
  </r>
  <r>
    <n v="13"/>
    <x v="1"/>
    <n v="1.5"/>
    <x v="2"/>
    <n v="7.2"/>
    <n v="2.5"/>
    <n v="2.15"/>
    <n v="1.3"/>
    <s v="medium"/>
    <n v="4"/>
    <n v="6"/>
    <n v="2"/>
    <n v="1"/>
    <m/>
  </r>
  <r>
    <n v="14"/>
    <x v="1"/>
    <n v="5.7"/>
    <x v="2"/>
    <n v="8.6999999999999993"/>
    <n v="0.6"/>
    <n v="2.64"/>
    <n v="0.1"/>
    <s v="low"/>
    <n v="8"/>
    <n v="9"/>
    <n v="4"/>
    <n v="1"/>
    <m/>
  </r>
  <r>
    <n v="19"/>
    <x v="0"/>
    <n v="2"/>
    <x v="1"/>
    <n v="7.1"/>
    <n v="0.9"/>
    <n v="3.26"/>
    <n v="1.6"/>
    <s v="high"/>
    <n v="7"/>
    <n v="5"/>
    <n v="9"/>
    <n v="1"/>
    <m/>
  </r>
  <r>
    <n v="14"/>
    <x v="0"/>
    <n v="2.5"/>
    <x v="1"/>
    <n v="5.6"/>
    <n v="2.9"/>
    <n v="2.2400000000000002"/>
    <n v="0.5"/>
    <s v="low"/>
    <n v="3"/>
    <n v="9"/>
    <n v="5"/>
    <n v="1"/>
    <m/>
  </r>
  <r>
    <n v="16"/>
    <x v="1"/>
    <n v="3.4"/>
    <x v="1"/>
    <n v="7.8"/>
    <n v="2.8"/>
    <n v="3.83"/>
    <n v="1.8"/>
    <s v="medium"/>
    <n v="6"/>
    <n v="6"/>
    <n v="4"/>
    <n v="1"/>
    <m/>
  </r>
  <r>
    <n v="13"/>
    <x v="0"/>
    <n v="6.6"/>
    <x v="1"/>
    <n v="5.7"/>
    <n v="2.5"/>
    <n v="2.67"/>
    <n v="1.1000000000000001"/>
    <s v="low"/>
    <n v="2"/>
    <n v="1"/>
    <n v="10"/>
    <n v="1"/>
    <m/>
  </r>
  <r>
    <n v="13"/>
    <x v="1"/>
    <n v="1.6"/>
    <x v="0"/>
    <n v="8.6999999999999993"/>
    <n v="2.5"/>
    <n v="3.69"/>
    <n v="0.4"/>
    <s v="high"/>
    <n v="8"/>
    <n v="2"/>
    <n v="9"/>
    <n v="1"/>
    <m/>
  </r>
  <r>
    <n v="16"/>
    <x v="0"/>
    <n v="2.7"/>
    <x v="0"/>
    <n v="4.2"/>
    <n v="2.4"/>
    <n v="3.05"/>
    <n v="0.2"/>
    <s v="high"/>
    <n v="1"/>
    <n v="8"/>
    <n v="4"/>
    <n v="0"/>
    <m/>
  </r>
  <r>
    <n v="14"/>
    <x v="0"/>
    <n v="4.0999999999999996"/>
    <x v="1"/>
    <n v="8"/>
    <n v="3"/>
    <n v="2.31"/>
    <n v="0.8"/>
    <s v="low"/>
    <n v="8"/>
    <n v="4"/>
    <n v="1"/>
    <n v="0"/>
    <m/>
  </r>
  <r>
    <n v="13"/>
    <x v="1"/>
    <n v="6.6"/>
    <x v="1"/>
    <n v="7.3"/>
    <n v="1.6"/>
    <n v="3.27"/>
    <n v="0.1"/>
    <s v="medium"/>
    <n v="10"/>
    <n v="2"/>
    <n v="1"/>
    <n v="0"/>
    <m/>
  </r>
  <r>
    <n v="17"/>
    <x v="1"/>
    <n v="5"/>
    <x v="2"/>
    <n v="4.9000000000000004"/>
    <n v="2.1"/>
    <n v="2.0099999999999998"/>
    <n v="1"/>
    <s v="low"/>
    <n v="9"/>
    <n v="4"/>
    <n v="9"/>
    <n v="0"/>
    <m/>
  </r>
  <r>
    <n v="19"/>
    <x v="1"/>
    <n v="4.5999999999999996"/>
    <x v="0"/>
    <n v="5.5"/>
    <n v="2.5"/>
    <n v="3.96"/>
    <n v="0.8"/>
    <s v="high"/>
    <n v="3"/>
    <n v="10"/>
    <n v="7"/>
    <n v="0"/>
    <m/>
  </r>
  <r>
    <n v="17"/>
    <x v="1"/>
    <n v="4.8"/>
    <x v="0"/>
    <n v="4.4000000000000004"/>
    <n v="1.3"/>
    <n v="2.02"/>
    <n v="0.5"/>
    <s v="low"/>
    <n v="5"/>
    <n v="10"/>
    <n v="6"/>
    <n v="0"/>
    <m/>
  </r>
  <r>
    <n v="17"/>
    <x v="1"/>
    <n v="1.3"/>
    <x v="1"/>
    <n v="8"/>
    <n v="2"/>
    <n v="2.84"/>
    <n v="1.8"/>
    <s v="high"/>
    <n v="1"/>
    <n v="7"/>
    <n v="8"/>
    <n v="0"/>
    <m/>
  </r>
  <r>
    <n v="17"/>
    <x v="1"/>
    <n v="6.3"/>
    <x v="0"/>
    <n v="4"/>
    <n v="1"/>
    <n v="2.4300000000000002"/>
    <n v="1.2"/>
    <s v="high"/>
    <n v="1"/>
    <n v="10"/>
    <n v="9"/>
    <n v="1"/>
    <m/>
  </r>
  <r>
    <n v="14"/>
    <x v="0"/>
    <n v="6.4"/>
    <x v="0"/>
    <n v="5.7"/>
    <n v="0.9"/>
    <n v="2.06"/>
    <n v="1.8"/>
    <s v="high"/>
    <n v="10"/>
    <n v="4"/>
    <n v="2"/>
    <n v="1"/>
    <m/>
  </r>
  <r>
    <n v="19"/>
    <x v="0"/>
    <n v="1.6"/>
    <x v="0"/>
    <n v="8.6"/>
    <n v="2.4"/>
    <n v="3.81"/>
    <n v="0.4"/>
    <s v="low"/>
    <n v="10"/>
    <n v="4"/>
    <n v="1"/>
    <n v="1"/>
    <m/>
  </r>
  <r>
    <n v="14"/>
    <x v="1"/>
    <n v="7.3"/>
    <x v="0"/>
    <n v="7.7"/>
    <n v="1.4"/>
    <n v="3.42"/>
    <n v="0.3"/>
    <s v="medium"/>
    <n v="6"/>
    <n v="1"/>
    <n v="8"/>
    <n v="1"/>
    <m/>
  </r>
  <r>
    <n v="15"/>
    <x v="0"/>
    <n v="4"/>
    <x v="2"/>
    <n v="8.8000000000000007"/>
    <n v="1.3"/>
    <n v="3.59"/>
    <n v="1.9"/>
    <s v="medium"/>
    <n v="10"/>
    <n v="6"/>
    <n v="10"/>
    <n v="1"/>
    <m/>
  </r>
  <r>
    <n v="14"/>
    <x v="0"/>
    <n v="5.2"/>
    <x v="2"/>
    <n v="4.0999999999999996"/>
    <n v="2.1"/>
    <n v="3.07"/>
    <n v="0.2"/>
    <s v="medium"/>
    <n v="9"/>
    <n v="3"/>
    <n v="8"/>
    <n v="1"/>
    <m/>
  </r>
  <r>
    <n v="14"/>
    <x v="1"/>
    <n v="4.5"/>
    <x v="1"/>
    <n v="4.8"/>
    <n v="0.9"/>
    <n v="2.2200000000000002"/>
    <n v="0.8"/>
    <s v="low"/>
    <n v="1"/>
    <n v="4"/>
    <n v="10"/>
    <n v="1"/>
    <m/>
  </r>
  <r>
    <n v="18"/>
    <x v="0"/>
    <n v="6.8"/>
    <x v="1"/>
    <n v="8.6"/>
    <n v="1.1000000000000001"/>
    <n v="2.36"/>
    <n v="1.6"/>
    <s v="high"/>
    <n v="1"/>
    <n v="10"/>
    <n v="10"/>
    <n v="1"/>
    <m/>
  </r>
  <r>
    <n v="13"/>
    <x v="1"/>
    <n v="3.5"/>
    <x v="0"/>
    <n v="5.0999999999999996"/>
    <n v="1.1000000000000001"/>
    <n v="2.27"/>
    <n v="1.8"/>
    <s v="medium"/>
    <n v="2"/>
    <n v="5"/>
    <n v="6"/>
    <n v="1"/>
    <m/>
  </r>
  <r>
    <n v="16"/>
    <x v="0"/>
    <n v="2.2999999999999998"/>
    <x v="1"/>
    <n v="6.3"/>
    <n v="3"/>
    <n v="3.24"/>
    <n v="1.9"/>
    <s v="medium"/>
    <n v="4"/>
    <n v="4"/>
    <n v="9"/>
    <n v="1"/>
    <m/>
  </r>
  <r>
    <n v="14"/>
    <x v="0"/>
    <n v="1.2"/>
    <x v="0"/>
    <n v="8.5"/>
    <n v="1.8"/>
    <n v="3.65"/>
    <n v="1.8"/>
    <s v="high"/>
    <n v="5"/>
    <n v="10"/>
    <n v="10"/>
    <n v="1"/>
    <m/>
  </r>
  <r>
    <n v="13"/>
    <x v="0"/>
    <n v="6.2"/>
    <x v="2"/>
    <n v="7.1"/>
    <n v="2.2000000000000002"/>
    <n v="3.43"/>
    <n v="0.2"/>
    <s v="medium"/>
    <n v="5"/>
    <n v="2"/>
    <n v="2"/>
    <n v="1"/>
    <m/>
  </r>
  <r>
    <n v="18"/>
    <x v="0"/>
    <n v="4.5"/>
    <x v="1"/>
    <n v="4.0999999999999996"/>
    <n v="1.9"/>
    <n v="3.42"/>
    <n v="0.1"/>
    <s v="medium"/>
    <n v="6"/>
    <n v="7"/>
    <n v="8"/>
    <n v="1"/>
    <m/>
  </r>
  <r>
    <n v="18"/>
    <x v="0"/>
    <n v="2.9"/>
    <x v="0"/>
    <n v="4.5"/>
    <n v="2.5"/>
    <n v="3.16"/>
    <n v="1.3"/>
    <s v="low"/>
    <n v="3"/>
    <n v="7"/>
    <n v="8"/>
    <n v="1"/>
    <m/>
  </r>
  <r>
    <n v="13"/>
    <x v="1"/>
    <n v="5.8"/>
    <x v="1"/>
    <n v="8.5"/>
    <n v="2.2999999999999998"/>
    <n v="3.3"/>
    <n v="1.9"/>
    <s v="high"/>
    <n v="1"/>
    <n v="1"/>
    <n v="5"/>
    <n v="1"/>
    <m/>
  </r>
  <r>
    <n v="18"/>
    <x v="0"/>
    <n v="6.8"/>
    <x v="0"/>
    <n v="6.5"/>
    <n v="2.7"/>
    <n v="2.97"/>
    <n v="1.9"/>
    <s v="low"/>
    <n v="4"/>
    <n v="4"/>
    <n v="5"/>
    <n v="1"/>
    <m/>
  </r>
  <r>
    <n v="15"/>
    <x v="1"/>
    <n v="7.4"/>
    <x v="0"/>
    <n v="8.6"/>
    <n v="0.9"/>
    <n v="2.2999999999999998"/>
    <n v="0"/>
    <s v="low"/>
    <n v="1"/>
    <n v="5"/>
    <n v="3"/>
    <n v="1"/>
    <m/>
  </r>
  <r>
    <n v="18"/>
    <x v="0"/>
    <n v="4.5"/>
    <x v="1"/>
    <n v="5"/>
    <n v="2.5"/>
    <n v="2.65"/>
    <n v="0.7"/>
    <s v="medium"/>
    <n v="8"/>
    <n v="9"/>
    <n v="1"/>
    <n v="1"/>
    <m/>
  </r>
  <r>
    <n v="16"/>
    <x v="0"/>
    <n v="6.4"/>
    <x v="1"/>
    <n v="5.3"/>
    <n v="2.4"/>
    <n v="2.0299999999999998"/>
    <n v="1.7"/>
    <s v="medium"/>
    <n v="7"/>
    <n v="5"/>
    <n v="10"/>
    <n v="1"/>
    <m/>
  </r>
  <r>
    <n v="13"/>
    <x v="0"/>
    <n v="7.3"/>
    <x v="2"/>
    <n v="4.2"/>
    <n v="1.3"/>
    <n v="2.16"/>
    <n v="1"/>
    <s v="high"/>
    <n v="4"/>
    <n v="5"/>
    <n v="2"/>
    <n v="1"/>
    <m/>
  </r>
  <r>
    <n v="17"/>
    <x v="1"/>
    <n v="7.1"/>
    <x v="0"/>
    <n v="5.6"/>
    <n v="0.6"/>
    <n v="3.07"/>
    <n v="1"/>
    <s v="medium"/>
    <n v="1"/>
    <n v="3"/>
    <n v="7"/>
    <n v="1"/>
    <m/>
  </r>
  <r>
    <n v="18"/>
    <x v="0"/>
    <n v="1.6"/>
    <x v="1"/>
    <n v="5.0999999999999996"/>
    <n v="2.7"/>
    <n v="3.57"/>
    <n v="0.8"/>
    <s v="high"/>
    <n v="3"/>
    <n v="9"/>
    <n v="7"/>
    <n v="0"/>
    <m/>
  </r>
  <r>
    <n v="15"/>
    <x v="1"/>
    <n v="1.5"/>
    <x v="0"/>
    <n v="4.7"/>
    <n v="1"/>
    <n v="3.82"/>
    <n v="0.6"/>
    <s v="medium"/>
    <n v="6"/>
    <n v="1"/>
    <n v="4"/>
    <n v="0"/>
    <m/>
  </r>
  <r>
    <n v="13"/>
    <x v="0"/>
    <n v="4.3"/>
    <x v="2"/>
    <n v="5.8"/>
    <n v="0.7"/>
    <n v="3.15"/>
    <n v="0.1"/>
    <s v="medium"/>
    <n v="7"/>
    <n v="2"/>
    <n v="1"/>
    <n v="0"/>
    <m/>
  </r>
  <r>
    <n v="17"/>
    <x v="0"/>
    <n v="2.5"/>
    <x v="2"/>
    <n v="6.7"/>
    <n v="2"/>
    <n v="2.56"/>
    <n v="1.7"/>
    <s v="high"/>
    <n v="5"/>
    <n v="7"/>
    <n v="5"/>
    <n v="0"/>
    <m/>
  </r>
  <r>
    <n v="19"/>
    <x v="1"/>
    <n v="7.9"/>
    <x v="1"/>
    <n v="5.0999999999999996"/>
    <n v="1.7"/>
    <n v="2.8"/>
    <n v="0.8"/>
    <s v="low"/>
    <n v="6"/>
    <n v="1"/>
    <n v="8"/>
    <n v="0"/>
    <m/>
  </r>
  <r>
    <n v="17"/>
    <x v="0"/>
    <n v="2.7"/>
    <x v="0"/>
    <n v="8"/>
    <n v="2.6"/>
    <n v="3.53"/>
    <n v="1.9"/>
    <s v="high"/>
    <n v="1"/>
    <n v="8"/>
    <n v="7"/>
    <n v="0"/>
    <m/>
  </r>
  <r>
    <n v="13"/>
    <x v="0"/>
    <n v="3.1"/>
    <x v="1"/>
    <n v="8.1999999999999993"/>
    <n v="1.5"/>
    <n v="2.4500000000000002"/>
    <n v="0.3"/>
    <s v="low"/>
    <n v="5"/>
    <n v="8"/>
    <n v="6"/>
    <n v="1"/>
    <m/>
  </r>
  <r>
    <n v="17"/>
    <x v="0"/>
    <n v="5.8"/>
    <x v="2"/>
    <n v="7.6"/>
    <n v="0.7"/>
    <n v="2.83"/>
    <n v="1"/>
    <s v="medium"/>
    <n v="7"/>
    <n v="6"/>
    <n v="8"/>
    <n v="1"/>
    <m/>
  </r>
  <r>
    <n v="14"/>
    <x v="1"/>
    <n v="3.9"/>
    <x v="2"/>
    <n v="7"/>
    <n v="2.8"/>
    <n v="2.8"/>
    <n v="0.1"/>
    <s v="low"/>
    <n v="8"/>
    <n v="2"/>
    <n v="8"/>
    <n v="1"/>
    <m/>
  </r>
  <r>
    <n v="15"/>
    <x v="0"/>
    <n v="7.5"/>
    <x v="2"/>
    <n v="7"/>
    <n v="0.9"/>
    <n v="3.48"/>
    <n v="1.1000000000000001"/>
    <s v="high"/>
    <n v="2"/>
    <n v="2"/>
    <n v="6"/>
    <n v="1"/>
    <m/>
  </r>
  <r>
    <n v="14"/>
    <x v="0"/>
    <n v="5.2"/>
    <x v="2"/>
    <n v="6.7"/>
    <n v="2"/>
    <n v="3.48"/>
    <n v="1"/>
    <s v="medium"/>
    <n v="2"/>
    <n v="1"/>
    <n v="5"/>
    <n v="1"/>
    <m/>
  </r>
  <r>
    <n v="16"/>
    <x v="1"/>
    <n v="3.1"/>
    <x v="1"/>
    <n v="5"/>
    <n v="1.1000000000000001"/>
    <n v="2.73"/>
    <n v="1.6"/>
    <s v="low"/>
    <n v="2"/>
    <n v="8"/>
    <n v="1"/>
    <n v="1"/>
    <m/>
  </r>
  <r>
    <n v="16"/>
    <x v="1"/>
    <n v="2"/>
    <x v="0"/>
    <n v="8.6999999999999993"/>
    <n v="1.2"/>
    <n v="3"/>
    <n v="0"/>
    <s v="low"/>
    <n v="8"/>
    <n v="8"/>
    <n v="4"/>
    <n v="1"/>
    <m/>
  </r>
  <r>
    <n v="14"/>
    <x v="0"/>
    <n v="2.7"/>
    <x v="0"/>
    <n v="8.4"/>
    <n v="1.3"/>
    <n v="2.0099999999999998"/>
    <n v="0.6"/>
    <s v="low"/>
    <n v="6"/>
    <n v="3"/>
    <n v="8"/>
    <n v="1"/>
    <m/>
  </r>
  <r>
    <n v="14"/>
    <x v="0"/>
    <n v="1.5"/>
    <x v="2"/>
    <n v="4.3"/>
    <n v="2.1"/>
    <n v="3.9"/>
    <n v="1.5"/>
    <s v="low"/>
    <n v="10"/>
    <n v="2"/>
    <n v="4"/>
    <n v="1"/>
    <m/>
  </r>
  <r>
    <n v="17"/>
    <x v="1"/>
    <n v="6.9"/>
    <x v="0"/>
    <n v="8.1999999999999993"/>
    <n v="0.8"/>
    <n v="2.36"/>
    <n v="0"/>
    <s v="medium"/>
    <n v="10"/>
    <n v="10"/>
    <n v="7"/>
    <n v="1"/>
    <m/>
  </r>
  <r>
    <n v="13"/>
    <x v="0"/>
    <n v="1.1000000000000001"/>
    <x v="1"/>
    <n v="7.1"/>
    <n v="1.8"/>
    <n v="2.5499999999999998"/>
    <n v="0.8"/>
    <s v="high"/>
    <n v="5"/>
    <n v="5"/>
    <n v="10"/>
    <n v="1"/>
    <m/>
  </r>
  <r>
    <n v="13"/>
    <x v="0"/>
    <n v="3.4"/>
    <x v="1"/>
    <n v="4.4000000000000004"/>
    <n v="0.6"/>
    <n v="3.41"/>
    <n v="0.2"/>
    <s v="low"/>
    <n v="8"/>
    <n v="6"/>
    <n v="3"/>
    <n v="1"/>
    <m/>
  </r>
  <r>
    <n v="15"/>
    <x v="0"/>
    <n v="6.7"/>
    <x v="2"/>
    <n v="4.5"/>
    <n v="2.1"/>
    <n v="3.71"/>
    <n v="1.3"/>
    <s v="high"/>
    <n v="3"/>
    <n v="3"/>
    <n v="3"/>
    <n v="1"/>
    <m/>
  </r>
  <r>
    <n v="18"/>
    <x v="0"/>
    <n v="1.1000000000000001"/>
    <x v="2"/>
    <n v="7.2"/>
    <n v="1"/>
    <n v="3.13"/>
    <n v="0.6"/>
    <s v="medium"/>
    <n v="2"/>
    <n v="1"/>
    <n v="4"/>
    <n v="1"/>
    <m/>
  </r>
  <r>
    <n v="18"/>
    <x v="1"/>
    <n v="7.4"/>
    <x v="0"/>
    <n v="7.5"/>
    <n v="2.2999999999999998"/>
    <n v="2.39"/>
    <n v="0.9"/>
    <s v="high"/>
    <n v="4"/>
    <n v="1"/>
    <n v="4"/>
    <n v="1"/>
    <m/>
  </r>
  <r>
    <n v="19"/>
    <x v="1"/>
    <n v="4.8"/>
    <x v="1"/>
    <n v="6"/>
    <n v="1.5"/>
    <n v="2.61"/>
    <n v="1.2"/>
    <s v="high"/>
    <n v="2"/>
    <n v="2"/>
    <n v="6"/>
    <n v="1"/>
    <m/>
  </r>
  <r>
    <n v="14"/>
    <x v="0"/>
    <n v="1.2"/>
    <x v="2"/>
    <n v="5.2"/>
    <n v="2.2000000000000002"/>
    <n v="2.19"/>
    <n v="1.9"/>
    <s v="medium"/>
    <n v="9"/>
    <n v="9"/>
    <n v="4"/>
    <n v="1"/>
    <m/>
  </r>
  <r>
    <n v="13"/>
    <x v="0"/>
    <n v="7.4"/>
    <x v="0"/>
    <n v="5.6"/>
    <n v="1.4"/>
    <n v="2.95"/>
    <n v="1.7"/>
    <s v="high"/>
    <n v="8"/>
    <n v="5"/>
    <n v="5"/>
    <n v="1"/>
    <m/>
  </r>
  <r>
    <n v="16"/>
    <x v="1"/>
    <n v="2.6"/>
    <x v="2"/>
    <n v="8.6"/>
    <n v="1.3"/>
    <n v="3.64"/>
    <n v="1.6"/>
    <s v="high"/>
    <n v="5"/>
    <n v="3"/>
    <n v="1"/>
    <n v="-1"/>
    <m/>
  </r>
  <r>
    <n v="17"/>
    <x v="1"/>
    <n v="5"/>
    <x v="2"/>
    <n v="9"/>
    <n v="2.5"/>
    <n v="3.4"/>
    <n v="0.9"/>
    <s v="high"/>
    <n v="8"/>
    <n v="10"/>
    <n v="5"/>
    <n v="-1"/>
    <m/>
  </r>
  <r>
    <n v="18"/>
    <x v="0"/>
    <n v="7.5"/>
    <x v="0"/>
    <n v="7.4"/>
    <n v="1.8"/>
    <n v="3.47"/>
    <n v="0"/>
    <s v="low"/>
    <n v="9"/>
    <n v="4"/>
    <n v="2"/>
    <n v="-1"/>
    <m/>
  </r>
  <r>
    <n v="17"/>
    <x v="1"/>
    <n v="5.4"/>
    <x v="2"/>
    <n v="5.7"/>
    <n v="2.5"/>
    <n v="3.13"/>
    <n v="1.9"/>
    <s v="medium"/>
    <n v="5"/>
    <n v="10"/>
    <n v="3"/>
    <n v="-1"/>
    <m/>
  </r>
  <r>
    <n v="17"/>
    <x v="1"/>
    <n v="5.6"/>
    <x v="0"/>
    <n v="5.3"/>
    <n v="1.7"/>
    <n v="2.77"/>
    <n v="0.9"/>
    <s v="medium"/>
    <n v="8"/>
    <n v="4"/>
    <n v="8"/>
    <n v="-1"/>
    <m/>
  </r>
  <r>
    <n v="18"/>
    <x v="0"/>
    <n v="6.2"/>
    <x v="0"/>
    <n v="4.0999999999999996"/>
    <n v="2.8"/>
    <n v="3.41"/>
    <n v="1.1000000000000001"/>
    <s v="medium"/>
    <n v="7"/>
    <n v="8"/>
    <n v="1"/>
    <n v="-1"/>
    <m/>
  </r>
  <r>
    <n v="17"/>
    <x v="1"/>
    <n v="4.7"/>
    <x v="0"/>
    <n v="4.7"/>
    <n v="2.4"/>
    <n v="3.94"/>
    <n v="0"/>
    <s v="medium"/>
    <n v="10"/>
    <n v="5"/>
    <n v="8"/>
    <n v="-1"/>
    <m/>
  </r>
  <r>
    <n v="18"/>
    <x v="1"/>
    <n v="4"/>
    <x v="0"/>
    <n v="4.5999999999999996"/>
    <n v="2.2000000000000002"/>
    <n v="3.7"/>
    <n v="0.6"/>
    <s v="medium"/>
    <n v="4"/>
    <n v="1"/>
    <n v="4"/>
    <n v="1"/>
    <m/>
  </r>
  <r>
    <n v="18"/>
    <x v="0"/>
    <n v="6.2"/>
    <x v="1"/>
    <n v="8.6"/>
    <n v="1.5"/>
    <n v="3.22"/>
    <n v="1.6"/>
    <s v="low"/>
    <n v="4"/>
    <n v="5"/>
    <n v="7"/>
    <n v="1"/>
    <m/>
  </r>
  <r>
    <n v="17"/>
    <x v="1"/>
    <n v="5.6"/>
    <x v="1"/>
    <n v="6.8"/>
    <n v="2"/>
    <n v="2.2200000000000002"/>
    <n v="1"/>
    <s v="medium"/>
    <n v="6"/>
    <n v="9"/>
    <n v="8"/>
    <n v="1"/>
    <m/>
  </r>
  <r>
    <n v="13"/>
    <x v="1"/>
    <n v="4"/>
    <x v="0"/>
    <n v="4.4000000000000004"/>
    <n v="2.5"/>
    <n v="3.6"/>
    <n v="1.4"/>
    <s v="medium"/>
    <n v="7"/>
    <n v="2"/>
    <n v="10"/>
    <n v="1"/>
    <m/>
  </r>
  <r>
    <n v="15"/>
    <x v="1"/>
    <n v="1.8"/>
    <x v="0"/>
    <n v="6.4"/>
    <n v="2.4"/>
    <n v="2.16"/>
    <n v="1.9"/>
    <s v="medium"/>
    <n v="3"/>
    <n v="6"/>
    <n v="9"/>
    <n v="1"/>
    <m/>
  </r>
  <r>
    <n v="13"/>
    <x v="0"/>
    <n v="3.1"/>
    <x v="1"/>
    <n v="5.4"/>
    <n v="1.9"/>
    <n v="3.66"/>
    <n v="0.4"/>
    <s v="low"/>
    <n v="7"/>
    <n v="4"/>
    <n v="2"/>
    <n v="1"/>
    <m/>
  </r>
  <r>
    <n v="13"/>
    <x v="1"/>
    <n v="3.5"/>
    <x v="1"/>
    <n v="5.2"/>
    <n v="2.5"/>
    <n v="2.57"/>
    <n v="1.1000000000000001"/>
    <s v="high"/>
    <n v="1"/>
    <n v="6"/>
    <n v="3"/>
    <n v="1"/>
    <m/>
  </r>
  <r>
    <n v="18"/>
    <x v="0"/>
    <n v="7.4"/>
    <x v="1"/>
    <n v="6.4"/>
    <n v="2.2000000000000002"/>
    <n v="3.51"/>
    <n v="1"/>
    <s v="high"/>
    <n v="4"/>
    <n v="5"/>
    <n v="4"/>
    <n v="1"/>
    <m/>
  </r>
  <r>
    <n v="16"/>
    <x v="0"/>
    <n v="8"/>
    <x v="0"/>
    <n v="5.5"/>
    <n v="1.4"/>
    <n v="2.95"/>
    <n v="0.3"/>
    <s v="medium"/>
    <n v="2"/>
    <n v="5"/>
    <n v="2"/>
    <n v="1"/>
    <m/>
  </r>
  <r>
    <n v="13"/>
    <x v="0"/>
    <n v="5.0999999999999996"/>
    <x v="2"/>
    <n v="4.0999999999999996"/>
    <n v="1.6"/>
    <n v="3.32"/>
    <n v="0.8"/>
    <s v="medium"/>
    <n v="1"/>
    <n v="3"/>
    <n v="8"/>
    <n v="1"/>
    <m/>
  </r>
  <r>
    <n v="18"/>
    <x v="1"/>
    <n v="2.4"/>
    <x v="0"/>
    <n v="6.3"/>
    <n v="1.3"/>
    <n v="3.05"/>
    <n v="1.7"/>
    <s v="low"/>
    <n v="2"/>
    <n v="9"/>
    <n v="5"/>
    <n v="1"/>
    <m/>
  </r>
  <r>
    <n v="13"/>
    <x v="0"/>
    <n v="1.6"/>
    <x v="0"/>
    <n v="4.2"/>
    <n v="1.5"/>
    <n v="3.72"/>
    <n v="1.7"/>
    <s v="medium"/>
    <n v="10"/>
    <n v="1"/>
    <n v="10"/>
    <n v="1"/>
    <m/>
  </r>
  <r>
    <n v="18"/>
    <x v="0"/>
    <n v="5.8"/>
    <x v="0"/>
    <n v="6.7"/>
    <n v="1.9"/>
    <n v="3"/>
    <n v="1.9"/>
    <s v="low"/>
    <n v="5"/>
    <n v="8"/>
    <n v="2"/>
    <n v="1"/>
    <m/>
  </r>
  <r>
    <n v="15"/>
    <x v="0"/>
    <n v="2.7"/>
    <x v="1"/>
    <n v="6.6"/>
    <n v="1.9"/>
    <n v="2.75"/>
    <n v="1.9"/>
    <s v="medium"/>
    <n v="3"/>
    <n v="6"/>
    <n v="6"/>
    <n v="1"/>
    <m/>
  </r>
  <r>
    <n v="13"/>
    <x v="1"/>
    <n v="4"/>
    <x v="2"/>
    <n v="4.5"/>
    <n v="1"/>
    <n v="3.65"/>
    <n v="1.8"/>
    <s v="low"/>
    <n v="5"/>
    <n v="6"/>
    <n v="5"/>
    <n v="1"/>
    <m/>
  </r>
  <r>
    <n v="18"/>
    <x v="0"/>
    <n v="3.2"/>
    <x v="2"/>
    <n v="8.8000000000000007"/>
    <n v="1.2"/>
    <n v="3.71"/>
    <n v="1.1000000000000001"/>
    <s v="medium"/>
    <n v="7"/>
    <n v="6"/>
    <n v="10"/>
    <n v="1"/>
    <m/>
  </r>
  <r>
    <n v="13"/>
    <x v="0"/>
    <n v="1.6"/>
    <x v="1"/>
    <n v="4.3"/>
    <n v="0.6"/>
    <n v="3.91"/>
    <n v="2"/>
    <s v="medium"/>
    <n v="5"/>
    <n v="10"/>
    <n v="7"/>
    <n v="1"/>
    <m/>
  </r>
  <r>
    <n v="14"/>
    <x v="0"/>
    <n v="2.2999999999999998"/>
    <x v="1"/>
    <n v="8"/>
    <n v="2.5"/>
    <n v="3.08"/>
    <n v="1.7"/>
    <s v="medium"/>
    <n v="5"/>
    <n v="6"/>
    <n v="7"/>
    <n v="1"/>
    <m/>
  </r>
  <r>
    <n v="17"/>
    <x v="0"/>
    <n v="7.7"/>
    <x v="1"/>
    <n v="8.5"/>
    <n v="1.2"/>
    <n v="3.56"/>
    <n v="0"/>
    <s v="medium"/>
    <n v="7"/>
    <n v="10"/>
    <n v="7"/>
    <n v="1"/>
    <m/>
  </r>
  <r>
    <n v="16"/>
    <x v="0"/>
    <n v="4.8"/>
    <x v="2"/>
    <n v="7.1"/>
    <n v="0.6"/>
    <n v="3.36"/>
    <n v="0.7"/>
    <s v="high"/>
    <n v="7"/>
    <n v="6"/>
    <n v="9"/>
    <n v="0"/>
    <m/>
  </r>
  <r>
    <n v="17"/>
    <x v="1"/>
    <n v="5.2"/>
    <x v="2"/>
    <n v="6"/>
    <n v="0.6"/>
    <n v="3.07"/>
    <n v="0.6"/>
    <s v="medium"/>
    <n v="6"/>
    <n v="2"/>
    <n v="9"/>
    <n v="0"/>
    <m/>
  </r>
  <r>
    <n v="13"/>
    <x v="0"/>
    <n v="5.7"/>
    <x v="2"/>
    <n v="6.6"/>
    <n v="2.4"/>
    <n v="3.99"/>
    <n v="1.7"/>
    <s v="high"/>
    <n v="1"/>
    <n v="3"/>
    <n v="1"/>
    <n v="0"/>
    <m/>
  </r>
  <r>
    <n v="15"/>
    <x v="0"/>
    <n v="4.5999999999999996"/>
    <x v="1"/>
    <n v="5.2"/>
    <n v="1.4"/>
    <n v="2.98"/>
    <n v="1.9"/>
    <s v="low"/>
    <n v="1"/>
    <n v="4"/>
    <n v="5"/>
    <n v="0"/>
    <m/>
  </r>
  <r>
    <n v="13"/>
    <x v="0"/>
    <n v="4.3"/>
    <x v="1"/>
    <n v="7.5"/>
    <n v="2.7"/>
    <n v="2.29"/>
    <n v="0.8"/>
    <s v="high"/>
    <n v="1"/>
    <n v="10"/>
    <n v="1"/>
    <n v="0"/>
    <m/>
  </r>
  <r>
    <n v="17"/>
    <x v="1"/>
    <n v="4.0999999999999996"/>
    <x v="0"/>
    <n v="8.6"/>
    <n v="3"/>
    <n v="2.77"/>
    <n v="0.1"/>
    <s v="medium"/>
    <n v="3"/>
    <n v="6"/>
    <n v="1"/>
    <n v="0"/>
    <m/>
  </r>
  <r>
    <n v="15"/>
    <x v="0"/>
    <n v="6.5"/>
    <x v="2"/>
    <n v="8.1"/>
    <n v="2"/>
    <n v="3.89"/>
    <n v="1.3"/>
    <s v="high"/>
    <n v="8"/>
    <n v="2"/>
    <n v="2"/>
    <n v="0"/>
    <m/>
  </r>
  <r>
    <n v="19"/>
    <x v="1"/>
    <n v="7.8"/>
    <x v="2"/>
    <n v="8.8000000000000007"/>
    <n v="2.1"/>
    <n v="3.75"/>
    <n v="1.3"/>
    <s v="high"/>
    <n v="10"/>
    <n v="9"/>
    <n v="6"/>
    <n v="0"/>
    <m/>
  </r>
  <r>
    <n v="17"/>
    <x v="0"/>
    <n v="6.5"/>
    <x v="0"/>
    <n v="4.0999999999999996"/>
    <n v="2.7"/>
    <n v="3.66"/>
    <n v="1.1000000000000001"/>
    <s v="medium"/>
    <n v="6"/>
    <n v="10"/>
    <n v="10"/>
    <n v="0"/>
    <m/>
  </r>
  <r>
    <n v="17"/>
    <x v="1"/>
    <n v="3.2"/>
    <x v="1"/>
    <n v="4.2"/>
    <n v="0.6"/>
    <n v="2.21"/>
    <n v="1.4"/>
    <s v="medium"/>
    <n v="6"/>
    <n v="6"/>
    <n v="3"/>
    <n v="0"/>
    <m/>
  </r>
  <r>
    <n v="13"/>
    <x v="0"/>
    <n v="2.4"/>
    <x v="1"/>
    <n v="4.0999999999999996"/>
    <n v="0.8"/>
    <n v="2.79"/>
    <n v="1.1000000000000001"/>
    <s v="medium"/>
    <n v="8"/>
    <n v="6"/>
    <n v="3"/>
    <n v="1"/>
    <m/>
  </r>
  <r>
    <n v="15"/>
    <x v="1"/>
    <n v="4"/>
    <x v="0"/>
    <n v="8.1"/>
    <n v="2.1"/>
    <n v="2.0099999999999998"/>
    <n v="0.4"/>
    <s v="medium"/>
    <n v="4"/>
    <n v="8"/>
    <n v="8"/>
    <n v="1"/>
    <m/>
  </r>
  <r>
    <n v="17"/>
    <x v="1"/>
    <n v="6"/>
    <x v="2"/>
    <n v="8.8000000000000007"/>
    <n v="1.3"/>
    <n v="4"/>
    <n v="0.9"/>
    <s v="medium"/>
    <n v="8"/>
    <n v="10"/>
    <n v="7"/>
    <n v="1"/>
    <m/>
  </r>
  <r>
    <n v="18"/>
    <x v="0"/>
    <n v="1.2"/>
    <x v="1"/>
    <n v="8"/>
    <n v="1.7"/>
    <n v="3.12"/>
    <n v="0.1"/>
    <s v="low"/>
    <n v="6"/>
    <n v="4"/>
    <n v="2"/>
    <n v="1"/>
    <m/>
  </r>
  <r>
    <n v="16"/>
    <x v="0"/>
    <n v="5.7"/>
    <x v="2"/>
    <n v="5.8"/>
    <n v="2.8"/>
    <n v="2.17"/>
    <n v="0.5"/>
    <s v="medium"/>
    <n v="3"/>
    <n v="9"/>
    <n v="2"/>
    <n v="1"/>
    <m/>
  </r>
  <r>
    <n v="19"/>
    <x v="0"/>
    <n v="6.5"/>
    <x v="2"/>
    <n v="8.1"/>
    <n v="2.2999999999999998"/>
    <n v="2.21"/>
    <n v="0.4"/>
    <s v="high"/>
    <n v="8"/>
    <n v="8"/>
    <n v="6"/>
    <n v="1"/>
    <m/>
  </r>
  <r>
    <n v="16"/>
    <x v="0"/>
    <n v="6.6"/>
    <x v="0"/>
    <n v="5.6"/>
    <n v="0.8"/>
    <n v="3.48"/>
    <n v="1.7"/>
    <s v="medium"/>
    <n v="4"/>
    <n v="3"/>
    <n v="4"/>
    <n v="1"/>
    <m/>
  </r>
  <r>
    <n v="13"/>
    <x v="0"/>
    <n v="6"/>
    <x v="1"/>
    <n v="7.2"/>
    <n v="1.5"/>
    <n v="2.36"/>
    <n v="0.2"/>
    <s v="low"/>
    <n v="1"/>
    <n v="3"/>
    <n v="4"/>
    <n v="1"/>
    <m/>
  </r>
  <r>
    <n v="18"/>
    <x v="1"/>
    <n v="1.1000000000000001"/>
    <x v="2"/>
    <n v="8"/>
    <n v="2.7"/>
    <n v="2.04"/>
    <n v="0.1"/>
    <s v="low"/>
    <n v="7"/>
    <n v="10"/>
    <n v="2"/>
    <n v="1"/>
    <m/>
  </r>
  <r>
    <n v="13"/>
    <x v="1"/>
    <n v="3.8"/>
    <x v="0"/>
    <n v="7.9"/>
    <n v="1.3"/>
    <n v="3.97"/>
    <n v="0.2"/>
    <s v="medium"/>
    <n v="7"/>
    <n v="10"/>
    <n v="9"/>
    <n v="1"/>
    <m/>
  </r>
  <r>
    <n v="13"/>
    <x v="1"/>
    <n v="4.7"/>
    <x v="2"/>
    <n v="6.8"/>
    <n v="1.7"/>
    <n v="3.27"/>
    <n v="1.4"/>
    <s v="low"/>
    <n v="4"/>
    <n v="2"/>
    <n v="4"/>
    <n v="1"/>
    <m/>
  </r>
  <r>
    <n v="15"/>
    <x v="0"/>
    <n v="7.4"/>
    <x v="1"/>
    <n v="6.3"/>
    <n v="1.3"/>
    <n v="3.47"/>
    <n v="1.2"/>
    <s v="medium"/>
    <n v="1"/>
    <n v="3"/>
    <n v="9"/>
    <n v="1"/>
    <m/>
  </r>
  <r>
    <n v="17"/>
    <x v="0"/>
    <n v="3.9"/>
    <x v="0"/>
    <n v="7.1"/>
    <n v="2.4"/>
    <n v="3.82"/>
    <n v="0.8"/>
    <s v="high"/>
    <n v="3"/>
    <n v="6"/>
    <n v="10"/>
    <n v="1"/>
    <m/>
  </r>
  <r>
    <n v="18"/>
    <x v="0"/>
    <n v="3.1"/>
    <x v="0"/>
    <n v="5.7"/>
    <n v="2.9"/>
    <n v="3.1"/>
    <n v="0.6"/>
    <s v="medium"/>
    <n v="9"/>
    <n v="4"/>
    <n v="2"/>
    <n v="1"/>
    <m/>
  </r>
  <r>
    <n v="16"/>
    <x v="1"/>
    <n v="2.6"/>
    <x v="1"/>
    <n v="8.8000000000000007"/>
    <n v="1.7"/>
    <n v="2.39"/>
    <n v="1"/>
    <s v="medium"/>
    <n v="5"/>
    <n v="2"/>
    <n v="6"/>
    <n v="1"/>
    <m/>
  </r>
  <r>
    <n v="13"/>
    <x v="0"/>
    <n v="5"/>
    <x v="1"/>
    <n v="6.9"/>
    <n v="0.6"/>
    <n v="3.03"/>
    <n v="0.8"/>
    <s v="low"/>
    <n v="9"/>
    <n v="3"/>
    <n v="8"/>
    <n v="1"/>
    <m/>
  </r>
  <r>
    <n v="18"/>
    <x v="0"/>
    <n v="4.5"/>
    <x v="0"/>
    <n v="8.1"/>
    <n v="1.6"/>
    <n v="3.72"/>
    <n v="1.2"/>
    <s v="low"/>
    <n v="1"/>
    <n v="2"/>
    <n v="1"/>
    <n v="1"/>
    <m/>
  </r>
  <r>
    <n v="17"/>
    <x v="0"/>
    <n v="2.1"/>
    <x v="1"/>
    <n v="4.7"/>
    <n v="2"/>
    <n v="2.99"/>
    <n v="1.9"/>
    <s v="low"/>
    <n v="5"/>
    <n v="1"/>
    <n v="8"/>
    <n v="1"/>
    <m/>
  </r>
  <r>
    <n v="14"/>
    <x v="1"/>
    <n v="6.4"/>
    <x v="0"/>
    <n v="6"/>
    <n v="1.1000000000000001"/>
    <n v="3.81"/>
    <n v="0.9"/>
    <s v="medium"/>
    <n v="8"/>
    <n v="2"/>
    <n v="3"/>
    <n v="1"/>
    <m/>
  </r>
  <r>
    <n v="15"/>
    <x v="1"/>
    <n v="2.2999999999999998"/>
    <x v="1"/>
    <n v="6.5"/>
    <n v="2.6"/>
    <n v="3.18"/>
    <n v="0.1"/>
    <s v="low"/>
    <n v="1"/>
    <n v="8"/>
    <n v="4"/>
    <n v="1"/>
    <m/>
  </r>
  <r>
    <n v="13"/>
    <x v="1"/>
    <n v="4.4000000000000004"/>
    <x v="1"/>
    <n v="8.8000000000000007"/>
    <n v="1.3"/>
    <n v="2.69"/>
    <n v="0.4"/>
    <s v="low"/>
    <n v="3"/>
    <n v="1"/>
    <n v="7"/>
    <n v="1"/>
    <m/>
  </r>
  <r>
    <n v="19"/>
    <x v="0"/>
    <n v="2.2999999999999998"/>
    <x v="0"/>
    <n v="6.9"/>
    <n v="2.2999999999999998"/>
    <n v="2.17"/>
    <n v="1.6"/>
    <s v="medium"/>
    <n v="3"/>
    <n v="6"/>
    <n v="10"/>
    <n v="1"/>
    <m/>
  </r>
  <r>
    <n v="13"/>
    <x v="0"/>
    <n v="4.3"/>
    <x v="0"/>
    <n v="4.4000000000000004"/>
    <n v="0.7"/>
    <n v="3.19"/>
    <n v="0.3"/>
    <s v="low"/>
    <n v="6"/>
    <n v="2"/>
    <n v="6"/>
    <n v="1"/>
    <m/>
  </r>
  <r>
    <n v="18"/>
    <x v="1"/>
    <n v="3.9"/>
    <x v="1"/>
    <n v="5.2"/>
    <n v="1.8"/>
    <n v="2.41"/>
    <n v="0.6"/>
    <s v="high"/>
    <n v="9"/>
    <n v="5"/>
    <n v="5"/>
    <n v="1"/>
    <m/>
  </r>
  <r>
    <n v="18"/>
    <x v="0"/>
    <n v="2.9"/>
    <x v="1"/>
    <n v="7.5"/>
    <n v="0.9"/>
    <n v="2.62"/>
    <n v="2"/>
    <s v="high"/>
    <n v="3"/>
    <n v="1"/>
    <n v="9"/>
    <n v="1"/>
    <m/>
  </r>
  <r>
    <n v="14"/>
    <x v="0"/>
    <n v="2.1"/>
    <x v="0"/>
    <n v="8.5"/>
    <n v="1.1000000000000001"/>
    <n v="3.03"/>
    <n v="1.6"/>
    <s v="medium"/>
    <n v="5"/>
    <n v="6"/>
    <n v="7"/>
    <n v="1"/>
    <m/>
  </r>
  <r>
    <n v="14"/>
    <x v="0"/>
    <n v="2.1"/>
    <x v="1"/>
    <n v="5"/>
    <n v="1.4"/>
    <n v="2.96"/>
    <n v="1.1000000000000001"/>
    <s v="low"/>
    <n v="7"/>
    <n v="1"/>
    <n v="9"/>
    <n v="1"/>
    <m/>
  </r>
  <r>
    <n v="16"/>
    <x v="0"/>
    <n v="3.8"/>
    <x v="1"/>
    <n v="5.7"/>
    <n v="1.3"/>
    <n v="3.84"/>
    <n v="1.6"/>
    <s v="medium"/>
    <n v="3"/>
    <n v="4"/>
    <n v="10"/>
    <n v="1"/>
    <m/>
  </r>
  <r>
    <n v="15"/>
    <x v="1"/>
    <n v="1.1000000000000001"/>
    <x v="1"/>
    <n v="8.1999999999999993"/>
    <n v="0.7"/>
    <n v="2.94"/>
    <n v="0.7"/>
    <s v="high"/>
    <n v="10"/>
    <n v="7"/>
    <n v="9"/>
    <n v="1"/>
    <m/>
  </r>
  <r>
    <n v="14"/>
    <x v="0"/>
    <n v="2.5"/>
    <x v="2"/>
    <n v="5.3"/>
    <n v="2.4"/>
    <n v="3.87"/>
    <n v="1.3"/>
    <s v="high"/>
    <n v="10"/>
    <n v="9"/>
    <n v="6"/>
    <n v="1"/>
    <m/>
  </r>
  <r>
    <n v="19"/>
    <x v="1"/>
    <n v="4.0999999999999996"/>
    <x v="0"/>
    <n v="6.4"/>
    <n v="0.9"/>
    <n v="2.4700000000000002"/>
    <n v="1.2"/>
    <s v="high"/>
    <n v="7"/>
    <n v="3"/>
    <n v="4"/>
    <n v="1"/>
    <m/>
  </r>
  <r>
    <n v="16"/>
    <x v="0"/>
    <n v="3"/>
    <x v="0"/>
    <n v="8.6"/>
    <n v="1.5"/>
    <n v="2.84"/>
    <n v="0.3"/>
    <s v="high"/>
    <n v="6"/>
    <n v="4"/>
    <n v="3"/>
    <n v="1"/>
    <m/>
  </r>
  <r>
    <n v="13"/>
    <x v="1"/>
    <n v="3.9"/>
    <x v="0"/>
    <n v="5"/>
    <n v="0.7"/>
    <n v="2.98"/>
    <n v="0.3"/>
    <s v="medium"/>
    <n v="10"/>
    <n v="8"/>
    <n v="3"/>
    <n v="1"/>
    <m/>
  </r>
  <r>
    <n v="13"/>
    <x v="0"/>
    <n v="7"/>
    <x v="1"/>
    <n v="8.9"/>
    <n v="0.6"/>
    <n v="2.7"/>
    <n v="1.8"/>
    <s v="medium"/>
    <n v="5"/>
    <n v="4"/>
    <n v="1"/>
    <n v="1"/>
    <m/>
  </r>
  <r>
    <n v="16"/>
    <x v="0"/>
    <n v="3.6"/>
    <x v="2"/>
    <n v="8.9"/>
    <n v="1.9"/>
    <n v="2.11"/>
    <n v="1.7"/>
    <s v="low"/>
    <n v="9"/>
    <n v="5"/>
    <n v="2"/>
    <n v="1"/>
    <m/>
  </r>
  <r>
    <n v="15"/>
    <x v="0"/>
    <n v="7.6"/>
    <x v="0"/>
    <n v="7.6"/>
    <n v="2.7"/>
    <n v="2.36"/>
    <n v="1.2"/>
    <s v="medium"/>
    <n v="5"/>
    <n v="10"/>
    <n v="3"/>
    <n v="1"/>
    <m/>
  </r>
  <r>
    <n v="19"/>
    <x v="0"/>
    <n v="1.3"/>
    <x v="0"/>
    <n v="4.5"/>
    <n v="0.7"/>
    <n v="2.5099999999999998"/>
    <n v="0.8"/>
    <s v="low"/>
    <n v="10"/>
    <n v="9"/>
    <n v="7"/>
    <n v="1"/>
    <m/>
  </r>
  <r>
    <n v="17"/>
    <x v="1"/>
    <n v="2.1"/>
    <x v="2"/>
    <n v="7.8"/>
    <n v="2.1"/>
    <n v="3.29"/>
    <n v="1.5"/>
    <s v="low"/>
    <n v="8"/>
    <n v="1"/>
    <n v="7"/>
    <n v="1"/>
    <m/>
  </r>
  <r>
    <n v="15"/>
    <x v="1"/>
    <n v="2.7"/>
    <x v="2"/>
    <n v="8.8000000000000007"/>
    <n v="1.9"/>
    <n v="2.14"/>
    <n v="0.4"/>
    <s v="high"/>
    <n v="8"/>
    <n v="10"/>
    <n v="3"/>
    <n v="-1"/>
    <m/>
  </r>
  <r>
    <n v="13"/>
    <x v="0"/>
    <n v="7.5"/>
    <x v="2"/>
    <n v="8"/>
    <n v="2"/>
    <n v="3.25"/>
    <n v="0.7"/>
    <s v="medium"/>
    <n v="9"/>
    <n v="10"/>
    <n v="2"/>
    <n v="-1"/>
    <m/>
  </r>
  <r>
    <n v="16"/>
    <x v="1"/>
    <n v="6.1"/>
    <x v="2"/>
    <n v="8.8000000000000007"/>
    <n v="1.7"/>
    <n v="3.55"/>
    <n v="1.3"/>
    <s v="medium"/>
    <n v="6"/>
    <n v="10"/>
    <n v="9"/>
    <n v="-1"/>
    <m/>
  </r>
  <r>
    <n v="19"/>
    <x v="0"/>
    <n v="2.4"/>
    <x v="2"/>
    <n v="7.4"/>
    <n v="1.2"/>
    <n v="2.5"/>
    <n v="1.8"/>
    <s v="high"/>
    <n v="2"/>
    <n v="5"/>
    <n v="2"/>
    <n v="-1"/>
    <m/>
  </r>
  <r>
    <n v="19"/>
    <x v="0"/>
    <n v="2"/>
    <x v="1"/>
    <n v="5.3"/>
    <n v="1.7"/>
    <n v="2.91"/>
    <n v="0.8"/>
    <s v="low"/>
    <n v="9"/>
    <n v="5"/>
    <n v="9"/>
    <n v="-1"/>
    <m/>
  </r>
  <r>
    <n v="15"/>
    <x v="1"/>
    <n v="7.8"/>
    <x v="1"/>
    <n v="5.3"/>
    <n v="0.5"/>
    <n v="2.3199999999999998"/>
    <n v="0.8"/>
    <s v="low"/>
    <n v="8"/>
    <n v="9"/>
    <n v="3"/>
    <n v="-1"/>
    <m/>
  </r>
  <r>
    <n v="16"/>
    <x v="1"/>
    <n v="6.8"/>
    <x v="1"/>
    <n v="7.2"/>
    <n v="2.5"/>
    <n v="3.61"/>
    <n v="0.5"/>
    <s v="medium"/>
    <n v="10"/>
    <n v="1"/>
    <n v="9"/>
    <n v="-1"/>
    <m/>
  </r>
  <r>
    <n v="17"/>
    <x v="0"/>
    <n v="8"/>
    <x v="0"/>
    <n v="4.5999999999999996"/>
    <n v="2.6"/>
    <n v="3.06"/>
    <n v="0.1"/>
    <s v="high"/>
    <n v="9"/>
    <n v="2"/>
    <n v="6"/>
    <n v="1"/>
    <m/>
  </r>
  <r>
    <n v="13"/>
    <x v="1"/>
    <n v="7.3"/>
    <x v="2"/>
    <n v="8.9"/>
    <n v="2.7"/>
    <n v="3.68"/>
    <n v="1.9"/>
    <s v="low"/>
    <n v="6"/>
    <n v="6"/>
    <n v="10"/>
    <n v="1"/>
    <m/>
  </r>
  <r>
    <n v="15"/>
    <x v="1"/>
    <n v="1.5"/>
    <x v="2"/>
    <n v="8.6999999999999993"/>
    <n v="1.2"/>
    <n v="2.52"/>
    <n v="0.1"/>
    <s v="low"/>
    <n v="9"/>
    <n v="7"/>
    <n v="2"/>
    <n v="1"/>
    <m/>
  </r>
  <r>
    <n v="15"/>
    <x v="1"/>
    <n v="3.4"/>
    <x v="0"/>
    <n v="5"/>
    <n v="1.8"/>
    <n v="3.2"/>
    <n v="1.5"/>
    <s v="medium"/>
    <n v="4"/>
    <n v="5"/>
    <n v="1"/>
    <n v="1"/>
    <m/>
  </r>
  <r>
    <n v="15"/>
    <x v="0"/>
    <n v="7.3"/>
    <x v="2"/>
    <n v="4.8"/>
    <n v="2.6"/>
    <n v="3.81"/>
    <n v="1.5"/>
    <s v="low"/>
    <n v="4"/>
    <n v="7"/>
    <n v="4"/>
    <n v="1"/>
    <m/>
  </r>
  <r>
    <n v="13"/>
    <x v="1"/>
    <n v="1.9"/>
    <x v="1"/>
    <n v="8.5"/>
    <n v="0.8"/>
    <n v="3.33"/>
    <n v="1.3"/>
    <s v="medium"/>
    <n v="5"/>
    <n v="1"/>
    <n v="3"/>
    <n v="1"/>
    <m/>
  </r>
  <r>
    <n v="17"/>
    <x v="1"/>
    <n v="3.9"/>
    <x v="0"/>
    <n v="8.1999999999999993"/>
    <n v="1.3"/>
    <n v="3.21"/>
    <n v="1.8"/>
    <s v="medium"/>
    <n v="3"/>
    <n v="7"/>
    <n v="7"/>
    <n v="1"/>
    <m/>
  </r>
  <r>
    <n v="18"/>
    <x v="0"/>
    <n v="1.3"/>
    <x v="0"/>
    <n v="5.8"/>
    <n v="1.3"/>
    <n v="3.35"/>
    <n v="1.9"/>
    <s v="medium"/>
    <n v="9"/>
    <n v="4"/>
    <n v="9"/>
    <n v="1"/>
    <m/>
  </r>
  <r>
    <n v="19"/>
    <x v="0"/>
    <n v="4.7"/>
    <x v="1"/>
    <n v="8.1999999999999993"/>
    <n v="1.8"/>
    <n v="2.2599999999999998"/>
    <n v="1"/>
    <s v="low"/>
    <n v="7"/>
    <n v="4"/>
    <n v="7"/>
    <n v="1"/>
    <m/>
  </r>
  <r>
    <n v="15"/>
    <x v="0"/>
    <n v="1.9"/>
    <x v="1"/>
    <n v="5.8"/>
    <n v="2.2999999999999998"/>
    <n v="2.4700000000000002"/>
    <n v="0.3"/>
    <s v="high"/>
    <n v="10"/>
    <n v="9"/>
    <n v="4"/>
    <n v="1"/>
    <m/>
  </r>
  <r>
    <n v="18"/>
    <x v="1"/>
    <n v="7"/>
    <x v="2"/>
    <n v="6.3"/>
    <n v="1.6"/>
    <n v="2.5499999999999998"/>
    <n v="0.5"/>
    <s v="medium"/>
    <n v="10"/>
    <n v="1"/>
    <n v="8"/>
    <n v="1"/>
    <m/>
  </r>
  <r>
    <n v="15"/>
    <x v="0"/>
    <n v="6.2"/>
    <x v="1"/>
    <n v="6.3"/>
    <n v="1.7"/>
    <n v="2.2599999999999998"/>
    <n v="1.1000000000000001"/>
    <s v="high"/>
    <n v="9"/>
    <n v="6"/>
    <n v="2"/>
    <n v="1"/>
    <m/>
  </r>
  <r>
    <n v="14"/>
    <x v="0"/>
    <n v="3.2"/>
    <x v="1"/>
    <n v="8"/>
    <n v="1.3"/>
    <n v="2.5"/>
    <n v="1.1000000000000001"/>
    <s v="high"/>
    <n v="2"/>
    <n v="7"/>
    <n v="5"/>
    <n v="1"/>
    <m/>
  </r>
  <r>
    <n v="18"/>
    <x v="1"/>
    <n v="4.5"/>
    <x v="2"/>
    <n v="7.9"/>
    <n v="1.4"/>
    <n v="2.38"/>
    <n v="0.1"/>
    <s v="high"/>
    <n v="7"/>
    <n v="9"/>
    <n v="1"/>
    <n v="1"/>
    <m/>
  </r>
  <r>
    <n v="14"/>
    <x v="1"/>
    <n v="1.1000000000000001"/>
    <x v="2"/>
    <n v="6.1"/>
    <n v="2.5"/>
    <n v="2.8"/>
    <n v="1.8"/>
    <s v="high"/>
    <n v="4"/>
    <n v="10"/>
    <n v="3"/>
    <n v="1"/>
    <m/>
  </r>
  <r>
    <n v="13"/>
    <x v="0"/>
    <n v="5.9"/>
    <x v="0"/>
    <n v="8"/>
    <n v="2.8"/>
    <n v="3.21"/>
    <n v="1.6"/>
    <s v="medium"/>
    <n v="2"/>
    <n v="8"/>
    <n v="8"/>
    <n v="1"/>
    <m/>
  </r>
  <r>
    <n v="17"/>
    <x v="0"/>
    <n v="5.0999999999999996"/>
    <x v="2"/>
    <n v="5"/>
    <n v="2.2000000000000002"/>
    <n v="3.58"/>
    <n v="1.2"/>
    <s v="high"/>
    <n v="6"/>
    <n v="3"/>
    <n v="9"/>
    <n v="1"/>
    <m/>
  </r>
  <r>
    <n v="15"/>
    <x v="0"/>
    <n v="1.6"/>
    <x v="0"/>
    <n v="6.9"/>
    <n v="2.2999999999999998"/>
    <n v="3.16"/>
    <n v="0.9"/>
    <s v="medium"/>
    <n v="3"/>
    <n v="1"/>
    <n v="5"/>
    <n v="1"/>
    <m/>
  </r>
  <r>
    <n v="15"/>
    <x v="1"/>
    <n v="7.2"/>
    <x v="1"/>
    <n v="8"/>
    <n v="1.4"/>
    <n v="3.64"/>
    <n v="0.4"/>
    <s v="medium"/>
    <n v="10"/>
    <n v="5"/>
    <n v="7"/>
    <n v="1"/>
    <m/>
  </r>
  <r>
    <n v="17"/>
    <x v="1"/>
    <n v="1.4"/>
    <x v="0"/>
    <n v="6.9"/>
    <n v="2.4"/>
    <n v="3.06"/>
    <n v="1.9"/>
    <s v="medium"/>
    <n v="4"/>
    <n v="10"/>
    <n v="8"/>
    <n v="1"/>
    <m/>
  </r>
  <r>
    <n v="17"/>
    <x v="1"/>
    <n v="6.6"/>
    <x v="0"/>
    <n v="8"/>
    <n v="2.2000000000000002"/>
    <n v="2.21"/>
    <n v="1"/>
    <s v="high"/>
    <n v="10"/>
    <n v="8"/>
    <n v="10"/>
    <n v="1"/>
    <m/>
  </r>
  <r>
    <n v="15"/>
    <x v="1"/>
    <n v="3.5"/>
    <x v="0"/>
    <n v="6.3"/>
    <n v="0.8"/>
    <n v="2.71"/>
    <n v="1.8"/>
    <s v="high"/>
    <n v="7"/>
    <n v="4"/>
    <n v="2"/>
    <n v="1"/>
    <m/>
  </r>
  <r>
    <n v="17"/>
    <x v="1"/>
    <n v="5.4"/>
    <x v="2"/>
    <n v="6.3"/>
    <n v="2.8"/>
    <n v="3.06"/>
    <n v="0.8"/>
    <s v="low"/>
    <n v="3"/>
    <n v="7"/>
    <n v="9"/>
    <n v="1"/>
    <m/>
  </r>
  <r>
    <n v="16"/>
    <x v="1"/>
    <n v="4.2"/>
    <x v="2"/>
    <n v="7.3"/>
    <n v="1.1000000000000001"/>
    <n v="3.1"/>
    <n v="1.6"/>
    <s v="medium"/>
    <n v="1"/>
    <n v="6"/>
    <n v="2"/>
    <n v="1"/>
    <m/>
  </r>
  <r>
    <n v="13"/>
    <x v="0"/>
    <n v="2.5"/>
    <x v="0"/>
    <n v="8.3000000000000007"/>
    <n v="1.6"/>
    <n v="2.91"/>
    <n v="0.6"/>
    <s v="high"/>
    <n v="10"/>
    <n v="2"/>
    <n v="6"/>
    <n v="1"/>
    <m/>
  </r>
  <r>
    <n v="16"/>
    <x v="1"/>
    <n v="3.8"/>
    <x v="1"/>
    <n v="6"/>
    <n v="3"/>
    <n v="2.1"/>
    <n v="0.2"/>
    <s v="low"/>
    <n v="7"/>
    <n v="9"/>
    <n v="1"/>
    <n v="1"/>
    <m/>
  </r>
  <r>
    <n v="13"/>
    <x v="0"/>
    <n v="1.8"/>
    <x v="0"/>
    <n v="8.9"/>
    <n v="1.2"/>
    <n v="3.67"/>
    <n v="0.1"/>
    <s v="medium"/>
    <n v="2"/>
    <n v="8"/>
    <n v="9"/>
    <n v="1"/>
    <m/>
  </r>
  <r>
    <n v="14"/>
    <x v="0"/>
    <n v="5.4"/>
    <x v="0"/>
    <n v="5.6"/>
    <n v="1.8"/>
    <n v="3.01"/>
    <n v="0.9"/>
    <s v="low"/>
    <n v="10"/>
    <n v="6"/>
    <n v="8"/>
    <n v="1"/>
    <m/>
  </r>
  <r>
    <n v="14"/>
    <x v="1"/>
    <n v="7.7"/>
    <x v="0"/>
    <n v="6.1"/>
    <n v="0.8"/>
    <n v="3.47"/>
    <n v="1.5"/>
    <s v="medium"/>
    <n v="9"/>
    <n v="10"/>
    <n v="9"/>
    <n v="1"/>
    <m/>
  </r>
  <r>
    <n v="18"/>
    <x v="1"/>
    <n v="4.0999999999999996"/>
    <x v="0"/>
    <n v="8"/>
    <n v="1.7"/>
    <n v="2.29"/>
    <n v="1.4"/>
    <s v="low"/>
    <n v="2"/>
    <n v="1"/>
    <n v="10"/>
    <n v="0"/>
    <m/>
  </r>
  <r>
    <n v="15"/>
    <x v="1"/>
    <n v="6.6"/>
    <x v="2"/>
    <n v="4.9000000000000004"/>
    <n v="3"/>
    <n v="2.99"/>
    <n v="0.9"/>
    <s v="medium"/>
    <n v="4"/>
    <n v="8"/>
    <n v="3"/>
    <n v="0"/>
    <m/>
  </r>
  <r>
    <n v="16"/>
    <x v="0"/>
    <n v="2.2999999999999998"/>
    <x v="2"/>
    <n v="4.0999999999999996"/>
    <n v="0.8"/>
    <n v="3.18"/>
    <n v="1.7"/>
    <s v="medium"/>
    <n v="5"/>
    <n v="3"/>
    <n v="8"/>
    <n v="0"/>
    <m/>
  </r>
  <r>
    <n v="17"/>
    <x v="1"/>
    <n v="7.5"/>
    <x v="0"/>
    <n v="5.9"/>
    <n v="2.9"/>
    <n v="3.71"/>
    <n v="1.7"/>
    <s v="low"/>
    <n v="3"/>
    <n v="1"/>
    <n v="10"/>
    <n v="0"/>
    <m/>
  </r>
  <r>
    <n v="18"/>
    <x v="0"/>
    <n v="7.1"/>
    <x v="0"/>
    <n v="8"/>
    <n v="2.9"/>
    <n v="2.59"/>
    <n v="1.2"/>
    <s v="high"/>
    <n v="10"/>
    <n v="8"/>
    <n v="5"/>
    <n v="0"/>
    <m/>
  </r>
  <r>
    <n v="17"/>
    <x v="1"/>
    <n v="1.7"/>
    <x v="2"/>
    <n v="6.3"/>
    <n v="1.5"/>
    <n v="2.66"/>
    <n v="1.8"/>
    <s v="low"/>
    <n v="1"/>
    <n v="4"/>
    <n v="10"/>
    <n v="0"/>
    <m/>
  </r>
  <r>
    <n v="13"/>
    <x v="0"/>
    <n v="7.9"/>
    <x v="0"/>
    <n v="5.8"/>
    <n v="0.8"/>
    <n v="3.31"/>
    <n v="1.6"/>
    <s v="medium"/>
    <n v="3"/>
    <n v="7"/>
    <n v="2"/>
    <n v="0"/>
    <m/>
  </r>
  <r>
    <n v="16"/>
    <x v="1"/>
    <n v="4"/>
    <x v="0"/>
    <n v="7.9"/>
    <n v="1.9"/>
    <n v="2.56"/>
    <n v="0.1"/>
    <s v="high"/>
    <n v="4"/>
    <n v="9"/>
    <n v="9"/>
    <n v="0"/>
    <m/>
  </r>
  <r>
    <n v="15"/>
    <x v="1"/>
    <n v="1.2"/>
    <x v="1"/>
    <n v="8.1"/>
    <n v="2"/>
    <n v="3.33"/>
    <n v="1.5"/>
    <s v="medium"/>
    <n v="7"/>
    <n v="3"/>
    <n v="8"/>
    <n v="0"/>
    <m/>
  </r>
  <r>
    <n v="19"/>
    <x v="0"/>
    <n v="3.5"/>
    <x v="1"/>
    <n v="8.4"/>
    <n v="1.7"/>
    <n v="2.46"/>
    <n v="0.1"/>
    <s v="high"/>
    <n v="6"/>
    <n v="9"/>
    <n v="3"/>
    <n v="0"/>
    <m/>
  </r>
  <r>
    <n v="17"/>
    <x v="0"/>
    <n v="1.1000000000000001"/>
    <x v="0"/>
    <n v="6.8"/>
    <n v="2"/>
    <n v="3.45"/>
    <n v="1.3"/>
    <s v="medium"/>
    <n v="7"/>
    <n v="1"/>
    <n v="2"/>
    <n v="0"/>
    <m/>
  </r>
  <r>
    <n v="19"/>
    <x v="1"/>
    <n v="1.6"/>
    <x v="1"/>
    <n v="4.0999999999999996"/>
    <n v="1.6"/>
    <n v="3.15"/>
    <n v="0.9"/>
    <s v="medium"/>
    <n v="2"/>
    <n v="6"/>
    <n v="4"/>
    <n v="0"/>
    <m/>
  </r>
  <r>
    <n v="16"/>
    <x v="1"/>
    <n v="2.5"/>
    <x v="1"/>
    <n v="8.9"/>
    <n v="2.9"/>
    <n v="2.5299999999999998"/>
    <n v="0.1"/>
    <s v="high"/>
    <n v="8"/>
    <n v="7"/>
    <n v="3"/>
    <n v="0"/>
    <m/>
  </r>
  <r>
    <n v="15"/>
    <x v="0"/>
    <n v="2.8"/>
    <x v="0"/>
    <n v="7.2"/>
    <n v="1.8"/>
    <n v="2.91"/>
    <n v="0.2"/>
    <s v="low"/>
    <n v="5"/>
    <n v="5"/>
    <n v="4"/>
    <n v="0"/>
    <m/>
  </r>
  <r>
    <n v="15"/>
    <x v="0"/>
    <n v="2.2000000000000002"/>
    <x v="0"/>
    <n v="5.2"/>
    <n v="1.4"/>
    <n v="2.62"/>
    <n v="1.5"/>
    <s v="medium"/>
    <n v="10"/>
    <n v="7"/>
    <n v="5"/>
    <n v="0"/>
    <m/>
  </r>
  <r>
    <n v="16"/>
    <x v="0"/>
    <n v="4.8"/>
    <x v="2"/>
    <n v="6.8"/>
    <n v="1"/>
    <n v="2.6"/>
    <n v="1.1000000000000001"/>
    <s v="medium"/>
    <n v="1"/>
    <n v="5"/>
    <n v="6"/>
    <n v="0"/>
    <m/>
  </r>
  <r>
    <n v="18"/>
    <x v="1"/>
    <n v="3.7"/>
    <x v="2"/>
    <n v="7.9"/>
    <n v="2.7"/>
    <n v="3.11"/>
    <n v="0.3"/>
    <s v="medium"/>
    <n v="6"/>
    <n v="6"/>
    <n v="5"/>
    <n v="0"/>
    <m/>
  </r>
  <r>
    <n v="16"/>
    <x v="0"/>
    <n v="5.5"/>
    <x v="0"/>
    <n v="8.3000000000000007"/>
    <n v="2.2999999999999998"/>
    <n v="3.47"/>
    <n v="1.6"/>
    <s v="medium"/>
    <n v="4"/>
    <n v="8"/>
    <n v="5"/>
    <n v="0"/>
    <m/>
  </r>
  <r>
    <n v="16"/>
    <x v="0"/>
    <n v="2.5"/>
    <x v="0"/>
    <n v="6.8"/>
    <n v="1"/>
    <n v="3.77"/>
    <n v="1"/>
    <s v="high"/>
    <n v="3"/>
    <n v="9"/>
    <n v="9"/>
    <n v="0"/>
    <m/>
  </r>
  <r>
    <n v="18"/>
    <x v="1"/>
    <n v="1.9"/>
    <x v="1"/>
    <n v="5.8"/>
    <n v="1.7"/>
    <n v="3.52"/>
    <n v="0.2"/>
    <s v="low"/>
    <n v="6"/>
    <n v="5"/>
    <n v="1"/>
    <n v="0"/>
    <m/>
  </r>
  <r>
    <n v="13"/>
    <x v="0"/>
    <n v="5.9"/>
    <x v="0"/>
    <n v="7.5"/>
    <n v="1.4"/>
    <n v="2.58"/>
    <n v="1.2"/>
    <s v="low"/>
    <n v="6"/>
    <n v="2"/>
    <n v="8"/>
    <n v="0"/>
    <m/>
  </r>
  <r>
    <n v="13"/>
    <x v="1"/>
    <n v="6.5"/>
    <x v="1"/>
    <n v="8.3000000000000007"/>
    <n v="0.6"/>
    <n v="3.05"/>
    <n v="0.3"/>
    <s v="high"/>
    <n v="2"/>
    <n v="7"/>
    <n v="8"/>
    <n v="0"/>
    <m/>
  </r>
  <r>
    <n v="15"/>
    <x v="0"/>
    <n v="7.5"/>
    <x v="0"/>
    <n v="8.1"/>
    <n v="2.5"/>
    <n v="3.56"/>
    <n v="1.2"/>
    <s v="medium"/>
    <n v="6"/>
    <n v="8"/>
    <n v="10"/>
    <n v="0"/>
    <m/>
  </r>
  <r>
    <n v="19"/>
    <x v="0"/>
    <n v="4.9000000000000004"/>
    <x v="1"/>
    <n v="4.5"/>
    <n v="2.9"/>
    <n v="3.88"/>
    <n v="0.8"/>
    <s v="low"/>
    <n v="5"/>
    <n v="5"/>
    <n v="6"/>
    <n v="1"/>
    <m/>
  </r>
  <r>
    <n v="13"/>
    <x v="0"/>
    <n v="2.2000000000000002"/>
    <x v="1"/>
    <n v="5.3"/>
    <n v="1.4"/>
    <n v="3.97"/>
    <n v="0"/>
    <s v="low"/>
    <n v="1"/>
    <n v="10"/>
    <n v="7"/>
    <n v="1"/>
    <m/>
  </r>
  <r>
    <n v="14"/>
    <x v="0"/>
    <n v="5.8"/>
    <x v="2"/>
    <n v="6.9"/>
    <n v="0.7"/>
    <n v="3.01"/>
    <n v="1.9"/>
    <s v="high"/>
    <n v="9"/>
    <n v="9"/>
    <n v="4"/>
    <n v="1"/>
    <m/>
  </r>
  <r>
    <n v="14"/>
    <x v="0"/>
    <n v="1.3"/>
    <x v="0"/>
    <n v="8.5"/>
    <n v="0.9"/>
    <n v="3.71"/>
    <n v="0.7"/>
    <s v="high"/>
    <n v="3"/>
    <n v="3"/>
    <n v="6"/>
    <n v="1"/>
    <m/>
  </r>
  <r>
    <n v="19"/>
    <x v="1"/>
    <n v="2.8"/>
    <x v="1"/>
    <n v="4.8"/>
    <n v="1.7"/>
    <n v="2.8"/>
    <n v="0.6"/>
    <s v="low"/>
    <n v="5"/>
    <n v="7"/>
    <n v="4"/>
    <n v="1"/>
    <m/>
  </r>
  <r>
    <n v="19"/>
    <x v="1"/>
    <n v="4"/>
    <x v="1"/>
    <n v="6.5"/>
    <n v="2.4"/>
    <n v="3.67"/>
    <n v="0.6"/>
    <s v="low"/>
    <n v="4"/>
    <n v="6"/>
    <n v="4"/>
    <n v="1"/>
    <m/>
  </r>
  <r>
    <n v="14"/>
    <x v="1"/>
    <n v="1.7"/>
    <x v="1"/>
    <n v="4.9000000000000004"/>
    <n v="1.6"/>
    <n v="2.36"/>
    <n v="1.7"/>
    <s v="high"/>
    <n v="3"/>
    <n v="1"/>
    <n v="6"/>
    <n v="1"/>
    <m/>
  </r>
  <r>
    <n v="18"/>
    <x v="1"/>
    <n v="1.4"/>
    <x v="1"/>
    <n v="6.1"/>
    <n v="1.6"/>
    <n v="2.56"/>
    <n v="1.2"/>
    <s v="high"/>
    <n v="2"/>
    <n v="7"/>
    <n v="8"/>
    <n v="1"/>
    <m/>
  </r>
  <r>
    <n v="19"/>
    <x v="0"/>
    <n v="2.2999999999999998"/>
    <x v="1"/>
    <n v="6.5"/>
    <n v="3"/>
    <n v="3.5"/>
    <n v="0.1"/>
    <s v="high"/>
    <n v="9"/>
    <n v="10"/>
    <n v="8"/>
    <n v="1"/>
    <m/>
  </r>
  <r>
    <n v="14"/>
    <x v="0"/>
    <n v="3.8"/>
    <x v="0"/>
    <n v="5.3"/>
    <n v="1"/>
    <n v="2.2799999999999998"/>
    <n v="1.2"/>
    <s v="low"/>
    <n v="9"/>
    <n v="3"/>
    <n v="1"/>
    <n v="1"/>
    <m/>
  </r>
  <r>
    <n v="13"/>
    <x v="0"/>
    <n v="6.4"/>
    <x v="1"/>
    <n v="5.0999999999999996"/>
    <n v="2.5"/>
    <n v="2.62"/>
    <n v="1.3"/>
    <s v="low"/>
    <n v="5"/>
    <n v="4"/>
    <n v="7"/>
    <n v="1"/>
    <m/>
  </r>
  <r>
    <n v="19"/>
    <x v="0"/>
    <n v="6"/>
    <x v="2"/>
    <n v="7.1"/>
    <n v="0.9"/>
    <n v="2.98"/>
    <n v="0.1"/>
    <s v="low"/>
    <n v="1"/>
    <n v="6"/>
    <n v="5"/>
    <n v="1"/>
    <m/>
  </r>
  <r>
    <n v="16"/>
    <x v="0"/>
    <n v="1.9"/>
    <x v="0"/>
    <n v="7.8"/>
    <n v="2.1"/>
    <n v="2.2599999999999998"/>
    <n v="0.3"/>
    <s v="high"/>
    <n v="7"/>
    <n v="7"/>
    <n v="5"/>
    <n v="1"/>
    <m/>
  </r>
  <r>
    <n v="17"/>
    <x v="0"/>
    <n v="2.4"/>
    <x v="1"/>
    <n v="8.5"/>
    <n v="2.4"/>
    <n v="2.79"/>
    <n v="1.1000000000000001"/>
    <s v="low"/>
    <n v="1"/>
    <n v="6"/>
    <n v="7"/>
    <n v="1"/>
    <m/>
  </r>
  <r>
    <n v="14"/>
    <x v="1"/>
    <n v="2.7"/>
    <x v="0"/>
    <n v="5.0999999999999996"/>
    <n v="2.4"/>
    <n v="2.17"/>
    <n v="1.8"/>
    <s v="high"/>
    <n v="3"/>
    <n v="10"/>
    <n v="8"/>
    <n v="1"/>
    <m/>
  </r>
  <r>
    <n v="14"/>
    <x v="0"/>
    <n v="1.5"/>
    <x v="2"/>
    <n v="7.2"/>
    <n v="1.7"/>
    <n v="2.76"/>
    <n v="0"/>
    <s v="low"/>
    <n v="10"/>
    <n v="7"/>
    <n v="10"/>
    <n v="1"/>
    <m/>
  </r>
  <r>
    <n v="18"/>
    <x v="0"/>
    <n v="7.7"/>
    <x v="0"/>
    <n v="7.3"/>
    <n v="1.8"/>
    <n v="3.13"/>
    <n v="2"/>
    <s v="medium"/>
    <n v="7"/>
    <n v="9"/>
    <n v="7"/>
    <n v="1"/>
    <m/>
  </r>
  <r>
    <n v="13"/>
    <x v="0"/>
    <n v="2.9"/>
    <x v="1"/>
    <n v="5.0999999999999996"/>
    <n v="2.2000000000000002"/>
    <n v="3.81"/>
    <n v="0.7"/>
    <s v="low"/>
    <n v="6"/>
    <n v="6"/>
    <n v="10"/>
    <n v="1"/>
    <m/>
  </r>
  <r>
    <n v="16"/>
    <x v="0"/>
    <n v="7.6"/>
    <x v="1"/>
    <n v="4.3"/>
    <n v="2.7"/>
    <n v="2.5099999999999998"/>
    <n v="0.3"/>
    <s v="medium"/>
    <n v="3"/>
    <n v="9"/>
    <n v="10"/>
    <n v="1"/>
    <m/>
  </r>
  <r>
    <n v="18"/>
    <x v="0"/>
    <n v="5.7"/>
    <x v="2"/>
    <n v="8.4"/>
    <n v="2.4"/>
    <n v="2.84"/>
    <n v="0.7"/>
    <s v="low"/>
    <n v="5"/>
    <n v="4"/>
    <n v="9"/>
    <n v="1"/>
    <m/>
  </r>
  <r>
    <n v="19"/>
    <x v="0"/>
    <n v="1.2"/>
    <x v="1"/>
    <n v="5"/>
    <n v="1.5"/>
    <n v="2.09"/>
    <n v="0.6"/>
    <s v="medium"/>
    <n v="5"/>
    <n v="2"/>
    <n v="1"/>
    <n v="1"/>
    <m/>
  </r>
  <r>
    <n v="16"/>
    <x v="1"/>
    <n v="2.4"/>
    <x v="2"/>
    <n v="6.2"/>
    <n v="1.6"/>
    <n v="2.38"/>
    <n v="0"/>
    <s v="medium"/>
    <n v="8"/>
    <n v="4"/>
    <n v="10"/>
    <n v="1"/>
    <m/>
  </r>
  <r>
    <n v="17"/>
    <x v="1"/>
    <n v="6.2"/>
    <x v="2"/>
    <n v="5.0999999999999996"/>
    <n v="2"/>
    <n v="3.82"/>
    <n v="1.7"/>
    <s v="medium"/>
    <n v="7"/>
    <n v="3"/>
    <n v="5"/>
    <n v="1"/>
    <m/>
  </r>
  <r>
    <n v="14"/>
    <x v="1"/>
    <n v="4.7"/>
    <x v="0"/>
    <n v="5.0999999999999996"/>
    <n v="2.2000000000000002"/>
    <n v="2.0299999999999998"/>
    <n v="1.1000000000000001"/>
    <s v="medium"/>
    <n v="2"/>
    <n v="10"/>
    <n v="7"/>
    <n v="-1"/>
    <m/>
  </r>
  <r>
    <n v="19"/>
    <x v="0"/>
    <n v="5.3"/>
    <x v="0"/>
    <n v="6.7"/>
    <n v="0.7"/>
    <n v="3.59"/>
    <n v="1.8"/>
    <s v="high"/>
    <n v="4"/>
    <n v="8"/>
    <n v="8"/>
    <n v="-1"/>
    <m/>
  </r>
  <r>
    <n v="19"/>
    <x v="1"/>
    <n v="6"/>
    <x v="1"/>
    <n v="6"/>
    <n v="0.7"/>
    <n v="3.29"/>
    <n v="1.4"/>
    <s v="low"/>
    <n v="4"/>
    <n v="5"/>
    <n v="1"/>
    <n v="-1"/>
    <m/>
  </r>
  <r>
    <n v="16"/>
    <x v="1"/>
    <n v="7.8"/>
    <x v="1"/>
    <n v="4.7"/>
    <n v="2.1"/>
    <n v="2.48"/>
    <n v="2"/>
    <s v="low"/>
    <n v="8"/>
    <n v="3"/>
    <n v="1"/>
    <n v="-1"/>
    <m/>
  </r>
  <r>
    <n v="14"/>
    <x v="1"/>
    <n v="4.4000000000000004"/>
    <x v="2"/>
    <n v="4.2"/>
    <n v="2.6"/>
    <n v="2.2799999999999998"/>
    <n v="1.3"/>
    <s v="medium"/>
    <n v="8"/>
    <n v="10"/>
    <n v="4"/>
    <n v="-1"/>
    <m/>
  </r>
  <r>
    <n v="17"/>
    <x v="0"/>
    <n v="6.7"/>
    <x v="0"/>
    <n v="7.6"/>
    <n v="2.4"/>
    <n v="3.59"/>
    <n v="0.4"/>
    <s v="medium"/>
    <n v="9"/>
    <n v="5"/>
    <n v="5"/>
    <n v="1"/>
    <m/>
  </r>
  <r>
    <n v="13"/>
    <x v="1"/>
    <n v="7.2"/>
    <x v="1"/>
    <n v="7.4"/>
    <n v="2.2000000000000002"/>
    <n v="3.42"/>
    <n v="0.1"/>
    <s v="low"/>
    <n v="8"/>
    <n v="9"/>
    <n v="6"/>
    <n v="1"/>
    <m/>
  </r>
  <r>
    <n v="18"/>
    <x v="0"/>
    <n v="6.1"/>
    <x v="2"/>
    <n v="4.4000000000000004"/>
    <n v="2.1"/>
    <n v="2.23"/>
    <n v="1"/>
    <s v="low"/>
    <n v="8"/>
    <n v="2"/>
    <n v="5"/>
    <n v="1"/>
    <m/>
  </r>
  <r>
    <n v="16"/>
    <x v="0"/>
    <n v="5.4"/>
    <x v="1"/>
    <n v="8.6999999999999993"/>
    <n v="1.9"/>
    <n v="2.67"/>
    <n v="1.3"/>
    <s v="low"/>
    <n v="1"/>
    <n v="5"/>
    <n v="7"/>
    <n v="1"/>
    <m/>
  </r>
  <r>
    <n v="19"/>
    <x v="0"/>
    <n v="2.7"/>
    <x v="2"/>
    <n v="7.7"/>
    <n v="0.7"/>
    <n v="2.2200000000000002"/>
    <n v="0.4"/>
    <s v="medium"/>
    <n v="10"/>
    <n v="8"/>
    <n v="7"/>
    <n v="1"/>
    <m/>
  </r>
  <r>
    <n v="13"/>
    <x v="1"/>
    <n v="7.9"/>
    <x v="0"/>
    <n v="7.2"/>
    <n v="1.5"/>
    <n v="2.36"/>
    <n v="0.2"/>
    <s v="medium"/>
    <n v="2"/>
    <n v="6"/>
    <n v="8"/>
    <n v="1"/>
    <m/>
  </r>
  <r>
    <n v="13"/>
    <x v="0"/>
    <n v="4.5999999999999996"/>
    <x v="1"/>
    <n v="7.3"/>
    <n v="1.6"/>
    <n v="2.91"/>
    <n v="0.4"/>
    <s v="low"/>
    <n v="10"/>
    <n v="5"/>
    <n v="7"/>
    <n v="1"/>
    <m/>
  </r>
  <r>
    <n v="13"/>
    <x v="0"/>
    <n v="5.6"/>
    <x v="0"/>
    <n v="4.5999999999999996"/>
    <n v="1.9"/>
    <n v="2.54"/>
    <n v="0.1"/>
    <s v="low"/>
    <n v="5"/>
    <n v="5"/>
    <n v="6"/>
    <n v="1"/>
    <m/>
  </r>
  <r>
    <n v="17"/>
    <x v="1"/>
    <n v="6.5"/>
    <x v="1"/>
    <n v="6.4"/>
    <n v="0.7"/>
    <n v="3.57"/>
    <n v="1.1000000000000001"/>
    <s v="low"/>
    <n v="2"/>
    <n v="9"/>
    <n v="6"/>
    <n v="1"/>
    <m/>
  </r>
  <r>
    <n v="19"/>
    <x v="0"/>
    <n v="5.9"/>
    <x v="2"/>
    <n v="7.2"/>
    <n v="0.9"/>
    <n v="3.99"/>
    <n v="1.7"/>
    <s v="low"/>
    <n v="7"/>
    <n v="9"/>
    <n v="3"/>
    <n v="1"/>
    <m/>
  </r>
  <r>
    <n v="19"/>
    <x v="1"/>
    <n v="1.1000000000000001"/>
    <x v="1"/>
    <n v="5.0999999999999996"/>
    <n v="2.2000000000000002"/>
    <n v="2.13"/>
    <n v="0.9"/>
    <s v="low"/>
    <n v="7"/>
    <n v="7"/>
    <n v="2"/>
    <n v="1"/>
    <m/>
  </r>
  <r>
    <n v="18"/>
    <x v="0"/>
    <n v="3.2"/>
    <x v="1"/>
    <n v="5.0999999999999996"/>
    <n v="1.2"/>
    <n v="3.54"/>
    <n v="1.3"/>
    <s v="low"/>
    <n v="6"/>
    <n v="2"/>
    <n v="8"/>
    <n v="1"/>
    <m/>
  </r>
  <r>
    <n v="14"/>
    <x v="0"/>
    <n v="6.5"/>
    <x v="0"/>
    <n v="5.3"/>
    <n v="2.7"/>
    <n v="3.79"/>
    <n v="0.8"/>
    <s v="low"/>
    <n v="8"/>
    <n v="6"/>
    <n v="4"/>
    <n v="1"/>
    <m/>
  </r>
  <r>
    <n v="17"/>
    <x v="1"/>
    <n v="7.3"/>
    <x v="0"/>
    <n v="6.2"/>
    <n v="1"/>
    <n v="2.02"/>
    <n v="0.2"/>
    <s v="low"/>
    <n v="1"/>
    <n v="6"/>
    <n v="3"/>
    <n v="1"/>
    <m/>
  </r>
  <r>
    <n v="17"/>
    <x v="0"/>
    <n v="1.5"/>
    <x v="1"/>
    <n v="5.5"/>
    <n v="1.7"/>
    <n v="2.93"/>
    <n v="0.7"/>
    <s v="low"/>
    <n v="4"/>
    <n v="9"/>
    <n v="9"/>
    <n v="1"/>
    <m/>
  </r>
  <r>
    <n v="16"/>
    <x v="0"/>
    <n v="3.8"/>
    <x v="0"/>
    <n v="6.8"/>
    <n v="2.4"/>
    <n v="3.1"/>
    <n v="1.6"/>
    <s v="low"/>
    <n v="6"/>
    <n v="10"/>
    <n v="4"/>
    <n v="1"/>
    <m/>
  </r>
  <r>
    <n v="13"/>
    <x v="1"/>
    <n v="3.6"/>
    <x v="1"/>
    <n v="8.6"/>
    <n v="2.8"/>
    <n v="3.28"/>
    <n v="0.7"/>
    <s v="high"/>
    <n v="10"/>
    <n v="3"/>
    <n v="5"/>
    <n v="0"/>
    <m/>
  </r>
  <r>
    <n v="15"/>
    <x v="0"/>
    <n v="3.6"/>
    <x v="1"/>
    <n v="4.3"/>
    <n v="2.9"/>
    <n v="2.2000000000000002"/>
    <n v="1"/>
    <s v="high"/>
    <n v="10"/>
    <n v="9"/>
    <n v="7"/>
    <n v="0"/>
    <m/>
  </r>
  <r>
    <n v="17"/>
    <x v="1"/>
    <n v="5.3"/>
    <x v="0"/>
    <n v="7.4"/>
    <n v="1.2"/>
    <n v="3.41"/>
    <n v="1.1000000000000001"/>
    <s v="high"/>
    <n v="6"/>
    <n v="3"/>
    <n v="7"/>
    <n v="0"/>
    <m/>
  </r>
  <r>
    <n v="19"/>
    <x v="0"/>
    <n v="4.4000000000000004"/>
    <x v="1"/>
    <n v="4.3"/>
    <n v="0.8"/>
    <n v="2.44"/>
    <n v="1"/>
    <s v="high"/>
    <n v="9"/>
    <n v="9"/>
    <n v="7"/>
    <n v="0"/>
    <m/>
  </r>
  <r>
    <n v="18"/>
    <x v="0"/>
    <n v="7.7"/>
    <x v="1"/>
    <n v="4.7"/>
    <n v="1.4"/>
    <n v="3.04"/>
    <n v="0.6"/>
    <s v="medium"/>
    <n v="9"/>
    <n v="6"/>
    <n v="6"/>
    <n v="0"/>
    <m/>
  </r>
  <r>
    <n v="14"/>
    <x v="1"/>
    <n v="7.1"/>
    <x v="1"/>
    <n v="4.5"/>
    <n v="2.4"/>
    <n v="3.53"/>
    <n v="0.4"/>
    <s v="high"/>
    <n v="3"/>
    <n v="4"/>
    <n v="4"/>
    <n v="1"/>
    <m/>
  </r>
  <r>
    <n v="16"/>
    <x v="0"/>
    <n v="4.9000000000000004"/>
    <x v="0"/>
    <n v="6.8"/>
    <n v="1"/>
    <n v="3.18"/>
    <n v="1.9"/>
    <s v="high"/>
    <n v="7"/>
    <n v="4"/>
    <n v="8"/>
    <n v="1"/>
    <m/>
  </r>
  <r>
    <n v="19"/>
    <x v="0"/>
    <n v="4.5999999999999996"/>
    <x v="2"/>
    <n v="8.9"/>
    <n v="1.9"/>
    <n v="2.5"/>
    <n v="0.4"/>
    <s v="medium"/>
    <n v="8"/>
    <n v="1"/>
    <n v="3"/>
    <n v="1"/>
    <m/>
  </r>
  <r>
    <n v="19"/>
    <x v="0"/>
    <n v="1.8"/>
    <x v="0"/>
    <n v="6.5"/>
    <n v="2.6"/>
    <n v="2.75"/>
    <n v="1.7"/>
    <s v="high"/>
    <n v="7"/>
    <n v="6"/>
    <n v="1"/>
    <n v="1"/>
    <m/>
  </r>
  <r>
    <n v="16"/>
    <x v="0"/>
    <n v="4.2"/>
    <x v="2"/>
    <n v="5.7"/>
    <n v="1"/>
    <n v="2.77"/>
    <n v="0.1"/>
    <s v="high"/>
    <n v="10"/>
    <n v="5"/>
    <n v="9"/>
    <n v="1"/>
    <m/>
  </r>
  <r>
    <n v="16"/>
    <x v="0"/>
    <n v="1.5"/>
    <x v="1"/>
    <n v="6.7"/>
    <n v="0.5"/>
    <n v="2.78"/>
    <n v="1.2"/>
    <s v="low"/>
    <n v="1"/>
    <n v="9"/>
    <n v="6"/>
    <n v="1"/>
    <m/>
  </r>
  <r>
    <n v="19"/>
    <x v="0"/>
    <n v="7"/>
    <x v="0"/>
    <n v="8.9"/>
    <n v="2.8"/>
    <n v="2.84"/>
    <n v="0.4"/>
    <s v="high"/>
    <n v="6"/>
    <n v="8"/>
    <n v="6"/>
    <n v="1"/>
    <m/>
  </r>
  <r>
    <n v="14"/>
    <x v="1"/>
    <n v="6.5"/>
    <x v="2"/>
    <n v="7.8"/>
    <n v="1.5"/>
    <n v="3.26"/>
    <n v="0.8"/>
    <s v="medium"/>
    <n v="9"/>
    <n v="2"/>
    <n v="3"/>
    <n v="1"/>
    <m/>
  </r>
  <r>
    <n v="19"/>
    <x v="1"/>
    <n v="4.3"/>
    <x v="0"/>
    <n v="5.9"/>
    <n v="2.1"/>
    <n v="2.85"/>
    <n v="1.7"/>
    <s v="high"/>
    <n v="9"/>
    <n v="9"/>
    <n v="8"/>
    <n v="1"/>
    <m/>
  </r>
  <r>
    <n v="16"/>
    <x v="0"/>
    <n v="7.2"/>
    <x v="2"/>
    <n v="7.7"/>
    <n v="2.5"/>
    <n v="2.56"/>
    <n v="1.7"/>
    <s v="high"/>
    <n v="8"/>
    <n v="7"/>
    <n v="6"/>
    <n v="1"/>
    <m/>
  </r>
  <r>
    <n v="13"/>
    <x v="0"/>
    <n v="7"/>
    <x v="2"/>
    <n v="4.0999999999999996"/>
    <n v="1.9"/>
    <n v="2.2999999999999998"/>
    <n v="0.3"/>
    <s v="medium"/>
    <n v="3"/>
    <n v="10"/>
    <n v="6"/>
    <n v="1"/>
    <m/>
  </r>
  <r>
    <n v="18"/>
    <x v="1"/>
    <n v="3.8"/>
    <x v="2"/>
    <n v="5.4"/>
    <n v="1.7"/>
    <n v="3.06"/>
    <n v="1.9"/>
    <s v="medium"/>
    <n v="5"/>
    <n v="10"/>
    <n v="3"/>
    <n v="1"/>
    <m/>
  </r>
  <r>
    <n v="17"/>
    <x v="1"/>
    <n v="3"/>
    <x v="0"/>
    <n v="6.9"/>
    <n v="2.2999999999999998"/>
    <n v="3.34"/>
    <n v="0.6"/>
    <s v="low"/>
    <n v="5"/>
    <n v="2"/>
    <n v="9"/>
    <n v="1"/>
    <m/>
  </r>
  <r>
    <n v="14"/>
    <x v="1"/>
    <n v="7"/>
    <x v="1"/>
    <n v="7.8"/>
    <n v="1.1000000000000001"/>
    <n v="3.81"/>
    <n v="1.4"/>
    <s v="medium"/>
    <n v="10"/>
    <n v="4"/>
    <n v="2"/>
    <n v="1"/>
    <m/>
  </r>
  <r>
    <n v="13"/>
    <x v="0"/>
    <n v="4.5999999999999996"/>
    <x v="1"/>
    <n v="5.3"/>
    <n v="2.2999999999999998"/>
    <n v="2.42"/>
    <n v="0.2"/>
    <s v="low"/>
    <n v="5"/>
    <n v="9"/>
    <n v="5"/>
    <n v="1"/>
    <m/>
  </r>
  <r>
    <n v="16"/>
    <x v="0"/>
    <n v="3.4"/>
    <x v="2"/>
    <n v="8.9"/>
    <n v="2.6"/>
    <n v="2.54"/>
    <n v="1.8"/>
    <s v="high"/>
    <n v="6"/>
    <n v="2"/>
    <n v="5"/>
    <n v="1"/>
    <m/>
  </r>
  <r>
    <n v="19"/>
    <x v="1"/>
    <n v="3.5"/>
    <x v="1"/>
    <n v="6.7"/>
    <n v="2.7"/>
    <n v="3.4"/>
    <n v="1.2"/>
    <s v="low"/>
    <n v="4"/>
    <n v="6"/>
    <n v="7"/>
    <n v="1"/>
    <m/>
  </r>
  <r>
    <n v="14"/>
    <x v="1"/>
    <n v="4.4000000000000004"/>
    <x v="2"/>
    <n v="7.3"/>
    <n v="2.7"/>
    <n v="3.3"/>
    <n v="1.1000000000000001"/>
    <s v="low"/>
    <n v="2"/>
    <n v="1"/>
    <n v="9"/>
    <n v="1"/>
    <m/>
  </r>
  <r>
    <n v="14"/>
    <x v="1"/>
    <n v="1.8"/>
    <x v="2"/>
    <n v="8.1999999999999993"/>
    <n v="2.2000000000000002"/>
    <n v="3.36"/>
    <n v="1.7"/>
    <s v="high"/>
    <n v="9"/>
    <n v="5"/>
    <n v="10"/>
    <n v="1"/>
    <m/>
  </r>
  <r>
    <n v="17"/>
    <x v="0"/>
    <n v="3.9"/>
    <x v="2"/>
    <n v="7.7"/>
    <n v="1"/>
    <n v="2.1"/>
    <n v="1.8"/>
    <s v="high"/>
    <n v="7"/>
    <n v="4"/>
    <n v="5"/>
    <n v="1"/>
    <m/>
  </r>
  <r>
    <n v="14"/>
    <x v="1"/>
    <n v="4.4000000000000004"/>
    <x v="1"/>
    <n v="5.7"/>
    <n v="1"/>
    <n v="3.2"/>
    <n v="1.9"/>
    <s v="high"/>
    <n v="4"/>
    <n v="2"/>
    <n v="2"/>
    <n v="1"/>
    <m/>
  </r>
  <r>
    <n v="13"/>
    <x v="1"/>
    <n v="2"/>
    <x v="0"/>
    <n v="8.6999999999999993"/>
    <n v="1.9"/>
    <n v="2.2799999999999998"/>
    <n v="1.2"/>
    <s v="medium"/>
    <n v="7"/>
    <n v="7"/>
    <n v="9"/>
    <n v="1"/>
    <m/>
  </r>
  <r>
    <n v="17"/>
    <x v="0"/>
    <n v="7.2"/>
    <x v="1"/>
    <n v="8.8000000000000007"/>
    <n v="2.5"/>
    <n v="3.97"/>
    <n v="1.9"/>
    <s v="low"/>
    <n v="1"/>
    <n v="3"/>
    <n v="9"/>
    <n v="1"/>
    <m/>
  </r>
  <r>
    <n v="19"/>
    <x v="0"/>
    <n v="4.4000000000000004"/>
    <x v="2"/>
    <n v="6.4"/>
    <n v="0.9"/>
    <n v="2.72"/>
    <n v="0.2"/>
    <s v="medium"/>
    <n v="6"/>
    <n v="9"/>
    <n v="8"/>
    <n v="1"/>
    <m/>
  </r>
  <r>
    <n v="14"/>
    <x v="0"/>
    <n v="7.2"/>
    <x v="1"/>
    <n v="4.8"/>
    <n v="1.4"/>
    <n v="2.36"/>
    <n v="0.1"/>
    <s v="low"/>
    <n v="5"/>
    <n v="7"/>
    <n v="1"/>
    <n v="1"/>
    <m/>
  </r>
  <r>
    <n v="13"/>
    <x v="0"/>
    <n v="5.4"/>
    <x v="0"/>
    <n v="6.5"/>
    <n v="0.8"/>
    <n v="3.17"/>
    <n v="0.3"/>
    <s v="medium"/>
    <n v="10"/>
    <n v="3"/>
    <n v="3"/>
    <n v="1"/>
    <m/>
  </r>
  <r>
    <n v="16"/>
    <x v="0"/>
    <n v="1.5"/>
    <x v="1"/>
    <n v="4.0999999999999996"/>
    <n v="1.3"/>
    <n v="3.67"/>
    <n v="1.2"/>
    <s v="high"/>
    <n v="10"/>
    <n v="6"/>
    <n v="6"/>
    <n v="1"/>
    <m/>
  </r>
  <r>
    <n v="15"/>
    <x v="1"/>
    <n v="1.8"/>
    <x v="0"/>
    <n v="8"/>
    <n v="2.8"/>
    <n v="3.49"/>
    <n v="0.6"/>
    <s v="low"/>
    <n v="9"/>
    <n v="8"/>
    <n v="8"/>
    <n v="1"/>
    <m/>
  </r>
  <r>
    <n v="17"/>
    <x v="1"/>
    <n v="3.7"/>
    <x v="1"/>
    <n v="5.3"/>
    <n v="0.7"/>
    <n v="2.09"/>
    <n v="0.8"/>
    <s v="high"/>
    <n v="8"/>
    <n v="8"/>
    <n v="10"/>
    <n v="1"/>
    <m/>
  </r>
  <r>
    <n v="13"/>
    <x v="0"/>
    <n v="6.4"/>
    <x v="2"/>
    <n v="8.3000000000000007"/>
    <n v="1.3"/>
    <n v="2.21"/>
    <n v="1.2"/>
    <s v="high"/>
    <n v="4"/>
    <n v="5"/>
    <n v="9"/>
    <n v="1"/>
    <m/>
  </r>
  <r>
    <n v="19"/>
    <x v="0"/>
    <n v="6.4"/>
    <x v="2"/>
    <n v="6.7"/>
    <n v="2.4"/>
    <n v="2.2000000000000002"/>
    <n v="1.3"/>
    <s v="low"/>
    <n v="5"/>
    <n v="2"/>
    <n v="2"/>
    <n v="1"/>
    <m/>
  </r>
  <r>
    <n v="17"/>
    <x v="1"/>
    <n v="1.1000000000000001"/>
    <x v="0"/>
    <n v="9"/>
    <n v="2.9"/>
    <n v="2.74"/>
    <n v="1"/>
    <s v="medium"/>
    <n v="2"/>
    <n v="8"/>
    <n v="2"/>
    <n v="1"/>
    <m/>
  </r>
  <r>
    <n v="13"/>
    <x v="0"/>
    <n v="1.3"/>
    <x v="1"/>
    <n v="7.8"/>
    <n v="2.6"/>
    <n v="3.01"/>
    <n v="0.3"/>
    <s v="low"/>
    <n v="2"/>
    <n v="9"/>
    <n v="10"/>
    <n v="1"/>
    <m/>
  </r>
  <r>
    <n v="17"/>
    <x v="1"/>
    <n v="4.4000000000000004"/>
    <x v="0"/>
    <n v="6"/>
    <n v="1.2"/>
    <n v="2.48"/>
    <n v="0.9"/>
    <s v="medium"/>
    <n v="6"/>
    <n v="2"/>
    <n v="6"/>
    <n v="1"/>
    <m/>
  </r>
  <r>
    <n v="13"/>
    <x v="0"/>
    <n v="7.8"/>
    <x v="0"/>
    <n v="5"/>
    <n v="1.8"/>
    <n v="3.57"/>
    <n v="1.5"/>
    <s v="medium"/>
    <n v="8"/>
    <n v="10"/>
    <n v="3"/>
    <n v="1"/>
    <m/>
  </r>
  <r>
    <n v="14"/>
    <x v="1"/>
    <n v="6.9"/>
    <x v="1"/>
    <n v="6.4"/>
    <n v="0.9"/>
    <n v="2.04"/>
    <n v="1.3"/>
    <s v="medium"/>
    <n v="5"/>
    <n v="5"/>
    <n v="9"/>
    <n v="1"/>
    <m/>
  </r>
  <r>
    <n v="14"/>
    <x v="1"/>
    <n v="4.8"/>
    <x v="0"/>
    <n v="6.8"/>
    <n v="0.8"/>
    <n v="3"/>
    <n v="0.9"/>
    <s v="low"/>
    <n v="4"/>
    <n v="3"/>
    <n v="4"/>
    <n v="1"/>
    <m/>
  </r>
  <r>
    <n v="13"/>
    <x v="0"/>
    <n v="7.5"/>
    <x v="0"/>
    <n v="8.6"/>
    <n v="1.9"/>
    <n v="3.33"/>
    <n v="0.9"/>
    <s v="medium"/>
    <n v="7"/>
    <n v="3"/>
    <n v="10"/>
    <n v="1"/>
    <m/>
  </r>
  <r>
    <n v="15"/>
    <x v="1"/>
    <n v="6.7"/>
    <x v="0"/>
    <n v="7"/>
    <n v="2.2000000000000002"/>
    <n v="2.61"/>
    <n v="0.7"/>
    <s v="high"/>
    <n v="2"/>
    <n v="7"/>
    <n v="8"/>
    <n v="1"/>
    <m/>
  </r>
  <r>
    <n v="14"/>
    <x v="0"/>
    <n v="3.8"/>
    <x v="0"/>
    <n v="4.8"/>
    <n v="1.9"/>
    <n v="3.97"/>
    <n v="0.2"/>
    <s v="high"/>
    <n v="4"/>
    <n v="6"/>
    <n v="6"/>
    <n v="1"/>
    <m/>
  </r>
  <r>
    <n v="15"/>
    <x v="0"/>
    <n v="3"/>
    <x v="0"/>
    <n v="8.6"/>
    <n v="1.5"/>
    <n v="3.27"/>
    <n v="0.8"/>
    <s v="medium"/>
    <n v="10"/>
    <n v="10"/>
    <n v="4"/>
    <n v="1"/>
    <m/>
  </r>
  <r>
    <n v="17"/>
    <x v="0"/>
    <n v="7.8"/>
    <x v="1"/>
    <n v="7.1"/>
    <n v="0.8"/>
    <n v="2.79"/>
    <n v="1.4"/>
    <s v="medium"/>
    <n v="9"/>
    <n v="4"/>
    <n v="2"/>
    <n v="1"/>
    <m/>
  </r>
  <r>
    <n v="14"/>
    <x v="1"/>
    <n v="7.8"/>
    <x v="0"/>
    <n v="4.3"/>
    <n v="2.6"/>
    <n v="3.33"/>
    <n v="2"/>
    <s v="high"/>
    <n v="3"/>
    <n v="7"/>
    <n v="3"/>
    <n v="1"/>
    <m/>
  </r>
  <r>
    <n v="15"/>
    <x v="1"/>
    <n v="6.6"/>
    <x v="1"/>
    <n v="9"/>
    <n v="1.5"/>
    <n v="3.04"/>
    <n v="1.5"/>
    <s v="low"/>
    <n v="4"/>
    <n v="2"/>
    <n v="7"/>
    <n v="-1"/>
    <m/>
  </r>
  <r>
    <n v="13"/>
    <x v="1"/>
    <n v="7.3"/>
    <x v="0"/>
    <n v="6.4"/>
    <n v="2.2999999999999998"/>
    <n v="2.5299999999999998"/>
    <n v="0.7"/>
    <s v="low"/>
    <n v="9"/>
    <n v="9"/>
    <n v="4"/>
    <n v="-1"/>
    <m/>
  </r>
  <r>
    <n v="19"/>
    <x v="0"/>
    <n v="6.6"/>
    <x v="0"/>
    <n v="4.4000000000000004"/>
    <n v="1.1000000000000001"/>
    <n v="2.29"/>
    <n v="1"/>
    <s v="low"/>
    <n v="6"/>
    <n v="8"/>
    <n v="5"/>
    <n v="-1"/>
    <m/>
  </r>
  <r>
    <n v="19"/>
    <x v="1"/>
    <n v="5.6"/>
    <x v="1"/>
    <n v="8.1"/>
    <n v="3"/>
    <n v="2.75"/>
    <n v="0.7"/>
    <s v="medium"/>
    <n v="6"/>
    <n v="3"/>
    <n v="4"/>
    <n v="-1"/>
    <m/>
  </r>
  <r>
    <n v="13"/>
    <x v="1"/>
    <n v="8"/>
    <x v="0"/>
    <n v="5.4"/>
    <n v="2.8"/>
    <n v="3.1"/>
    <n v="1.9"/>
    <s v="high"/>
    <n v="6"/>
    <n v="10"/>
    <n v="10"/>
    <n v="-1"/>
    <m/>
  </r>
  <r>
    <n v="13"/>
    <x v="1"/>
    <n v="1.3"/>
    <x v="0"/>
    <n v="8.9"/>
    <n v="2.6"/>
    <n v="3.54"/>
    <n v="1.2"/>
    <s v="high"/>
    <n v="8"/>
    <n v="5"/>
    <n v="2"/>
    <n v="-1"/>
    <m/>
  </r>
  <r>
    <n v="15"/>
    <x v="1"/>
    <n v="5.9"/>
    <x v="2"/>
    <n v="6.9"/>
    <n v="1.4"/>
    <n v="3.62"/>
    <n v="1.5"/>
    <s v="medium"/>
    <n v="3"/>
    <n v="9"/>
    <n v="1"/>
    <n v="-1"/>
    <m/>
  </r>
  <r>
    <n v="14"/>
    <x v="1"/>
    <n v="2"/>
    <x v="0"/>
    <n v="8.8000000000000007"/>
    <n v="0.9"/>
    <n v="3.61"/>
    <n v="0.7"/>
    <s v="high"/>
    <n v="10"/>
    <n v="2"/>
    <n v="3"/>
    <n v="-1"/>
    <m/>
  </r>
  <r>
    <n v="19"/>
    <x v="1"/>
    <n v="1.4"/>
    <x v="0"/>
    <n v="6.6"/>
    <n v="1.8"/>
    <n v="3.07"/>
    <n v="0"/>
    <s v="low"/>
    <n v="5"/>
    <n v="2"/>
    <n v="6"/>
    <n v="-1"/>
    <m/>
  </r>
  <r>
    <n v="13"/>
    <x v="1"/>
    <n v="6.4"/>
    <x v="2"/>
    <n v="6.7"/>
    <n v="0.8"/>
    <n v="3.9"/>
    <n v="1.9"/>
    <s v="high"/>
    <n v="3"/>
    <n v="3"/>
    <n v="10"/>
    <n v="-1"/>
    <m/>
  </r>
  <r>
    <n v="15"/>
    <x v="0"/>
    <n v="7.6"/>
    <x v="1"/>
    <n v="7.9"/>
    <n v="0.8"/>
    <n v="3.55"/>
    <n v="1.9"/>
    <s v="high"/>
    <n v="10"/>
    <n v="8"/>
    <n v="6"/>
    <n v="-1"/>
    <m/>
  </r>
  <r>
    <n v="16"/>
    <x v="0"/>
    <n v="7.9"/>
    <x v="2"/>
    <n v="5.5"/>
    <n v="0.6"/>
    <n v="3.65"/>
    <n v="1.4"/>
    <s v="low"/>
    <n v="1"/>
    <n v="4"/>
    <n v="1"/>
    <n v="-1"/>
    <m/>
  </r>
  <r>
    <n v="15"/>
    <x v="0"/>
    <n v="5.0999999999999996"/>
    <x v="0"/>
    <n v="4.0999999999999996"/>
    <n v="2.8"/>
    <n v="3.79"/>
    <n v="0.8"/>
    <s v="medium"/>
    <n v="9"/>
    <n v="7"/>
    <n v="3"/>
    <n v="-1"/>
    <m/>
  </r>
  <r>
    <n v="18"/>
    <x v="0"/>
    <n v="6.4"/>
    <x v="1"/>
    <n v="7.4"/>
    <n v="1.5"/>
    <n v="2.92"/>
    <n v="0.6"/>
    <s v="low"/>
    <n v="9"/>
    <n v="2"/>
    <n v="5"/>
    <n v="-1"/>
    <m/>
  </r>
  <r>
    <n v="13"/>
    <x v="1"/>
    <n v="7.2"/>
    <x v="2"/>
    <n v="6.7"/>
    <n v="0.9"/>
    <n v="2.36"/>
    <n v="0.6"/>
    <s v="low"/>
    <n v="8"/>
    <n v="8"/>
    <n v="1"/>
    <n v="-1"/>
    <m/>
  </r>
  <r>
    <n v="18"/>
    <x v="1"/>
    <n v="2.9"/>
    <x v="2"/>
    <n v="4.5999999999999996"/>
    <n v="2.2999999999999998"/>
    <n v="3.03"/>
    <n v="0.3"/>
    <s v="low"/>
    <n v="6"/>
    <n v="1"/>
    <n v="9"/>
    <n v="0"/>
    <m/>
  </r>
  <r>
    <n v="19"/>
    <x v="0"/>
    <n v="1.5"/>
    <x v="0"/>
    <n v="7.3"/>
    <n v="2.7"/>
    <n v="2.61"/>
    <n v="0.9"/>
    <s v="low"/>
    <n v="5"/>
    <n v="7"/>
    <n v="10"/>
    <n v="0"/>
    <m/>
  </r>
  <r>
    <n v="14"/>
    <x v="0"/>
    <n v="5.4"/>
    <x v="2"/>
    <n v="8.1"/>
    <n v="1.8"/>
    <n v="2.5299999999999998"/>
    <n v="0.9"/>
    <s v="medium"/>
    <n v="5"/>
    <n v="8"/>
    <n v="8"/>
    <n v="1"/>
    <m/>
  </r>
  <r>
    <n v="13"/>
    <x v="0"/>
    <n v="7.2"/>
    <x v="1"/>
    <n v="4.0999999999999996"/>
    <n v="1.3"/>
    <n v="2.4900000000000002"/>
    <n v="1.8"/>
    <s v="medium"/>
    <n v="5"/>
    <n v="5"/>
    <n v="4"/>
    <n v="1"/>
    <m/>
  </r>
  <r>
    <n v="15"/>
    <x v="1"/>
    <n v="7"/>
    <x v="0"/>
    <n v="5.9"/>
    <n v="1.3"/>
    <n v="2.91"/>
    <n v="1.2"/>
    <s v="low"/>
    <n v="10"/>
    <n v="2"/>
    <n v="6"/>
    <n v="1"/>
    <m/>
  </r>
  <r>
    <n v="17"/>
    <x v="1"/>
    <n v="7.5"/>
    <x v="1"/>
    <n v="6.7"/>
    <n v="1.1000000000000001"/>
    <n v="3.77"/>
    <n v="0.6"/>
    <s v="high"/>
    <n v="3"/>
    <n v="8"/>
    <n v="6"/>
    <n v="1"/>
    <m/>
  </r>
  <r>
    <n v="14"/>
    <x v="0"/>
    <n v="1.4"/>
    <x v="2"/>
    <n v="7"/>
    <n v="1.8"/>
    <n v="2.69"/>
    <n v="0.9"/>
    <s v="low"/>
    <n v="10"/>
    <n v="4"/>
    <n v="2"/>
    <n v="1"/>
    <m/>
  </r>
  <r>
    <n v="16"/>
    <x v="1"/>
    <n v="6.1"/>
    <x v="0"/>
    <n v="8.1"/>
    <n v="1.4"/>
    <n v="3.27"/>
    <n v="1.6"/>
    <s v="low"/>
    <n v="10"/>
    <n v="1"/>
    <n v="4"/>
    <n v="1"/>
    <m/>
  </r>
  <r>
    <n v="16"/>
    <x v="1"/>
    <n v="1.4"/>
    <x v="2"/>
    <n v="5.2"/>
    <n v="1.7"/>
    <n v="3.82"/>
    <n v="0.7"/>
    <s v="low"/>
    <n v="10"/>
    <n v="4"/>
    <n v="3"/>
    <n v="1"/>
    <m/>
  </r>
  <r>
    <n v="13"/>
    <x v="0"/>
    <n v="5.4"/>
    <x v="0"/>
    <n v="4.0999999999999996"/>
    <n v="2"/>
    <n v="3.82"/>
    <n v="1.9"/>
    <s v="medium"/>
    <n v="6"/>
    <n v="10"/>
    <n v="8"/>
    <n v="1"/>
    <m/>
  </r>
  <r>
    <n v="13"/>
    <x v="1"/>
    <n v="2.1"/>
    <x v="0"/>
    <n v="8.1999999999999993"/>
    <n v="0.9"/>
    <n v="2.48"/>
    <n v="0.5"/>
    <s v="high"/>
    <n v="2"/>
    <n v="7"/>
    <n v="6"/>
    <n v="1"/>
    <m/>
  </r>
  <r>
    <n v="14"/>
    <x v="0"/>
    <n v="5"/>
    <x v="2"/>
    <n v="4.3"/>
    <n v="1.1000000000000001"/>
    <n v="3.8"/>
    <n v="0.4"/>
    <s v="medium"/>
    <n v="9"/>
    <n v="4"/>
    <n v="10"/>
    <n v="1"/>
    <m/>
  </r>
  <r>
    <n v="13"/>
    <x v="1"/>
    <n v="4.4000000000000004"/>
    <x v="0"/>
    <n v="4.3"/>
    <n v="1.9"/>
    <n v="3.51"/>
    <n v="0.9"/>
    <s v="medium"/>
    <n v="8"/>
    <n v="4"/>
    <n v="3"/>
    <n v="1"/>
    <m/>
  </r>
  <r>
    <n v="13"/>
    <x v="0"/>
    <n v="3.4"/>
    <x v="2"/>
    <n v="8.6"/>
    <n v="0.8"/>
    <n v="3.08"/>
    <n v="0.4"/>
    <s v="low"/>
    <n v="7"/>
    <n v="10"/>
    <n v="6"/>
    <n v="1"/>
    <m/>
  </r>
  <r>
    <n v="18"/>
    <x v="0"/>
    <n v="1.2"/>
    <x v="0"/>
    <n v="6.4"/>
    <n v="1.3"/>
    <n v="3.03"/>
    <n v="1"/>
    <s v="low"/>
    <n v="5"/>
    <n v="9"/>
    <n v="10"/>
    <n v="1"/>
    <m/>
  </r>
  <r>
    <n v="14"/>
    <x v="0"/>
    <n v="5.5"/>
    <x v="1"/>
    <n v="7.3"/>
    <n v="1.4"/>
    <n v="2.61"/>
    <n v="1.2"/>
    <s v="high"/>
    <n v="5"/>
    <n v="7"/>
    <n v="1"/>
    <n v="1"/>
    <m/>
  </r>
  <r>
    <n v="15"/>
    <x v="0"/>
    <n v="2.2999999999999998"/>
    <x v="2"/>
    <n v="7.8"/>
    <n v="3"/>
    <n v="2.2999999999999998"/>
    <n v="1.4"/>
    <s v="medium"/>
    <n v="4"/>
    <n v="9"/>
    <n v="10"/>
    <n v="1"/>
    <m/>
  </r>
  <r>
    <n v="13"/>
    <x v="1"/>
    <n v="1.4"/>
    <x v="2"/>
    <n v="7.4"/>
    <n v="0.5"/>
    <n v="2.3199999999999998"/>
    <n v="1.3"/>
    <s v="low"/>
    <n v="3"/>
    <n v="2"/>
    <n v="6"/>
    <n v="1"/>
    <m/>
  </r>
  <r>
    <n v="13"/>
    <x v="1"/>
    <n v="3"/>
    <x v="0"/>
    <n v="7"/>
    <n v="0.9"/>
    <n v="2.73"/>
    <n v="1.7"/>
    <s v="high"/>
    <n v="5"/>
    <n v="6"/>
    <n v="9"/>
    <n v="1"/>
    <m/>
  </r>
  <r>
    <n v="14"/>
    <x v="0"/>
    <n v="2.8"/>
    <x v="0"/>
    <n v="5"/>
    <n v="2.5"/>
    <n v="3.92"/>
    <n v="1.8"/>
    <s v="high"/>
    <n v="1"/>
    <n v="3"/>
    <n v="4"/>
    <n v="1"/>
    <m/>
  </r>
  <r>
    <n v="14"/>
    <x v="0"/>
    <n v="7"/>
    <x v="1"/>
    <n v="6.9"/>
    <n v="1"/>
    <n v="3.93"/>
    <n v="1.1000000000000001"/>
    <s v="high"/>
    <n v="9"/>
    <n v="3"/>
    <n v="7"/>
    <n v="1"/>
    <m/>
  </r>
  <r>
    <n v="13"/>
    <x v="1"/>
    <n v="1.6"/>
    <x v="2"/>
    <n v="8.4"/>
    <n v="1.4"/>
    <n v="3.47"/>
    <n v="0.1"/>
    <s v="medium"/>
    <n v="1"/>
    <n v="6"/>
    <n v="6"/>
    <n v="1"/>
    <m/>
  </r>
  <r>
    <n v="15"/>
    <x v="1"/>
    <n v="4.2"/>
    <x v="0"/>
    <n v="8.4"/>
    <n v="1.2"/>
    <n v="2.61"/>
    <n v="0"/>
    <s v="medium"/>
    <n v="3"/>
    <n v="10"/>
    <n v="2"/>
    <n v="1"/>
    <m/>
  </r>
  <r>
    <n v="17"/>
    <x v="0"/>
    <n v="4.9000000000000004"/>
    <x v="0"/>
    <n v="8.6"/>
    <n v="3"/>
    <n v="3.62"/>
    <n v="1.2"/>
    <s v="low"/>
    <n v="6"/>
    <n v="6"/>
    <n v="9"/>
    <n v="1"/>
    <m/>
  </r>
  <r>
    <n v="14"/>
    <x v="1"/>
    <n v="3.6"/>
    <x v="0"/>
    <n v="4.0999999999999996"/>
    <n v="2.9"/>
    <n v="2.83"/>
    <n v="0.5"/>
    <s v="medium"/>
    <n v="10"/>
    <n v="6"/>
    <n v="7"/>
    <n v="1"/>
    <m/>
  </r>
  <r>
    <n v="19"/>
    <x v="0"/>
    <n v="1.8"/>
    <x v="1"/>
    <n v="6"/>
    <n v="2.2999999999999998"/>
    <n v="3.22"/>
    <n v="1"/>
    <s v="medium"/>
    <n v="5"/>
    <n v="6"/>
    <n v="8"/>
    <n v="1"/>
    <m/>
  </r>
  <r>
    <n v="17"/>
    <x v="1"/>
    <n v="2.7"/>
    <x v="0"/>
    <n v="5.4"/>
    <n v="2.6"/>
    <n v="2.0699999999999998"/>
    <n v="0"/>
    <s v="medium"/>
    <n v="6"/>
    <n v="5"/>
    <n v="6"/>
    <n v="1"/>
    <m/>
  </r>
  <r>
    <n v="15"/>
    <x v="1"/>
    <n v="1.2"/>
    <x v="0"/>
    <n v="5.2"/>
    <n v="1"/>
    <n v="2.78"/>
    <n v="1.3"/>
    <s v="high"/>
    <n v="5"/>
    <n v="8"/>
    <n v="10"/>
    <n v="1"/>
    <m/>
  </r>
  <r>
    <n v="18"/>
    <x v="1"/>
    <n v="6.2"/>
    <x v="2"/>
    <n v="6.7"/>
    <n v="1.4"/>
    <n v="3.42"/>
    <n v="0.9"/>
    <s v="low"/>
    <n v="6"/>
    <n v="8"/>
    <n v="6"/>
    <n v="1"/>
    <m/>
  </r>
  <r>
    <n v="18"/>
    <x v="0"/>
    <n v="1.6"/>
    <x v="1"/>
    <n v="6.2"/>
    <n v="1.9"/>
    <n v="2.0499999999999998"/>
    <n v="0.3"/>
    <s v="low"/>
    <n v="8"/>
    <n v="9"/>
    <n v="9"/>
    <n v="1"/>
    <m/>
  </r>
  <r>
    <n v="18"/>
    <x v="1"/>
    <n v="5.0999999999999996"/>
    <x v="1"/>
    <n v="7.4"/>
    <n v="1.3"/>
    <n v="3.5"/>
    <n v="1.6"/>
    <s v="high"/>
    <n v="1"/>
    <n v="5"/>
    <n v="5"/>
    <n v="1"/>
    <m/>
  </r>
  <r>
    <n v="13"/>
    <x v="1"/>
    <n v="5.2"/>
    <x v="1"/>
    <n v="8.1999999999999993"/>
    <n v="2.8"/>
    <n v="2.12"/>
    <n v="1.4"/>
    <s v="medium"/>
    <n v="1"/>
    <n v="8"/>
    <n v="1"/>
    <n v="1"/>
    <m/>
  </r>
  <r>
    <n v="14"/>
    <x v="0"/>
    <n v="4.0999999999999996"/>
    <x v="1"/>
    <n v="5.0999999999999996"/>
    <n v="2"/>
    <n v="3.51"/>
    <n v="0.7"/>
    <s v="high"/>
    <n v="2"/>
    <n v="9"/>
    <n v="1"/>
    <n v="1"/>
    <m/>
  </r>
  <r>
    <n v="19"/>
    <x v="1"/>
    <n v="5.4"/>
    <x v="1"/>
    <n v="4.4000000000000004"/>
    <n v="2.2999999999999998"/>
    <n v="3.34"/>
    <n v="0.4"/>
    <s v="high"/>
    <n v="3"/>
    <n v="3"/>
    <n v="8"/>
    <n v="1"/>
    <m/>
  </r>
  <r>
    <n v="13"/>
    <x v="0"/>
    <n v="2.4"/>
    <x v="1"/>
    <n v="8.4"/>
    <n v="1.6"/>
    <n v="2.82"/>
    <n v="1.1000000000000001"/>
    <s v="low"/>
    <n v="1"/>
    <n v="3"/>
    <n v="2"/>
    <n v="1"/>
    <m/>
  </r>
  <r>
    <n v="18"/>
    <x v="0"/>
    <n v="1.7"/>
    <x v="2"/>
    <n v="5.6"/>
    <n v="1.4"/>
    <n v="2.85"/>
    <n v="1"/>
    <s v="high"/>
    <n v="3"/>
    <n v="3"/>
    <n v="7"/>
    <n v="1"/>
    <m/>
  </r>
  <r>
    <n v="18"/>
    <x v="0"/>
    <n v="6"/>
    <x v="2"/>
    <n v="6.1"/>
    <n v="0.9"/>
    <n v="2.68"/>
    <n v="0.3"/>
    <s v="medium"/>
    <n v="2"/>
    <n v="10"/>
    <n v="10"/>
    <n v="1"/>
    <m/>
  </r>
  <r>
    <n v="17"/>
    <x v="0"/>
    <n v="7.2"/>
    <x v="2"/>
    <n v="6.1"/>
    <n v="0.8"/>
    <n v="3.9"/>
    <n v="0.2"/>
    <s v="low"/>
    <n v="8"/>
    <n v="3"/>
    <n v="7"/>
    <n v="1"/>
    <m/>
  </r>
  <r>
    <n v="18"/>
    <x v="0"/>
    <n v="3.5"/>
    <x v="1"/>
    <n v="6.3"/>
    <n v="2.9"/>
    <n v="3.35"/>
    <n v="1.6"/>
    <s v="high"/>
    <n v="1"/>
    <n v="4"/>
    <n v="2"/>
    <n v="1"/>
    <m/>
  </r>
  <r>
    <n v="15"/>
    <x v="1"/>
    <n v="3.8"/>
    <x v="0"/>
    <n v="4.4000000000000004"/>
    <n v="1.9"/>
    <n v="2.04"/>
    <n v="0.5"/>
    <s v="medium"/>
    <n v="4"/>
    <n v="9"/>
    <n v="7"/>
    <n v="1"/>
    <m/>
  </r>
  <r>
    <n v="18"/>
    <x v="1"/>
    <n v="4.5"/>
    <x v="2"/>
    <n v="8"/>
    <n v="1.5"/>
    <n v="3.45"/>
    <n v="1"/>
    <s v="low"/>
    <n v="4"/>
    <n v="3"/>
    <n v="9"/>
    <n v="1"/>
    <m/>
  </r>
  <r>
    <n v="16"/>
    <x v="1"/>
    <n v="7.3"/>
    <x v="2"/>
    <n v="7.2"/>
    <n v="0.5"/>
    <n v="2.78"/>
    <n v="1.9"/>
    <s v="low"/>
    <n v="7"/>
    <n v="3"/>
    <n v="9"/>
    <n v="1"/>
    <m/>
  </r>
  <r>
    <n v="18"/>
    <x v="1"/>
    <n v="6.4"/>
    <x v="0"/>
    <n v="7.7"/>
    <n v="0.5"/>
    <n v="3.05"/>
    <n v="1.2"/>
    <s v="low"/>
    <n v="3"/>
    <n v="1"/>
    <n v="2"/>
    <n v="1"/>
    <m/>
  </r>
  <r>
    <n v="16"/>
    <x v="0"/>
    <n v="5.3"/>
    <x v="1"/>
    <n v="8.4"/>
    <n v="2.2000000000000002"/>
    <n v="2.81"/>
    <n v="0.6"/>
    <s v="high"/>
    <n v="2"/>
    <n v="8"/>
    <n v="8"/>
    <n v="1"/>
    <m/>
  </r>
  <r>
    <n v="13"/>
    <x v="0"/>
    <n v="2.4"/>
    <x v="0"/>
    <n v="7.1"/>
    <n v="0.7"/>
    <n v="3.64"/>
    <n v="1.1000000000000001"/>
    <s v="high"/>
    <n v="6"/>
    <n v="5"/>
    <n v="5"/>
    <n v="1"/>
    <m/>
  </r>
  <r>
    <n v="13"/>
    <x v="0"/>
    <n v="8"/>
    <x v="2"/>
    <n v="8.9"/>
    <n v="2.2000000000000002"/>
    <n v="3.82"/>
    <n v="1.2"/>
    <s v="low"/>
    <n v="8"/>
    <n v="8"/>
    <n v="4"/>
    <n v="1"/>
    <m/>
  </r>
  <r>
    <n v="15"/>
    <x v="0"/>
    <n v="7.3"/>
    <x v="2"/>
    <n v="4.4000000000000004"/>
    <n v="2.2999999999999998"/>
    <n v="2.76"/>
    <n v="1.8"/>
    <s v="medium"/>
    <n v="4"/>
    <n v="6"/>
    <n v="9"/>
    <n v="1"/>
    <m/>
  </r>
  <r>
    <n v="17"/>
    <x v="1"/>
    <n v="4.5"/>
    <x v="2"/>
    <n v="7.3"/>
    <n v="0.9"/>
    <n v="2.34"/>
    <n v="0.9"/>
    <s v="medium"/>
    <n v="7"/>
    <n v="3"/>
    <n v="8"/>
    <n v="1"/>
    <m/>
  </r>
  <r>
    <n v="19"/>
    <x v="0"/>
    <n v="5"/>
    <x v="2"/>
    <n v="9"/>
    <n v="2.4"/>
    <n v="2.5299999999999998"/>
    <n v="0.4"/>
    <s v="medium"/>
    <n v="7"/>
    <n v="2"/>
    <n v="10"/>
    <n v="1"/>
    <m/>
  </r>
  <r>
    <n v="16"/>
    <x v="1"/>
    <n v="5.7"/>
    <x v="2"/>
    <n v="4.2"/>
    <n v="1.4"/>
    <n v="2.56"/>
    <n v="0.1"/>
    <s v="high"/>
    <n v="4"/>
    <n v="3"/>
    <n v="1"/>
    <n v="1"/>
    <m/>
  </r>
  <r>
    <n v="18"/>
    <x v="1"/>
    <n v="2.9"/>
    <x v="0"/>
    <n v="8.4"/>
    <n v="2.6"/>
    <n v="2.57"/>
    <n v="1.8"/>
    <s v="medium"/>
    <n v="4"/>
    <n v="1"/>
    <n v="3"/>
    <n v="1"/>
    <m/>
  </r>
  <r>
    <n v="13"/>
    <x v="0"/>
    <n v="7.9"/>
    <x v="0"/>
    <n v="8.8000000000000007"/>
    <n v="2.2999999999999998"/>
    <n v="3.39"/>
    <n v="0.5"/>
    <s v="low"/>
    <n v="1"/>
    <n v="9"/>
    <n v="3"/>
    <n v="1"/>
    <m/>
  </r>
  <r>
    <n v="19"/>
    <x v="0"/>
    <n v="4.8"/>
    <x v="1"/>
    <n v="5"/>
    <n v="2.6"/>
    <n v="3.25"/>
    <n v="1.6"/>
    <s v="low"/>
    <n v="4"/>
    <n v="6"/>
    <n v="1"/>
    <n v="1"/>
    <m/>
  </r>
  <r>
    <n v="13"/>
    <x v="1"/>
    <n v="3"/>
    <x v="2"/>
    <n v="6"/>
    <n v="1"/>
    <n v="2.63"/>
    <n v="0.1"/>
    <s v="low"/>
    <n v="5"/>
    <n v="10"/>
    <n v="9"/>
    <n v="1"/>
    <m/>
  </r>
  <r>
    <n v="14"/>
    <x v="1"/>
    <n v="4.0999999999999996"/>
    <x v="2"/>
    <n v="6.4"/>
    <n v="2"/>
    <n v="3.69"/>
    <n v="1.5"/>
    <s v="medium"/>
    <n v="7"/>
    <n v="7"/>
    <n v="9"/>
    <n v="1"/>
    <m/>
  </r>
  <r>
    <n v="19"/>
    <x v="0"/>
    <n v="6.9"/>
    <x v="0"/>
    <n v="5"/>
    <n v="1.2"/>
    <n v="2.56"/>
    <n v="1.6"/>
    <s v="high"/>
    <n v="3"/>
    <n v="10"/>
    <n v="8"/>
    <n v="1"/>
    <m/>
  </r>
  <r>
    <n v="17"/>
    <x v="1"/>
    <n v="3.2"/>
    <x v="0"/>
    <n v="6.2"/>
    <n v="2.2000000000000002"/>
    <n v="2.96"/>
    <n v="1.6"/>
    <s v="low"/>
    <n v="8"/>
    <n v="10"/>
    <n v="9"/>
    <n v="1"/>
    <m/>
  </r>
  <r>
    <n v="18"/>
    <x v="1"/>
    <n v="1.3"/>
    <x v="2"/>
    <n v="4.9000000000000004"/>
    <n v="0.9"/>
    <n v="3.86"/>
    <n v="0"/>
    <s v="medium"/>
    <n v="4"/>
    <n v="9"/>
    <n v="8"/>
    <n v="1"/>
    <m/>
  </r>
  <r>
    <n v="15"/>
    <x v="1"/>
    <n v="4.2"/>
    <x v="1"/>
    <n v="6.8"/>
    <n v="1.1000000000000001"/>
    <n v="3.37"/>
    <n v="0.7"/>
    <s v="high"/>
    <n v="3"/>
    <n v="6"/>
    <n v="8"/>
    <n v="1"/>
    <m/>
  </r>
  <r>
    <n v="19"/>
    <x v="0"/>
    <n v="6.6"/>
    <x v="2"/>
    <n v="6"/>
    <n v="2.1"/>
    <n v="2.84"/>
    <n v="1.5"/>
    <s v="low"/>
    <n v="9"/>
    <n v="4"/>
    <n v="5"/>
    <n v="1"/>
    <m/>
  </r>
  <r>
    <n v="13"/>
    <x v="0"/>
    <n v="7.5"/>
    <x v="1"/>
    <n v="4.8"/>
    <n v="0.7"/>
    <n v="2.91"/>
    <n v="2"/>
    <s v="high"/>
    <n v="10"/>
    <n v="9"/>
    <n v="1"/>
    <n v="1"/>
    <m/>
  </r>
  <r>
    <n v="15"/>
    <x v="0"/>
    <n v="7"/>
    <x v="2"/>
    <n v="8.6999999999999993"/>
    <n v="3"/>
    <n v="2.84"/>
    <n v="1.4"/>
    <s v="medium"/>
    <n v="5"/>
    <n v="3"/>
    <n v="2"/>
    <n v="1"/>
    <m/>
  </r>
  <r>
    <n v="15"/>
    <x v="1"/>
    <n v="6.7"/>
    <x v="2"/>
    <n v="5"/>
    <n v="0.6"/>
    <n v="2.75"/>
    <n v="1.5"/>
    <s v="medium"/>
    <n v="7"/>
    <n v="4"/>
    <n v="8"/>
    <n v="1"/>
    <m/>
  </r>
  <r>
    <n v="15"/>
    <x v="1"/>
    <n v="2.2999999999999998"/>
    <x v="0"/>
    <n v="5.6"/>
    <n v="2.9"/>
    <n v="2.72"/>
    <n v="1"/>
    <s v="high"/>
    <n v="6"/>
    <n v="6"/>
    <n v="2"/>
    <n v="1"/>
    <m/>
  </r>
  <r>
    <n v="14"/>
    <x v="0"/>
    <n v="5.3"/>
    <x v="2"/>
    <n v="9"/>
    <n v="2.8"/>
    <n v="3.1"/>
    <n v="1.6"/>
    <s v="high"/>
    <n v="10"/>
    <n v="7"/>
    <n v="6"/>
    <n v="1"/>
    <m/>
  </r>
  <r>
    <n v="13"/>
    <x v="1"/>
    <n v="2.7"/>
    <x v="1"/>
    <n v="6.5"/>
    <n v="1.5"/>
    <n v="2.58"/>
    <n v="0.4"/>
    <s v="high"/>
    <n v="1"/>
    <n v="1"/>
    <n v="6"/>
    <n v="1"/>
    <m/>
  </r>
  <r>
    <n v="13"/>
    <x v="0"/>
    <n v="5.4"/>
    <x v="0"/>
    <n v="7.8"/>
    <n v="1.8"/>
    <n v="3.46"/>
    <n v="1"/>
    <s v="high"/>
    <n v="4"/>
    <n v="7"/>
    <n v="7"/>
    <n v="1"/>
    <m/>
  </r>
  <r>
    <n v="17"/>
    <x v="0"/>
    <n v="7.2"/>
    <x v="0"/>
    <n v="8"/>
    <n v="1.9"/>
    <n v="2.66"/>
    <n v="1.4"/>
    <s v="medium"/>
    <n v="5"/>
    <n v="8"/>
    <n v="6"/>
    <n v="1"/>
    <m/>
  </r>
  <r>
    <n v="19"/>
    <x v="0"/>
    <n v="1.5"/>
    <x v="1"/>
    <n v="6.8"/>
    <n v="2.5"/>
    <n v="2.13"/>
    <n v="0.2"/>
    <s v="medium"/>
    <n v="9"/>
    <n v="8"/>
    <n v="10"/>
    <n v="1"/>
    <m/>
  </r>
  <r>
    <n v="13"/>
    <x v="0"/>
    <n v="4"/>
    <x v="2"/>
    <n v="4.2"/>
    <n v="0.5"/>
    <n v="2.46"/>
    <n v="0.6"/>
    <s v="low"/>
    <n v="2"/>
    <n v="9"/>
    <n v="9"/>
    <n v="1"/>
    <m/>
  </r>
  <r>
    <n v="15"/>
    <x v="1"/>
    <n v="4.2"/>
    <x v="2"/>
    <n v="7.1"/>
    <n v="2.1"/>
    <n v="2.21"/>
    <n v="1.8"/>
    <s v="medium"/>
    <n v="4"/>
    <n v="1"/>
    <n v="3"/>
    <n v="1"/>
    <m/>
  </r>
  <r>
    <n v="19"/>
    <x v="0"/>
    <n v="1.8"/>
    <x v="1"/>
    <n v="7.7"/>
    <n v="2.2000000000000002"/>
    <n v="3.77"/>
    <n v="0.3"/>
    <s v="medium"/>
    <n v="4"/>
    <n v="6"/>
    <n v="7"/>
    <n v="1"/>
    <m/>
  </r>
  <r>
    <n v="17"/>
    <x v="1"/>
    <n v="3.3"/>
    <x v="0"/>
    <n v="8.6"/>
    <n v="1.1000000000000001"/>
    <n v="2.62"/>
    <n v="0.4"/>
    <s v="low"/>
    <n v="4"/>
    <n v="7"/>
    <n v="9"/>
    <n v="1"/>
    <m/>
  </r>
  <r>
    <n v="14"/>
    <x v="1"/>
    <n v="1"/>
    <x v="2"/>
    <n v="6.6"/>
    <n v="1.4"/>
    <n v="2.02"/>
    <n v="1.9"/>
    <s v="low"/>
    <n v="6"/>
    <n v="5"/>
    <n v="5"/>
    <n v="1"/>
    <m/>
  </r>
  <r>
    <n v="13"/>
    <x v="1"/>
    <n v="1.2"/>
    <x v="1"/>
    <n v="8"/>
    <n v="2.8"/>
    <n v="2.1800000000000002"/>
    <n v="1.1000000000000001"/>
    <s v="high"/>
    <n v="5"/>
    <n v="8"/>
    <n v="5"/>
    <n v="1"/>
    <m/>
  </r>
  <r>
    <n v="19"/>
    <x v="0"/>
    <n v="2"/>
    <x v="0"/>
    <n v="4.0999999999999996"/>
    <n v="1.3"/>
    <n v="3.71"/>
    <n v="1.6"/>
    <s v="low"/>
    <n v="7"/>
    <n v="7"/>
    <n v="8"/>
    <n v="1"/>
    <m/>
  </r>
  <r>
    <n v="13"/>
    <x v="1"/>
    <n v="7.1"/>
    <x v="2"/>
    <n v="6.5"/>
    <n v="1.6"/>
    <n v="2.0299999999999998"/>
    <n v="0.3"/>
    <s v="medium"/>
    <n v="1"/>
    <n v="10"/>
    <n v="6"/>
    <n v="1"/>
    <m/>
  </r>
  <r>
    <n v="15"/>
    <x v="1"/>
    <n v="5.5"/>
    <x v="1"/>
    <n v="7.8"/>
    <n v="1.5"/>
    <n v="2.79"/>
    <n v="0.7"/>
    <s v="high"/>
    <n v="9"/>
    <n v="10"/>
    <n v="7"/>
    <n v="1"/>
    <m/>
  </r>
  <r>
    <n v="17"/>
    <x v="0"/>
    <n v="7.7"/>
    <x v="1"/>
    <n v="4.7"/>
    <n v="2.8"/>
    <n v="3.5"/>
    <n v="1.5"/>
    <s v="low"/>
    <n v="8"/>
    <n v="4"/>
    <n v="8"/>
    <n v="1"/>
    <m/>
  </r>
  <r>
    <n v="17"/>
    <x v="1"/>
    <n v="7.6"/>
    <x v="0"/>
    <n v="5.9"/>
    <n v="2"/>
    <n v="2.52"/>
    <n v="1.5"/>
    <s v="medium"/>
    <n v="1"/>
    <n v="5"/>
    <n v="1"/>
    <n v="1"/>
    <m/>
  </r>
  <r>
    <n v="13"/>
    <x v="0"/>
    <n v="8"/>
    <x v="0"/>
    <n v="6.9"/>
    <n v="2.5"/>
    <n v="2.4500000000000002"/>
    <n v="1.7"/>
    <s v="medium"/>
    <n v="10"/>
    <n v="1"/>
    <n v="3"/>
    <n v="1"/>
    <m/>
  </r>
  <r>
    <n v="16"/>
    <x v="1"/>
    <n v="4.3"/>
    <x v="0"/>
    <n v="6"/>
    <n v="1.4"/>
    <n v="2.98"/>
    <n v="1.7"/>
    <s v="low"/>
    <n v="8"/>
    <n v="7"/>
    <n v="4"/>
    <n v="1"/>
    <m/>
  </r>
  <r>
    <n v="13"/>
    <x v="0"/>
    <n v="3.8"/>
    <x v="2"/>
    <n v="5.3"/>
    <n v="2.5"/>
    <n v="3.48"/>
    <n v="1"/>
    <s v="low"/>
    <n v="6"/>
    <n v="7"/>
    <n v="7"/>
    <n v="1"/>
    <m/>
  </r>
  <r>
    <n v="16"/>
    <x v="1"/>
    <n v="2.9"/>
    <x v="1"/>
    <n v="6.3"/>
    <n v="3"/>
    <n v="2.6"/>
    <n v="0.4"/>
    <s v="medium"/>
    <n v="9"/>
    <n v="7"/>
    <n v="3"/>
    <n v="1"/>
    <m/>
  </r>
  <r>
    <n v="13"/>
    <x v="1"/>
    <n v="5.3"/>
    <x v="1"/>
    <n v="6.5"/>
    <n v="1.1000000000000001"/>
    <n v="3.48"/>
    <n v="1.8"/>
    <s v="low"/>
    <n v="9"/>
    <n v="5"/>
    <n v="4"/>
    <n v="1"/>
    <m/>
  </r>
  <r>
    <n v="15"/>
    <x v="1"/>
    <n v="5.7"/>
    <x v="0"/>
    <n v="7.5"/>
    <n v="2.4"/>
    <n v="2.84"/>
    <n v="1.3"/>
    <s v="medium"/>
    <n v="10"/>
    <n v="10"/>
    <n v="2"/>
    <n v="1"/>
    <m/>
  </r>
  <r>
    <n v="18"/>
    <x v="1"/>
    <n v="2.8"/>
    <x v="0"/>
    <n v="7.4"/>
    <n v="1"/>
    <n v="3.73"/>
    <n v="1.9"/>
    <s v="low"/>
    <n v="7"/>
    <n v="3"/>
    <n v="6"/>
    <n v="1"/>
    <m/>
  </r>
  <r>
    <n v="15"/>
    <x v="0"/>
    <n v="2.8"/>
    <x v="1"/>
    <n v="6.1"/>
    <n v="2.9"/>
    <n v="2.98"/>
    <n v="1.8"/>
    <s v="medium"/>
    <n v="6"/>
    <n v="3"/>
    <n v="7"/>
    <n v="1"/>
    <m/>
  </r>
  <r>
    <n v="13"/>
    <x v="1"/>
    <n v="1.1000000000000001"/>
    <x v="0"/>
    <n v="7"/>
    <n v="1.9"/>
    <n v="4"/>
    <n v="0.9"/>
    <s v="medium"/>
    <n v="2"/>
    <n v="9"/>
    <n v="6"/>
    <n v="1"/>
    <m/>
  </r>
  <r>
    <n v="14"/>
    <x v="1"/>
    <n v="2"/>
    <x v="2"/>
    <n v="5"/>
    <n v="2.6"/>
    <n v="2.71"/>
    <n v="2"/>
    <s v="low"/>
    <n v="5"/>
    <n v="4"/>
    <n v="3"/>
    <n v="1"/>
    <m/>
  </r>
  <r>
    <n v="16"/>
    <x v="1"/>
    <n v="6.5"/>
    <x v="1"/>
    <n v="5.3"/>
    <n v="1.8"/>
    <n v="2.29"/>
    <n v="0.2"/>
    <s v="high"/>
    <n v="4"/>
    <n v="10"/>
    <n v="2"/>
    <n v="1"/>
    <m/>
  </r>
  <r>
    <n v="16"/>
    <x v="1"/>
    <n v="7.5"/>
    <x v="1"/>
    <n v="7.8"/>
    <n v="1.3"/>
    <n v="2.73"/>
    <n v="1.5"/>
    <s v="medium"/>
    <n v="4"/>
    <n v="5"/>
    <n v="8"/>
    <n v="1"/>
    <m/>
  </r>
  <r>
    <n v="16"/>
    <x v="1"/>
    <n v="3.1"/>
    <x v="0"/>
    <n v="7.9"/>
    <n v="1.2"/>
    <n v="2.85"/>
    <n v="0.7"/>
    <s v="high"/>
    <n v="2"/>
    <n v="2"/>
    <n v="5"/>
    <n v="1"/>
    <m/>
  </r>
  <r>
    <n v="19"/>
    <x v="0"/>
    <n v="5.9"/>
    <x v="2"/>
    <n v="7"/>
    <n v="2.2999999999999998"/>
    <n v="3"/>
    <n v="1.6"/>
    <s v="low"/>
    <n v="3"/>
    <n v="5"/>
    <n v="10"/>
    <n v="1"/>
    <m/>
  </r>
  <r>
    <n v="15"/>
    <x v="0"/>
    <n v="7.9"/>
    <x v="1"/>
    <n v="4.0999999999999996"/>
    <n v="0.7"/>
    <n v="2.33"/>
    <n v="1.2"/>
    <s v="medium"/>
    <n v="3"/>
    <n v="8"/>
    <n v="1"/>
    <n v="1"/>
    <m/>
  </r>
  <r>
    <n v="15"/>
    <x v="0"/>
    <n v="5.0999999999999996"/>
    <x v="0"/>
    <n v="7.4"/>
    <n v="0.7"/>
    <n v="2.64"/>
    <n v="0.2"/>
    <s v="medium"/>
    <n v="5"/>
    <n v="8"/>
    <n v="1"/>
    <n v="1"/>
    <m/>
  </r>
  <r>
    <n v="16"/>
    <x v="0"/>
    <n v="1.9"/>
    <x v="2"/>
    <n v="5.8"/>
    <n v="2.1"/>
    <n v="2.27"/>
    <n v="0.6"/>
    <s v="medium"/>
    <n v="3"/>
    <n v="3"/>
    <n v="2"/>
    <n v="1"/>
    <m/>
  </r>
  <r>
    <n v="17"/>
    <x v="0"/>
    <n v="8"/>
    <x v="0"/>
    <n v="8.6999999999999993"/>
    <n v="1.5"/>
    <n v="3.7"/>
    <n v="2"/>
    <s v="high"/>
    <n v="10"/>
    <n v="9"/>
    <n v="5"/>
    <n v="1"/>
    <m/>
  </r>
  <r>
    <n v="19"/>
    <x v="0"/>
    <n v="2.9"/>
    <x v="2"/>
    <n v="4"/>
    <n v="0.5"/>
    <n v="3.16"/>
    <n v="0.2"/>
    <s v="high"/>
    <n v="7"/>
    <n v="6"/>
    <n v="3"/>
    <n v="1"/>
    <m/>
  </r>
  <r>
    <n v="14"/>
    <x v="0"/>
    <n v="4.3"/>
    <x v="0"/>
    <n v="8.4"/>
    <n v="0.9"/>
    <n v="3.2"/>
    <n v="1.6"/>
    <s v="high"/>
    <n v="10"/>
    <n v="10"/>
    <n v="1"/>
    <n v="1"/>
    <m/>
  </r>
  <r>
    <n v="16"/>
    <x v="0"/>
    <n v="1.1000000000000001"/>
    <x v="0"/>
    <n v="6.4"/>
    <n v="3"/>
    <n v="2.5099999999999998"/>
    <n v="0.1"/>
    <s v="medium"/>
    <n v="8"/>
    <n v="6"/>
    <n v="9"/>
    <n v="1"/>
    <m/>
  </r>
  <r>
    <n v="16"/>
    <x v="0"/>
    <n v="4.9000000000000004"/>
    <x v="0"/>
    <n v="5.7"/>
    <n v="1.2"/>
    <n v="2.0699999999999998"/>
    <n v="0.1"/>
    <s v="medium"/>
    <n v="8"/>
    <n v="2"/>
    <n v="1"/>
    <n v="1"/>
    <m/>
  </r>
  <r>
    <n v="14"/>
    <x v="0"/>
    <n v="6.1"/>
    <x v="2"/>
    <n v="7.6"/>
    <n v="1.4"/>
    <n v="2.72"/>
    <n v="0.9"/>
    <s v="low"/>
    <n v="9"/>
    <n v="3"/>
    <n v="3"/>
    <n v="1"/>
    <m/>
  </r>
  <r>
    <n v="15"/>
    <x v="1"/>
    <n v="2.7"/>
    <x v="2"/>
    <n v="6.5"/>
    <n v="1.6"/>
    <n v="2.14"/>
    <n v="0.4"/>
    <s v="high"/>
    <n v="6"/>
    <n v="6"/>
    <n v="6"/>
    <n v="1"/>
    <m/>
  </r>
  <r>
    <n v="16"/>
    <x v="1"/>
    <n v="7.8"/>
    <x v="2"/>
    <n v="7.4"/>
    <n v="0.7"/>
    <n v="2.54"/>
    <n v="1.2"/>
    <s v="medium"/>
    <n v="10"/>
    <n v="4"/>
    <n v="9"/>
    <n v="1"/>
    <m/>
  </r>
  <r>
    <n v="18"/>
    <x v="0"/>
    <n v="4.2"/>
    <x v="1"/>
    <n v="6.5"/>
    <n v="1.4"/>
    <n v="2.91"/>
    <n v="1.5"/>
    <s v="low"/>
    <n v="5"/>
    <n v="6"/>
    <n v="4"/>
    <n v="1"/>
    <m/>
  </r>
  <r>
    <n v="13"/>
    <x v="1"/>
    <n v="4.4000000000000004"/>
    <x v="0"/>
    <n v="5.5"/>
    <n v="2.7"/>
    <n v="3.17"/>
    <n v="0.3"/>
    <s v="low"/>
    <n v="5"/>
    <n v="1"/>
    <n v="5"/>
    <n v="1"/>
    <m/>
  </r>
  <r>
    <n v="13"/>
    <x v="1"/>
    <n v="1.4"/>
    <x v="2"/>
    <n v="7.8"/>
    <n v="0.6"/>
    <n v="3.42"/>
    <n v="1.6"/>
    <s v="medium"/>
    <n v="10"/>
    <n v="4"/>
    <n v="6"/>
    <n v="1"/>
    <m/>
  </r>
  <r>
    <n v="17"/>
    <x v="0"/>
    <n v="3.7"/>
    <x v="1"/>
    <n v="7.2"/>
    <n v="0.6"/>
    <n v="3.34"/>
    <n v="1.8"/>
    <s v="high"/>
    <n v="2"/>
    <n v="6"/>
    <n v="2"/>
    <n v="1"/>
    <m/>
  </r>
  <r>
    <n v="14"/>
    <x v="0"/>
    <n v="3.8"/>
    <x v="0"/>
    <n v="8.9"/>
    <n v="1.9"/>
    <n v="2.77"/>
    <n v="0.2"/>
    <s v="medium"/>
    <n v="6"/>
    <n v="2"/>
    <n v="2"/>
    <n v="1"/>
    <m/>
  </r>
  <r>
    <n v="15"/>
    <x v="1"/>
    <n v="5.4"/>
    <x v="1"/>
    <n v="7"/>
    <n v="1.8"/>
    <n v="2.54"/>
    <n v="0.1"/>
    <s v="low"/>
    <n v="1"/>
    <n v="4"/>
    <n v="4"/>
    <n v="1"/>
    <m/>
  </r>
  <r>
    <n v="17"/>
    <x v="0"/>
    <n v="4"/>
    <x v="2"/>
    <n v="4.3"/>
    <n v="1.8"/>
    <n v="2.17"/>
    <n v="0.9"/>
    <s v="high"/>
    <n v="8"/>
    <n v="8"/>
    <n v="3"/>
    <n v="1"/>
    <m/>
  </r>
  <r>
    <n v="19"/>
    <x v="0"/>
    <n v="3.5"/>
    <x v="1"/>
    <n v="5.8"/>
    <n v="1.8"/>
    <n v="3.3"/>
    <n v="0.9"/>
    <s v="low"/>
    <n v="7"/>
    <n v="6"/>
    <n v="9"/>
    <n v="1"/>
    <m/>
  </r>
  <r>
    <n v="17"/>
    <x v="0"/>
    <n v="1.3"/>
    <x v="2"/>
    <n v="8.3000000000000007"/>
    <n v="1"/>
    <n v="3.95"/>
    <n v="1.2"/>
    <s v="medium"/>
    <n v="4"/>
    <n v="1"/>
    <n v="1"/>
    <n v="1"/>
    <m/>
  </r>
  <r>
    <n v="14"/>
    <x v="0"/>
    <n v="5.6"/>
    <x v="0"/>
    <n v="8.8000000000000007"/>
    <n v="0.9"/>
    <n v="3.03"/>
    <n v="2"/>
    <s v="low"/>
    <n v="8"/>
    <n v="10"/>
    <n v="3"/>
    <n v="1"/>
    <m/>
  </r>
  <r>
    <n v="13"/>
    <x v="1"/>
    <n v="2.4"/>
    <x v="0"/>
    <n v="5.5"/>
    <n v="0.6"/>
    <n v="3.56"/>
    <n v="1.6"/>
    <s v="medium"/>
    <n v="4"/>
    <n v="8"/>
    <n v="7"/>
    <n v="1"/>
    <m/>
  </r>
  <r>
    <n v="16"/>
    <x v="0"/>
    <n v="2"/>
    <x v="2"/>
    <n v="7.8"/>
    <n v="2.8"/>
    <n v="2.1"/>
    <n v="0.6"/>
    <s v="medium"/>
    <n v="2"/>
    <n v="6"/>
    <n v="8"/>
    <n v="1"/>
    <m/>
  </r>
  <r>
    <n v="15"/>
    <x v="0"/>
    <n v="6.6"/>
    <x v="0"/>
    <n v="8.6"/>
    <n v="1.5"/>
    <n v="2.63"/>
    <n v="1.1000000000000001"/>
    <s v="low"/>
    <n v="1"/>
    <n v="9"/>
    <n v="9"/>
    <n v="1"/>
    <m/>
  </r>
  <r>
    <n v="17"/>
    <x v="1"/>
    <n v="2.2999999999999998"/>
    <x v="1"/>
    <n v="6.4"/>
    <n v="2.4"/>
    <n v="3.61"/>
    <n v="0.6"/>
    <s v="medium"/>
    <n v="2"/>
    <n v="1"/>
    <n v="1"/>
    <n v="1"/>
    <m/>
  </r>
  <r>
    <n v="16"/>
    <x v="0"/>
    <n v="6.4"/>
    <x v="1"/>
    <n v="5.4"/>
    <n v="1.4"/>
    <n v="2.42"/>
    <n v="1.9"/>
    <s v="medium"/>
    <n v="4"/>
    <n v="9"/>
    <n v="5"/>
    <n v="1"/>
    <m/>
  </r>
  <r>
    <n v="18"/>
    <x v="1"/>
    <n v="3.5"/>
    <x v="2"/>
    <n v="5.9"/>
    <n v="1.3"/>
    <n v="3.68"/>
    <n v="2"/>
    <s v="medium"/>
    <n v="7"/>
    <n v="4"/>
    <n v="10"/>
    <n v="1"/>
    <m/>
  </r>
  <r>
    <n v="18"/>
    <x v="1"/>
    <n v="1.7"/>
    <x v="0"/>
    <n v="8.5"/>
    <n v="1"/>
    <n v="3.32"/>
    <n v="1.3"/>
    <s v="medium"/>
    <n v="1"/>
    <n v="1"/>
    <n v="7"/>
    <n v="1"/>
    <m/>
  </r>
  <r>
    <n v="14"/>
    <x v="0"/>
    <n v="4.0999999999999996"/>
    <x v="0"/>
    <n v="8.1999999999999993"/>
    <n v="1.7"/>
    <n v="2.3199999999999998"/>
    <n v="1.4"/>
    <s v="high"/>
    <n v="9"/>
    <n v="2"/>
    <n v="4"/>
    <n v="1"/>
    <m/>
  </r>
  <r>
    <n v="14"/>
    <x v="0"/>
    <n v="3.3"/>
    <x v="0"/>
    <n v="6.5"/>
    <n v="0.8"/>
    <n v="2.54"/>
    <n v="0.8"/>
    <s v="low"/>
    <n v="1"/>
    <n v="2"/>
    <n v="3"/>
    <n v="1"/>
    <m/>
  </r>
  <r>
    <n v="14"/>
    <x v="1"/>
    <n v="5"/>
    <x v="1"/>
    <n v="4.9000000000000004"/>
    <n v="2.6"/>
    <n v="3.82"/>
    <n v="1.9"/>
    <s v="medium"/>
    <n v="3"/>
    <n v="10"/>
    <n v="10"/>
    <n v="1"/>
    <m/>
  </r>
  <r>
    <n v="19"/>
    <x v="1"/>
    <n v="1.5"/>
    <x v="0"/>
    <n v="8.4"/>
    <n v="3"/>
    <n v="2.46"/>
    <n v="1.5"/>
    <s v="high"/>
    <n v="1"/>
    <n v="7"/>
    <n v="6"/>
    <n v="1"/>
    <m/>
  </r>
  <r>
    <n v="17"/>
    <x v="1"/>
    <n v="3.3"/>
    <x v="1"/>
    <n v="8.4"/>
    <n v="2.1"/>
    <n v="3.4"/>
    <n v="0.2"/>
    <s v="high"/>
    <n v="1"/>
    <n v="3"/>
    <n v="10"/>
    <n v="1"/>
    <m/>
  </r>
  <r>
    <n v="13"/>
    <x v="0"/>
    <n v="6.4"/>
    <x v="2"/>
    <n v="4.0999999999999996"/>
    <n v="1.3"/>
    <n v="2.77"/>
    <n v="1.3"/>
    <s v="low"/>
    <n v="10"/>
    <n v="6"/>
    <n v="1"/>
    <n v="1"/>
    <m/>
  </r>
  <r>
    <n v="17"/>
    <x v="1"/>
    <n v="8"/>
    <x v="0"/>
    <n v="8.1"/>
    <n v="1.2"/>
    <n v="2.13"/>
    <n v="1"/>
    <s v="low"/>
    <n v="1"/>
    <n v="8"/>
    <n v="7"/>
    <n v="1"/>
    <m/>
  </r>
  <r>
    <n v="16"/>
    <x v="1"/>
    <n v="1"/>
    <x v="2"/>
    <n v="4.0999999999999996"/>
    <n v="1.3"/>
    <n v="2.2200000000000002"/>
    <n v="0.4"/>
    <s v="low"/>
    <n v="2"/>
    <n v="1"/>
    <n v="8"/>
    <n v="1"/>
    <m/>
  </r>
  <r>
    <n v="18"/>
    <x v="1"/>
    <n v="4.2"/>
    <x v="0"/>
    <n v="5.4"/>
    <n v="1.1000000000000001"/>
    <n v="2.31"/>
    <n v="0.3"/>
    <s v="low"/>
    <n v="4"/>
    <n v="9"/>
    <n v="1"/>
    <n v="1"/>
    <m/>
  </r>
  <r>
    <n v="18"/>
    <x v="1"/>
    <n v="4.5999999999999996"/>
    <x v="1"/>
    <n v="7.3"/>
    <n v="2.8"/>
    <n v="3.22"/>
    <n v="0.6"/>
    <s v="high"/>
    <n v="1"/>
    <n v="3"/>
    <n v="6"/>
    <n v="0"/>
    <m/>
  </r>
  <r>
    <n v="17"/>
    <x v="1"/>
    <n v="2.8"/>
    <x v="2"/>
    <n v="6.2"/>
    <n v="2.4"/>
    <n v="2.58"/>
    <n v="0.4"/>
    <s v="high"/>
    <n v="4"/>
    <n v="10"/>
    <n v="9"/>
    <n v="0"/>
    <m/>
  </r>
  <r>
    <n v="16"/>
    <x v="1"/>
    <n v="6.3"/>
    <x v="0"/>
    <n v="6.9"/>
    <n v="1.3"/>
    <n v="2.15"/>
    <n v="1.4"/>
    <s v="low"/>
    <n v="9"/>
    <n v="2"/>
    <n v="10"/>
    <n v="0"/>
    <m/>
  </r>
  <r>
    <n v="17"/>
    <x v="1"/>
    <n v="7.2"/>
    <x v="1"/>
    <n v="7"/>
    <n v="1.3"/>
    <n v="3.86"/>
    <n v="0.9"/>
    <s v="low"/>
    <n v="7"/>
    <n v="8"/>
    <n v="4"/>
    <n v="0"/>
    <m/>
  </r>
  <r>
    <n v="13"/>
    <x v="0"/>
    <n v="4.5"/>
    <x v="2"/>
    <n v="6.7"/>
    <n v="2.2000000000000002"/>
    <n v="3.73"/>
    <n v="0.3"/>
    <s v="low"/>
    <n v="3"/>
    <n v="5"/>
    <n v="10"/>
    <n v="0"/>
    <m/>
  </r>
  <r>
    <n v="18"/>
    <x v="0"/>
    <n v="5.3"/>
    <x v="2"/>
    <n v="5.0999999999999996"/>
    <n v="1.2"/>
    <n v="3.32"/>
    <n v="1.8"/>
    <s v="low"/>
    <n v="7"/>
    <n v="3"/>
    <n v="8"/>
    <n v="0"/>
    <m/>
  </r>
  <r>
    <n v="13"/>
    <x v="0"/>
    <n v="5.2"/>
    <x v="1"/>
    <n v="6.7"/>
    <n v="2.5"/>
    <n v="3.82"/>
    <n v="0.9"/>
    <s v="medium"/>
    <n v="8"/>
    <n v="8"/>
    <n v="6"/>
    <n v="1"/>
    <m/>
  </r>
  <r>
    <n v="13"/>
    <x v="0"/>
    <n v="7.9"/>
    <x v="1"/>
    <n v="6"/>
    <n v="2.7"/>
    <n v="2.85"/>
    <n v="0.3"/>
    <s v="low"/>
    <n v="9"/>
    <n v="10"/>
    <n v="3"/>
    <n v="1"/>
    <m/>
  </r>
  <r>
    <n v="19"/>
    <x v="0"/>
    <n v="6.9"/>
    <x v="1"/>
    <n v="8.5"/>
    <n v="1.5"/>
    <n v="3.55"/>
    <n v="1.3"/>
    <s v="low"/>
    <n v="5"/>
    <n v="6"/>
    <n v="1"/>
    <n v="1"/>
    <m/>
  </r>
  <r>
    <n v="17"/>
    <x v="1"/>
    <n v="5.8"/>
    <x v="0"/>
    <n v="4.0999999999999996"/>
    <n v="2.9"/>
    <n v="2.33"/>
    <n v="0.4"/>
    <s v="high"/>
    <n v="9"/>
    <n v="6"/>
    <n v="8"/>
    <n v="1"/>
    <m/>
  </r>
  <r>
    <n v="19"/>
    <x v="0"/>
    <n v="7"/>
    <x v="0"/>
    <n v="8.3000000000000007"/>
    <n v="2.1"/>
    <n v="3.09"/>
    <n v="1.5"/>
    <s v="low"/>
    <n v="9"/>
    <n v="7"/>
    <n v="3"/>
    <n v="1"/>
    <m/>
  </r>
  <r>
    <n v="14"/>
    <x v="1"/>
    <n v="3"/>
    <x v="1"/>
    <n v="8.3000000000000007"/>
    <n v="2.7"/>
    <n v="3.9"/>
    <n v="0.7"/>
    <s v="high"/>
    <n v="3"/>
    <n v="1"/>
    <n v="5"/>
    <n v="-1"/>
    <m/>
  </r>
  <r>
    <n v="18"/>
    <x v="0"/>
    <n v="6.3"/>
    <x v="2"/>
    <n v="7.9"/>
    <n v="1.7"/>
    <n v="2.85"/>
    <n v="0.3"/>
    <s v="medium"/>
    <n v="1"/>
    <n v="1"/>
    <n v="2"/>
    <n v="-1"/>
    <m/>
  </r>
  <r>
    <n v="17"/>
    <x v="1"/>
    <n v="5.5"/>
    <x v="0"/>
    <n v="4.9000000000000004"/>
    <n v="2.6"/>
    <n v="3.64"/>
    <n v="0.8"/>
    <s v="medium"/>
    <n v="6"/>
    <n v="8"/>
    <n v="3"/>
    <n v="-1"/>
    <m/>
  </r>
  <r>
    <n v="17"/>
    <x v="1"/>
    <n v="2.2000000000000002"/>
    <x v="2"/>
    <n v="7.5"/>
    <n v="2.2000000000000002"/>
    <n v="2.95"/>
    <n v="1.6"/>
    <s v="low"/>
    <n v="9"/>
    <n v="7"/>
    <n v="4"/>
    <n v="-1"/>
    <m/>
  </r>
  <r>
    <n v="14"/>
    <x v="0"/>
    <n v="1.4"/>
    <x v="2"/>
    <n v="4.5"/>
    <n v="1.4"/>
    <n v="3.17"/>
    <n v="1.7"/>
    <s v="high"/>
    <n v="9"/>
    <n v="10"/>
    <n v="9"/>
    <n v="-1"/>
    <m/>
  </r>
  <r>
    <n v="18"/>
    <x v="0"/>
    <n v="4.5"/>
    <x v="0"/>
    <n v="4.4000000000000004"/>
    <n v="1.9"/>
    <n v="2.2599999999999998"/>
    <n v="0"/>
    <s v="low"/>
    <n v="7"/>
    <n v="8"/>
    <n v="10"/>
    <n v="-1"/>
    <m/>
  </r>
  <r>
    <n v="14"/>
    <x v="1"/>
    <n v="6.1"/>
    <x v="0"/>
    <n v="5.7"/>
    <n v="2"/>
    <n v="3.9"/>
    <n v="1"/>
    <s v="low"/>
    <n v="8"/>
    <n v="4"/>
    <n v="6"/>
    <n v="1"/>
    <m/>
  </r>
  <r>
    <n v="17"/>
    <x v="0"/>
    <n v="3.3"/>
    <x v="1"/>
    <n v="5.7"/>
    <n v="2"/>
    <n v="3.71"/>
    <n v="0.1"/>
    <s v="low"/>
    <n v="6"/>
    <n v="6"/>
    <n v="8"/>
    <n v="1"/>
    <m/>
  </r>
  <r>
    <n v="15"/>
    <x v="0"/>
    <n v="5.2"/>
    <x v="2"/>
    <n v="5.6"/>
    <n v="1.1000000000000001"/>
    <n v="2.88"/>
    <n v="0.1"/>
    <s v="medium"/>
    <n v="4"/>
    <n v="8"/>
    <n v="7"/>
    <n v="1"/>
    <m/>
  </r>
  <r>
    <n v="18"/>
    <x v="0"/>
    <n v="5"/>
    <x v="2"/>
    <n v="5.8"/>
    <n v="1.3"/>
    <n v="2.12"/>
    <n v="0.1"/>
    <s v="low"/>
    <n v="1"/>
    <n v="9"/>
    <n v="2"/>
    <n v="1"/>
    <m/>
  </r>
  <r>
    <n v="17"/>
    <x v="1"/>
    <n v="1.8"/>
    <x v="1"/>
    <n v="5.9"/>
    <n v="1.9"/>
    <n v="2.89"/>
    <n v="0.6"/>
    <s v="low"/>
    <n v="8"/>
    <n v="8"/>
    <n v="5"/>
    <n v="1"/>
    <m/>
  </r>
  <r>
    <n v="13"/>
    <x v="0"/>
    <n v="2.2999999999999998"/>
    <x v="1"/>
    <n v="4.5"/>
    <n v="0.7"/>
    <n v="2.71"/>
    <n v="0.2"/>
    <s v="low"/>
    <n v="6"/>
    <n v="3"/>
    <n v="7"/>
    <n v="1"/>
    <m/>
  </r>
  <r>
    <n v="14"/>
    <x v="0"/>
    <n v="2.7"/>
    <x v="2"/>
    <n v="6.3"/>
    <n v="0.6"/>
    <n v="3.88"/>
    <n v="0.3"/>
    <s v="medium"/>
    <n v="6"/>
    <n v="6"/>
    <n v="6"/>
    <n v="1"/>
    <m/>
  </r>
  <r>
    <n v="16"/>
    <x v="0"/>
    <n v="7.4"/>
    <x v="1"/>
    <n v="7.5"/>
    <n v="1.7"/>
    <n v="3.16"/>
    <n v="1.8"/>
    <s v="medium"/>
    <n v="2"/>
    <n v="3"/>
    <n v="2"/>
    <n v="1"/>
    <m/>
  </r>
  <r>
    <n v="15"/>
    <x v="0"/>
    <n v="6.2"/>
    <x v="1"/>
    <n v="4.5999999999999996"/>
    <n v="1.1000000000000001"/>
    <n v="2.94"/>
    <n v="1.8"/>
    <s v="high"/>
    <n v="4"/>
    <n v="2"/>
    <n v="3"/>
    <n v="1"/>
    <m/>
  </r>
  <r>
    <n v="16"/>
    <x v="0"/>
    <n v="2.2999999999999998"/>
    <x v="1"/>
    <n v="8.8000000000000007"/>
    <n v="1"/>
    <n v="2.5099999999999998"/>
    <n v="2"/>
    <s v="medium"/>
    <n v="6"/>
    <n v="10"/>
    <n v="10"/>
    <n v="1"/>
    <m/>
  </r>
  <r>
    <n v="18"/>
    <x v="0"/>
    <n v="1.8"/>
    <x v="1"/>
    <n v="5.2"/>
    <n v="1.4"/>
    <n v="2.68"/>
    <n v="0.1"/>
    <s v="high"/>
    <n v="6"/>
    <n v="2"/>
    <n v="10"/>
    <n v="1"/>
    <m/>
  </r>
  <r>
    <n v="16"/>
    <x v="1"/>
    <n v="1.3"/>
    <x v="0"/>
    <n v="4.9000000000000004"/>
    <n v="2.6"/>
    <n v="2.89"/>
    <n v="0.2"/>
    <s v="low"/>
    <n v="2"/>
    <n v="5"/>
    <n v="2"/>
    <n v="1"/>
    <m/>
  </r>
  <r>
    <n v="15"/>
    <x v="0"/>
    <n v="2.1"/>
    <x v="0"/>
    <n v="4.4000000000000004"/>
    <n v="2.1"/>
    <n v="3.43"/>
    <n v="1.9"/>
    <s v="low"/>
    <n v="6"/>
    <n v="6"/>
    <n v="7"/>
    <n v="1"/>
    <m/>
  </r>
  <r>
    <n v="14"/>
    <x v="0"/>
    <n v="3.9"/>
    <x v="0"/>
    <n v="7.7"/>
    <n v="1.4"/>
    <n v="2.86"/>
    <n v="1.7"/>
    <s v="high"/>
    <n v="3"/>
    <n v="5"/>
    <n v="1"/>
    <n v="1"/>
    <m/>
  </r>
  <r>
    <n v="18"/>
    <x v="1"/>
    <n v="3.8"/>
    <x v="2"/>
    <n v="4.5"/>
    <n v="1.3"/>
    <n v="3.06"/>
    <n v="0.3"/>
    <s v="medium"/>
    <n v="7"/>
    <n v="8"/>
    <n v="1"/>
    <n v="1"/>
    <m/>
  </r>
  <r>
    <n v="15"/>
    <x v="0"/>
    <n v="6.4"/>
    <x v="0"/>
    <n v="7.8"/>
    <n v="0.7"/>
    <n v="2.6"/>
    <n v="0.7"/>
    <s v="high"/>
    <n v="4"/>
    <n v="4"/>
    <n v="2"/>
    <n v="1"/>
    <m/>
  </r>
  <r>
    <n v="19"/>
    <x v="0"/>
    <n v="3.2"/>
    <x v="0"/>
    <n v="6.2"/>
    <n v="2.6"/>
    <n v="3.72"/>
    <n v="1.9"/>
    <s v="high"/>
    <n v="9"/>
    <n v="5"/>
    <n v="7"/>
    <n v="1"/>
    <m/>
  </r>
  <r>
    <n v="13"/>
    <x v="0"/>
    <n v="4.4000000000000004"/>
    <x v="2"/>
    <n v="8.1999999999999993"/>
    <n v="1.5"/>
    <n v="3.98"/>
    <n v="1.4"/>
    <s v="high"/>
    <n v="9"/>
    <n v="6"/>
    <n v="6"/>
    <n v="1"/>
    <m/>
  </r>
  <r>
    <n v="15"/>
    <x v="0"/>
    <n v="1.3"/>
    <x v="1"/>
    <n v="7.5"/>
    <n v="1.3"/>
    <n v="2.99"/>
    <n v="1.4"/>
    <s v="low"/>
    <n v="1"/>
    <n v="5"/>
    <n v="2"/>
    <n v="1"/>
    <m/>
  </r>
  <r>
    <n v="18"/>
    <x v="1"/>
    <n v="5.7"/>
    <x v="1"/>
    <n v="6.2"/>
    <n v="0.5"/>
    <n v="3.98"/>
    <n v="1.7"/>
    <s v="medium"/>
    <n v="7"/>
    <n v="6"/>
    <n v="3"/>
    <n v="1"/>
    <m/>
  </r>
  <r>
    <n v="13"/>
    <x v="0"/>
    <n v="4"/>
    <x v="1"/>
    <n v="5"/>
    <n v="2.9"/>
    <n v="3.84"/>
    <n v="0.1"/>
    <s v="low"/>
    <n v="7"/>
    <n v="8"/>
    <n v="10"/>
    <n v="1"/>
    <m/>
  </r>
  <r>
    <n v="16"/>
    <x v="1"/>
    <n v="4.8"/>
    <x v="0"/>
    <n v="6.7"/>
    <n v="1.4"/>
    <n v="2.44"/>
    <n v="0.3"/>
    <s v="low"/>
    <n v="1"/>
    <n v="3"/>
    <n v="1"/>
    <n v="1"/>
    <m/>
  </r>
  <r>
    <n v="19"/>
    <x v="0"/>
    <n v="5.8"/>
    <x v="2"/>
    <n v="7.5"/>
    <n v="1.9"/>
    <n v="2.08"/>
    <n v="0.1"/>
    <s v="high"/>
    <n v="2"/>
    <n v="1"/>
    <n v="3"/>
    <n v="1"/>
    <m/>
  </r>
  <r>
    <n v="16"/>
    <x v="0"/>
    <n v="5.8"/>
    <x v="2"/>
    <n v="8.9"/>
    <n v="1.1000000000000001"/>
    <n v="2.08"/>
    <n v="1.9"/>
    <s v="medium"/>
    <n v="8"/>
    <n v="5"/>
    <n v="9"/>
    <n v="1"/>
    <m/>
  </r>
  <r>
    <n v="13"/>
    <x v="0"/>
    <n v="3.2"/>
    <x v="1"/>
    <n v="5.0999999999999996"/>
    <n v="1.6"/>
    <n v="2.87"/>
    <n v="1.8"/>
    <s v="medium"/>
    <n v="4"/>
    <n v="9"/>
    <n v="8"/>
    <n v="1"/>
    <m/>
  </r>
  <r>
    <n v="16"/>
    <x v="1"/>
    <n v="5.2"/>
    <x v="2"/>
    <n v="4"/>
    <n v="2.4"/>
    <n v="2.35"/>
    <n v="1.6"/>
    <s v="low"/>
    <n v="10"/>
    <n v="5"/>
    <n v="2"/>
    <n v="1"/>
    <m/>
  </r>
  <r>
    <n v="17"/>
    <x v="0"/>
    <n v="2.4"/>
    <x v="1"/>
    <n v="6"/>
    <n v="0.7"/>
    <n v="3.67"/>
    <n v="1.5"/>
    <s v="low"/>
    <n v="7"/>
    <n v="9"/>
    <n v="2"/>
    <n v="1"/>
    <m/>
  </r>
  <r>
    <n v="15"/>
    <x v="0"/>
    <n v="7.4"/>
    <x v="2"/>
    <n v="5.9"/>
    <n v="2.6"/>
    <n v="2.89"/>
    <n v="1.9"/>
    <s v="medium"/>
    <n v="7"/>
    <n v="3"/>
    <n v="8"/>
    <n v="1"/>
    <m/>
  </r>
  <r>
    <n v="18"/>
    <x v="1"/>
    <n v="7.1"/>
    <x v="0"/>
    <n v="4.8"/>
    <n v="2.1"/>
    <n v="2.5099999999999998"/>
    <n v="0.9"/>
    <s v="high"/>
    <n v="1"/>
    <n v="1"/>
    <n v="10"/>
    <n v="1"/>
    <m/>
  </r>
  <r>
    <n v="16"/>
    <x v="0"/>
    <n v="6.5"/>
    <x v="1"/>
    <n v="7.4"/>
    <n v="1.9"/>
    <n v="2.2200000000000002"/>
    <n v="1.1000000000000001"/>
    <s v="medium"/>
    <n v="10"/>
    <n v="10"/>
    <n v="2"/>
    <n v="1"/>
    <m/>
  </r>
  <r>
    <n v="13"/>
    <x v="0"/>
    <n v="7.4"/>
    <x v="2"/>
    <n v="7"/>
    <n v="1.8"/>
    <n v="2.17"/>
    <n v="1.4"/>
    <s v="medium"/>
    <n v="9"/>
    <n v="10"/>
    <n v="5"/>
    <n v="1"/>
    <m/>
  </r>
  <r>
    <n v="15"/>
    <x v="1"/>
    <n v="3.9"/>
    <x v="0"/>
    <n v="6.4"/>
    <n v="1.7"/>
    <n v="2.87"/>
    <n v="1.8"/>
    <s v="high"/>
    <n v="6"/>
    <n v="6"/>
    <n v="6"/>
    <n v="1"/>
    <m/>
  </r>
  <r>
    <n v="15"/>
    <x v="1"/>
    <n v="4.5999999999999996"/>
    <x v="2"/>
    <n v="8.6"/>
    <n v="2"/>
    <n v="3.01"/>
    <n v="0"/>
    <s v="low"/>
    <n v="1"/>
    <n v="8"/>
    <n v="3"/>
    <n v="1"/>
    <m/>
  </r>
  <r>
    <n v="19"/>
    <x v="0"/>
    <n v="1.5"/>
    <x v="1"/>
    <n v="6.7"/>
    <n v="1"/>
    <n v="3.9"/>
    <n v="0.4"/>
    <s v="low"/>
    <n v="4"/>
    <n v="3"/>
    <n v="3"/>
    <n v="1"/>
    <m/>
  </r>
  <r>
    <n v="15"/>
    <x v="1"/>
    <n v="5.8"/>
    <x v="0"/>
    <n v="7.1"/>
    <n v="1.1000000000000001"/>
    <n v="3.72"/>
    <n v="1.5"/>
    <s v="low"/>
    <n v="9"/>
    <n v="6"/>
    <n v="6"/>
    <n v="1"/>
    <m/>
  </r>
  <r>
    <n v="17"/>
    <x v="1"/>
    <n v="6.4"/>
    <x v="1"/>
    <n v="4.9000000000000004"/>
    <n v="2.1"/>
    <n v="2.78"/>
    <n v="1"/>
    <s v="high"/>
    <n v="2"/>
    <n v="2"/>
    <n v="6"/>
    <n v="1"/>
    <m/>
  </r>
  <r>
    <n v="16"/>
    <x v="1"/>
    <n v="2.1"/>
    <x v="1"/>
    <n v="8.1999999999999993"/>
    <n v="2.4"/>
    <n v="3.25"/>
    <n v="0.1"/>
    <s v="high"/>
    <n v="1"/>
    <n v="1"/>
    <n v="8"/>
    <n v="1"/>
    <m/>
  </r>
  <r>
    <n v="17"/>
    <x v="1"/>
    <n v="2.2000000000000002"/>
    <x v="1"/>
    <n v="6.5"/>
    <n v="3"/>
    <n v="2.4900000000000002"/>
    <n v="0.2"/>
    <s v="medium"/>
    <n v="5"/>
    <n v="8"/>
    <n v="4"/>
    <n v="1"/>
    <m/>
  </r>
  <r>
    <n v="14"/>
    <x v="0"/>
    <n v="5.5"/>
    <x v="1"/>
    <n v="7.4"/>
    <n v="2.9"/>
    <n v="3.54"/>
    <n v="1.1000000000000001"/>
    <s v="high"/>
    <n v="8"/>
    <n v="4"/>
    <n v="10"/>
    <n v="1"/>
    <m/>
  </r>
  <r>
    <n v="17"/>
    <x v="1"/>
    <n v="6.6"/>
    <x v="2"/>
    <n v="7.4"/>
    <n v="2.2000000000000002"/>
    <n v="2.63"/>
    <n v="0.6"/>
    <s v="high"/>
    <n v="7"/>
    <n v="4"/>
    <n v="9"/>
    <n v="1"/>
    <m/>
  </r>
  <r>
    <n v="19"/>
    <x v="1"/>
    <n v="5.2"/>
    <x v="0"/>
    <n v="6.6"/>
    <n v="1.6"/>
    <n v="2.36"/>
    <n v="1.4"/>
    <s v="low"/>
    <n v="2"/>
    <n v="6"/>
    <n v="10"/>
    <n v="1"/>
    <m/>
  </r>
  <r>
    <n v="17"/>
    <x v="0"/>
    <n v="4.7"/>
    <x v="1"/>
    <n v="5.0999999999999996"/>
    <n v="2"/>
    <n v="2.35"/>
    <n v="1.8"/>
    <s v="low"/>
    <n v="8"/>
    <n v="9"/>
    <n v="1"/>
    <n v="1"/>
    <m/>
  </r>
  <r>
    <n v="19"/>
    <x v="1"/>
    <n v="7.1"/>
    <x v="2"/>
    <n v="6.3"/>
    <n v="2.2000000000000002"/>
    <n v="3.88"/>
    <n v="0.8"/>
    <s v="high"/>
    <n v="10"/>
    <n v="4"/>
    <n v="9"/>
    <n v="1"/>
    <m/>
  </r>
  <r>
    <n v="19"/>
    <x v="1"/>
    <n v="4.2"/>
    <x v="2"/>
    <n v="8.1"/>
    <n v="1.4"/>
    <n v="2.66"/>
    <n v="1.9"/>
    <s v="low"/>
    <n v="9"/>
    <n v="4"/>
    <n v="2"/>
    <n v="1"/>
    <m/>
  </r>
  <r>
    <n v="17"/>
    <x v="1"/>
    <n v="1.3"/>
    <x v="0"/>
    <n v="5.0999999999999996"/>
    <n v="2.2000000000000002"/>
    <n v="3.44"/>
    <n v="0.6"/>
    <s v="high"/>
    <n v="7"/>
    <n v="8"/>
    <n v="6"/>
    <n v="1"/>
    <m/>
  </r>
  <r>
    <n v="18"/>
    <x v="0"/>
    <n v="2.6"/>
    <x v="2"/>
    <n v="7.8"/>
    <n v="1.9"/>
    <n v="3.15"/>
    <n v="0.4"/>
    <s v="medium"/>
    <n v="8"/>
    <n v="3"/>
    <n v="2"/>
    <n v="1"/>
    <m/>
  </r>
  <r>
    <n v="15"/>
    <x v="0"/>
    <n v="6.2"/>
    <x v="0"/>
    <n v="8.1"/>
    <n v="2.2999999999999998"/>
    <n v="3.46"/>
    <n v="1.3"/>
    <s v="low"/>
    <n v="5"/>
    <n v="4"/>
    <n v="9"/>
    <n v="1"/>
    <m/>
  </r>
  <r>
    <n v="14"/>
    <x v="1"/>
    <n v="6.2"/>
    <x v="1"/>
    <n v="5.0999999999999996"/>
    <n v="1.5"/>
    <n v="3.85"/>
    <n v="0.2"/>
    <s v="high"/>
    <n v="3"/>
    <n v="4"/>
    <n v="10"/>
    <n v="1"/>
    <m/>
  </r>
  <r>
    <n v="18"/>
    <x v="0"/>
    <n v="4.8"/>
    <x v="1"/>
    <n v="8.5"/>
    <n v="2.8"/>
    <n v="3.77"/>
    <n v="1.3"/>
    <s v="low"/>
    <n v="5"/>
    <n v="4"/>
    <n v="3"/>
    <n v="1"/>
    <m/>
  </r>
  <r>
    <n v="18"/>
    <x v="1"/>
    <n v="3"/>
    <x v="2"/>
    <n v="4.5999999999999996"/>
    <n v="2"/>
    <n v="2.2400000000000002"/>
    <n v="1.5"/>
    <s v="medium"/>
    <n v="10"/>
    <n v="2"/>
    <n v="5"/>
    <n v="1"/>
    <m/>
  </r>
  <r>
    <n v="16"/>
    <x v="0"/>
    <n v="4.7"/>
    <x v="0"/>
    <n v="8.1999999999999993"/>
    <n v="2.7"/>
    <n v="3.04"/>
    <n v="0.3"/>
    <s v="high"/>
    <n v="1"/>
    <n v="3"/>
    <n v="4"/>
    <n v="1"/>
    <m/>
  </r>
  <r>
    <n v="18"/>
    <x v="1"/>
    <n v="4.4000000000000004"/>
    <x v="2"/>
    <n v="5.0999999999999996"/>
    <n v="1.4"/>
    <n v="2.33"/>
    <n v="0.6"/>
    <s v="low"/>
    <n v="2"/>
    <n v="7"/>
    <n v="4"/>
    <n v="1"/>
    <m/>
  </r>
  <r>
    <n v="14"/>
    <x v="1"/>
    <n v="2.2999999999999998"/>
    <x v="1"/>
    <n v="7.3"/>
    <n v="2.2999999999999998"/>
    <n v="2.8"/>
    <n v="1.5"/>
    <s v="medium"/>
    <n v="4"/>
    <n v="6"/>
    <n v="5"/>
    <n v="1"/>
    <m/>
  </r>
  <r>
    <n v="14"/>
    <x v="1"/>
    <n v="3.1"/>
    <x v="0"/>
    <n v="6.9"/>
    <n v="1.9"/>
    <n v="2.2000000000000002"/>
    <n v="1.2"/>
    <s v="medium"/>
    <n v="3"/>
    <n v="4"/>
    <n v="2"/>
    <n v="1"/>
    <m/>
  </r>
  <r>
    <n v="18"/>
    <x v="0"/>
    <n v="2.9"/>
    <x v="1"/>
    <n v="7.5"/>
    <n v="0.6"/>
    <n v="2.25"/>
    <n v="1"/>
    <s v="high"/>
    <n v="4"/>
    <n v="7"/>
    <n v="4"/>
    <n v="1"/>
    <m/>
  </r>
  <r>
    <n v="13"/>
    <x v="0"/>
    <n v="1.8"/>
    <x v="0"/>
    <n v="4.4000000000000004"/>
    <n v="0.6"/>
    <n v="3.48"/>
    <n v="1.7"/>
    <s v="medium"/>
    <n v="3"/>
    <n v="1"/>
    <n v="10"/>
    <n v="1"/>
    <m/>
  </r>
  <r>
    <n v="15"/>
    <x v="1"/>
    <n v="2"/>
    <x v="0"/>
    <n v="4.7"/>
    <n v="1.3"/>
    <n v="3.55"/>
    <n v="1.3"/>
    <s v="low"/>
    <n v="2"/>
    <n v="6"/>
    <n v="5"/>
    <n v="1"/>
    <m/>
  </r>
  <r>
    <n v="13"/>
    <x v="1"/>
    <n v="4.2"/>
    <x v="0"/>
    <n v="7.9"/>
    <n v="2.7"/>
    <n v="3.76"/>
    <n v="0.1"/>
    <s v="medium"/>
    <n v="10"/>
    <n v="7"/>
    <n v="2"/>
    <n v="1"/>
    <m/>
  </r>
  <r>
    <n v="17"/>
    <x v="1"/>
    <n v="6.7"/>
    <x v="2"/>
    <n v="7.9"/>
    <n v="1.4"/>
    <n v="3.91"/>
    <n v="0.4"/>
    <s v="high"/>
    <n v="3"/>
    <n v="3"/>
    <n v="1"/>
    <n v="1"/>
    <m/>
  </r>
  <r>
    <n v="17"/>
    <x v="1"/>
    <n v="2.2000000000000002"/>
    <x v="2"/>
    <n v="7.2"/>
    <n v="0.5"/>
    <n v="2.38"/>
    <n v="1.2"/>
    <s v="medium"/>
    <n v="10"/>
    <n v="4"/>
    <n v="8"/>
    <n v="1"/>
    <m/>
  </r>
  <r>
    <n v="17"/>
    <x v="1"/>
    <n v="1.1000000000000001"/>
    <x v="1"/>
    <n v="6.8"/>
    <n v="0.6"/>
    <n v="2.2799999999999998"/>
    <n v="1.6"/>
    <s v="medium"/>
    <n v="9"/>
    <n v="3"/>
    <n v="7"/>
    <n v="1"/>
    <m/>
  </r>
  <r>
    <n v="16"/>
    <x v="1"/>
    <n v="6.4"/>
    <x v="1"/>
    <n v="5.9"/>
    <n v="2.8"/>
    <n v="3.81"/>
    <n v="1.3"/>
    <s v="high"/>
    <n v="1"/>
    <n v="3"/>
    <n v="7"/>
    <n v="1"/>
    <m/>
  </r>
  <r>
    <n v="19"/>
    <x v="1"/>
    <n v="2.8"/>
    <x v="0"/>
    <n v="5.9"/>
    <n v="1.5"/>
    <n v="2.85"/>
    <n v="0.6"/>
    <s v="high"/>
    <n v="10"/>
    <n v="9"/>
    <n v="4"/>
    <n v="1"/>
    <m/>
  </r>
  <r>
    <n v="13"/>
    <x v="0"/>
    <n v="2.2000000000000002"/>
    <x v="2"/>
    <n v="5.8"/>
    <n v="2"/>
    <n v="3.63"/>
    <n v="1.9"/>
    <s v="low"/>
    <n v="4"/>
    <n v="4"/>
    <n v="10"/>
    <n v="1"/>
    <m/>
  </r>
  <r>
    <n v="19"/>
    <x v="0"/>
    <n v="5.7"/>
    <x v="0"/>
    <n v="4.8"/>
    <n v="2.2000000000000002"/>
    <n v="3.66"/>
    <n v="0.9"/>
    <s v="low"/>
    <n v="3"/>
    <n v="7"/>
    <n v="5"/>
    <n v="1"/>
    <m/>
  </r>
  <r>
    <n v="15"/>
    <x v="0"/>
    <n v="5.3"/>
    <x v="2"/>
    <n v="7.3"/>
    <n v="1.9"/>
    <n v="2.5099999999999998"/>
    <n v="1.4"/>
    <s v="high"/>
    <n v="10"/>
    <n v="4"/>
    <n v="2"/>
    <n v="1"/>
    <m/>
  </r>
  <r>
    <n v="14"/>
    <x v="0"/>
    <n v="3.1"/>
    <x v="1"/>
    <n v="8.8000000000000007"/>
    <n v="1.5"/>
    <n v="3.91"/>
    <n v="0.6"/>
    <s v="medium"/>
    <n v="4"/>
    <n v="9"/>
    <n v="6"/>
    <n v="1"/>
    <m/>
  </r>
  <r>
    <n v="16"/>
    <x v="0"/>
    <n v="1.7"/>
    <x v="1"/>
    <n v="4.9000000000000004"/>
    <n v="0.6"/>
    <n v="3.38"/>
    <n v="1.1000000000000001"/>
    <s v="medium"/>
    <n v="10"/>
    <n v="4"/>
    <n v="6"/>
    <n v="1"/>
    <m/>
  </r>
  <r>
    <n v="19"/>
    <x v="1"/>
    <n v="6.7"/>
    <x v="0"/>
    <n v="7.3"/>
    <n v="2.8"/>
    <n v="2.2599999999999998"/>
    <n v="1.4"/>
    <s v="high"/>
    <n v="7"/>
    <n v="6"/>
    <n v="8"/>
    <n v="1"/>
    <m/>
  </r>
  <r>
    <n v="13"/>
    <x v="1"/>
    <n v="7.8"/>
    <x v="0"/>
    <n v="7.4"/>
    <n v="1.7"/>
    <n v="2.76"/>
    <n v="1.1000000000000001"/>
    <s v="low"/>
    <n v="10"/>
    <n v="1"/>
    <n v="4"/>
    <n v="1"/>
    <m/>
  </r>
  <r>
    <n v="18"/>
    <x v="1"/>
    <n v="2.1"/>
    <x v="2"/>
    <n v="6.7"/>
    <n v="0.9"/>
    <n v="3.73"/>
    <n v="0.7"/>
    <s v="low"/>
    <n v="3"/>
    <n v="5"/>
    <n v="7"/>
    <n v="1"/>
    <m/>
  </r>
  <r>
    <n v="17"/>
    <x v="1"/>
    <n v="5.0999999999999996"/>
    <x v="1"/>
    <n v="8.6"/>
    <n v="1.9"/>
    <n v="3.33"/>
    <n v="1.1000000000000001"/>
    <s v="low"/>
    <n v="1"/>
    <n v="7"/>
    <n v="8"/>
    <n v="1"/>
    <m/>
  </r>
  <r>
    <n v="18"/>
    <x v="1"/>
    <n v="3.6"/>
    <x v="0"/>
    <n v="5.4"/>
    <n v="0.9"/>
    <n v="3.45"/>
    <n v="0.5"/>
    <s v="medium"/>
    <n v="1"/>
    <n v="10"/>
    <n v="2"/>
    <n v="1"/>
    <m/>
  </r>
  <r>
    <n v="18"/>
    <x v="0"/>
    <n v="5"/>
    <x v="2"/>
    <n v="7.6"/>
    <n v="2"/>
    <n v="3.94"/>
    <n v="0.5"/>
    <s v="low"/>
    <n v="4"/>
    <n v="3"/>
    <n v="3"/>
    <n v="1"/>
    <m/>
  </r>
  <r>
    <n v="17"/>
    <x v="0"/>
    <n v="1.7"/>
    <x v="2"/>
    <n v="8.6"/>
    <n v="0.9"/>
    <n v="2.36"/>
    <n v="1.7"/>
    <s v="low"/>
    <n v="9"/>
    <n v="1"/>
    <n v="3"/>
    <n v="1"/>
    <m/>
  </r>
  <r>
    <n v="17"/>
    <x v="0"/>
    <n v="6.8"/>
    <x v="0"/>
    <n v="4.7"/>
    <n v="0.6"/>
    <n v="3.4"/>
    <n v="0.9"/>
    <s v="low"/>
    <n v="3"/>
    <n v="9"/>
    <n v="7"/>
    <n v="1"/>
    <m/>
  </r>
  <r>
    <n v="14"/>
    <x v="0"/>
    <n v="3.8"/>
    <x v="2"/>
    <n v="7.5"/>
    <n v="0.5"/>
    <n v="2.1800000000000002"/>
    <n v="1"/>
    <s v="medium"/>
    <n v="5"/>
    <n v="2"/>
    <n v="2"/>
    <n v="1"/>
    <m/>
  </r>
  <r>
    <n v="16"/>
    <x v="0"/>
    <n v="2.1"/>
    <x v="0"/>
    <n v="7.7"/>
    <n v="1.1000000000000001"/>
    <n v="2.27"/>
    <n v="1.1000000000000001"/>
    <s v="medium"/>
    <n v="3"/>
    <n v="2"/>
    <n v="4"/>
    <n v="1"/>
    <m/>
  </r>
  <r>
    <n v="15"/>
    <x v="1"/>
    <n v="3.2"/>
    <x v="0"/>
    <n v="4"/>
    <n v="2"/>
    <n v="3.25"/>
    <n v="0.7"/>
    <s v="low"/>
    <n v="8"/>
    <n v="4"/>
    <n v="8"/>
    <n v="1"/>
    <m/>
  </r>
  <r>
    <n v="18"/>
    <x v="0"/>
    <n v="1.9"/>
    <x v="0"/>
    <n v="5.6"/>
    <n v="2.2999999999999998"/>
    <n v="2.8"/>
    <n v="1.9"/>
    <s v="medium"/>
    <n v="8"/>
    <n v="1"/>
    <n v="8"/>
    <n v="1"/>
    <m/>
  </r>
  <r>
    <n v="13"/>
    <x v="1"/>
    <n v="3.5"/>
    <x v="0"/>
    <n v="6.8"/>
    <n v="1.5"/>
    <n v="2.35"/>
    <n v="1.8"/>
    <s v="medium"/>
    <n v="7"/>
    <n v="3"/>
    <n v="2"/>
    <n v="-1"/>
    <m/>
  </r>
  <r>
    <n v="15"/>
    <x v="1"/>
    <n v="4.5"/>
    <x v="0"/>
    <n v="7.7"/>
    <n v="0.9"/>
    <n v="2.61"/>
    <n v="1.1000000000000001"/>
    <s v="medium"/>
    <n v="9"/>
    <n v="10"/>
    <n v="4"/>
    <n v="-1"/>
    <m/>
  </r>
  <r>
    <n v="13"/>
    <x v="1"/>
    <n v="6"/>
    <x v="1"/>
    <n v="5"/>
    <n v="2.5"/>
    <n v="2.5499999999999998"/>
    <n v="1.8"/>
    <s v="high"/>
    <n v="4"/>
    <n v="9"/>
    <n v="2"/>
    <n v="-1"/>
    <m/>
  </r>
  <r>
    <n v="13"/>
    <x v="1"/>
    <n v="3.6"/>
    <x v="1"/>
    <n v="4.8"/>
    <n v="2.2000000000000002"/>
    <n v="3.58"/>
    <n v="1.2"/>
    <s v="medium"/>
    <n v="4"/>
    <n v="4"/>
    <n v="7"/>
    <n v="1"/>
    <m/>
  </r>
  <r>
    <n v="19"/>
    <x v="0"/>
    <n v="5.2"/>
    <x v="1"/>
    <n v="6.9"/>
    <n v="2.2999999999999998"/>
    <n v="2.09"/>
    <n v="0.2"/>
    <s v="high"/>
    <n v="6"/>
    <n v="4"/>
    <n v="8"/>
    <n v="1"/>
    <m/>
  </r>
  <r>
    <n v="13"/>
    <x v="0"/>
    <n v="2.7"/>
    <x v="2"/>
    <n v="6.9"/>
    <n v="1.4"/>
    <n v="2.87"/>
    <n v="1.5"/>
    <s v="low"/>
    <n v="2"/>
    <n v="6"/>
    <n v="3"/>
    <n v="1"/>
    <m/>
  </r>
  <r>
    <n v="16"/>
    <x v="1"/>
    <n v="2.8"/>
    <x v="1"/>
    <n v="7.1"/>
    <n v="1.4"/>
    <n v="3.85"/>
    <n v="0.4"/>
    <s v="high"/>
    <n v="7"/>
    <n v="9"/>
    <n v="8"/>
    <n v="1"/>
    <m/>
  </r>
  <r>
    <n v="14"/>
    <x v="0"/>
    <n v="5.6"/>
    <x v="0"/>
    <n v="7"/>
    <n v="1.9"/>
    <n v="2.58"/>
    <n v="0.4"/>
    <s v="low"/>
    <n v="5"/>
    <n v="7"/>
    <n v="3"/>
    <n v="1"/>
    <m/>
  </r>
  <r>
    <n v="16"/>
    <x v="0"/>
    <n v="2.7"/>
    <x v="2"/>
    <n v="7.2"/>
    <n v="0.6"/>
    <n v="3.98"/>
    <n v="1.7"/>
    <s v="low"/>
    <n v="6"/>
    <n v="1"/>
    <n v="5"/>
    <n v="1"/>
    <m/>
  </r>
  <r>
    <n v="14"/>
    <x v="0"/>
    <n v="4.2"/>
    <x v="2"/>
    <n v="7"/>
    <n v="1.1000000000000001"/>
    <n v="2.12"/>
    <n v="0.9"/>
    <s v="high"/>
    <n v="4"/>
    <n v="8"/>
    <n v="1"/>
    <n v="1"/>
    <m/>
  </r>
  <r>
    <n v="18"/>
    <x v="1"/>
    <n v="5.0999999999999996"/>
    <x v="1"/>
    <n v="8.1999999999999993"/>
    <n v="2.8"/>
    <n v="2.1800000000000002"/>
    <n v="0.5"/>
    <s v="high"/>
    <n v="8"/>
    <n v="8"/>
    <n v="8"/>
    <n v="1"/>
    <m/>
  </r>
  <r>
    <n v="15"/>
    <x v="1"/>
    <n v="5.7"/>
    <x v="0"/>
    <n v="6.1"/>
    <n v="0.7"/>
    <n v="3.08"/>
    <n v="0.6"/>
    <s v="medium"/>
    <n v="5"/>
    <n v="9"/>
    <n v="7"/>
    <n v="1"/>
    <m/>
  </r>
  <r>
    <n v="13"/>
    <x v="1"/>
    <n v="1.5"/>
    <x v="2"/>
    <n v="7.9"/>
    <n v="1.8"/>
    <n v="2.85"/>
    <n v="1.1000000000000001"/>
    <s v="medium"/>
    <n v="5"/>
    <n v="7"/>
    <n v="1"/>
    <n v="1"/>
    <m/>
  </r>
  <r>
    <n v="15"/>
    <x v="1"/>
    <n v="6.9"/>
    <x v="1"/>
    <n v="8.3000000000000007"/>
    <n v="2.4"/>
    <n v="3.34"/>
    <n v="1.2"/>
    <s v="high"/>
    <n v="2"/>
    <n v="4"/>
    <n v="9"/>
    <n v="1"/>
    <m/>
  </r>
  <r>
    <n v="14"/>
    <x v="0"/>
    <n v="4.7"/>
    <x v="1"/>
    <n v="7.9"/>
    <n v="2.9"/>
    <n v="2.54"/>
    <n v="0.7"/>
    <s v="high"/>
    <n v="5"/>
    <n v="8"/>
    <n v="7"/>
    <n v="1"/>
    <m/>
  </r>
  <r>
    <n v="15"/>
    <x v="1"/>
    <n v="2.7"/>
    <x v="2"/>
    <n v="8.5"/>
    <n v="0.8"/>
    <n v="2.91"/>
    <n v="1.3"/>
    <s v="low"/>
    <n v="6"/>
    <n v="3"/>
    <n v="1"/>
    <n v="1"/>
    <m/>
  </r>
  <r>
    <n v="13"/>
    <x v="1"/>
    <n v="6.1"/>
    <x v="2"/>
    <n v="6.4"/>
    <n v="2.8"/>
    <n v="2.5099999999999998"/>
    <n v="1.9"/>
    <s v="low"/>
    <n v="6"/>
    <n v="1"/>
    <n v="9"/>
    <n v="1"/>
    <m/>
  </r>
  <r>
    <n v="17"/>
    <x v="1"/>
    <n v="5"/>
    <x v="1"/>
    <n v="7.3"/>
    <n v="1.9"/>
    <n v="3.83"/>
    <n v="0.4"/>
    <s v="high"/>
    <n v="8"/>
    <n v="9"/>
    <n v="9"/>
    <n v="1"/>
    <m/>
  </r>
  <r>
    <n v="17"/>
    <x v="1"/>
    <n v="5.3"/>
    <x v="2"/>
    <n v="6.8"/>
    <n v="1.9"/>
    <n v="3.39"/>
    <n v="1.6"/>
    <s v="low"/>
    <n v="10"/>
    <n v="6"/>
    <n v="8"/>
    <n v="1"/>
    <m/>
  </r>
  <r>
    <n v="19"/>
    <x v="0"/>
    <n v="7.2"/>
    <x v="1"/>
    <n v="6.6"/>
    <n v="2.9"/>
    <n v="2.74"/>
    <n v="0.3"/>
    <s v="medium"/>
    <n v="1"/>
    <n v="10"/>
    <n v="9"/>
    <n v="0"/>
    <m/>
  </r>
  <r>
    <n v="15"/>
    <x v="0"/>
    <n v="2.2999999999999998"/>
    <x v="2"/>
    <n v="5.7"/>
    <n v="2.8"/>
    <n v="2.79"/>
    <n v="1.9"/>
    <s v="medium"/>
    <n v="4"/>
    <n v="1"/>
    <n v="4"/>
    <n v="0"/>
    <m/>
  </r>
  <r>
    <n v="17"/>
    <x v="1"/>
    <n v="7.3"/>
    <x v="2"/>
    <n v="7.8"/>
    <n v="1.1000000000000001"/>
    <n v="2.0299999999999998"/>
    <n v="1.1000000000000001"/>
    <s v="low"/>
    <n v="3"/>
    <n v="10"/>
    <n v="6"/>
    <n v="1"/>
    <m/>
  </r>
  <r>
    <n v="16"/>
    <x v="1"/>
    <n v="1.5"/>
    <x v="0"/>
    <n v="8"/>
    <n v="0.7"/>
    <n v="2.1800000000000002"/>
    <n v="0.6"/>
    <s v="medium"/>
    <n v="4"/>
    <n v="7"/>
    <n v="5"/>
    <n v="1"/>
    <m/>
  </r>
  <r>
    <n v="18"/>
    <x v="1"/>
    <n v="2.2000000000000002"/>
    <x v="0"/>
    <n v="6.5"/>
    <n v="1.9"/>
    <n v="3.79"/>
    <n v="0.2"/>
    <s v="low"/>
    <n v="1"/>
    <n v="6"/>
    <n v="2"/>
    <n v="1"/>
    <m/>
  </r>
  <r>
    <n v="13"/>
    <x v="1"/>
    <n v="5.5"/>
    <x v="2"/>
    <n v="6.7"/>
    <n v="1.6"/>
    <n v="3.09"/>
    <n v="1.7"/>
    <s v="high"/>
    <n v="10"/>
    <n v="1"/>
    <n v="6"/>
    <n v="1"/>
    <m/>
  </r>
  <r>
    <n v="19"/>
    <x v="0"/>
    <n v="2.1"/>
    <x v="1"/>
    <n v="5.2"/>
    <n v="2.5"/>
    <n v="3.1"/>
    <n v="0.3"/>
    <s v="low"/>
    <n v="9"/>
    <n v="9"/>
    <n v="3"/>
    <n v="1"/>
    <m/>
  </r>
  <r>
    <n v="15"/>
    <x v="1"/>
    <n v="4.5"/>
    <x v="2"/>
    <n v="5.4"/>
    <n v="1.2"/>
    <n v="3.76"/>
    <n v="1.7"/>
    <s v="high"/>
    <n v="1"/>
    <n v="8"/>
    <n v="7"/>
    <n v="1"/>
    <m/>
  </r>
  <r>
    <n v="13"/>
    <x v="0"/>
    <n v="3.9"/>
    <x v="2"/>
    <n v="5.8"/>
    <n v="0.7"/>
    <n v="2.77"/>
    <n v="1.3"/>
    <s v="medium"/>
    <n v="10"/>
    <n v="3"/>
    <n v="1"/>
    <n v="1"/>
    <m/>
  </r>
  <r>
    <n v="14"/>
    <x v="0"/>
    <n v="5.8"/>
    <x v="0"/>
    <n v="5.0999999999999996"/>
    <n v="2.6"/>
    <n v="2.06"/>
    <n v="1.5"/>
    <s v="medium"/>
    <n v="7"/>
    <n v="5"/>
    <n v="2"/>
    <n v="1"/>
    <m/>
  </r>
  <r>
    <n v="13"/>
    <x v="1"/>
    <n v="7.2"/>
    <x v="2"/>
    <n v="4.2"/>
    <n v="2.5"/>
    <n v="2.65"/>
    <n v="1.6"/>
    <s v="low"/>
    <n v="10"/>
    <n v="9"/>
    <n v="3"/>
    <n v="1"/>
    <m/>
  </r>
  <r>
    <n v="17"/>
    <x v="1"/>
    <n v="2.9"/>
    <x v="2"/>
    <n v="7.5"/>
    <n v="1.4"/>
    <n v="3.42"/>
    <n v="1.7"/>
    <s v="low"/>
    <n v="5"/>
    <n v="6"/>
    <n v="3"/>
    <n v="1"/>
    <m/>
  </r>
  <r>
    <n v="17"/>
    <x v="0"/>
    <n v="6.2"/>
    <x v="0"/>
    <n v="7.4"/>
    <n v="0.6"/>
    <n v="3.38"/>
    <n v="1.5"/>
    <s v="low"/>
    <n v="4"/>
    <n v="7"/>
    <n v="9"/>
    <n v="0"/>
    <m/>
  </r>
  <r>
    <n v="18"/>
    <x v="1"/>
    <n v="1.1000000000000001"/>
    <x v="2"/>
    <n v="4.9000000000000004"/>
    <n v="2.6"/>
    <n v="2.4300000000000002"/>
    <n v="1.3"/>
    <s v="high"/>
    <n v="9"/>
    <n v="7"/>
    <n v="6"/>
    <n v="1"/>
    <m/>
  </r>
  <r>
    <n v="19"/>
    <x v="0"/>
    <n v="5.2"/>
    <x v="0"/>
    <n v="4.3"/>
    <n v="1.3"/>
    <n v="2.29"/>
    <n v="1.3"/>
    <s v="medium"/>
    <n v="10"/>
    <n v="8"/>
    <n v="10"/>
    <n v="1"/>
    <m/>
  </r>
  <r>
    <n v="15"/>
    <x v="1"/>
    <n v="5"/>
    <x v="0"/>
    <n v="7.6"/>
    <n v="1.8"/>
    <n v="2.52"/>
    <n v="1.4"/>
    <s v="high"/>
    <n v="1"/>
    <n v="4"/>
    <n v="3"/>
    <n v="1"/>
    <m/>
  </r>
  <r>
    <n v="13"/>
    <x v="1"/>
    <n v="2.2999999999999998"/>
    <x v="1"/>
    <n v="8.6999999999999993"/>
    <n v="1.2"/>
    <n v="3.25"/>
    <n v="1.5"/>
    <s v="high"/>
    <n v="9"/>
    <n v="9"/>
    <n v="1"/>
    <n v="1"/>
    <m/>
  </r>
  <r>
    <n v="15"/>
    <x v="1"/>
    <n v="5.2"/>
    <x v="1"/>
    <n v="5.6"/>
    <n v="1.5"/>
    <n v="3.13"/>
    <n v="0.1"/>
    <s v="low"/>
    <n v="7"/>
    <n v="9"/>
    <n v="4"/>
    <n v="1"/>
    <m/>
  </r>
  <r>
    <n v="13"/>
    <x v="1"/>
    <n v="3.5"/>
    <x v="2"/>
    <n v="8.6999999999999993"/>
    <n v="1.4"/>
    <n v="3.5"/>
    <n v="1.3"/>
    <s v="high"/>
    <n v="9"/>
    <n v="4"/>
    <n v="5"/>
    <n v="1"/>
    <m/>
  </r>
  <r>
    <n v="16"/>
    <x v="1"/>
    <n v="3.5"/>
    <x v="2"/>
    <n v="4.2"/>
    <n v="1.5"/>
    <n v="3.98"/>
    <n v="0.4"/>
    <s v="medium"/>
    <n v="1"/>
    <n v="7"/>
    <n v="2"/>
    <n v="1"/>
    <m/>
  </r>
  <r>
    <n v="19"/>
    <x v="0"/>
    <n v="7.7"/>
    <x v="0"/>
    <n v="4.2"/>
    <n v="2.6"/>
    <n v="2.2000000000000002"/>
    <n v="1.8"/>
    <s v="low"/>
    <n v="8"/>
    <n v="9"/>
    <n v="4"/>
    <n v="1"/>
    <m/>
  </r>
  <r>
    <n v="18"/>
    <x v="1"/>
    <n v="2"/>
    <x v="2"/>
    <n v="8.6"/>
    <n v="2.2000000000000002"/>
    <n v="3.53"/>
    <n v="1.9"/>
    <s v="low"/>
    <n v="2"/>
    <n v="5"/>
    <n v="8"/>
    <n v="0"/>
    <m/>
  </r>
  <r>
    <n v="13"/>
    <x v="1"/>
    <n v="5.0999999999999996"/>
    <x v="1"/>
    <n v="4.5"/>
    <n v="2.7"/>
    <n v="2.54"/>
    <n v="1.4"/>
    <s v="high"/>
    <n v="2"/>
    <n v="3"/>
    <n v="10"/>
    <n v="0"/>
    <m/>
  </r>
  <r>
    <n v="16"/>
    <x v="0"/>
    <n v="2"/>
    <x v="0"/>
    <n v="7.9"/>
    <n v="2.4"/>
    <n v="2.81"/>
    <n v="1.9"/>
    <s v="low"/>
    <n v="10"/>
    <n v="6"/>
    <n v="6"/>
    <n v="0"/>
    <m/>
  </r>
  <r>
    <n v="15"/>
    <x v="0"/>
    <n v="4.7"/>
    <x v="0"/>
    <n v="8.4"/>
    <n v="1.9"/>
    <n v="3.9"/>
    <n v="1"/>
    <s v="high"/>
    <n v="4"/>
    <n v="10"/>
    <n v="6"/>
    <n v="0"/>
    <m/>
  </r>
  <r>
    <n v="17"/>
    <x v="1"/>
    <n v="6.9"/>
    <x v="1"/>
    <n v="6.1"/>
    <n v="2.4"/>
    <n v="3.77"/>
    <n v="1.1000000000000001"/>
    <s v="medium"/>
    <n v="9"/>
    <n v="4"/>
    <n v="9"/>
    <n v="0"/>
    <m/>
  </r>
  <r>
    <n v="18"/>
    <x v="0"/>
    <n v="5.9"/>
    <x v="0"/>
    <n v="4.4000000000000004"/>
    <n v="2.7"/>
    <n v="2.09"/>
    <n v="1.8"/>
    <s v="high"/>
    <n v="1"/>
    <n v="6"/>
    <n v="6"/>
    <n v="0"/>
    <m/>
  </r>
  <r>
    <n v="19"/>
    <x v="0"/>
    <n v="2.7"/>
    <x v="0"/>
    <n v="6.3"/>
    <n v="1.3"/>
    <n v="3.91"/>
    <n v="1.2"/>
    <s v="high"/>
    <n v="7"/>
    <n v="5"/>
    <n v="7"/>
    <n v="0"/>
    <m/>
  </r>
  <r>
    <n v="16"/>
    <x v="0"/>
    <n v="7.9"/>
    <x v="1"/>
    <n v="8"/>
    <n v="1.6"/>
    <n v="3.47"/>
    <n v="1.5"/>
    <s v="high"/>
    <n v="3"/>
    <n v="5"/>
    <n v="6"/>
    <n v="0"/>
    <m/>
  </r>
  <r>
    <n v="16"/>
    <x v="1"/>
    <n v="7.4"/>
    <x v="1"/>
    <n v="5.5"/>
    <n v="1.8"/>
    <n v="2.13"/>
    <n v="0.3"/>
    <s v="high"/>
    <n v="7"/>
    <n v="9"/>
    <n v="9"/>
    <n v="1"/>
    <m/>
  </r>
  <r>
    <n v="17"/>
    <x v="1"/>
    <n v="2.2999999999999998"/>
    <x v="0"/>
    <n v="4.9000000000000004"/>
    <n v="1.7"/>
    <n v="2.0699999999999998"/>
    <n v="0.3"/>
    <s v="medium"/>
    <n v="3"/>
    <n v="7"/>
    <n v="7"/>
    <n v="0"/>
    <m/>
  </r>
  <r>
    <n v="13"/>
    <x v="0"/>
    <n v="7.1"/>
    <x v="2"/>
    <n v="5.7"/>
    <n v="2.1"/>
    <n v="3.52"/>
    <n v="1.7"/>
    <s v="low"/>
    <n v="1"/>
    <n v="1"/>
    <n v="3"/>
    <n v="0"/>
    <m/>
  </r>
  <r>
    <n v="16"/>
    <x v="0"/>
    <n v="6.9"/>
    <x v="0"/>
    <n v="6.8"/>
    <n v="1.1000000000000001"/>
    <n v="3.33"/>
    <n v="1"/>
    <s v="medium"/>
    <n v="7"/>
    <n v="9"/>
    <n v="4"/>
    <n v="0"/>
    <m/>
  </r>
  <r>
    <n v="16"/>
    <x v="1"/>
    <n v="5.6"/>
    <x v="1"/>
    <n v="7.9"/>
    <n v="2"/>
    <n v="3.91"/>
    <n v="0.6"/>
    <s v="medium"/>
    <n v="7"/>
    <n v="3"/>
    <n v="10"/>
    <n v="0"/>
    <m/>
  </r>
  <r>
    <n v="16"/>
    <x v="1"/>
    <n v="5.2"/>
    <x v="1"/>
    <n v="8.1"/>
    <n v="2.1"/>
    <n v="2.67"/>
    <n v="1.7"/>
    <s v="medium"/>
    <n v="9"/>
    <n v="10"/>
    <n v="10"/>
    <n v="0"/>
    <m/>
  </r>
  <r>
    <n v="17"/>
    <x v="0"/>
    <n v="4.5"/>
    <x v="2"/>
    <n v="4.9000000000000004"/>
    <n v="0.5"/>
    <n v="3.44"/>
    <n v="1.2"/>
    <s v="medium"/>
    <n v="5"/>
    <n v="3"/>
    <n v="1"/>
    <n v="0"/>
    <m/>
  </r>
  <r>
    <n v="14"/>
    <x v="0"/>
    <n v="3.6"/>
    <x v="1"/>
    <n v="4"/>
    <n v="1.4"/>
    <n v="3.83"/>
    <n v="0.5"/>
    <s v="medium"/>
    <n v="1"/>
    <n v="5"/>
    <n v="2"/>
    <n v="0"/>
    <m/>
  </r>
  <r>
    <n v="19"/>
    <x v="0"/>
    <n v="7.2"/>
    <x v="0"/>
    <n v="5"/>
    <n v="2.2000000000000002"/>
    <n v="2.5"/>
    <n v="0.7"/>
    <s v="high"/>
    <n v="6"/>
    <n v="9"/>
    <n v="2"/>
    <n v="0"/>
    <m/>
  </r>
  <r>
    <n v="17"/>
    <x v="0"/>
    <n v="6.4"/>
    <x v="1"/>
    <n v="8.6"/>
    <n v="2.2999999999999998"/>
    <n v="2.57"/>
    <n v="1.3"/>
    <s v="low"/>
    <n v="9"/>
    <n v="10"/>
    <n v="5"/>
    <n v="0"/>
    <m/>
  </r>
  <r>
    <n v="15"/>
    <x v="0"/>
    <n v="7.1"/>
    <x v="2"/>
    <n v="6.5"/>
    <n v="0.7"/>
    <n v="3.94"/>
    <n v="0.2"/>
    <s v="medium"/>
    <n v="4"/>
    <n v="7"/>
    <n v="1"/>
    <n v="0"/>
    <m/>
  </r>
  <r>
    <n v="18"/>
    <x v="0"/>
    <n v="1.2"/>
    <x v="2"/>
    <n v="4.0999999999999996"/>
    <n v="1.1000000000000001"/>
    <n v="3.04"/>
    <n v="1.6"/>
    <s v="low"/>
    <n v="1"/>
    <n v="3"/>
    <n v="6"/>
    <n v="0"/>
    <m/>
  </r>
  <r>
    <n v="19"/>
    <x v="0"/>
    <n v="6.6"/>
    <x v="1"/>
    <n v="8.8000000000000007"/>
    <n v="0.9"/>
    <n v="3.84"/>
    <n v="0.3"/>
    <s v="high"/>
    <n v="10"/>
    <n v="10"/>
    <n v="6"/>
    <n v="0"/>
    <m/>
  </r>
  <r>
    <n v="19"/>
    <x v="1"/>
    <n v="6.5"/>
    <x v="1"/>
    <n v="6.4"/>
    <n v="1.1000000000000001"/>
    <n v="3.71"/>
    <n v="1.2"/>
    <s v="low"/>
    <n v="8"/>
    <n v="9"/>
    <n v="8"/>
    <n v="0"/>
    <m/>
  </r>
  <r>
    <n v="16"/>
    <x v="0"/>
    <n v="2"/>
    <x v="1"/>
    <n v="4.4000000000000004"/>
    <n v="0.7"/>
    <n v="2.68"/>
    <n v="0.8"/>
    <s v="medium"/>
    <n v="1"/>
    <n v="4"/>
    <n v="10"/>
    <n v="0"/>
    <m/>
  </r>
  <r>
    <n v="13"/>
    <x v="0"/>
    <n v="2.5"/>
    <x v="0"/>
    <n v="5.3"/>
    <n v="0.8"/>
    <n v="3.12"/>
    <n v="0.4"/>
    <s v="high"/>
    <n v="3"/>
    <n v="5"/>
    <n v="3"/>
    <n v="0"/>
    <m/>
  </r>
  <r>
    <n v="19"/>
    <x v="0"/>
    <n v="2.1"/>
    <x v="0"/>
    <n v="8.8000000000000007"/>
    <n v="2.2999999999999998"/>
    <n v="2.2200000000000002"/>
    <n v="1.2"/>
    <s v="high"/>
    <n v="5"/>
    <n v="5"/>
    <n v="3"/>
    <n v="0"/>
    <m/>
  </r>
  <r>
    <n v="16"/>
    <x v="1"/>
    <n v="7.1"/>
    <x v="1"/>
    <n v="8.8000000000000007"/>
    <n v="1.8"/>
    <n v="3.99"/>
    <n v="0.8"/>
    <s v="low"/>
    <n v="6"/>
    <n v="10"/>
    <n v="8"/>
    <n v="0"/>
    <m/>
  </r>
  <r>
    <n v="19"/>
    <x v="1"/>
    <n v="6.8"/>
    <x v="2"/>
    <n v="4.4000000000000004"/>
    <n v="2.1"/>
    <n v="3.69"/>
    <n v="0.4"/>
    <s v="high"/>
    <n v="3"/>
    <n v="2"/>
    <n v="8"/>
    <n v="0"/>
    <m/>
  </r>
  <r>
    <n v="13"/>
    <x v="0"/>
    <n v="5.2"/>
    <x v="2"/>
    <n v="5.4"/>
    <n v="0.8"/>
    <n v="2.39"/>
    <n v="2"/>
    <s v="low"/>
    <n v="8"/>
    <n v="3"/>
    <n v="10"/>
    <n v="0"/>
    <m/>
  </r>
  <r>
    <n v="19"/>
    <x v="0"/>
    <n v="7"/>
    <x v="1"/>
    <n v="4.5"/>
    <n v="2.2999999999999998"/>
    <n v="3.26"/>
    <n v="1.7"/>
    <s v="high"/>
    <n v="9"/>
    <n v="10"/>
    <n v="3"/>
    <n v="1"/>
    <m/>
  </r>
  <r>
    <n v="19"/>
    <x v="0"/>
    <n v="6.8"/>
    <x v="1"/>
    <n v="8.4"/>
    <n v="2"/>
    <n v="2.6"/>
    <n v="1.5"/>
    <s v="low"/>
    <n v="7"/>
    <n v="2"/>
    <n v="2"/>
    <n v="0"/>
    <m/>
  </r>
  <r>
    <n v="16"/>
    <x v="1"/>
    <n v="3.8"/>
    <x v="1"/>
    <n v="5.3"/>
    <n v="1.5"/>
    <n v="2.04"/>
    <n v="1.5"/>
    <s v="high"/>
    <n v="5"/>
    <n v="10"/>
    <n v="5"/>
    <n v="0"/>
    <m/>
  </r>
  <r>
    <n v="14"/>
    <x v="0"/>
    <n v="2.9"/>
    <x v="0"/>
    <n v="7.2"/>
    <n v="2"/>
    <n v="3.96"/>
    <n v="1.5"/>
    <s v="medium"/>
    <n v="9"/>
    <n v="10"/>
    <n v="4"/>
    <n v="0"/>
    <m/>
  </r>
  <r>
    <n v="16"/>
    <x v="0"/>
    <n v="3.6"/>
    <x v="0"/>
    <n v="6.6"/>
    <n v="0.7"/>
    <n v="2.25"/>
    <n v="1.9"/>
    <s v="low"/>
    <n v="4"/>
    <n v="1"/>
    <n v="8"/>
    <n v="0"/>
    <m/>
  </r>
  <r>
    <n v="13"/>
    <x v="0"/>
    <n v="4"/>
    <x v="2"/>
    <n v="8.3000000000000007"/>
    <n v="0.6"/>
    <n v="3.71"/>
    <n v="0.1"/>
    <s v="low"/>
    <n v="2"/>
    <n v="6"/>
    <n v="1"/>
    <n v="0"/>
    <m/>
  </r>
  <r>
    <n v="17"/>
    <x v="1"/>
    <n v="7.5"/>
    <x v="2"/>
    <n v="4.7"/>
    <n v="2.1"/>
    <n v="2.5499999999999998"/>
    <n v="0.1"/>
    <s v="high"/>
    <n v="3"/>
    <n v="9"/>
    <n v="1"/>
    <n v="0"/>
    <m/>
  </r>
  <r>
    <n v="16"/>
    <x v="1"/>
    <n v="6"/>
    <x v="2"/>
    <n v="8.6999999999999993"/>
    <n v="1.5"/>
    <n v="3.76"/>
    <n v="0.1"/>
    <s v="medium"/>
    <n v="2"/>
    <n v="5"/>
    <n v="4"/>
    <n v="0"/>
    <m/>
  </r>
  <r>
    <n v="16"/>
    <x v="1"/>
    <n v="3.6"/>
    <x v="0"/>
    <n v="6.1"/>
    <n v="2.8"/>
    <n v="3.8"/>
    <n v="0.1"/>
    <s v="high"/>
    <n v="2"/>
    <n v="1"/>
    <n v="7"/>
    <n v="0"/>
    <m/>
  </r>
  <r>
    <n v="19"/>
    <x v="0"/>
    <n v="4.7"/>
    <x v="2"/>
    <n v="8.1999999999999993"/>
    <n v="1.2"/>
    <n v="2.83"/>
    <n v="1.2"/>
    <s v="high"/>
    <n v="5"/>
    <n v="9"/>
    <n v="9"/>
    <n v="0"/>
    <m/>
  </r>
  <r>
    <n v="13"/>
    <x v="0"/>
    <n v="2"/>
    <x v="0"/>
    <n v="6.6"/>
    <n v="0.9"/>
    <n v="3.34"/>
    <n v="1.5"/>
    <s v="high"/>
    <n v="5"/>
    <n v="9"/>
    <n v="4"/>
    <n v="0"/>
    <m/>
  </r>
  <r>
    <n v="13"/>
    <x v="0"/>
    <n v="7.8"/>
    <x v="1"/>
    <n v="7.2"/>
    <n v="1.3"/>
    <n v="3.31"/>
    <n v="0.8"/>
    <s v="high"/>
    <n v="9"/>
    <n v="2"/>
    <n v="4"/>
    <n v="0"/>
    <m/>
  </r>
  <r>
    <n v="19"/>
    <x v="0"/>
    <n v="5.9"/>
    <x v="1"/>
    <n v="7.4"/>
    <n v="0.7"/>
    <n v="3.27"/>
    <n v="1.7"/>
    <s v="high"/>
    <n v="1"/>
    <n v="9"/>
    <n v="9"/>
    <n v="0"/>
    <m/>
  </r>
  <r>
    <n v="19"/>
    <x v="0"/>
    <n v="7.7"/>
    <x v="1"/>
    <n v="8.4"/>
    <n v="2.8"/>
    <n v="3.43"/>
    <n v="0.2"/>
    <s v="medium"/>
    <n v="7"/>
    <n v="6"/>
    <n v="6"/>
    <n v="0"/>
    <m/>
  </r>
  <r>
    <n v="13"/>
    <x v="0"/>
    <n v="2.2000000000000002"/>
    <x v="1"/>
    <n v="5.4"/>
    <n v="1.2"/>
    <n v="2.33"/>
    <n v="0.8"/>
    <s v="medium"/>
    <n v="10"/>
    <n v="3"/>
    <n v="4"/>
    <n v="0"/>
    <m/>
  </r>
  <r>
    <n v="18"/>
    <x v="1"/>
    <n v="7.7"/>
    <x v="1"/>
    <n v="7.6"/>
    <n v="2.9"/>
    <n v="3.81"/>
    <n v="0.5"/>
    <s v="high"/>
    <n v="10"/>
    <n v="3"/>
    <n v="6"/>
    <n v="0"/>
    <m/>
  </r>
  <r>
    <n v="18"/>
    <x v="0"/>
    <n v="3.2"/>
    <x v="0"/>
    <n v="6"/>
    <n v="1.5"/>
    <n v="3.36"/>
    <n v="1.5"/>
    <s v="high"/>
    <n v="9"/>
    <n v="7"/>
    <n v="10"/>
    <n v="0"/>
    <m/>
  </r>
  <r>
    <n v="16"/>
    <x v="0"/>
    <n v="2"/>
    <x v="1"/>
    <n v="7.8"/>
    <n v="0.5"/>
    <n v="2.81"/>
    <n v="1.4"/>
    <s v="high"/>
    <n v="10"/>
    <n v="2"/>
    <n v="4"/>
    <n v="0"/>
    <m/>
  </r>
  <r>
    <n v="15"/>
    <x v="1"/>
    <n v="6.2"/>
    <x v="2"/>
    <n v="5.2"/>
    <n v="1"/>
    <n v="3.94"/>
    <n v="1.4"/>
    <s v="low"/>
    <n v="5"/>
    <n v="2"/>
    <n v="7"/>
    <n v="0"/>
    <m/>
  </r>
  <r>
    <n v="19"/>
    <x v="1"/>
    <n v="2.4"/>
    <x v="0"/>
    <n v="8.6999999999999993"/>
    <n v="1.6"/>
    <n v="2.4"/>
    <n v="0.1"/>
    <s v="medium"/>
    <n v="2"/>
    <n v="9"/>
    <n v="7"/>
    <n v="0"/>
    <m/>
  </r>
  <r>
    <n v="15"/>
    <x v="0"/>
    <n v="3.4"/>
    <x v="2"/>
    <n v="8"/>
    <n v="1"/>
    <n v="2.31"/>
    <n v="1"/>
    <s v="high"/>
    <n v="4"/>
    <n v="7"/>
    <n v="6"/>
    <n v="0"/>
    <m/>
  </r>
  <r>
    <n v="19"/>
    <x v="0"/>
    <n v="6"/>
    <x v="0"/>
    <n v="4.2"/>
    <n v="0.9"/>
    <n v="2.41"/>
    <n v="0.8"/>
    <s v="medium"/>
    <n v="7"/>
    <n v="9"/>
    <n v="9"/>
    <n v="1"/>
    <m/>
  </r>
  <r>
    <n v="16"/>
    <x v="1"/>
    <n v="5.3"/>
    <x v="2"/>
    <n v="5.6"/>
    <n v="2.5"/>
    <n v="2.73"/>
    <n v="1.3"/>
    <s v="medium"/>
    <n v="7"/>
    <n v="10"/>
    <n v="4"/>
    <n v="1"/>
    <m/>
  </r>
  <r>
    <n v="17"/>
    <x v="1"/>
    <n v="5.5"/>
    <x v="0"/>
    <n v="6.3"/>
    <n v="0.8"/>
    <n v="2.59"/>
    <n v="1.6"/>
    <s v="high"/>
    <n v="6"/>
    <n v="8"/>
    <n v="7"/>
    <n v="0"/>
    <m/>
  </r>
  <r>
    <n v="17"/>
    <x v="0"/>
    <n v="3.6"/>
    <x v="2"/>
    <n v="6.1"/>
    <n v="2.8"/>
    <n v="2.39"/>
    <n v="0.6"/>
    <s v="low"/>
    <n v="6"/>
    <n v="8"/>
    <n v="5"/>
    <n v="0"/>
    <m/>
  </r>
  <r>
    <n v="17"/>
    <x v="1"/>
    <n v="3.7"/>
    <x v="0"/>
    <n v="6.3"/>
    <n v="1.3"/>
    <n v="2.7"/>
    <n v="1.1000000000000001"/>
    <s v="medium"/>
    <n v="2"/>
    <n v="6"/>
    <n v="9"/>
    <n v="0"/>
    <m/>
  </r>
  <r>
    <n v="16"/>
    <x v="1"/>
    <n v="7.4"/>
    <x v="0"/>
    <n v="7.4"/>
    <n v="0.9"/>
    <n v="3.7"/>
    <n v="1.3"/>
    <s v="medium"/>
    <n v="10"/>
    <n v="6"/>
    <n v="2"/>
    <n v="0"/>
    <m/>
  </r>
  <r>
    <n v="13"/>
    <x v="0"/>
    <n v="5.3"/>
    <x v="0"/>
    <n v="6"/>
    <n v="1"/>
    <n v="2.92"/>
    <n v="0.7"/>
    <s v="high"/>
    <n v="3"/>
    <n v="8"/>
    <n v="5"/>
    <n v="0"/>
    <m/>
  </r>
  <r>
    <n v="18"/>
    <x v="1"/>
    <n v="4.8"/>
    <x v="0"/>
    <n v="5.5"/>
    <n v="1.8"/>
    <n v="2.9"/>
    <n v="0.6"/>
    <s v="low"/>
    <n v="6"/>
    <n v="2"/>
    <n v="5"/>
    <n v="0"/>
    <m/>
  </r>
  <r>
    <n v="13"/>
    <x v="0"/>
    <n v="3.4"/>
    <x v="1"/>
    <n v="4.5"/>
    <n v="0.5"/>
    <n v="3.71"/>
    <n v="1"/>
    <s v="medium"/>
    <n v="1"/>
    <n v="10"/>
    <n v="1"/>
    <n v="0"/>
    <m/>
  </r>
  <r>
    <n v="17"/>
    <x v="1"/>
    <n v="7"/>
    <x v="1"/>
    <n v="8.9"/>
    <n v="0.6"/>
    <n v="3.67"/>
    <n v="0.2"/>
    <s v="medium"/>
    <n v="9"/>
    <n v="2"/>
    <n v="4"/>
    <n v="0"/>
    <m/>
  </r>
  <r>
    <n v="15"/>
    <x v="0"/>
    <n v="5.4"/>
    <x v="0"/>
    <n v="7.2"/>
    <n v="1.2"/>
    <n v="3.32"/>
    <n v="1.3"/>
    <s v="high"/>
    <n v="7"/>
    <n v="8"/>
    <n v="1"/>
    <n v="0"/>
    <m/>
  </r>
  <r>
    <n v="17"/>
    <x v="0"/>
    <n v="5.3"/>
    <x v="0"/>
    <n v="6.4"/>
    <n v="2.9"/>
    <n v="2.42"/>
    <n v="1.1000000000000001"/>
    <s v="low"/>
    <n v="3"/>
    <n v="8"/>
    <n v="3"/>
    <n v="0"/>
    <m/>
  </r>
  <r>
    <n v="14"/>
    <x v="0"/>
    <n v="1.8"/>
    <x v="2"/>
    <n v="5.0999999999999996"/>
    <n v="2.7"/>
    <n v="3.47"/>
    <n v="0.2"/>
    <s v="low"/>
    <n v="8"/>
    <n v="4"/>
    <n v="6"/>
    <n v="0"/>
    <m/>
  </r>
  <r>
    <n v="15"/>
    <x v="0"/>
    <n v="4.5"/>
    <x v="1"/>
    <n v="6.2"/>
    <n v="2.8"/>
    <n v="2.74"/>
    <n v="0.1"/>
    <s v="high"/>
    <n v="2"/>
    <n v="3"/>
    <n v="5"/>
    <n v="0"/>
    <m/>
  </r>
  <r>
    <n v="17"/>
    <x v="1"/>
    <n v="5.4"/>
    <x v="1"/>
    <n v="7.1"/>
    <n v="2.5"/>
    <n v="2.68"/>
    <n v="1.6"/>
    <s v="low"/>
    <n v="3"/>
    <n v="5"/>
    <n v="7"/>
    <n v="0"/>
    <m/>
  </r>
  <r>
    <n v="13"/>
    <x v="0"/>
    <n v="3.6"/>
    <x v="0"/>
    <n v="8.6"/>
    <n v="0.7"/>
    <n v="2.42"/>
    <n v="0.2"/>
    <s v="medium"/>
    <n v="2"/>
    <n v="6"/>
    <n v="8"/>
    <n v="0"/>
    <m/>
  </r>
  <r>
    <n v="14"/>
    <x v="1"/>
    <n v="5.7"/>
    <x v="0"/>
    <n v="8.9"/>
    <n v="0.7"/>
    <n v="2.17"/>
    <n v="1.3"/>
    <s v="high"/>
    <n v="10"/>
    <n v="4"/>
    <n v="3"/>
    <n v="0"/>
    <m/>
  </r>
  <r>
    <n v="15"/>
    <x v="1"/>
    <n v="5.5"/>
    <x v="2"/>
    <n v="7.3"/>
    <n v="2.5"/>
    <n v="3.67"/>
    <n v="0.5"/>
    <s v="low"/>
    <n v="4"/>
    <n v="3"/>
    <n v="6"/>
    <n v="0"/>
    <m/>
  </r>
  <r>
    <n v="14"/>
    <x v="1"/>
    <n v="5.3"/>
    <x v="2"/>
    <n v="4.7"/>
    <n v="1.1000000000000001"/>
    <n v="3.68"/>
    <n v="1.8"/>
    <s v="high"/>
    <n v="10"/>
    <n v="8"/>
    <n v="10"/>
    <n v="1"/>
    <m/>
  </r>
  <r>
    <n v="15"/>
    <x v="0"/>
    <n v="2.7"/>
    <x v="0"/>
    <n v="5.4"/>
    <n v="1.6"/>
    <n v="2.34"/>
    <n v="0.3"/>
    <s v="high"/>
    <n v="2"/>
    <n v="6"/>
    <n v="8"/>
    <n v="0"/>
    <m/>
  </r>
  <r>
    <n v="14"/>
    <x v="0"/>
    <n v="6.4"/>
    <x v="0"/>
    <n v="5.6"/>
    <n v="0.8"/>
    <n v="4"/>
    <n v="1.9"/>
    <s v="medium"/>
    <n v="5"/>
    <n v="1"/>
    <n v="3"/>
    <n v="0"/>
    <m/>
  </r>
  <r>
    <n v="16"/>
    <x v="0"/>
    <n v="5"/>
    <x v="1"/>
    <n v="6.3"/>
    <n v="3"/>
    <n v="3.72"/>
    <n v="1.6"/>
    <s v="medium"/>
    <n v="5"/>
    <n v="10"/>
    <n v="3"/>
    <n v="0"/>
    <m/>
  </r>
  <r>
    <n v="13"/>
    <x v="1"/>
    <n v="2.5"/>
    <x v="0"/>
    <n v="4.5999999999999996"/>
    <n v="1.6"/>
    <n v="3.22"/>
    <n v="0.9"/>
    <s v="medium"/>
    <n v="6"/>
    <n v="4"/>
    <n v="3"/>
    <n v="0"/>
    <m/>
  </r>
  <r>
    <n v="18"/>
    <x v="0"/>
    <n v="2.2000000000000002"/>
    <x v="2"/>
    <n v="4.5"/>
    <n v="2"/>
    <n v="2.4900000000000002"/>
    <n v="0.8"/>
    <s v="high"/>
    <n v="1"/>
    <n v="7"/>
    <n v="6"/>
    <n v="0"/>
    <m/>
  </r>
  <r>
    <n v="16"/>
    <x v="0"/>
    <n v="4.0999999999999996"/>
    <x v="2"/>
    <n v="5.5"/>
    <n v="1.9"/>
    <n v="2.65"/>
    <n v="1.5"/>
    <s v="low"/>
    <n v="5"/>
    <n v="7"/>
    <n v="9"/>
    <n v="0"/>
    <m/>
  </r>
  <r>
    <n v="16"/>
    <x v="1"/>
    <n v="2.8"/>
    <x v="1"/>
    <n v="7.4"/>
    <n v="2"/>
    <n v="3.4"/>
    <n v="1.6"/>
    <s v="low"/>
    <n v="4"/>
    <n v="1"/>
    <n v="1"/>
    <n v="0"/>
    <m/>
  </r>
  <r>
    <n v="17"/>
    <x v="1"/>
    <n v="1.1000000000000001"/>
    <x v="1"/>
    <n v="8.1999999999999993"/>
    <n v="2.7"/>
    <n v="2.84"/>
    <n v="0.2"/>
    <s v="high"/>
    <n v="2"/>
    <n v="4"/>
    <n v="1"/>
    <n v="0"/>
    <m/>
  </r>
  <r>
    <n v="13"/>
    <x v="0"/>
    <n v="7"/>
    <x v="2"/>
    <n v="5.7"/>
    <n v="1.6"/>
    <n v="3.45"/>
    <n v="1.2"/>
    <s v="medium"/>
    <n v="7"/>
    <n v="1"/>
    <n v="10"/>
    <n v="0"/>
    <m/>
  </r>
  <r>
    <n v="18"/>
    <x v="0"/>
    <n v="2.6"/>
    <x v="1"/>
    <n v="7.9"/>
    <n v="2.2999999999999998"/>
    <n v="2.4300000000000002"/>
    <n v="0.1"/>
    <s v="high"/>
    <n v="5"/>
    <n v="1"/>
    <n v="6"/>
    <n v="0"/>
    <m/>
  </r>
  <r>
    <n v="13"/>
    <x v="1"/>
    <n v="2.6"/>
    <x v="1"/>
    <n v="6.1"/>
    <n v="1.4"/>
    <n v="2.11"/>
    <n v="0.4"/>
    <s v="high"/>
    <n v="7"/>
    <n v="5"/>
    <n v="10"/>
    <n v="0"/>
    <m/>
  </r>
  <r>
    <n v="14"/>
    <x v="0"/>
    <n v="3.4"/>
    <x v="0"/>
    <n v="4.5999999999999996"/>
    <n v="2"/>
    <n v="2.27"/>
    <n v="1.9"/>
    <s v="high"/>
    <n v="7"/>
    <n v="10"/>
    <n v="6"/>
    <n v="0"/>
    <m/>
  </r>
  <r>
    <n v="14"/>
    <x v="0"/>
    <n v="7.9"/>
    <x v="0"/>
    <n v="5.7"/>
    <n v="1.6"/>
    <n v="3.67"/>
    <n v="0.6"/>
    <s v="medium"/>
    <n v="4"/>
    <n v="3"/>
    <n v="4"/>
    <n v="0"/>
    <m/>
  </r>
  <r>
    <n v="13"/>
    <x v="0"/>
    <n v="5.0999999999999996"/>
    <x v="1"/>
    <n v="5.3"/>
    <n v="2.6"/>
    <n v="2.95"/>
    <n v="1.2"/>
    <s v="medium"/>
    <n v="2"/>
    <n v="6"/>
    <n v="10"/>
    <n v="0"/>
    <m/>
  </r>
  <r>
    <n v="13"/>
    <x v="1"/>
    <n v="2.8"/>
    <x v="2"/>
    <n v="6.4"/>
    <n v="1.4"/>
    <n v="2.38"/>
    <n v="1.4"/>
    <s v="medium"/>
    <n v="4"/>
    <n v="8"/>
    <n v="10"/>
    <n v="0"/>
    <m/>
  </r>
  <r>
    <n v="19"/>
    <x v="1"/>
    <n v="3.4"/>
    <x v="1"/>
    <n v="4.3"/>
    <n v="0.7"/>
    <n v="2.17"/>
    <n v="0.7"/>
    <s v="high"/>
    <n v="3"/>
    <n v="1"/>
    <n v="4"/>
    <n v="0"/>
    <m/>
  </r>
  <r>
    <n v="18"/>
    <x v="0"/>
    <n v="6.3"/>
    <x v="2"/>
    <n v="6.9"/>
    <n v="1"/>
    <n v="3.22"/>
    <n v="0.8"/>
    <s v="medium"/>
    <n v="4"/>
    <n v="6"/>
    <n v="1"/>
    <n v="0"/>
    <m/>
  </r>
  <r>
    <n v="17"/>
    <x v="1"/>
    <n v="1.1000000000000001"/>
    <x v="1"/>
    <n v="4.5999999999999996"/>
    <n v="2.5"/>
    <n v="3.93"/>
    <n v="0.3"/>
    <s v="high"/>
    <n v="10"/>
    <n v="6"/>
    <n v="2"/>
    <n v="0"/>
    <m/>
  </r>
  <r>
    <n v="19"/>
    <x v="0"/>
    <n v="3.8"/>
    <x v="0"/>
    <n v="7.1"/>
    <n v="2.5"/>
    <n v="3.81"/>
    <n v="0.9"/>
    <s v="low"/>
    <n v="6"/>
    <n v="9"/>
    <n v="4"/>
    <n v="0"/>
    <m/>
  </r>
  <r>
    <n v="13"/>
    <x v="0"/>
    <n v="2.1"/>
    <x v="0"/>
    <n v="4.0999999999999996"/>
    <n v="1.6"/>
    <n v="2.12"/>
    <n v="1.8"/>
    <s v="high"/>
    <n v="10"/>
    <n v="9"/>
    <n v="6"/>
    <n v="0"/>
    <m/>
  </r>
  <r>
    <n v="17"/>
    <x v="1"/>
    <n v="6.2"/>
    <x v="2"/>
    <n v="6.1"/>
    <n v="2.4"/>
    <n v="3.05"/>
    <n v="1.8"/>
    <s v="high"/>
    <n v="3"/>
    <n v="6"/>
    <n v="8"/>
    <n v="0"/>
    <m/>
  </r>
  <r>
    <n v="19"/>
    <x v="0"/>
    <n v="6.8"/>
    <x v="0"/>
    <n v="8.4"/>
    <n v="2.1"/>
    <n v="3.15"/>
    <n v="2"/>
    <s v="medium"/>
    <n v="4"/>
    <n v="10"/>
    <n v="1"/>
    <n v="0"/>
    <m/>
  </r>
  <r>
    <n v="14"/>
    <x v="0"/>
    <n v="5.2"/>
    <x v="0"/>
    <n v="5.5"/>
    <n v="1.6"/>
    <n v="3.08"/>
    <n v="0.5"/>
    <s v="medium"/>
    <n v="3"/>
    <n v="8"/>
    <n v="1"/>
    <n v="0"/>
    <m/>
  </r>
  <r>
    <n v="15"/>
    <x v="0"/>
    <n v="3.7"/>
    <x v="2"/>
    <n v="4"/>
    <n v="0.9"/>
    <n v="3"/>
    <n v="1.4"/>
    <s v="medium"/>
    <n v="1"/>
    <n v="8"/>
    <n v="10"/>
    <n v="0"/>
    <m/>
  </r>
  <r>
    <n v="19"/>
    <x v="0"/>
    <n v="2.4"/>
    <x v="2"/>
    <n v="7.5"/>
    <n v="1.8"/>
    <n v="2.35"/>
    <n v="1.4"/>
    <s v="low"/>
    <n v="3"/>
    <n v="8"/>
    <n v="6"/>
    <n v="0"/>
    <m/>
  </r>
  <r>
    <n v="13"/>
    <x v="0"/>
    <n v="2.1"/>
    <x v="1"/>
    <n v="5.8"/>
    <n v="2.7"/>
    <n v="3.83"/>
    <n v="1.9"/>
    <s v="low"/>
    <n v="4"/>
    <n v="6"/>
    <n v="6"/>
    <n v="0"/>
    <m/>
  </r>
  <r>
    <n v="17"/>
    <x v="1"/>
    <n v="2.6"/>
    <x v="1"/>
    <n v="4.2"/>
    <n v="0.7"/>
    <n v="3.02"/>
    <n v="1.6"/>
    <s v="low"/>
    <n v="7"/>
    <n v="4"/>
    <n v="7"/>
    <n v="0"/>
    <m/>
  </r>
  <r>
    <n v="19"/>
    <x v="0"/>
    <n v="6.5"/>
    <x v="0"/>
    <n v="6"/>
    <n v="1.5"/>
    <n v="2.12"/>
    <n v="1.7"/>
    <s v="medium"/>
    <n v="8"/>
    <n v="5"/>
    <n v="7"/>
    <n v="0"/>
    <m/>
  </r>
  <r>
    <n v="16"/>
    <x v="1"/>
    <n v="3.4"/>
    <x v="0"/>
    <n v="5.3"/>
    <n v="1.8"/>
    <n v="3.33"/>
    <n v="0.3"/>
    <s v="low"/>
    <n v="9"/>
    <n v="2"/>
    <n v="4"/>
    <n v="0"/>
    <m/>
  </r>
  <r>
    <n v="16"/>
    <x v="0"/>
    <n v="1.7"/>
    <x v="2"/>
    <n v="4.3"/>
    <n v="1.4"/>
    <n v="3.27"/>
    <n v="1.2"/>
    <s v="medium"/>
    <n v="10"/>
    <n v="4"/>
    <n v="10"/>
    <n v="0"/>
    <m/>
  </r>
  <r>
    <n v="13"/>
    <x v="0"/>
    <n v="5.6"/>
    <x v="2"/>
    <n v="4.4000000000000004"/>
    <n v="2.9"/>
    <n v="3.19"/>
    <n v="0.9"/>
    <s v="medium"/>
    <n v="6"/>
    <n v="3"/>
    <n v="4"/>
    <n v="0"/>
    <m/>
  </r>
  <r>
    <n v="15"/>
    <x v="1"/>
    <n v="8"/>
    <x v="2"/>
    <n v="5.7"/>
    <n v="1.3"/>
    <n v="3.54"/>
    <n v="0.1"/>
    <s v="high"/>
    <n v="9"/>
    <n v="7"/>
    <n v="5"/>
    <n v="1"/>
    <m/>
  </r>
  <r>
    <n v="15"/>
    <x v="1"/>
    <n v="5.7"/>
    <x v="0"/>
    <n v="8.4"/>
    <n v="1.3"/>
    <n v="2.48"/>
    <n v="0.9"/>
    <s v="high"/>
    <n v="5"/>
    <n v="2"/>
    <n v="4"/>
    <n v="0"/>
    <m/>
  </r>
  <r>
    <n v="16"/>
    <x v="1"/>
    <n v="4"/>
    <x v="1"/>
    <n v="5.4"/>
    <n v="2.7"/>
    <n v="2.88"/>
    <n v="1.2"/>
    <s v="medium"/>
    <n v="4"/>
    <n v="10"/>
    <n v="1"/>
    <n v="0"/>
    <m/>
  </r>
  <r>
    <n v="13"/>
    <x v="1"/>
    <n v="3.5"/>
    <x v="0"/>
    <n v="5.3"/>
    <n v="1.7"/>
    <n v="2.2000000000000002"/>
    <n v="0.8"/>
    <s v="high"/>
    <n v="6"/>
    <n v="10"/>
    <n v="8"/>
    <n v="0"/>
    <m/>
  </r>
  <r>
    <n v="15"/>
    <x v="1"/>
    <n v="4.2"/>
    <x v="1"/>
    <n v="5.5"/>
    <n v="1.3"/>
    <n v="3.49"/>
    <n v="0.5"/>
    <s v="low"/>
    <n v="2"/>
    <n v="5"/>
    <n v="2"/>
    <n v="0"/>
    <m/>
  </r>
  <r>
    <n v="19"/>
    <x v="1"/>
    <n v="3.9"/>
    <x v="1"/>
    <n v="7.4"/>
    <n v="2.5"/>
    <n v="3.74"/>
    <n v="0.3"/>
    <s v="medium"/>
    <n v="5"/>
    <n v="8"/>
    <n v="3"/>
    <n v="0"/>
    <m/>
  </r>
  <r>
    <n v="17"/>
    <x v="1"/>
    <n v="6.7"/>
    <x v="0"/>
    <n v="4.3"/>
    <n v="0.6"/>
    <n v="3.76"/>
    <n v="0"/>
    <s v="low"/>
    <n v="2"/>
    <n v="1"/>
    <n v="7"/>
    <n v="0"/>
    <m/>
  </r>
  <r>
    <n v="15"/>
    <x v="0"/>
    <n v="6.7"/>
    <x v="2"/>
    <n v="4.3"/>
    <n v="1.8"/>
    <n v="3.69"/>
    <n v="0.7"/>
    <s v="high"/>
    <n v="2"/>
    <n v="8"/>
    <n v="7"/>
    <n v="0"/>
    <m/>
  </r>
  <r>
    <n v="14"/>
    <x v="1"/>
    <n v="3.4"/>
    <x v="0"/>
    <n v="5.6"/>
    <n v="1.7"/>
    <n v="3.38"/>
    <n v="0.3"/>
    <s v="high"/>
    <n v="9"/>
    <n v="3"/>
    <n v="1"/>
    <n v="0"/>
    <m/>
  </r>
  <r>
    <n v="16"/>
    <x v="0"/>
    <n v="5"/>
    <x v="1"/>
    <n v="4.3"/>
    <n v="0.7"/>
    <n v="3.68"/>
    <n v="1.2"/>
    <s v="low"/>
    <n v="6"/>
    <n v="2"/>
    <n v="4"/>
    <n v="0"/>
    <m/>
  </r>
  <r>
    <n v="18"/>
    <x v="1"/>
    <n v="3.8"/>
    <x v="0"/>
    <n v="5.9"/>
    <n v="1"/>
    <n v="2.2200000000000002"/>
    <n v="0.6"/>
    <s v="low"/>
    <n v="9"/>
    <n v="10"/>
    <n v="9"/>
    <n v="0"/>
    <m/>
  </r>
  <r>
    <n v="15"/>
    <x v="1"/>
    <n v="7.3"/>
    <x v="1"/>
    <n v="7.3"/>
    <n v="2.8"/>
    <n v="2.46"/>
    <n v="0.3"/>
    <s v="low"/>
    <n v="2"/>
    <n v="7"/>
    <n v="5"/>
    <n v="0"/>
    <m/>
  </r>
  <r>
    <n v="18"/>
    <x v="1"/>
    <n v="7.2"/>
    <x v="1"/>
    <n v="5"/>
    <n v="1.4"/>
    <n v="3.65"/>
    <n v="1.1000000000000001"/>
    <s v="low"/>
    <n v="8"/>
    <n v="8"/>
    <n v="4"/>
    <n v="1"/>
    <m/>
  </r>
  <r>
    <n v="15"/>
    <x v="1"/>
    <n v="3.1"/>
    <x v="2"/>
    <n v="4.2"/>
    <n v="2.1"/>
    <n v="3.21"/>
    <n v="1.1000000000000001"/>
    <s v="medium"/>
    <n v="8"/>
    <n v="2"/>
    <n v="10"/>
    <n v="0"/>
    <m/>
  </r>
  <r>
    <n v="15"/>
    <x v="1"/>
    <n v="8"/>
    <x v="0"/>
    <n v="4.4000000000000004"/>
    <n v="0.7"/>
    <n v="2.62"/>
    <n v="1.6"/>
    <s v="high"/>
    <n v="6"/>
    <n v="7"/>
    <n v="2"/>
    <n v="0"/>
    <m/>
  </r>
  <r>
    <n v="15"/>
    <x v="0"/>
    <n v="4.3"/>
    <x v="0"/>
    <n v="7.5"/>
    <n v="1.1000000000000001"/>
    <n v="2.06"/>
    <n v="1.8"/>
    <s v="medium"/>
    <n v="5"/>
    <n v="7"/>
    <n v="2"/>
    <n v="0"/>
    <m/>
  </r>
  <r>
    <n v="14"/>
    <x v="1"/>
    <n v="4"/>
    <x v="1"/>
    <n v="5.0999999999999996"/>
    <n v="1.1000000000000001"/>
    <n v="3.98"/>
    <n v="1.3"/>
    <s v="medium"/>
    <n v="5"/>
    <n v="4"/>
    <n v="9"/>
    <n v="0"/>
    <m/>
  </r>
  <r>
    <n v="15"/>
    <x v="0"/>
    <n v="6.9"/>
    <x v="1"/>
    <n v="5.6"/>
    <n v="1.4"/>
    <n v="2.09"/>
    <n v="0.7"/>
    <s v="low"/>
    <n v="9"/>
    <n v="5"/>
    <n v="9"/>
    <n v="0"/>
    <m/>
  </r>
  <r>
    <n v="13"/>
    <x v="0"/>
    <n v="7"/>
    <x v="1"/>
    <n v="4.4000000000000004"/>
    <n v="0.9"/>
    <n v="3.67"/>
    <n v="0.4"/>
    <s v="low"/>
    <n v="5"/>
    <n v="3"/>
    <n v="6"/>
    <n v="0"/>
    <m/>
  </r>
  <r>
    <n v="13"/>
    <x v="0"/>
    <n v="6.2"/>
    <x v="0"/>
    <n v="8.6"/>
    <n v="1.8"/>
    <n v="2.19"/>
    <n v="0.7"/>
    <s v="high"/>
    <n v="8"/>
    <n v="4"/>
    <n v="7"/>
    <n v="0"/>
    <m/>
  </r>
  <r>
    <n v="15"/>
    <x v="0"/>
    <n v="7.7"/>
    <x v="0"/>
    <n v="8"/>
    <n v="1.3"/>
    <n v="3.78"/>
    <n v="1.1000000000000001"/>
    <s v="medium"/>
    <n v="1"/>
    <n v="6"/>
    <n v="5"/>
    <n v="0"/>
    <m/>
  </r>
  <r>
    <n v="19"/>
    <x v="1"/>
    <n v="5.0999999999999996"/>
    <x v="2"/>
    <n v="6.3"/>
    <n v="2.2999999999999998"/>
    <n v="2.5499999999999998"/>
    <n v="2"/>
    <s v="medium"/>
    <n v="6"/>
    <n v="9"/>
    <n v="7"/>
    <n v="0"/>
    <m/>
  </r>
  <r>
    <n v="15"/>
    <x v="0"/>
    <n v="1"/>
    <x v="1"/>
    <n v="8.5"/>
    <n v="2"/>
    <n v="3.77"/>
    <n v="1.9"/>
    <s v="high"/>
    <n v="4"/>
    <n v="1"/>
    <n v="7"/>
    <n v="0"/>
    <m/>
  </r>
  <r>
    <n v="15"/>
    <x v="1"/>
    <n v="1.1000000000000001"/>
    <x v="0"/>
    <n v="4.5999999999999996"/>
    <n v="1.8"/>
    <n v="2.35"/>
    <n v="1.1000000000000001"/>
    <s v="medium"/>
    <n v="10"/>
    <n v="6"/>
    <n v="6"/>
    <n v="0"/>
    <m/>
  </r>
  <r>
    <n v="13"/>
    <x v="1"/>
    <n v="7"/>
    <x v="0"/>
    <n v="4.9000000000000004"/>
    <n v="1.2"/>
    <n v="3.61"/>
    <n v="0.2"/>
    <s v="medium"/>
    <n v="2"/>
    <n v="3"/>
    <n v="5"/>
    <n v="0"/>
    <m/>
  </r>
  <r>
    <n v="15"/>
    <x v="1"/>
    <n v="2.7"/>
    <x v="2"/>
    <n v="7.8"/>
    <n v="1.8"/>
    <n v="3.9"/>
    <n v="1.4"/>
    <s v="low"/>
    <n v="5"/>
    <n v="8"/>
    <n v="9"/>
    <n v="0"/>
    <m/>
  </r>
  <r>
    <n v="18"/>
    <x v="0"/>
    <n v="2.5"/>
    <x v="0"/>
    <n v="4.2"/>
    <n v="1.4"/>
    <n v="3.9"/>
    <n v="0.7"/>
    <s v="high"/>
    <n v="5"/>
    <n v="2"/>
    <n v="3"/>
    <n v="0"/>
    <m/>
  </r>
  <r>
    <n v="18"/>
    <x v="1"/>
    <n v="2.2999999999999998"/>
    <x v="1"/>
    <n v="4.3"/>
    <n v="0.9"/>
    <n v="3.27"/>
    <n v="0.1"/>
    <s v="high"/>
    <n v="5"/>
    <n v="9"/>
    <n v="10"/>
    <n v="0"/>
    <m/>
  </r>
  <r>
    <n v="17"/>
    <x v="1"/>
    <n v="2.7"/>
    <x v="1"/>
    <n v="6.6"/>
    <n v="1.6"/>
    <n v="3.36"/>
    <n v="1.6"/>
    <s v="high"/>
    <n v="3"/>
    <n v="1"/>
    <n v="2"/>
    <n v="0"/>
    <m/>
  </r>
  <r>
    <n v="14"/>
    <x v="0"/>
    <n v="3.2"/>
    <x v="0"/>
    <n v="5.4"/>
    <n v="2.6"/>
    <n v="3.18"/>
    <n v="0.9"/>
    <s v="low"/>
    <n v="9"/>
    <n v="1"/>
    <n v="7"/>
    <n v="0"/>
    <m/>
  </r>
  <r>
    <n v="18"/>
    <x v="1"/>
    <n v="3.8"/>
    <x v="2"/>
    <n v="5.3"/>
    <n v="2.2999999999999998"/>
    <n v="3.42"/>
    <n v="0.4"/>
    <s v="low"/>
    <n v="4"/>
    <n v="8"/>
    <n v="2"/>
    <n v="0"/>
    <m/>
  </r>
  <r>
    <n v="14"/>
    <x v="1"/>
    <n v="4.0999999999999996"/>
    <x v="1"/>
    <n v="5.4"/>
    <n v="2.4"/>
    <n v="2.71"/>
    <n v="1.3"/>
    <s v="low"/>
    <n v="9"/>
    <n v="5"/>
    <n v="10"/>
    <n v="0"/>
    <m/>
  </r>
  <r>
    <n v="13"/>
    <x v="1"/>
    <n v="2.2999999999999998"/>
    <x v="1"/>
    <n v="6.6"/>
    <n v="1.4"/>
    <n v="3.74"/>
    <n v="1.5"/>
    <s v="medium"/>
    <n v="6"/>
    <n v="10"/>
    <n v="1"/>
    <n v="0"/>
    <m/>
  </r>
  <r>
    <n v="15"/>
    <x v="0"/>
    <n v="8"/>
    <x v="0"/>
    <n v="4.7"/>
    <n v="0.6"/>
    <n v="3.01"/>
    <n v="1.8"/>
    <s v="medium"/>
    <n v="2"/>
    <n v="9"/>
    <n v="10"/>
    <n v="0"/>
    <m/>
  </r>
  <r>
    <n v="15"/>
    <x v="1"/>
    <n v="2.9"/>
    <x v="1"/>
    <n v="6.4"/>
    <n v="0.7"/>
    <n v="3.41"/>
    <n v="1.6"/>
    <s v="low"/>
    <n v="3"/>
    <n v="10"/>
    <n v="7"/>
    <n v="0"/>
    <m/>
  </r>
  <r>
    <n v="19"/>
    <x v="1"/>
    <n v="4.4000000000000004"/>
    <x v="2"/>
    <n v="5"/>
    <n v="2.8"/>
    <n v="2.69"/>
    <n v="0.4"/>
    <s v="high"/>
    <n v="3"/>
    <n v="8"/>
    <n v="8"/>
    <n v="0"/>
    <m/>
  </r>
  <r>
    <n v="18"/>
    <x v="1"/>
    <n v="3.1"/>
    <x v="2"/>
    <n v="6.8"/>
    <n v="2"/>
    <n v="3.77"/>
    <n v="1.4"/>
    <s v="low"/>
    <n v="1"/>
    <n v="3"/>
    <n v="4"/>
    <n v="0"/>
    <m/>
  </r>
  <r>
    <n v="18"/>
    <x v="0"/>
    <n v="7.9"/>
    <x v="1"/>
    <n v="7.5"/>
    <n v="2"/>
    <n v="2.77"/>
    <n v="0.9"/>
    <s v="low"/>
    <n v="10"/>
    <n v="4"/>
    <n v="4"/>
    <n v="0"/>
    <m/>
  </r>
  <r>
    <n v="14"/>
    <x v="1"/>
    <n v="1.2"/>
    <x v="2"/>
    <n v="7"/>
    <n v="2.2000000000000002"/>
    <n v="3.83"/>
    <n v="0.8"/>
    <s v="low"/>
    <n v="6"/>
    <n v="10"/>
    <n v="5"/>
    <n v="0"/>
    <m/>
  </r>
  <r>
    <n v="19"/>
    <x v="1"/>
    <n v="4"/>
    <x v="2"/>
    <n v="7.4"/>
    <n v="2.7"/>
    <n v="3.41"/>
    <n v="1.4"/>
    <s v="medium"/>
    <n v="9"/>
    <n v="4"/>
    <n v="7"/>
    <n v="0"/>
    <m/>
  </r>
  <r>
    <n v="18"/>
    <x v="0"/>
    <n v="1"/>
    <x v="0"/>
    <n v="7.1"/>
    <n v="0.8"/>
    <n v="2.4700000000000002"/>
    <n v="1.9"/>
    <s v="high"/>
    <n v="4"/>
    <n v="2"/>
    <n v="4"/>
    <n v="0"/>
    <m/>
  </r>
  <r>
    <n v="19"/>
    <x v="1"/>
    <n v="7.9"/>
    <x v="0"/>
    <n v="5.7"/>
    <n v="2.4"/>
    <n v="3.59"/>
    <n v="1.9"/>
    <s v="high"/>
    <n v="1"/>
    <n v="9"/>
    <n v="9"/>
    <n v="0"/>
    <m/>
  </r>
  <r>
    <n v="14"/>
    <x v="0"/>
    <n v="6.2"/>
    <x v="1"/>
    <n v="4.4000000000000004"/>
    <n v="0.7"/>
    <n v="3.45"/>
    <n v="0.5"/>
    <s v="medium"/>
    <n v="9"/>
    <n v="10"/>
    <n v="3"/>
    <n v="1"/>
    <m/>
  </r>
  <r>
    <n v="16"/>
    <x v="1"/>
    <n v="2.5"/>
    <x v="0"/>
    <n v="5.4"/>
    <n v="2.2999999999999998"/>
    <n v="3.43"/>
    <n v="0.5"/>
    <s v="high"/>
    <n v="9"/>
    <n v="1"/>
    <n v="2"/>
    <n v="0"/>
    <m/>
  </r>
  <r>
    <n v="16"/>
    <x v="0"/>
    <n v="4.7"/>
    <x v="2"/>
    <n v="8.1999999999999993"/>
    <n v="2.6"/>
    <n v="3.05"/>
    <n v="1"/>
    <s v="medium"/>
    <n v="4"/>
    <n v="7"/>
    <n v="2"/>
    <n v="0"/>
    <m/>
  </r>
  <r>
    <n v="16"/>
    <x v="0"/>
    <n v="6.3"/>
    <x v="0"/>
    <n v="6.5"/>
    <n v="1"/>
    <n v="2.52"/>
    <n v="0.4"/>
    <s v="low"/>
    <n v="1"/>
    <n v="10"/>
    <n v="6"/>
    <n v="0"/>
    <m/>
  </r>
  <r>
    <n v="17"/>
    <x v="1"/>
    <n v="7.5"/>
    <x v="1"/>
    <n v="5.4"/>
    <n v="2.2999999999999998"/>
    <n v="3.44"/>
    <n v="0.4"/>
    <s v="medium"/>
    <n v="7"/>
    <n v="9"/>
    <n v="7"/>
    <n v="1"/>
    <m/>
  </r>
  <r>
    <n v="18"/>
    <x v="0"/>
    <n v="2"/>
    <x v="1"/>
    <n v="8.4"/>
    <n v="1.5"/>
    <n v="2.83"/>
    <n v="1.2"/>
    <s v="low"/>
    <n v="9"/>
    <n v="4"/>
    <n v="5"/>
    <n v="0"/>
    <m/>
  </r>
  <r>
    <n v="13"/>
    <x v="1"/>
    <n v="6.3"/>
    <x v="0"/>
    <n v="8.4"/>
    <n v="1.6"/>
    <n v="2.0299999999999998"/>
    <n v="1.5"/>
    <s v="medium"/>
    <n v="5"/>
    <n v="3"/>
    <n v="9"/>
    <n v="0"/>
    <m/>
  </r>
  <r>
    <n v="16"/>
    <x v="0"/>
    <n v="6.6"/>
    <x v="2"/>
    <n v="8.9"/>
    <n v="2"/>
    <n v="3.44"/>
    <n v="1.7"/>
    <s v="low"/>
    <n v="10"/>
    <n v="9"/>
    <n v="3"/>
    <n v="0"/>
    <m/>
  </r>
  <r>
    <n v="19"/>
    <x v="1"/>
    <n v="3.6"/>
    <x v="2"/>
    <n v="5.6"/>
    <n v="1.7"/>
    <n v="3.57"/>
    <n v="1.5"/>
    <s v="low"/>
    <n v="10"/>
    <n v="4"/>
    <n v="3"/>
    <n v="0"/>
    <m/>
  </r>
  <r>
    <n v="16"/>
    <x v="1"/>
    <n v="3.2"/>
    <x v="2"/>
    <n v="4.5999999999999996"/>
    <n v="2.5"/>
    <n v="2.62"/>
    <n v="1.8"/>
    <s v="low"/>
    <n v="9"/>
    <n v="5"/>
    <n v="1"/>
    <n v="0"/>
    <m/>
  </r>
  <r>
    <n v="13"/>
    <x v="1"/>
    <n v="3.1"/>
    <x v="0"/>
    <n v="6.4"/>
    <n v="1.6"/>
    <n v="3.69"/>
    <n v="0.9"/>
    <s v="medium"/>
    <n v="1"/>
    <n v="2"/>
    <n v="1"/>
    <n v="0"/>
    <m/>
  </r>
  <r>
    <n v="18"/>
    <x v="0"/>
    <n v="6.7"/>
    <x v="0"/>
    <n v="8.8000000000000007"/>
    <n v="1.9"/>
    <n v="2.5499999999999998"/>
    <n v="1"/>
    <s v="low"/>
    <n v="5"/>
    <n v="8"/>
    <n v="3"/>
    <n v="0"/>
    <m/>
  </r>
  <r>
    <n v="17"/>
    <x v="0"/>
    <n v="6.6"/>
    <x v="1"/>
    <n v="8.1999999999999993"/>
    <n v="0.7"/>
    <n v="2.88"/>
    <n v="0.8"/>
    <s v="low"/>
    <n v="1"/>
    <n v="7"/>
    <n v="7"/>
    <n v="0"/>
    <m/>
  </r>
  <r>
    <n v="14"/>
    <x v="1"/>
    <n v="7"/>
    <x v="0"/>
    <n v="4.5"/>
    <n v="1.6"/>
    <n v="2.83"/>
    <n v="0.4"/>
    <s v="medium"/>
    <n v="8"/>
    <n v="1"/>
    <n v="7"/>
    <n v="0"/>
    <m/>
  </r>
  <r>
    <n v="16"/>
    <x v="1"/>
    <n v="4.8"/>
    <x v="2"/>
    <n v="5.0999999999999996"/>
    <n v="2.1"/>
    <n v="2.4900000000000002"/>
    <n v="1.6"/>
    <s v="low"/>
    <n v="4"/>
    <n v="9"/>
    <n v="1"/>
    <n v="0"/>
    <m/>
  </r>
  <r>
    <n v="13"/>
    <x v="1"/>
    <n v="5.8"/>
    <x v="0"/>
    <n v="6.3"/>
    <n v="1.1000000000000001"/>
    <n v="3.09"/>
    <n v="0.9"/>
    <s v="medium"/>
    <n v="8"/>
    <n v="4"/>
    <n v="9"/>
    <n v="0"/>
    <m/>
  </r>
  <r>
    <n v="19"/>
    <x v="1"/>
    <n v="6"/>
    <x v="2"/>
    <n v="6.3"/>
    <n v="2.8"/>
    <n v="3.98"/>
    <n v="2"/>
    <s v="medium"/>
    <n v="2"/>
    <n v="6"/>
    <n v="2"/>
    <n v="0"/>
    <m/>
  </r>
  <r>
    <n v="15"/>
    <x v="0"/>
    <n v="4"/>
    <x v="2"/>
    <n v="5.2"/>
    <n v="1.8"/>
    <n v="3.3"/>
    <n v="0.7"/>
    <s v="medium"/>
    <n v="10"/>
    <n v="5"/>
    <n v="1"/>
    <n v="0"/>
    <m/>
  </r>
  <r>
    <n v="14"/>
    <x v="1"/>
    <n v="5.8"/>
    <x v="2"/>
    <n v="4.8"/>
    <n v="2.6"/>
    <n v="2.08"/>
    <n v="0.8"/>
    <s v="medium"/>
    <n v="6"/>
    <n v="4"/>
    <n v="9"/>
    <n v="0"/>
    <m/>
  </r>
  <r>
    <n v="19"/>
    <x v="0"/>
    <n v="5.2"/>
    <x v="0"/>
    <n v="7.6"/>
    <n v="1.3"/>
    <n v="3.89"/>
    <n v="1.5"/>
    <s v="high"/>
    <n v="4"/>
    <n v="5"/>
    <n v="8"/>
    <n v="0"/>
    <m/>
  </r>
  <r>
    <n v="17"/>
    <x v="0"/>
    <n v="2.9"/>
    <x v="2"/>
    <n v="6.7"/>
    <n v="1.5"/>
    <n v="3.62"/>
    <n v="0.8"/>
    <s v="medium"/>
    <n v="10"/>
    <n v="6"/>
    <n v="4"/>
    <n v="0"/>
    <m/>
  </r>
  <r>
    <n v="18"/>
    <x v="1"/>
    <n v="7.5"/>
    <x v="1"/>
    <n v="7.5"/>
    <n v="1.4"/>
    <n v="3.14"/>
    <n v="2"/>
    <s v="low"/>
    <n v="2"/>
    <n v="9"/>
    <n v="2"/>
    <n v="0"/>
    <m/>
  </r>
  <r>
    <n v="13"/>
    <x v="1"/>
    <n v="5.8"/>
    <x v="0"/>
    <n v="6.1"/>
    <n v="1.2"/>
    <n v="3.81"/>
    <n v="1.8"/>
    <s v="medium"/>
    <n v="6"/>
    <n v="10"/>
    <n v="6"/>
    <n v="0"/>
    <m/>
  </r>
  <r>
    <n v="14"/>
    <x v="0"/>
    <n v="7.6"/>
    <x v="0"/>
    <n v="5.8"/>
    <n v="1.9"/>
    <n v="3.49"/>
    <n v="1.7"/>
    <s v="high"/>
    <n v="10"/>
    <n v="1"/>
    <n v="3"/>
    <n v="0"/>
    <m/>
  </r>
  <r>
    <n v="15"/>
    <x v="1"/>
    <n v="1.3"/>
    <x v="1"/>
    <n v="7.6"/>
    <n v="0.6"/>
    <n v="3.46"/>
    <n v="1.9"/>
    <s v="low"/>
    <n v="1"/>
    <n v="1"/>
    <n v="4"/>
    <n v="0"/>
    <m/>
  </r>
  <r>
    <n v="15"/>
    <x v="0"/>
    <n v="3.7"/>
    <x v="2"/>
    <n v="5.7"/>
    <n v="1.3"/>
    <n v="3.24"/>
    <n v="0.2"/>
    <s v="low"/>
    <n v="4"/>
    <n v="9"/>
    <n v="10"/>
    <n v="0"/>
    <m/>
  </r>
  <r>
    <n v="18"/>
    <x v="0"/>
    <n v="3.6"/>
    <x v="0"/>
    <n v="4.7"/>
    <n v="2.5"/>
    <n v="2.73"/>
    <n v="1.2"/>
    <s v="medium"/>
    <n v="9"/>
    <n v="7"/>
    <n v="6"/>
    <n v="0"/>
    <m/>
  </r>
  <r>
    <n v="15"/>
    <x v="0"/>
    <n v="6.4"/>
    <x v="1"/>
    <n v="6.9"/>
    <n v="2.9"/>
    <n v="2.48"/>
    <n v="0.9"/>
    <s v="low"/>
    <n v="8"/>
    <n v="4"/>
    <n v="8"/>
    <n v="0"/>
    <m/>
  </r>
  <r>
    <n v="13"/>
    <x v="0"/>
    <n v="6"/>
    <x v="1"/>
    <n v="4.8"/>
    <n v="2.6"/>
    <n v="2.74"/>
    <n v="1.6"/>
    <s v="high"/>
    <n v="6"/>
    <n v="10"/>
    <n v="8"/>
    <n v="0"/>
    <m/>
  </r>
  <r>
    <n v="14"/>
    <x v="1"/>
    <n v="1.3"/>
    <x v="1"/>
    <n v="7.7"/>
    <n v="1.9"/>
    <n v="2.27"/>
    <n v="1.5"/>
    <s v="low"/>
    <n v="7"/>
    <n v="2"/>
    <n v="2"/>
    <n v="0"/>
    <m/>
  </r>
  <r>
    <n v="18"/>
    <x v="0"/>
    <n v="3.7"/>
    <x v="0"/>
    <n v="7"/>
    <n v="1.4"/>
    <n v="2.0499999999999998"/>
    <n v="0.4"/>
    <s v="medium"/>
    <n v="10"/>
    <n v="9"/>
    <n v="5"/>
    <n v="0"/>
    <m/>
  </r>
  <r>
    <n v="18"/>
    <x v="1"/>
    <n v="8"/>
    <x v="1"/>
    <n v="4.3"/>
    <n v="0.8"/>
    <n v="3.44"/>
    <n v="0.8"/>
    <s v="medium"/>
    <n v="3"/>
    <n v="4"/>
    <n v="4"/>
    <n v="0"/>
    <m/>
  </r>
  <r>
    <n v="19"/>
    <x v="1"/>
    <n v="4.0999999999999996"/>
    <x v="2"/>
    <n v="7.5"/>
    <n v="2.7"/>
    <n v="2.66"/>
    <n v="1.6"/>
    <s v="high"/>
    <n v="5"/>
    <n v="10"/>
    <n v="5"/>
    <n v="0"/>
    <m/>
  </r>
  <r>
    <n v="13"/>
    <x v="0"/>
    <n v="3.9"/>
    <x v="2"/>
    <n v="8.6999999999999993"/>
    <n v="1.5"/>
    <n v="2.71"/>
    <n v="0.7"/>
    <s v="low"/>
    <n v="7"/>
    <n v="1"/>
    <n v="4"/>
    <n v="0"/>
    <m/>
  </r>
  <r>
    <n v="15"/>
    <x v="1"/>
    <n v="6.4"/>
    <x v="0"/>
    <n v="5.9"/>
    <n v="1.6"/>
    <n v="3.97"/>
    <n v="1"/>
    <s v="high"/>
    <n v="10"/>
    <n v="2"/>
    <n v="6"/>
    <n v="0"/>
    <m/>
  </r>
  <r>
    <n v="19"/>
    <x v="1"/>
    <n v="1.3"/>
    <x v="1"/>
    <n v="6.5"/>
    <n v="2.1"/>
    <n v="3.68"/>
    <n v="1.1000000000000001"/>
    <s v="high"/>
    <n v="7"/>
    <n v="1"/>
    <n v="9"/>
    <n v="0"/>
    <m/>
  </r>
  <r>
    <n v="18"/>
    <x v="1"/>
    <n v="5"/>
    <x v="0"/>
    <n v="6.6"/>
    <n v="1.8"/>
    <n v="3.87"/>
    <n v="1.2"/>
    <s v="high"/>
    <n v="3"/>
    <n v="4"/>
    <n v="2"/>
    <n v="0"/>
    <m/>
  </r>
  <r>
    <n v="18"/>
    <x v="0"/>
    <n v="5.5"/>
    <x v="2"/>
    <n v="5.2"/>
    <n v="1.4"/>
    <n v="3.24"/>
    <n v="0.9"/>
    <s v="medium"/>
    <n v="10"/>
    <n v="5"/>
    <n v="7"/>
    <n v="0"/>
    <m/>
  </r>
  <r>
    <n v="13"/>
    <x v="1"/>
    <n v="7.6"/>
    <x v="0"/>
    <n v="7.9"/>
    <n v="3"/>
    <n v="2.54"/>
    <n v="1.2"/>
    <s v="high"/>
    <n v="8"/>
    <n v="8"/>
    <n v="1"/>
    <n v="0"/>
    <m/>
  </r>
  <r>
    <n v="19"/>
    <x v="1"/>
    <n v="6.3"/>
    <x v="2"/>
    <n v="5.7"/>
    <n v="2.2999999999999998"/>
    <n v="2.16"/>
    <n v="1.9"/>
    <s v="high"/>
    <n v="6"/>
    <n v="3"/>
    <n v="6"/>
    <n v="0"/>
    <m/>
  </r>
  <r>
    <n v="18"/>
    <x v="1"/>
    <n v="2"/>
    <x v="0"/>
    <n v="5.9"/>
    <n v="2.9"/>
    <n v="3.52"/>
    <n v="1.1000000000000001"/>
    <s v="high"/>
    <n v="8"/>
    <n v="6"/>
    <n v="10"/>
    <n v="0"/>
    <m/>
  </r>
  <r>
    <n v="15"/>
    <x v="0"/>
    <n v="4"/>
    <x v="1"/>
    <n v="4.5"/>
    <n v="1.9"/>
    <n v="3.22"/>
    <n v="0.2"/>
    <s v="medium"/>
    <n v="4"/>
    <n v="5"/>
    <n v="3"/>
    <n v="0"/>
    <m/>
  </r>
  <r>
    <n v="14"/>
    <x v="0"/>
    <n v="4.9000000000000004"/>
    <x v="0"/>
    <n v="5.5"/>
    <n v="1.6"/>
    <n v="2.85"/>
    <n v="0.4"/>
    <s v="low"/>
    <n v="8"/>
    <n v="1"/>
    <n v="8"/>
    <n v="0"/>
    <m/>
  </r>
  <r>
    <n v="14"/>
    <x v="1"/>
    <n v="6.9"/>
    <x v="1"/>
    <n v="8"/>
    <n v="1.6"/>
    <n v="2.64"/>
    <n v="0.1"/>
    <s v="medium"/>
    <n v="3"/>
    <n v="3"/>
    <n v="3"/>
    <n v="0"/>
    <m/>
  </r>
  <r>
    <n v="15"/>
    <x v="0"/>
    <n v="5.4"/>
    <x v="1"/>
    <n v="4.2"/>
    <n v="1.8"/>
    <n v="2.15"/>
    <n v="0.3"/>
    <s v="medium"/>
    <n v="1"/>
    <n v="10"/>
    <n v="5"/>
    <n v="0"/>
    <m/>
  </r>
  <r>
    <n v="13"/>
    <x v="1"/>
    <n v="3.8"/>
    <x v="2"/>
    <n v="8.9"/>
    <n v="2.5"/>
    <n v="2.29"/>
    <n v="0.6"/>
    <s v="high"/>
    <n v="9"/>
    <n v="9"/>
    <n v="7"/>
    <n v="0"/>
    <m/>
  </r>
  <r>
    <n v="15"/>
    <x v="0"/>
    <n v="7.8"/>
    <x v="2"/>
    <n v="6.8"/>
    <n v="0.6"/>
    <n v="3.2"/>
    <n v="1.7"/>
    <s v="medium"/>
    <n v="1"/>
    <n v="7"/>
    <n v="5"/>
    <n v="0"/>
    <m/>
  </r>
  <r>
    <n v="15"/>
    <x v="0"/>
    <n v="3.5"/>
    <x v="2"/>
    <n v="8.8000000000000007"/>
    <n v="1.8"/>
    <n v="3.5"/>
    <n v="0.8"/>
    <s v="low"/>
    <n v="3"/>
    <n v="6"/>
    <n v="3"/>
    <n v="0"/>
    <m/>
  </r>
  <r>
    <n v="19"/>
    <x v="1"/>
    <n v="5.4"/>
    <x v="0"/>
    <n v="7.3"/>
    <n v="2"/>
    <n v="3.98"/>
    <n v="0.9"/>
    <s v="medium"/>
    <n v="6"/>
    <n v="6"/>
    <n v="1"/>
    <n v="0"/>
    <m/>
  </r>
  <r>
    <n v="17"/>
    <x v="0"/>
    <n v="3.8"/>
    <x v="2"/>
    <n v="5.7"/>
    <n v="2"/>
    <n v="3.01"/>
    <n v="1"/>
    <s v="low"/>
    <n v="1"/>
    <n v="3"/>
    <n v="1"/>
    <n v="0"/>
    <m/>
  </r>
  <r>
    <n v="17"/>
    <x v="0"/>
    <n v="8"/>
    <x v="0"/>
    <n v="6.9"/>
    <n v="2.2000000000000002"/>
    <n v="2.36"/>
    <n v="1.6"/>
    <s v="low"/>
    <n v="4"/>
    <n v="2"/>
    <n v="8"/>
    <n v="0"/>
    <m/>
  </r>
  <r>
    <n v="14"/>
    <x v="1"/>
    <n v="3.7"/>
    <x v="1"/>
    <n v="5.7"/>
    <n v="1.7"/>
    <n v="2.88"/>
    <n v="0.2"/>
    <s v="low"/>
    <n v="9"/>
    <n v="10"/>
    <n v="3"/>
    <n v="0"/>
    <m/>
  </r>
  <r>
    <n v="19"/>
    <x v="1"/>
    <n v="5"/>
    <x v="0"/>
    <n v="6.3"/>
    <n v="2.9"/>
    <n v="2.04"/>
    <n v="0.5"/>
    <s v="medium"/>
    <n v="5"/>
    <n v="2"/>
    <n v="2"/>
    <n v="0"/>
    <m/>
  </r>
  <r>
    <n v="19"/>
    <x v="1"/>
    <n v="4.2"/>
    <x v="0"/>
    <n v="7.1"/>
    <n v="2.5"/>
    <n v="3.91"/>
    <n v="1.5"/>
    <s v="high"/>
    <n v="6"/>
    <n v="8"/>
    <n v="9"/>
    <n v="0"/>
    <m/>
  </r>
  <r>
    <n v="16"/>
    <x v="0"/>
    <n v="4.5999999999999996"/>
    <x v="0"/>
    <n v="8.1999999999999993"/>
    <n v="1.5"/>
    <n v="2.13"/>
    <n v="1"/>
    <s v="low"/>
    <n v="3"/>
    <n v="2"/>
    <n v="2"/>
    <n v="0"/>
    <m/>
  </r>
  <r>
    <n v="18"/>
    <x v="0"/>
    <n v="5.5"/>
    <x v="0"/>
    <n v="5"/>
    <n v="0.9"/>
    <n v="2.93"/>
    <n v="1.1000000000000001"/>
    <s v="low"/>
    <n v="4"/>
    <n v="10"/>
    <n v="10"/>
    <n v="0"/>
    <m/>
  </r>
  <r>
    <n v="19"/>
    <x v="1"/>
    <n v="1.8"/>
    <x v="0"/>
    <n v="4.5"/>
    <n v="2.8"/>
    <n v="3.22"/>
    <n v="1.6"/>
    <s v="medium"/>
    <n v="5"/>
    <n v="3"/>
    <n v="10"/>
    <n v="0"/>
    <m/>
  </r>
  <r>
    <n v="14"/>
    <x v="1"/>
    <n v="6.6"/>
    <x v="1"/>
    <n v="6.2"/>
    <n v="1.8"/>
    <n v="2.36"/>
    <n v="1.7"/>
    <s v="high"/>
    <n v="4"/>
    <n v="1"/>
    <n v="8"/>
    <n v="0"/>
    <m/>
  </r>
  <r>
    <n v="15"/>
    <x v="1"/>
    <n v="4.4000000000000004"/>
    <x v="1"/>
    <n v="5.3"/>
    <n v="0.9"/>
    <n v="3.75"/>
    <n v="0.5"/>
    <s v="high"/>
    <n v="10"/>
    <n v="5"/>
    <n v="5"/>
    <n v="0"/>
    <m/>
  </r>
  <r>
    <n v="14"/>
    <x v="1"/>
    <n v="4.7"/>
    <x v="1"/>
    <n v="4.4000000000000004"/>
    <n v="2.1"/>
    <n v="3.92"/>
    <n v="0.9"/>
    <s v="low"/>
    <n v="10"/>
    <n v="1"/>
    <n v="4"/>
    <n v="0"/>
    <m/>
  </r>
  <r>
    <n v="18"/>
    <x v="1"/>
    <n v="7.1"/>
    <x v="0"/>
    <n v="5.7"/>
    <n v="0.6"/>
    <n v="2.9"/>
    <n v="1.7"/>
    <s v="medium"/>
    <n v="3"/>
    <n v="1"/>
    <n v="6"/>
    <n v="0"/>
    <m/>
  </r>
  <r>
    <n v="17"/>
    <x v="0"/>
    <n v="4"/>
    <x v="2"/>
    <n v="8.5"/>
    <n v="1"/>
    <n v="2.16"/>
    <n v="0.1"/>
    <s v="low"/>
    <n v="1"/>
    <n v="7"/>
    <n v="5"/>
    <n v="0"/>
    <m/>
  </r>
  <r>
    <n v="18"/>
    <x v="1"/>
    <n v="5.5"/>
    <x v="0"/>
    <n v="5.3"/>
    <n v="2.6"/>
    <n v="3.09"/>
    <n v="2"/>
    <s v="low"/>
    <n v="8"/>
    <n v="6"/>
    <n v="3"/>
    <n v="0"/>
    <m/>
  </r>
  <r>
    <n v="19"/>
    <x v="0"/>
    <n v="5.6"/>
    <x v="1"/>
    <n v="6.5"/>
    <n v="1.4"/>
    <n v="3.19"/>
    <n v="0"/>
    <s v="high"/>
    <n v="9"/>
    <n v="9"/>
    <n v="7"/>
    <n v="0"/>
    <m/>
  </r>
  <r>
    <n v="14"/>
    <x v="1"/>
    <n v="3.7"/>
    <x v="2"/>
    <n v="7.1"/>
    <n v="1.7"/>
    <n v="2.5"/>
    <n v="1.8"/>
    <s v="medium"/>
    <n v="10"/>
    <n v="4"/>
    <n v="5"/>
    <n v="0"/>
    <m/>
  </r>
  <r>
    <n v="16"/>
    <x v="0"/>
    <n v="1.8"/>
    <x v="1"/>
    <n v="7.4"/>
    <n v="2.2999999999999998"/>
    <n v="3.76"/>
    <n v="0.8"/>
    <s v="low"/>
    <n v="9"/>
    <n v="5"/>
    <n v="8"/>
    <n v="0"/>
    <m/>
  </r>
  <r>
    <n v="16"/>
    <x v="1"/>
    <n v="7.6"/>
    <x v="1"/>
    <n v="4.2"/>
    <n v="2.8"/>
    <n v="3.87"/>
    <n v="0.7"/>
    <s v="high"/>
    <n v="10"/>
    <n v="2"/>
    <n v="9"/>
    <n v="0"/>
    <m/>
  </r>
  <r>
    <n v="18"/>
    <x v="0"/>
    <n v="5.7"/>
    <x v="1"/>
    <n v="8"/>
    <n v="2.5"/>
    <n v="3.4"/>
    <n v="0.1"/>
    <s v="low"/>
    <n v="5"/>
    <n v="2"/>
    <n v="1"/>
    <n v="0"/>
    <m/>
  </r>
  <r>
    <n v="14"/>
    <x v="1"/>
    <n v="6.1"/>
    <x v="0"/>
    <n v="7"/>
    <n v="2.7"/>
    <n v="3.97"/>
    <n v="1"/>
    <s v="medium"/>
    <n v="1"/>
    <n v="8"/>
    <n v="8"/>
    <n v="0"/>
    <m/>
  </r>
  <r>
    <n v="13"/>
    <x v="1"/>
    <n v="6"/>
    <x v="0"/>
    <n v="7.2"/>
    <n v="0.6"/>
    <n v="2.11"/>
    <n v="1.1000000000000001"/>
    <s v="low"/>
    <n v="1"/>
    <n v="3"/>
    <n v="6"/>
    <n v="0"/>
    <m/>
  </r>
  <r>
    <n v="15"/>
    <x v="1"/>
    <n v="3.1"/>
    <x v="1"/>
    <n v="4.2"/>
    <n v="2.4"/>
    <n v="3.41"/>
    <n v="0.2"/>
    <s v="low"/>
    <n v="3"/>
    <n v="7"/>
    <n v="5"/>
    <n v="0"/>
    <m/>
  </r>
  <r>
    <n v="17"/>
    <x v="0"/>
    <n v="7.6"/>
    <x v="0"/>
    <n v="6"/>
    <n v="2"/>
    <n v="3.82"/>
    <n v="1.5"/>
    <s v="low"/>
    <n v="8"/>
    <n v="9"/>
    <n v="7"/>
    <n v="0"/>
    <m/>
  </r>
  <r>
    <n v="17"/>
    <x v="0"/>
    <n v="6"/>
    <x v="2"/>
    <n v="5.3"/>
    <n v="2.7"/>
    <n v="3.2"/>
    <n v="1.4"/>
    <s v="medium"/>
    <n v="8"/>
    <n v="2"/>
    <n v="4"/>
    <n v="0"/>
    <m/>
  </r>
  <r>
    <n v="13"/>
    <x v="1"/>
    <n v="3.5"/>
    <x v="0"/>
    <n v="5.3"/>
    <n v="2.7"/>
    <n v="3.7"/>
    <n v="0.5"/>
    <s v="low"/>
    <n v="3"/>
    <n v="7"/>
    <n v="2"/>
    <n v="0"/>
    <m/>
  </r>
  <r>
    <n v="14"/>
    <x v="1"/>
    <n v="1.3"/>
    <x v="1"/>
    <n v="7.5"/>
    <n v="1.4"/>
    <n v="3.85"/>
    <n v="1.6"/>
    <s v="medium"/>
    <n v="10"/>
    <n v="8"/>
    <n v="7"/>
    <n v="0"/>
    <m/>
  </r>
  <r>
    <n v="18"/>
    <x v="1"/>
    <n v="2.8"/>
    <x v="1"/>
    <n v="7"/>
    <n v="2.9"/>
    <n v="3.91"/>
    <n v="1.1000000000000001"/>
    <s v="medium"/>
    <n v="9"/>
    <n v="9"/>
    <n v="1"/>
    <n v="0"/>
    <m/>
  </r>
  <r>
    <n v="14"/>
    <x v="0"/>
    <n v="3.9"/>
    <x v="2"/>
    <n v="4.8"/>
    <n v="0.8"/>
    <n v="3.32"/>
    <n v="0.3"/>
    <s v="high"/>
    <n v="5"/>
    <n v="2"/>
    <n v="5"/>
    <n v="0"/>
    <m/>
  </r>
  <r>
    <n v="19"/>
    <x v="0"/>
    <n v="3.9"/>
    <x v="2"/>
    <n v="4.8"/>
    <n v="2.8"/>
    <n v="3.98"/>
    <n v="1.9"/>
    <s v="medium"/>
    <n v="7"/>
    <n v="5"/>
    <n v="3"/>
    <n v="0"/>
    <m/>
  </r>
  <r>
    <n v="14"/>
    <x v="0"/>
    <n v="7.4"/>
    <x v="0"/>
    <n v="8.9"/>
    <n v="2.4"/>
    <n v="2.29"/>
    <n v="1.1000000000000001"/>
    <s v="low"/>
    <n v="10"/>
    <n v="4"/>
    <n v="8"/>
    <n v="0"/>
    <m/>
  </r>
  <r>
    <n v="19"/>
    <x v="1"/>
    <n v="5.4"/>
    <x v="1"/>
    <n v="7.4"/>
    <n v="1.7"/>
    <n v="2.88"/>
    <n v="0.6"/>
    <s v="low"/>
    <n v="6"/>
    <n v="10"/>
    <n v="9"/>
    <n v="0"/>
    <m/>
  </r>
  <r>
    <n v="19"/>
    <x v="1"/>
    <n v="6.6"/>
    <x v="2"/>
    <n v="6.8"/>
    <n v="0.8"/>
    <n v="2.64"/>
    <n v="1.5"/>
    <s v="low"/>
    <n v="5"/>
    <n v="4"/>
    <n v="6"/>
    <n v="0"/>
    <m/>
  </r>
  <r>
    <n v="17"/>
    <x v="0"/>
    <n v="5.9"/>
    <x v="0"/>
    <n v="7.4"/>
    <n v="1.7"/>
    <n v="2.5"/>
    <n v="0.7"/>
    <s v="high"/>
    <n v="6"/>
    <n v="7"/>
    <n v="1"/>
    <n v="0"/>
    <m/>
  </r>
  <r>
    <n v="17"/>
    <x v="0"/>
    <n v="3.3"/>
    <x v="2"/>
    <n v="5.2"/>
    <n v="1.8"/>
    <n v="2.1"/>
    <n v="1.2"/>
    <s v="low"/>
    <n v="2"/>
    <n v="3"/>
    <n v="9"/>
    <n v="0"/>
    <m/>
  </r>
  <r>
    <n v="15"/>
    <x v="1"/>
    <n v="2.8"/>
    <x v="0"/>
    <n v="7.7"/>
    <n v="1"/>
    <n v="3.73"/>
    <n v="0.5"/>
    <s v="medium"/>
    <n v="6"/>
    <n v="10"/>
    <n v="1"/>
    <n v="0"/>
    <m/>
  </r>
  <r>
    <n v="14"/>
    <x v="1"/>
    <n v="7.3"/>
    <x v="1"/>
    <n v="8.8000000000000007"/>
    <n v="2.5"/>
    <n v="2.12"/>
    <n v="0.5"/>
    <s v="high"/>
    <n v="10"/>
    <n v="10"/>
    <n v="1"/>
    <n v="0"/>
    <m/>
  </r>
  <r>
    <n v="18"/>
    <x v="0"/>
    <n v="2.8"/>
    <x v="0"/>
    <n v="6.9"/>
    <n v="2.2999999999999998"/>
    <n v="3.11"/>
    <n v="0.1"/>
    <s v="medium"/>
    <n v="7"/>
    <n v="1"/>
    <n v="9"/>
    <n v="0"/>
    <m/>
  </r>
  <r>
    <n v="18"/>
    <x v="1"/>
    <n v="7.2"/>
    <x v="1"/>
    <n v="7.7"/>
    <n v="1.2"/>
    <n v="3.7"/>
    <n v="0.1"/>
    <s v="low"/>
    <n v="6"/>
    <n v="3"/>
    <n v="9"/>
    <n v="0"/>
    <m/>
  </r>
  <r>
    <n v="19"/>
    <x v="1"/>
    <n v="7.1"/>
    <x v="1"/>
    <n v="6.3"/>
    <n v="0.8"/>
    <n v="3.66"/>
    <n v="0.5"/>
    <s v="high"/>
    <n v="3"/>
    <n v="7"/>
    <n v="7"/>
    <n v="0"/>
    <m/>
  </r>
  <r>
    <n v="13"/>
    <x v="1"/>
    <n v="4.3"/>
    <x v="1"/>
    <n v="4.4000000000000004"/>
    <n v="0.9"/>
    <n v="2.35"/>
    <n v="1.5"/>
    <s v="high"/>
    <n v="3"/>
    <n v="1"/>
    <n v="7"/>
    <n v="0"/>
    <m/>
  </r>
  <r>
    <n v="19"/>
    <x v="0"/>
    <n v="1.6"/>
    <x v="2"/>
    <n v="4.4000000000000004"/>
    <n v="1.4"/>
    <n v="2.0299999999999998"/>
    <n v="1.1000000000000001"/>
    <s v="high"/>
    <n v="2"/>
    <n v="9"/>
    <n v="5"/>
    <n v="0"/>
    <m/>
  </r>
  <r>
    <n v="19"/>
    <x v="1"/>
    <n v="1.4"/>
    <x v="2"/>
    <n v="8"/>
    <n v="2.5"/>
    <n v="3.54"/>
    <n v="1.8"/>
    <s v="low"/>
    <n v="4"/>
    <n v="8"/>
    <n v="3"/>
    <n v="0"/>
    <m/>
  </r>
  <r>
    <n v="18"/>
    <x v="1"/>
    <n v="3.2"/>
    <x v="0"/>
    <n v="6.8"/>
    <n v="2.2999999999999998"/>
    <n v="3.16"/>
    <n v="1.8"/>
    <s v="low"/>
    <n v="4"/>
    <n v="8"/>
    <n v="5"/>
    <n v="0"/>
    <m/>
  </r>
  <r>
    <n v="17"/>
    <x v="0"/>
    <n v="1.5"/>
    <x v="2"/>
    <n v="8"/>
    <n v="0.5"/>
    <n v="3.01"/>
    <n v="0.4"/>
    <s v="medium"/>
    <n v="10"/>
    <n v="2"/>
    <n v="3"/>
    <n v="0"/>
    <m/>
  </r>
  <r>
    <n v="18"/>
    <x v="0"/>
    <n v="7.5"/>
    <x v="1"/>
    <n v="5.0999999999999996"/>
    <n v="2.6"/>
    <n v="3.82"/>
    <n v="0.7"/>
    <s v="low"/>
    <n v="7"/>
    <n v="3"/>
    <n v="8"/>
    <n v="0"/>
    <m/>
  </r>
  <r>
    <n v="14"/>
    <x v="1"/>
    <n v="3.5"/>
    <x v="0"/>
    <n v="4.5999999999999996"/>
    <n v="0.7"/>
    <n v="2.74"/>
    <n v="1"/>
    <s v="low"/>
    <n v="2"/>
    <n v="7"/>
    <n v="8"/>
    <n v="0"/>
    <m/>
  </r>
  <r>
    <n v="17"/>
    <x v="0"/>
    <n v="4.4000000000000004"/>
    <x v="2"/>
    <n v="8.1999999999999993"/>
    <n v="2.7"/>
    <n v="3.13"/>
    <n v="0.3"/>
    <s v="medium"/>
    <n v="3"/>
    <n v="1"/>
    <n v="2"/>
    <n v="0"/>
    <m/>
  </r>
  <r>
    <n v="17"/>
    <x v="0"/>
    <n v="4.5999999999999996"/>
    <x v="1"/>
    <n v="5.0999999999999996"/>
    <n v="2.5"/>
    <n v="2.13"/>
    <n v="1"/>
    <s v="medium"/>
    <n v="2"/>
    <n v="5"/>
    <n v="6"/>
    <n v="0"/>
    <m/>
  </r>
  <r>
    <n v="13"/>
    <x v="0"/>
    <n v="5.9"/>
    <x v="1"/>
    <n v="6.6"/>
    <n v="2.6"/>
    <n v="3.58"/>
    <n v="1.6"/>
    <s v="medium"/>
    <n v="7"/>
    <n v="7"/>
    <n v="10"/>
    <n v="0"/>
    <m/>
  </r>
  <r>
    <n v="16"/>
    <x v="1"/>
    <n v="7.8"/>
    <x v="1"/>
    <n v="4.7"/>
    <n v="1.1000000000000001"/>
    <n v="3.53"/>
    <n v="2"/>
    <s v="medium"/>
    <n v="9"/>
    <n v="3"/>
    <n v="8"/>
    <n v="0"/>
    <m/>
  </r>
  <r>
    <n v="15"/>
    <x v="1"/>
    <n v="4.8"/>
    <x v="1"/>
    <n v="7.3"/>
    <n v="1.9"/>
    <n v="2.76"/>
    <n v="0.9"/>
    <s v="high"/>
    <n v="2"/>
    <n v="10"/>
    <n v="1"/>
    <n v="0"/>
    <m/>
  </r>
  <r>
    <n v="16"/>
    <x v="1"/>
    <n v="7.4"/>
    <x v="1"/>
    <n v="4.5999999999999996"/>
    <n v="1"/>
    <n v="2.23"/>
    <n v="1.1000000000000001"/>
    <s v="low"/>
    <n v="2"/>
    <n v="4"/>
    <n v="5"/>
    <n v="0"/>
    <m/>
  </r>
  <r>
    <n v="18"/>
    <x v="0"/>
    <n v="2.7"/>
    <x v="0"/>
    <n v="7.9"/>
    <n v="1.2"/>
    <n v="2.75"/>
    <n v="1.9"/>
    <s v="medium"/>
    <n v="5"/>
    <n v="8"/>
    <n v="3"/>
    <n v="0"/>
    <m/>
  </r>
  <r>
    <n v="13"/>
    <x v="1"/>
    <n v="5.3"/>
    <x v="1"/>
    <n v="6.4"/>
    <n v="1.1000000000000001"/>
    <n v="3.32"/>
    <n v="1.9"/>
    <s v="medium"/>
    <n v="8"/>
    <n v="5"/>
    <n v="10"/>
    <n v="0"/>
    <m/>
  </r>
  <r>
    <n v="16"/>
    <x v="1"/>
    <n v="3.6"/>
    <x v="2"/>
    <n v="4.4000000000000004"/>
    <n v="2.4"/>
    <n v="2.5299999999999998"/>
    <n v="0.7"/>
    <s v="medium"/>
    <n v="1"/>
    <n v="7"/>
    <n v="5"/>
    <n v="0"/>
    <m/>
  </r>
  <r>
    <n v="18"/>
    <x v="0"/>
    <n v="2.5"/>
    <x v="2"/>
    <n v="5.7"/>
    <n v="2.1"/>
    <n v="3.33"/>
    <n v="0.6"/>
    <s v="low"/>
    <n v="8"/>
    <n v="4"/>
    <n v="6"/>
    <n v="0"/>
    <m/>
  </r>
  <r>
    <n v="15"/>
    <x v="0"/>
    <n v="4.5"/>
    <x v="2"/>
    <n v="7"/>
    <n v="1.5"/>
    <n v="3.16"/>
    <n v="1.7"/>
    <s v="medium"/>
    <n v="4"/>
    <n v="7"/>
    <n v="10"/>
    <n v="0"/>
    <m/>
  </r>
  <r>
    <n v="18"/>
    <x v="1"/>
    <n v="1.9"/>
    <x v="2"/>
    <n v="5.0999999999999996"/>
    <n v="2.9"/>
    <n v="2.62"/>
    <n v="1"/>
    <s v="low"/>
    <n v="4"/>
    <n v="3"/>
    <n v="2"/>
    <n v="0"/>
    <m/>
  </r>
  <r>
    <n v="17"/>
    <x v="0"/>
    <n v="3.8"/>
    <x v="0"/>
    <n v="7.7"/>
    <n v="0.7"/>
    <n v="3.45"/>
    <n v="1"/>
    <s v="low"/>
    <n v="2"/>
    <n v="8"/>
    <n v="9"/>
    <n v="0"/>
    <m/>
  </r>
  <r>
    <n v="18"/>
    <x v="1"/>
    <n v="3.9"/>
    <x v="2"/>
    <n v="4"/>
    <n v="1.8"/>
    <n v="2.19"/>
    <n v="1.4"/>
    <s v="high"/>
    <n v="1"/>
    <n v="2"/>
    <n v="5"/>
    <n v="0"/>
    <m/>
  </r>
  <r>
    <n v="17"/>
    <x v="1"/>
    <n v="1.1000000000000001"/>
    <x v="2"/>
    <n v="8.6999999999999993"/>
    <n v="2.1"/>
    <n v="3.01"/>
    <n v="0.7"/>
    <s v="medium"/>
    <n v="1"/>
    <n v="1"/>
    <n v="3"/>
    <n v="0"/>
    <m/>
  </r>
  <r>
    <n v="15"/>
    <x v="1"/>
    <n v="3.9"/>
    <x v="2"/>
    <n v="8.6999999999999993"/>
    <n v="1.1000000000000001"/>
    <n v="2.82"/>
    <n v="0.3"/>
    <s v="high"/>
    <n v="5"/>
    <n v="10"/>
    <n v="6"/>
    <n v="0"/>
    <m/>
  </r>
  <r>
    <n v="16"/>
    <x v="0"/>
    <n v="8"/>
    <x v="0"/>
    <n v="8.1"/>
    <n v="2.5"/>
    <n v="2.7"/>
    <n v="1.7"/>
    <s v="medium"/>
    <n v="4"/>
    <n v="5"/>
    <n v="7"/>
    <n v="0"/>
    <m/>
  </r>
  <r>
    <n v="14"/>
    <x v="1"/>
    <n v="1.2"/>
    <x v="1"/>
    <n v="8.5"/>
    <n v="2.2999999999999998"/>
    <n v="3.91"/>
    <n v="1.8"/>
    <s v="high"/>
    <n v="1"/>
    <n v="8"/>
    <n v="1"/>
    <n v="0"/>
    <m/>
  </r>
  <r>
    <n v="15"/>
    <x v="0"/>
    <n v="2.2000000000000002"/>
    <x v="0"/>
    <n v="6.1"/>
    <n v="0.9"/>
    <n v="3.81"/>
    <n v="0.1"/>
    <s v="high"/>
    <n v="2"/>
    <n v="7"/>
    <n v="3"/>
    <n v="0"/>
    <m/>
  </r>
  <r>
    <n v="15"/>
    <x v="1"/>
    <n v="4.2"/>
    <x v="1"/>
    <n v="6.8"/>
    <n v="1.4"/>
    <n v="2.0099999999999998"/>
    <n v="1"/>
    <s v="low"/>
    <n v="6"/>
    <n v="6"/>
    <n v="4"/>
    <n v="0"/>
    <m/>
  </r>
  <r>
    <n v="19"/>
    <x v="0"/>
    <n v="6"/>
    <x v="2"/>
    <n v="5.6"/>
    <n v="1.1000000000000001"/>
    <n v="2.4300000000000002"/>
    <n v="1.7"/>
    <s v="medium"/>
    <n v="1"/>
    <n v="3"/>
    <n v="3"/>
    <n v="0"/>
    <m/>
  </r>
  <r>
    <n v="19"/>
    <x v="0"/>
    <n v="5.4"/>
    <x v="0"/>
    <n v="4.9000000000000004"/>
    <n v="0.6"/>
    <n v="3.17"/>
    <n v="0"/>
    <s v="low"/>
    <n v="5"/>
    <n v="6"/>
    <n v="10"/>
    <n v="0"/>
    <m/>
  </r>
  <r>
    <n v="15"/>
    <x v="1"/>
    <n v="2.7"/>
    <x v="1"/>
    <n v="7.6"/>
    <n v="2.5"/>
    <n v="2.37"/>
    <n v="1.9"/>
    <s v="high"/>
    <n v="1"/>
    <n v="8"/>
    <n v="7"/>
    <n v="0"/>
    <m/>
  </r>
  <r>
    <n v="19"/>
    <x v="1"/>
    <n v="1.9"/>
    <x v="2"/>
    <n v="6.2"/>
    <n v="0.9"/>
    <n v="2.4700000000000002"/>
    <n v="1.4"/>
    <s v="low"/>
    <n v="5"/>
    <n v="6"/>
    <n v="7"/>
    <n v="0"/>
    <m/>
  </r>
  <r>
    <n v="14"/>
    <x v="0"/>
    <n v="1.5"/>
    <x v="2"/>
    <n v="6.8"/>
    <n v="0.8"/>
    <n v="3.14"/>
    <n v="0"/>
    <s v="medium"/>
    <n v="4"/>
    <n v="5"/>
    <n v="8"/>
    <n v="0"/>
    <m/>
  </r>
  <r>
    <n v="17"/>
    <x v="1"/>
    <n v="2.6"/>
    <x v="1"/>
    <n v="4.8"/>
    <n v="0.7"/>
    <n v="2.52"/>
    <n v="1.8"/>
    <s v="medium"/>
    <n v="9"/>
    <n v="6"/>
    <n v="6"/>
    <n v="0"/>
    <m/>
  </r>
  <r>
    <n v="16"/>
    <x v="0"/>
    <n v="1.2"/>
    <x v="0"/>
    <n v="7.3"/>
    <n v="1"/>
    <n v="2.36"/>
    <n v="1.1000000000000001"/>
    <s v="medium"/>
    <n v="5"/>
    <n v="3"/>
    <n v="6"/>
    <n v="0"/>
    <m/>
  </r>
  <r>
    <n v="18"/>
    <x v="1"/>
    <n v="1.8"/>
    <x v="2"/>
    <n v="7.8"/>
    <n v="2"/>
    <n v="2.67"/>
    <n v="0.8"/>
    <s v="low"/>
    <n v="4"/>
    <n v="6"/>
    <n v="3"/>
    <n v="0"/>
    <m/>
  </r>
  <r>
    <n v="19"/>
    <x v="0"/>
    <n v="4.8"/>
    <x v="2"/>
    <n v="7.5"/>
    <n v="1"/>
    <n v="2.68"/>
    <n v="1.5"/>
    <s v="low"/>
    <n v="9"/>
    <n v="4"/>
    <n v="6"/>
    <n v="0"/>
    <m/>
  </r>
  <r>
    <n v="19"/>
    <x v="0"/>
    <n v="2.1"/>
    <x v="2"/>
    <n v="5.6"/>
    <n v="2.4"/>
    <n v="3.56"/>
    <n v="1"/>
    <s v="high"/>
    <n v="9"/>
    <n v="3"/>
    <n v="4"/>
    <n v="0"/>
    <m/>
  </r>
  <r>
    <n v="15"/>
    <x v="0"/>
    <n v="4.4000000000000004"/>
    <x v="0"/>
    <n v="6"/>
    <n v="0.5"/>
    <n v="3.33"/>
    <n v="0.7"/>
    <s v="medium"/>
    <n v="1"/>
    <n v="6"/>
    <n v="10"/>
    <n v="0"/>
    <m/>
  </r>
  <r>
    <n v="14"/>
    <x v="0"/>
    <n v="2.8"/>
    <x v="2"/>
    <n v="4.3"/>
    <n v="3"/>
    <n v="2.14"/>
    <n v="1.9"/>
    <s v="medium"/>
    <n v="9"/>
    <n v="3"/>
    <n v="7"/>
    <n v="0"/>
    <m/>
  </r>
  <r>
    <n v="15"/>
    <x v="0"/>
    <n v="3.5"/>
    <x v="1"/>
    <n v="4.5"/>
    <n v="2.7"/>
    <n v="2.4700000000000002"/>
    <n v="1.4"/>
    <s v="low"/>
    <n v="1"/>
    <n v="5"/>
    <n v="10"/>
    <n v="0"/>
    <m/>
  </r>
  <r>
    <n v="15"/>
    <x v="0"/>
    <n v="6.8"/>
    <x v="2"/>
    <n v="6.6"/>
    <n v="2.1"/>
    <n v="3.43"/>
    <n v="1.7"/>
    <s v="low"/>
    <n v="10"/>
    <n v="10"/>
    <n v="8"/>
    <n v="0"/>
    <m/>
  </r>
  <r>
    <n v="14"/>
    <x v="0"/>
    <n v="7"/>
    <x v="0"/>
    <n v="5.2"/>
    <n v="1.4"/>
    <n v="3.27"/>
    <n v="1.7"/>
    <s v="medium"/>
    <n v="5"/>
    <n v="7"/>
    <n v="8"/>
    <n v="0"/>
    <m/>
  </r>
  <r>
    <n v="17"/>
    <x v="1"/>
    <n v="7.5"/>
    <x v="2"/>
    <n v="8.1"/>
    <n v="2.8"/>
    <n v="2.58"/>
    <n v="0.5"/>
    <s v="medium"/>
    <n v="2"/>
    <n v="2"/>
    <n v="3"/>
    <n v="0"/>
    <m/>
  </r>
  <r>
    <n v="17"/>
    <x v="1"/>
    <n v="2.5"/>
    <x v="0"/>
    <n v="4.4000000000000004"/>
    <n v="2"/>
    <n v="3.29"/>
    <n v="0.7"/>
    <s v="low"/>
    <n v="4"/>
    <n v="6"/>
    <n v="5"/>
    <n v="0"/>
    <m/>
  </r>
  <r>
    <n v="15"/>
    <x v="0"/>
    <n v="6.5"/>
    <x v="1"/>
    <n v="5.4"/>
    <n v="2.1"/>
    <n v="3.44"/>
    <n v="1.8"/>
    <s v="low"/>
    <n v="7"/>
    <n v="3"/>
    <n v="6"/>
    <n v="0"/>
    <m/>
  </r>
  <r>
    <n v="13"/>
    <x v="0"/>
    <n v="7.7"/>
    <x v="0"/>
    <n v="4.4000000000000004"/>
    <n v="2"/>
    <n v="3.09"/>
    <n v="1"/>
    <s v="high"/>
    <n v="8"/>
    <n v="7"/>
    <n v="8"/>
    <n v="1"/>
    <m/>
  </r>
  <r>
    <n v="18"/>
    <x v="1"/>
    <n v="3.2"/>
    <x v="2"/>
    <n v="7.8"/>
    <n v="0.7"/>
    <n v="3.46"/>
    <n v="1.3"/>
    <s v="low"/>
    <n v="5"/>
    <n v="10"/>
    <n v="6"/>
    <n v="0"/>
    <m/>
  </r>
  <r>
    <n v="16"/>
    <x v="1"/>
    <n v="5.3"/>
    <x v="1"/>
    <n v="4.3"/>
    <n v="1.5"/>
    <n v="2.54"/>
    <n v="0.3"/>
    <s v="high"/>
    <n v="7"/>
    <n v="7"/>
    <n v="10"/>
    <n v="1"/>
    <m/>
  </r>
  <r>
    <n v="14"/>
    <x v="0"/>
    <n v="5"/>
    <x v="1"/>
    <n v="5.2"/>
    <n v="0.5"/>
    <n v="3.55"/>
    <n v="0.4"/>
    <s v="low"/>
    <n v="10"/>
    <n v="6"/>
    <n v="8"/>
    <n v="0"/>
    <m/>
  </r>
  <r>
    <n v="19"/>
    <x v="0"/>
    <n v="6.1"/>
    <x v="0"/>
    <n v="7.1"/>
    <n v="2.2999999999999998"/>
    <n v="3.22"/>
    <n v="0.5"/>
    <s v="low"/>
    <n v="4"/>
    <n v="3"/>
    <n v="7"/>
    <n v="0"/>
    <m/>
  </r>
  <r>
    <n v="17"/>
    <x v="0"/>
    <n v="4.2"/>
    <x v="1"/>
    <n v="7.3"/>
    <n v="2.6"/>
    <n v="3.2"/>
    <n v="0.2"/>
    <s v="high"/>
    <n v="7"/>
    <n v="1"/>
    <n v="3"/>
    <n v="0"/>
    <m/>
  </r>
  <r>
    <n v="15"/>
    <x v="0"/>
    <n v="4.7"/>
    <x v="0"/>
    <n v="8.1999999999999993"/>
    <n v="2.2999999999999998"/>
    <n v="3.35"/>
    <n v="0.6"/>
    <s v="low"/>
    <n v="6"/>
    <n v="2"/>
    <n v="5"/>
    <n v="0"/>
    <m/>
  </r>
  <r>
    <n v="18"/>
    <x v="0"/>
    <n v="1.6"/>
    <x v="1"/>
    <n v="5.8"/>
    <n v="0.6"/>
    <n v="3.63"/>
    <n v="1.1000000000000001"/>
    <s v="high"/>
    <n v="6"/>
    <n v="9"/>
    <n v="7"/>
    <n v="0"/>
    <m/>
  </r>
  <r>
    <n v="14"/>
    <x v="1"/>
    <n v="1.7"/>
    <x v="1"/>
    <n v="6.5"/>
    <n v="2.7"/>
    <n v="2.06"/>
    <n v="0.1"/>
    <s v="medium"/>
    <n v="9"/>
    <n v="5"/>
    <n v="9"/>
    <n v="0"/>
    <m/>
  </r>
  <r>
    <n v="18"/>
    <x v="0"/>
    <n v="4.5999999999999996"/>
    <x v="0"/>
    <n v="4.0999999999999996"/>
    <n v="1.4"/>
    <n v="2.2799999999999998"/>
    <n v="0.4"/>
    <s v="medium"/>
    <n v="4"/>
    <n v="10"/>
    <n v="10"/>
    <n v="0"/>
    <m/>
  </r>
  <r>
    <n v="13"/>
    <x v="1"/>
    <n v="2.5"/>
    <x v="1"/>
    <n v="6.8"/>
    <n v="2.8"/>
    <n v="2.77"/>
    <n v="0.5"/>
    <s v="low"/>
    <n v="2"/>
    <n v="6"/>
    <n v="10"/>
    <n v="0"/>
    <m/>
  </r>
  <r>
    <n v="16"/>
    <x v="1"/>
    <n v="4.2"/>
    <x v="1"/>
    <n v="6.3"/>
    <n v="1.2"/>
    <n v="3.72"/>
    <n v="1.9"/>
    <s v="low"/>
    <n v="5"/>
    <n v="3"/>
    <n v="7"/>
    <n v="0"/>
    <m/>
  </r>
  <r>
    <n v="19"/>
    <x v="1"/>
    <n v="1.2"/>
    <x v="1"/>
    <n v="4.8"/>
    <n v="1.7"/>
    <n v="2.16"/>
    <n v="0.6"/>
    <s v="medium"/>
    <n v="10"/>
    <n v="10"/>
    <n v="10"/>
    <n v="0"/>
    <m/>
  </r>
  <r>
    <n v="15"/>
    <x v="0"/>
    <n v="2.7"/>
    <x v="0"/>
    <n v="7.2"/>
    <n v="2.9"/>
    <n v="3.27"/>
    <n v="0.8"/>
    <s v="medium"/>
    <n v="5"/>
    <n v="2"/>
    <n v="9"/>
    <n v="0"/>
    <m/>
  </r>
  <r>
    <n v="13"/>
    <x v="0"/>
    <n v="1.5"/>
    <x v="2"/>
    <n v="5.2"/>
    <n v="0.8"/>
    <n v="2.16"/>
    <n v="0.9"/>
    <s v="medium"/>
    <n v="10"/>
    <n v="6"/>
    <n v="8"/>
    <n v="0"/>
    <m/>
  </r>
  <r>
    <n v="15"/>
    <x v="0"/>
    <n v="3.2"/>
    <x v="0"/>
    <n v="5.6"/>
    <n v="0.7"/>
    <n v="3.1"/>
    <n v="1.5"/>
    <s v="high"/>
    <n v="6"/>
    <n v="3"/>
    <n v="1"/>
    <n v="0"/>
    <m/>
  </r>
  <r>
    <n v="19"/>
    <x v="1"/>
    <n v="7.3"/>
    <x v="2"/>
    <n v="7.4"/>
    <n v="1.5"/>
    <n v="2.84"/>
    <n v="1"/>
    <s v="medium"/>
    <n v="9"/>
    <n v="8"/>
    <n v="5"/>
    <n v="0"/>
    <m/>
  </r>
  <r>
    <n v="16"/>
    <x v="0"/>
    <n v="2"/>
    <x v="0"/>
    <n v="8.1999999999999993"/>
    <n v="1"/>
    <n v="3.15"/>
    <n v="0.9"/>
    <s v="medium"/>
    <n v="9"/>
    <n v="7"/>
    <n v="10"/>
    <n v="0"/>
    <m/>
  </r>
  <r>
    <n v="19"/>
    <x v="0"/>
    <n v="2.5"/>
    <x v="1"/>
    <n v="7.1"/>
    <n v="1.9"/>
    <n v="2.35"/>
    <n v="1.1000000000000001"/>
    <s v="low"/>
    <n v="4"/>
    <n v="4"/>
    <n v="8"/>
    <n v="0"/>
    <m/>
  </r>
  <r>
    <n v="16"/>
    <x v="1"/>
    <n v="7.7"/>
    <x v="0"/>
    <n v="4.7"/>
    <n v="2.9"/>
    <n v="2.17"/>
    <n v="1.2"/>
    <s v="medium"/>
    <n v="5"/>
    <n v="7"/>
    <n v="6"/>
    <n v="0"/>
    <m/>
  </r>
  <r>
    <n v="19"/>
    <x v="1"/>
    <n v="3.9"/>
    <x v="2"/>
    <n v="7.9"/>
    <n v="2.1"/>
    <n v="3.52"/>
    <n v="0.6"/>
    <s v="high"/>
    <n v="3"/>
    <n v="2"/>
    <n v="4"/>
    <n v="0"/>
    <m/>
  </r>
  <r>
    <n v="16"/>
    <x v="1"/>
    <n v="3.5"/>
    <x v="1"/>
    <n v="6.1"/>
    <n v="2.7"/>
    <n v="3.83"/>
    <n v="0.1"/>
    <s v="medium"/>
    <n v="4"/>
    <n v="5"/>
    <n v="10"/>
    <n v="0"/>
    <m/>
  </r>
  <r>
    <n v="17"/>
    <x v="0"/>
    <n v="4.9000000000000004"/>
    <x v="0"/>
    <n v="6.4"/>
    <n v="2.5"/>
    <n v="2.64"/>
    <n v="1.9"/>
    <s v="medium"/>
    <n v="6"/>
    <n v="2"/>
    <n v="10"/>
    <n v="0"/>
    <m/>
  </r>
  <r>
    <n v="14"/>
    <x v="0"/>
    <n v="3.4"/>
    <x v="2"/>
    <n v="5.8"/>
    <n v="3"/>
    <n v="3.32"/>
    <n v="0.6"/>
    <s v="medium"/>
    <n v="1"/>
    <n v="4"/>
    <n v="4"/>
    <n v="0"/>
    <m/>
  </r>
  <r>
    <n v="18"/>
    <x v="0"/>
    <n v="2.5"/>
    <x v="1"/>
    <n v="4.5999999999999996"/>
    <n v="2.2000000000000002"/>
    <n v="2.0499999999999998"/>
    <n v="0.7"/>
    <s v="medium"/>
    <n v="9"/>
    <n v="5"/>
    <n v="10"/>
    <n v="0"/>
    <m/>
  </r>
  <r>
    <n v="16"/>
    <x v="0"/>
    <n v="4.8"/>
    <x v="2"/>
    <n v="5.4"/>
    <n v="0.9"/>
    <n v="2.06"/>
    <n v="1.9"/>
    <s v="low"/>
    <n v="8"/>
    <n v="3"/>
    <n v="2"/>
    <n v="0"/>
    <m/>
  </r>
  <r>
    <n v="19"/>
    <x v="0"/>
    <n v="7.4"/>
    <x v="1"/>
    <n v="6.1"/>
    <n v="1.1000000000000001"/>
    <n v="2.15"/>
    <n v="1.6"/>
    <s v="high"/>
    <n v="4"/>
    <n v="4"/>
    <n v="1"/>
    <n v="0"/>
    <m/>
  </r>
  <r>
    <n v="16"/>
    <x v="1"/>
    <n v="2.1"/>
    <x v="0"/>
    <n v="4.8"/>
    <n v="1.3"/>
    <n v="2.29"/>
    <n v="1.8"/>
    <s v="high"/>
    <n v="6"/>
    <n v="9"/>
    <n v="2"/>
    <n v="0"/>
    <m/>
  </r>
  <r>
    <n v="19"/>
    <x v="0"/>
    <n v="2.1"/>
    <x v="1"/>
    <n v="6.8"/>
    <n v="2.2000000000000002"/>
    <n v="2.33"/>
    <n v="1"/>
    <s v="medium"/>
    <n v="7"/>
    <n v="6"/>
    <n v="7"/>
    <n v="0"/>
    <m/>
  </r>
  <r>
    <n v="16"/>
    <x v="0"/>
    <n v="1.8"/>
    <x v="0"/>
    <n v="4.9000000000000004"/>
    <n v="2.2999999999999998"/>
    <n v="2.67"/>
    <n v="1.4"/>
    <s v="medium"/>
    <n v="3"/>
    <n v="8"/>
    <n v="6"/>
    <n v="0"/>
    <m/>
  </r>
  <r>
    <n v="18"/>
    <x v="0"/>
    <n v="6.8"/>
    <x v="2"/>
    <n v="5.4"/>
    <n v="0.9"/>
    <n v="2.64"/>
    <n v="0.3"/>
    <s v="high"/>
    <n v="9"/>
    <n v="1"/>
    <n v="8"/>
    <n v="0"/>
    <m/>
  </r>
  <r>
    <n v="18"/>
    <x v="0"/>
    <n v="7.9"/>
    <x v="0"/>
    <n v="4.0999999999999996"/>
    <n v="2.8"/>
    <n v="3.25"/>
    <n v="1.4"/>
    <s v="high"/>
    <n v="4"/>
    <n v="2"/>
    <n v="4"/>
    <n v="0"/>
    <m/>
  </r>
  <r>
    <n v="15"/>
    <x v="0"/>
    <n v="7.6"/>
    <x v="2"/>
    <n v="6"/>
    <n v="2.9"/>
    <n v="2.72"/>
    <n v="1.8"/>
    <s v="high"/>
    <n v="1"/>
    <n v="9"/>
    <n v="6"/>
    <n v="0"/>
    <m/>
  </r>
  <r>
    <n v="18"/>
    <x v="0"/>
    <n v="6.1"/>
    <x v="1"/>
    <n v="5.8"/>
    <n v="1.8"/>
    <n v="3.59"/>
    <n v="0.2"/>
    <s v="low"/>
    <n v="2"/>
    <n v="5"/>
    <n v="4"/>
    <n v="0"/>
    <m/>
  </r>
  <r>
    <n v="16"/>
    <x v="1"/>
    <n v="1.4"/>
    <x v="2"/>
    <n v="5.7"/>
    <n v="1.8"/>
    <n v="2"/>
    <n v="1.4"/>
    <s v="low"/>
    <n v="4"/>
    <n v="8"/>
    <n v="7"/>
    <n v="0"/>
    <m/>
  </r>
  <r>
    <n v="19"/>
    <x v="0"/>
    <n v="6.3"/>
    <x v="1"/>
    <n v="5.7"/>
    <n v="1.4"/>
    <n v="2.0299999999999998"/>
    <n v="1.1000000000000001"/>
    <s v="low"/>
    <n v="4"/>
    <n v="6"/>
    <n v="1"/>
    <n v="0"/>
    <m/>
  </r>
  <r>
    <n v="13"/>
    <x v="0"/>
    <n v="1.3"/>
    <x v="0"/>
    <n v="5.7"/>
    <n v="1.1000000000000001"/>
    <n v="3.74"/>
    <n v="1.3"/>
    <s v="low"/>
    <n v="9"/>
    <n v="5"/>
    <n v="10"/>
    <n v="0"/>
    <m/>
  </r>
  <r>
    <n v="17"/>
    <x v="0"/>
    <n v="5.0999999999999996"/>
    <x v="1"/>
    <n v="5.0999999999999996"/>
    <n v="2.9"/>
    <n v="3.99"/>
    <n v="0.6"/>
    <s v="medium"/>
    <n v="4"/>
    <n v="2"/>
    <n v="9"/>
    <n v="0"/>
    <m/>
  </r>
  <r>
    <n v="19"/>
    <x v="1"/>
    <n v="4"/>
    <x v="0"/>
    <n v="8.1999999999999993"/>
    <n v="1.4"/>
    <n v="3.63"/>
    <n v="1.3"/>
    <s v="low"/>
    <n v="5"/>
    <n v="3"/>
    <n v="10"/>
    <n v="0"/>
    <m/>
  </r>
  <r>
    <n v="17"/>
    <x v="1"/>
    <n v="7.6"/>
    <x v="0"/>
    <n v="7.3"/>
    <n v="1.9"/>
    <n v="3.05"/>
    <n v="1.1000000000000001"/>
    <s v="medium"/>
    <n v="10"/>
    <n v="8"/>
    <n v="1"/>
    <n v="0"/>
    <m/>
  </r>
  <r>
    <n v="19"/>
    <x v="0"/>
    <n v="3.8"/>
    <x v="1"/>
    <n v="7.4"/>
    <n v="2.6"/>
    <n v="2.25"/>
    <n v="0.5"/>
    <s v="low"/>
    <n v="7"/>
    <n v="4"/>
    <n v="8"/>
    <n v="0"/>
    <m/>
  </r>
  <r>
    <n v="17"/>
    <x v="0"/>
    <n v="5.2"/>
    <x v="0"/>
    <n v="4.7"/>
    <n v="2.4"/>
    <n v="2.77"/>
    <n v="1.3"/>
    <s v="high"/>
    <n v="9"/>
    <n v="6"/>
    <n v="9"/>
    <n v="0"/>
    <m/>
  </r>
  <r>
    <n v="13"/>
    <x v="0"/>
    <n v="5"/>
    <x v="2"/>
    <n v="8.6"/>
    <n v="0.7"/>
    <n v="2.99"/>
    <n v="1.5"/>
    <s v="low"/>
    <n v="3"/>
    <n v="8"/>
    <n v="3"/>
    <n v="0"/>
    <m/>
  </r>
  <r>
    <n v="19"/>
    <x v="1"/>
    <n v="7.4"/>
    <x v="2"/>
    <n v="8.3000000000000007"/>
    <n v="1.4"/>
    <n v="3.64"/>
    <n v="0.4"/>
    <s v="low"/>
    <n v="6"/>
    <n v="9"/>
    <n v="6"/>
    <n v="0"/>
    <m/>
  </r>
  <r>
    <n v="16"/>
    <x v="0"/>
    <n v="6.1"/>
    <x v="1"/>
    <n v="6.8"/>
    <n v="0.8"/>
    <n v="2.61"/>
    <n v="0.9"/>
    <s v="low"/>
    <n v="10"/>
    <n v="10"/>
    <n v="4"/>
    <n v="0"/>
    <m/>
  </r>
  <r>
    <n v="13"/>
    <x v="1"/>
    <n v="7.4"/>
    <x v="2"/>
    <n v="6.7"/>
    <n v="2"/>
    <n v="2.42"/>
    <n v="1.5"/>
    <s v="low"/>
    <n v="10"/>
    <n v="1"/>
    <n v="1"/>
    <n v="0"/>
    <m/>
  </r>
  <r>
    <n v="16"/>
    <x v="0"/>
    <n v="3.5"/>
    <x v="2"/>
    <n v="4.4000000000000004"/>
    <n v="1.5"/>
    <n v="2.7"/>
    <n v="0.8"/>
    <s v="high"/>
    <n v="2"/>
    <n v="10"/>
    <n v="8"/>
    <n v="0"/>
    <m/>
  </r>
  <r>
    <n v="14"/>
    <x v="0"/>
    <n v="5.0999999999999996"/>
    <x v="0"/>
    <n v="6.3"/>
    <n v="1.6"/>
    <n v="2.7"/>
    <n v="0.1"/>
    <s v="medium"/>
    <n v="7"/>
    <n v="2"/>
    <n v="7"/>
    <n v="0"/>
    <m/>
  </r>
  <r>
    <n v="17"/>
    <x v="0"/>
    <n v="4.8"/>
    <x v="1"/>
    <n v="6"/>
    <n v="2.1"/>
    <n v="2.39"/>
    <n v="1.8"/>
    <s v="high"/>
    <n v="5"/>
    <n v="8"/>
    <n v="7"/>
    <n v="0"/>
    <m/>
  </r>
  <r>
    <n v="14"/>
    <x v="0"/>
    <n v="7.5"/>
    <x v="2"/>
    <n v="7.6"/>
    <n v="2.8"/>
    <n v="3.1"/>
    <n v="0.7"/>
    <s v="medium"/>
    <n v="3"/>
    <n v="1"/>
    <n v="2"/>
    <n v="0"/>
    <m/>
  </r>
  <r>
    <n v="19"/>
    <x v="0"/>
    <n v="4.7"/>
    <x v="2"/>
    <n v="8.6999999999999993"/>
    <n v="2"/>
    <n v="3.23"/>
    <n v="1.7"/>
    <s v="low"/>
    <n v="4"/>
    <n v="10"/>
    <n v="3"/>
    <n v="0"/>
    <m/>
  </r>
  <r>
    <n v="19"/>
    <x v="0"/>
    <n v="3.3"/>
    <x v="1"/>
    <n v="8.5"/>
    <n v="1.2"/>
    <n v="3.29"/>
    <n v="0.5"/>
    <s v="medium"/>
    <n v="6"/>
    <n v="2"/>
    <n v="9"/>
    <n v="0"/>
    <m/>
  </r>
  <r>
    <n v="16"/>
    <x v="1"/>
    <n v="6.9"/>
    <x v="0"/>
    <n v="5.8"/>
    <n v="0.6"/>
    <n v="3.65"/>
    <n v="0.5"/>
    <s v="high"/>
    <n v="10"/>
    <n v="8"/>
    <n v="10"/>
    <n v="1"/>
    <m/>
  </r>
  <r>
    <n v="15"/>
    <x v="0"/>
    <n v="5.4"/>
    <x v="0"/>
    <n v="4.2"/>
    <n v="1.5"/>
    <n v="2.72"/>
    <n v="0.4"/>
    <s v="high"/>
    <n v="1"/>
    <n v="6"/>
    <n v="5"/>
    <n v="0"/>
    <m/>
  </r>
  <r>
    <n v="13"/>
    <x v="1"/>
    <n v="5.2"/>
    <x v="2"/>
    <n v="7.7"/>
    <n v="2.7"/>
    <n v="2.84"/>
    <n v="0.8"/>
    <s v="high"/>
    <n v="2"/>
    <n v="5"/>
    <n v="5"/>
    <n v="0"/>
    <m/>
  </r>
  <r>
    <n v="15"/>
    <x v="1"/>
    <n v="3.3"/>
    <x v="0"/>
    <n v="6.5"/>
    <n v="1.3"/>
    <n v="2.44"/>
    <n v="0.3"/>
    <s v="medium"/>
    <n v="7"/>
    <n v="6"/>
    <n v="7"/>
    <n v="0"/>
    <m/>
  </r>
  <r>
    <n v="15"/>
    <x v="1"/>
    <n v="7.3"/>
    <x v="2"/>
    <n v="7.6"/>
    <n v="1.9"/>
    <n v="2.31"/>
    <n v="0.8"/>
    <s v="medium"/>
    <n v="8"/>
    <n v="7"/>
    <n v="5"/>
    <n v="0"/>
    <m/>
  </r>
  <r>
    <n v="17"/>
    <x v="0"/>
    <n v="7.6"/>
    <x v="2"/>
    <n v="4.9000000000000004"/>
    <n v="0.6"/>
    <n v="2.56"/>
    <n v="0.8"/>
    <s v="low"/>
    <n v="4"/>
    <n v="1"/>
    <n v="9"/>
    <n v="0"/>
    <m/>
  </r>
  <r>
    <n v="17"/>
    <x v="0"/>
    <n v="1.7"/>
    <x v="2"/>
    <n v="7"/>
    <n v="0.8"/>
    <n v="3.39"/>
    <n v="0.9"/>
    <s v="high"/>
    <n v="7"/>
    <n v="7"/>
    <n v="10"/>
    <n v="0"/>
    <m/>
  </r>
  <r>
    <n v="18"/>
    <x v="0"/>
    <n v="1.5"/>
    <x v="2"/>
    <n v="5.6"/>
    <n v="2.9"/>
    <n v="2.57"/>
    <n v="0.6"/>
    <s v="high"/>
    <n v="5"/>
    <n v="8"/>
    <n v="4"/>
    <n v="0"/>
    <m/>
  </r>
  <r>
    <n v="17"/>
    <x v="0"/>
    <n v="7.3"/>
    <x v="2"/>
    <n v="8.5"/>
    <n v="1.5"/>
    <n v="3.54"/>
    <n v="1.2"/>
    <s v="low"/>
    <n v="3"/>
    <n v="3"/>
    <n v="7"/>
    <n v="0"/>
    <m/>
  </r>
  <r>
    <n v="14"/>
    <x v="0"/>
    <n v="2.8"/>
    <x v="2"/>
    <n v="6.2"/>
    <n v="1.2"/>
    <n v="3.21"/>
    <n v="1"/>
    <s v="low"/>
    <n v="3"/>
    <n v="10"/>
    <n v="6"/>
    <n v="0"/>
    <m/>
  </r>
  <r>
    <n v="15"/>
    <x v="0"/>
    <n v="1.2"/>
    <x v="2"/>
    <n v="7.4"/>
    <n v="2.7"/>
    <n v="2.92"/>
    <n v="1.4"/>
    <s v="low"/>
    <n v="3"/>
    <n v="7"/>
    <n v="4"/>
    <n v="0"/>
    <m/>
  </r>
  <r>
    <n v="16"/>
    <x v="1"/>
    <n v="2.5"/>
    <x v="1"/>
    <n v="8.9"/>
    <n v="1.2"/>
    <n v="3.33"/>
    <n v="1.5"/>
    <s v="high"/>
    <n v="4"/>
    <n v="4"/>
    <n v="10"/>
    <n v="0"/>
    <m/>
  </r>
  <r>
    <n v="17"/>
    <x v="0"/>
    <n v="4.8"/>
    <x v="1"/>
    <n v="5.6"/>
    <n v="1.6"/>
    <n v="2"/>
    <n v="1.3"/>
    <s v="low"/>
    <n v="3"/>
    <n v="8"/>
    <n v="4"/>
    <n v="0"/>
    <m/>
  </r>
  <r>
    <n v="18"/>
    <x v="1"/>
    <n v="6.4"/>
    <x v="2"/>
    <n v="4.2"/>
    <n v="1.1000000000000001"/>
    <n v="2.68"/>
    <n v="0.3"/>
    <s v="high"/>
    <n v="10"/>
    <n v="9"/>
    <n v="4"/>
    <n v="1"/>
    <m/>
  </r>
  <r>
    <n v="16"/>
    <x v="1"/>
    <n v="6.6"/>
    <x v="0"/>
    <n v="6.1"/>
    <n v="1.7"/>
    <n v="2.67"/>
    <n v="1.8"/>
    <s v="low"/>
    <n v="10"/>
    <n v="8"/>
    <n v="2"/>
    <n v="0"/>
    <m/>
  </r>
  <r>
    <n v="14"/>
    <x v="1"/>
    <n v="3.5"/>
    <x v="2"/>
    <n v="5.7"/>
    <n v="2.4"/>
    <n v="3.46"/>
    <n v="0.9"/>
    <s v="low"/>
    <n v="8"/>
    <n v="4"/>
    <n v="10"/>
    <n v="0"/>
    <m/>
  </r>
  <r>
    <n v="14"/>
    <x v="1"/>
    <n v="2.4"/>
    <x v="1"/>
    <n v="6.3"/>
    <n v="2.8"/>
    <n v="2.41"/>
    <n v="0.7"/>
    <s v="low"/>
    <n v="9"/>
    <n v="5"/>
    <n v="2"/>
    <n v="0"/>
    <m/>
  </r>
  <r>
    <n v="13"/>
    <x v="0"/>
    <n v="5.9"/>
    <x v="0"/>
    <n v="4.3"/>
    <n v="0.8"/>
    <n v="3.41"/>
    <n v="1.1000000000000001"/>
    <s v="medium"/>
    <n v="4"/>
    <n v="3"/>
    <n v="2"/>
    <n v="0"/>
    <m/>
  </r>
  <r>
    <n v="19"/>
    <x v="1"/>
    <n v="7.4"/>
    <x v="0"/>
    <n v="5"/>
    <n v="2"/>
    <n v="2.68"/>
    <n v="1.2"/>
    <s v="low"/>
    <n v="1"/>
    <n v="6"/>
    <n v="8"/>
    <n v="0"/>
    <m/>
  </r>
  <r>
    <n v="15"/>
    <x v="1"/>
    <n v="4.5999999999999996"/>
    <x v="1"/>
    <n v="5.3"/>
    <n v="3"/>
    <n v="3.25"/>
    <n v="0.2"/>
    <s v="low"/>
    <n v="1"/>
    <n v="8"/>
    <n v="7"/>
    <n v="0"/>
    <m/>
  </r>
  <r>
    <n v="17"/>
    <x v="0"/>
    <n v="7.3"/>
    <x v="0"/>
    <n v="5.8"/>
    <n v="2.9"/>
    <n v="3.93"/>
    <n v="0.9"/>
    <s v="medium"/>
    <n v="6"/>
    <n v="2"/>
    <n v="9"/>
    <n v="0"/>
    <m/>
  </r>
  <r>
    <n v="17"/>
    <x v="1"/>
    <n v="2.9"/>
    <x v="1"/>
    <n v="4.5"/>
    <n v="0.9"/>
    <n v="3.71"/>
    <n v="0.1"/>
    <s v="low"/>
    <n v="1"/>
    <n v="6"/>
    <n v="4"/>
    <n v="0"/>
    <m/>
  </r>
  <r>
    <n v="19"/>
    <x v="0"/>
    <n v="5.3"/>
    <x v="1"/>
    <n v="8.4"/>
    <n v="0.6"/>
    <n v="3.08"/>
    <n v="0.4"/>
    <s v="medium"/>
    <n v="9"/>
    <n v="4"/>
    <n v="6"/>
    <n v="0"/>
    <m/>
  </r>
  <r>
    <n v="17"/>
    <x v="1"/>
    <n v="7.2"/>
    <x v="1"/>
    <n v="8.1999999999999993"/>
    <n v="2.9"/>
    <n v="3.69"/>
    <n v="1"/>
    <s v="high"/>
    <n v="6"/>
    <n v="2"/>
    <n v="5"/>
    <n v="0"/>
    <m/>
  </r>
  <r>
    <n v="15"/>
    <x v="1"/>
    <n v="2.6"/>
    <x v="2"/>
    <n v="7.9"/>
    <n v="1.8"/>
    <n v="3.91"/>
    <n v="0.5"/>
    <s v="medium"/>
    <n v="4"/>
    <n v="5"/>
    <n v="6"/>
    <n v="0"/>
    <m/>
  </r>
  <r>
    <n v="15"/>
    <x v="0"/>
    <n v="3.6"/>
    <x v="0"/>
    <n v="4.8"/>
    <n v="1"/>
    <n v="3.71"/>
    <n v="1.1000000000000001"/>
    <s v="medium"/>
    <n v="5"/>
    <n v="7"/>
    <n v="4"/>
    <n v="0"/>
    <m/>
  </r>
  <r>
    <n v="19"/>
    <x v="0"/>
    <n v="3.6"/>
    <x v="0"/>
    <n v="6.5"/>
    <n v="1.1000000000000001"/>
    <n v="3.65"/>
    <n v="1.1000000000000001"/>
    <s v="low"/>
    <n v="5"/>
    <n v="9"/>
    <n v="10"/>
    <n v="0"/>
    <m/>
  </r>
  <r>
    <n v="15"/>
    <x v="1"/>
    <n v="1.8"/>
    <x v="0"/>
    <n v="5.5"/>
    <n v="1.6"/>
    <n v="3.29"/>
    <n v="1.3"/>
    <s v="medium"/>
    <n v="6"/>
    <n v="5"/>
    <n v="9"/>
    <n v="0"/>
    <m/>
  </r>
  <r>
    <n v="14"/>
    <x v="1"/>
    <n v="1.8"/>
    <x v="0"/>
    <n v="7.6"/>
    <n v="1.2"/>
    <n v="2.84"/>
    <n v="1.1000000000000001"/>
    <s v="high"/>
    <n v="10"/>
    <n v="1"/>
    <n v="3"/>
    <n v="0"/>
    <m/>
  </r>
  <r>
    <n v="15"/>
    <x v="1"/>
    <n v="7.4"/>
    <x v="2"/>
    <n v="8.4"/>
    <n v="1.9"/>
    <n v="3.73"/>
    <n v="0.8"/>
    <s v="high"/>
    <n v="9"/>
    <n v="9"/>
    <n v="4"/>
    <n v="0"/>
    <m/>
  </r>
  <r>
    <n v="15"/>
    <x v="0"/>
    <n v="4.8"/>
    <x v="2"/>
    <n v="4.3"/>
    <n v="2.2000000000000002"/>
    <n v="2.5"/>
    <n v="0"/>
    <s v="medium"/>
    <n v="4"/>
    <n v="1"/>
    <n v="4"/>
    <n v="0"/>
    <m/>
  </r>
  <r>
    <n v="18"/>
    <x v="0"/>
    <n v="2.4"/>
    <x v="2"/>
    <n v="6.8"/>
    <n v="1"/>
    <n v="2.86"/>
    <n v="1.5"/>
    <s v="high"/>
    <n v="9"/>
    <n v="10"/>
    <n v="8"/>
    <n v="0"/>
    <m/>
  </r>
  <r>
    <n v="15"/>
    <x v="0"/>
    <n v="5.4"/>
    <x v="1"/>
    <n v="5.2"/>
    <n v="0.6"/>
    <n v="3.65"/>
    <n v="1.5"/>
    <s v="low"/>
    <n v="7"/>
    <n v="9"/>
    <n v="10"/>
    <n v="1"/>
    <m/>
  </r>
  <r>
    <n v="17"/>
    <x v="1"/>
    <n v="3.5"/>
    <x v="2"/>
    <n v="8.5"/>
    <n v="2.2000000000000002"/>
    <n v="2.11"/>
    <n v="1.3"/>
    <s v="medium"/>
    <n v="8"/>
    <n v="8"/>
    <n v="2"/>
    <n v="0"/>
    <m/>
  </r>
  <r>
    <n v="18"/>
    <x v="1"/>
    <n v="3"/>
    <x v="0"/>
    <n v="5"/>
    <n v="2"/>
    <n v="2.4500000000000002"/>
    <n v="1.2"/>
    <s v="medium"/>
    <n v="1"/>
    <n v="10"/>
    <n v="7"/>
    <n v="0"/>
    <m/>
  </r>
  <r>
    <n v="13"/>
    <x v="1"/>
    <n v="3.3"/>
    <x v="2"/>
    <n v="7.4"/>
    <n v="0.9"/>
    <n v="2.5299999999999998"/>
    <n v="0.2"/>
    <s v="medium"/>
    <n v="4"/>
    <n v="10"/>
    <n v="6"/>
    <n v="0"/>
    <m/>
  </r>
  <r>
    <n v="19"/>
    <x v="0"/>
    <n v="5.5"/>
    <x v="1"/>
    <n v="5.0999999999999996"/>
    <n v="2.7"/>
    <n v="2.56"/>
    <n v="1.4"/>
    <s v="low"/>
    <n v="2"/>
    <n v="3"/>
    <n v="7"/>
    <n v="0"/>
    <m/>
  </r>
  <r>
    <n v="15"/>
    <x v="0"/>
    <n v="3.8"/>
    <x v="2"/>
    <n v="8.3000000000000007"/>
    <n v="2.6"/>
    <n v="3.19"/>
    <n v="2"/>
    <s v="medium"/>
    <n v="1"/>
    <n v="2"/>
    <n v="2"/>
    <n v="0"/>
    <m/>
  </r>
  <r>
    <n v="17"/>
    <x v="0"/>
    <n v="5.7"/>
    <x v="1"/>
    <n v="8.6999999999999993"/>
    <n v="2"/>
    <n v="3.14"/>
    <n v="1.7"/>
    <s v="low"/>
    <n v="1"/>
    <n v="9"/>
    <n v="8"/>
    <n v="0"/>
    <m/>
  </r>
  <r>
    <n v="13"/>
    <x v="1"/>
    <n v="4.7"/>
    <x v="1"/>
    <n v="8"/>
    <n v="1.1000000000000001"/>
    <n v="2.37"/>
    <n v="0.2"/>
    <s v="low"/>
    <n v="5"/>
    <n v="10"/>
    <n v="6"/>
    <n v="0"/>
    <m/>
  </r>
  <r>
    <n v="17"/>
    <x v="1"/>
    <n v="4"/>
    <x v="0"/>
    <n v="6.7"/>
    <n v="0.6"/>
    <n v="2.5099999999999998"/>
    <n v="1.5"/>
    <s v="high"/>
    <n v="9"/>
    <n v="8"/>
    <n v="5"/>
    <n v="0"/>
    <m/>
  </r>
  <r>
    <n v="16"/>
    <x v="0"/>
    <n v="5.3"/>
    <x v="1"/>
    <n v="6.8"/>
    <n v="0.7"/>
    <n v="3.9"/>
    <n v="1.5"/>
    <s v="low"/>
    <n v="5"/>
    <n v="8"/>
    <n v="3"/>
    <n v="0"/>
    <m/>
  </r>
  <r>
    <n v="17"/>
    <x v="0"/>
    <n v="3.8"/>
    <x v="0"/>
    <n v="4.7"/>
    <n v="1.2"/>
    <n v="3.7"/>
    <n v="1.4"/>
    <s v="high"/>
    <n v="2"/>
    <n v="2"/>
    <n v="5"/>
    <n v="0"/>
    <m/>
  </r>
  <r>
    <n v="16"/>
    <x v="1"/>
    <n v="6"/>
    <x v="2"/>
    <n v="4.0999999999999996"/>
    <n v="2.4"/>
    <n v="2.61"/>
    <n v="1.1000000000000001"/>
    <s v="high"/>
    <n v="1"/>
    <n v="6"/>
    <n v="3"/>
    <n v="0"/>
    <m/>
  </r>
  <r>
    <n v="15"/>
    <x v="0"/>
    <n v="2.2000000000000002"/>
    <x v="2"/>
    <n v="4.5"/>
    <n v="1.3"/>
    <n v="2.63"/>
    <n v="1.7"/>
    <s v="low"/>
    <n v="10"/>
    <n v="2"/>
    <n v="6"/>
    <n v="0"/>
    <m/>
  </r>
  <r>
    <n v="18"/>
    <x v="0"/>
    <n v="4.3"/>
    <x v="1"/>
    <n v="8.4"/>
    <n v="2.1"/>
    <n v="2.69"/>
    <n v="0.2"/>
    <s v="low"/>
    <n v="1"/>
    <n v="10"/>
    <n v="8"/>
    <n v="0"/>
    <m/>
  </r>
  <r>
    <n v="19"/>
    <x v="1"/>
    <n v="7.5"/>
    <x v="1"/>
    <n v="4.5"/>
    <n v="2.7"/>
    <n v="2.41"/>
    <n v="1"/>
    <s v="high"/>
    <n v="3"/>
    <n v="2"/>
    <n v="6"/>
    <n v="0"/>
    <m/>
  </r>
  <r>
    <n v="14"/>
    <x v="0"/>
    <n v="5.3"/>
    <x v="0"/>
    <n v="6.8"/>
    <n v="2.9"/>
    <n v="2.1800000000000002"/>
    <n v="0.8"/>
    <s v="medium"/>
    <n v="10"/>
    <n v="1"/>
    <n v="6"/>
    <n v="0"/>
    <m/>
  </r>
  <r>
    <n v="14"/>
    <x v="1"/>
    <n v="7"/>
    <x v="0"/>
    <n v="6.9"/>
    <n v="2.1"/>
    <n v="3.42"/>
    <n v="1.1000000000000001"/>
    <s v="high"/>
    <n v="10"/>
    <n v="3"/>
    <n v="6"/>
    <n v="0"/>
    <m/>
  </r>
  <r>
    <n v="16"/>
    <x v="1"/>
    <n v="2.1"/>
    <x v="2"/>
    <n v="4.5999999999999996"/>
    <n v="2"/>
    <n v="2.5499999999999998"/>
    <n v="1.8"/>
    <s v="high"/>
    <n v="5"/>
    <n v="4"/>
    <n v="4"/>
    <n v="0"/>
    <m/>
  </r>
  <r>
    <n v="18"/>
    <x v="1"/>
    <n v="7.3"/>
    <x v="2"/>
    <n v="7.3"/>
    <n v="2.8"/>
    <n v="3.3"/>
    <n v="0.4"/>
    <s v="low"/>
    <n v="1"/>
    <n v="8"/>
    <n v="1"/>
    <n v="0"/>
    <m/>
  </r>
  <r>
    <n v="17"/>
    <x v="1"/>
    <n v="2.6"/>
    <x v="0"/>
    <n v="6.5"/>
    <n v="1.5"/>
    <n v="3.8"/>
    <n v="0.2"/>
    <s v="high"/>
    <n v="8"/>
    <n v="6"/>
    <n v="1"/>
    <n v="0"/>
    <m/>
  </r>
  <r>
    <n v="17"/>
    <x v="0"/>
    <n v="5.4"/>
    <x v="2"/>
    <n v="4.9000000000000004"/>
    <n v="1.5"/>
    <n v="3.4"/>
    <n v="0"/>
    <s v="medium"/>
    <n v="2"/>
    <n v="2"/>
    <n v="1"/>
    <n v="0"/>
    <m/>
  </r>
  <r>
    <n v="15"/>
    <x v="0"/>
    <n v="6.9"/>
    <x v="0"/>
    <n v="6.2"/>
    <n v="0.6"/>
    <n v="2.37"/>
    <n v="0.2"/>
    <s v="low"/>
    <n v="3"/>
    <n v="1"/>
    <n v="4"/>
    <n v="0"/>
    <m/>
  </r>
  <r>
    <n v="19"/>
    <x v="1"/>
    <n v="3"/>
    <x v="0"/>
    <n v="5.5"/>
    <n v="2.1"/>
    <n v="3.08"/>
    <n v="0.7"/>
    <s v="low"/>
    <n v="9"/>
    <n v="3"/>
    <n v="5"/>
    <n v="0"/>
    <m/>
  </r>
  <r>
    <n v="18"/>
    <x v="0"/>
    <n v="1.3"/>
    <x v="0"/>
    <n v="4.5"/>
    <n v="2.2999999999999998"/>
    <n v="2.2799999999999998"/>
    <n v="1"/>
    <s v="low"/>
    <n v="2"/>
    <n v="7"/>
    <n v="8"/>
    <n v="0"/>
    <m/>
  </r>
  <r>
    <n v="15"/>
    <x v="0"/>
    <n v="6.2"/>
    <x v="2"/>
    <n v="6.4"/>
    <n v="1.4"/>
    <n v="3.34"/>
    <n v="0.9"/>
    <s v="high"/>
    <n v="8"/>
    <n v="9"/>
    <n v="9"/>
    <n v="0"/>
    <m/>
  </r>
  <r>
    <n v="15"/>
    <x v="0"/>
    <n v="3.6"/>
    <x v="0"/>
    <n v="5.5"/>
    <n v="1.2"/>
    <n v="2.4900000000000002"/>
    <n v="1.9"/>
    <s v="low"/>
    <n v="1"/>
    <n v="4"/>
    <n v="9"/>
    <n v="0"/>
    <m/>
  </r>
  <r>
    <n v="18"/>
    <x v="1"/>
    <n v="6.5"/>
    <x v="2"/>
    <n v="6.7"/>
    <n v="2.5"/>
    <n v="2.98"/>
    <n v="0.1"/>
    <s v="high"/>
    <n v="9"/>
    <n v="7"/>
    <n v="7"/>
    <n v="0"/>
    <m/>
  </r>
  <r>
    <n v="17"/>
    <x v="1"/>
    <n v="5.3"/>
    <x v="0"/>
    <n v="6.6"/>
    <n v="0.6"/>
    <n v="3.04"/>
    <n v="0.1"/>
    <s v="high"/>
    <n v="3"/>
    <n v="7"/>
    <n v="1"/>
    <n v="0"/>
    <m/>
  </r>
  <r>
    <n v="16"/>
    <x v="0"/>
    <n v="4.5999999999999996"/>
    <x v="2"/>
    <n v="5.3"/>
    <n v="1.3"/>
    <n v="3.76"/>
    <n v="0.5"/>
    <s v="medium"/>
    <n v="3"/>
    <n v="8"/>
    <n v="8"/>
    <n v="0"/>
    <m/>
  </r>
  <r>
    <n v="18"/>
    <x v="0"/>
    <n v="7.7"/>
    <x v="2"/>
    <n v="6.6"/>
    <n v="1.6"/>
    <n v="4"/>
    <n v="1.9"/>
    <s v="high"/>
    <n v="3"/>
    <n v="3"/>
    <n v="9"/>
    <n v="0"/>
    <m/>
  </r>
  <r>
    <n v="19"/>
    <x v="0"/>
    <n v="7.1"/>
    <x v="1"/>
    <n v="8.4"/>
    <n v="1.8"/>
    <n v="2.93"/>
    <n v="1.3"/>
    <s v="medium"/>
    <n v="1"/>
    <n v="6"/>
    <n v="8"/>
    <n v="0"/>
    <m/>
  </r>
  <r>
    <n v="16"/>
    <x v="0"/>
    <n v="3.9"/>
    <x v="1"/>
    <n v="7.5"/>
    <n v="2.1"/>
    <n v="3.24"/>
    <n v="0.9"/>
    <s v="low"/>
    <n v="4"/>
    <n v="3"/>
    <n v="2"/>
    <n v="0"/>
    <m/>
  </r>
  <r>
    <n v="19"/>
    <x v="1"/>
    <n v="7.5"/>
    <x v="1"/>
    <n v="8.6"/>
    <n v="0.9"/>
    <n v="2.25"/>
    <n v="1.6"/>
    <s v="high"/>
    <n v="9"/>
    <n v="8"/>
    <n v="4"/>
    <n v="0"/>
    <m/>
  </r>
  <r>
    <n v="18"/>
    <x v="0"/>
    <n v="5.8"/>
    <x v="1"/>
    <n v="7.5"/>
    <n v="2.2000000000000002"/>
    <n v="3.65"/>
    <n v="1.4"/>
    <s v="medium"/>
    <n v="4"/>
    <n v="4"/>
    <n v="8"/>
    <n v="0"/>
    <m/>
  </r>
  <r>
    <n v="17"/>
    <x v="1"/>
    <n v="7.6"/>
    <x v="0"/>
    <n v="7.3"/>
    <n v="2.9"/>
    <n v="2.99"/>
    <n v="1.2"/>
    <s v="high"/>
    <n v="4"/>
    <n v="8"/>
    <n v="10"/>
    <n v="0"/>
    <m/>
  </r>
  <r>
    <n v="19"/>
    <x v="1"/>
    <n v="4.4000000000000004"/>
    <x v="0"/>
    <n v="7.4"/>
    <n v="2.8"/>
    <n v="3.28"/>
    <n v="1.5"/>
    <s v="medium"/>
    <n v="7"/>
    <n v="5"/>
    <n v="4"/>
    <n v="0"/>
    <m/>
  </r>
  <r>
    <n v="19"/>
    <x v="0"/>
    <n v="4.5999999999999996"/>
    <x v="2"/>
    <n v="4.5999999999999996"/>
    <n v="2.5"/>
    <n v="2.4"/>
    <n v="1"/>
    <s v="high"/>
    <n v="10"/>
    <n v="10"/>
    <n v="8"/>
    <n v="0"/>
    <m/>
  </r>
  <r>
    <n v="18"/>
    <x v="1"/>
    <n v="7"/>
    <x v="2"/>
    <n v="8.9"/>
    <n v="0.7"/>
    <n v="2.79"/>
    <n v="0.4"/>
    <s v="medium"/>
    <n v="2"/>
    <n v="10"/>
    <n v="8"/>
    <n v="0"/>
    <m/>
  </r>
  <r>
    <n v="16"/>
    <x v="1"/>
    <n v="3.6"/>
    <x v="1"/>
    <n v="8.8000000000000007"/>
    <n v="1.2"/>
    <n v="2.3199999999999998"/>
    <n v="0.5"/>
    <s v="low"/>
    <n v="2"/>
    <n v="4"/>
    <n v="5"/>
    <n v="0"/>
    <m/>
  </r>
  <r>
    <n v="15"/>
    <x v="1"/>
    <n v="3"/>
    <x v="1"/>
    <n v="6.6"/>
    <n v="0.9"/>
    <n v="2.69"/>
    <n v="1.8"/>
    <s v="medium"/>
    <n v="1"/>
    <n v="2"/>
    <n v="2"/>
    <n v="0"/>
    <m/>
  </r>
  <r>
    <n v="19"/>
    <x v="1"/>
    <n v="7.2"/>
    <x v="0"/>
    <n v="6.4"/>
    <n v="2.9"/>
    <n v="3.82"/>
    <n v="1"/>
    <s v="medium"/>
    <n v="5"/>
    <n v="4"/>
    <n v="5"/>
    <n v="0"/>
    <m/>
  </r>
  <r>
    <n v="15"/>
    <x v="1"/>
    <n v="5.6"/>
    <x v="2"/>
    <n v="5.9"/>
    <n v="2"/>
    <n v="2.97"/>
    <n v="0.6"/>
    <s v="low"/>
    <n v="9"/>
    <n v="3"/>
    <n v="3"/>
    <n v="0"/>
    <m/>
  </r>
  <r>
    <n v="14"/>
    <x v="1"/>
    <n v="2"/>
    <x v="0"/>
    <n v="4.7"/>
    <n v="1.1000000000000001"/>
    <n v="2.5099999999999998"/>
    <n v="0"/>
    <s v="high"/>
    <n v="2"/>
    <n v="9"/>
    <n v="4"/>
    <n v="0"/>
    <m/>
  </r>
  <r>
    <n v="14"/>
    <x v="1"/>
    <n v="4.4000000000000004"/>
    <x v="1"/>
    <n v="5.0999999999999996"/>
    <n v="2.8"/>
    <n v="2.2200000000000002"/>
    <n v="0.5"/>
    <s v="high"/>
    <n v="5"/>
    <n v="4"/>
    <n v="1"/>
    <n v="0"/>
    <m/>
  </r>
  <r>
    <n v="13"/>
    <x v="0"/>
    <n v="3.5"/>
    <x v="1"/>
    <n v="5.8"/>
    <n v="1.2"/>
    <n v="2.44"/>
    <n v="1.5"/>
    <s v="medium"/>
    <n v="4"/>
    <n v="1"/>
    <n v="8"/>
    <n v="0"/>
    <m/>
  </r>
  <r>
    <n v="13"/>
    <x v="0"/>
    <n v="6.5"/>
    <x v="0"/>
    <n v="6.5"/>
    <n v="1.5"/>
    <n v="2.0499999999999998"/>
    <n v="0.5"/>
    <s v="low"/>
    <n v="3"/>
    <n v="9"/>
    <n v="4"/>
    <n v="0"/>
    <m/>
  </r>
  <r>
    <n v="14"/>
    <x v="0"/>
    <n v="4.4000000000000004"/>
    <x v="0"/>
    <n v="8.8000000000000007"/>
    <n v="2.2999999999999998"/>
    <n v="2.73"/>
    <n v="0.3"/>
    <s v="medium"/>
    <n v="9"/>
    <n v="2"/>
    <n v="2"/>
    <n v="0"/>
    <m/>
  </r>
  <r>
    <n v="17"/>
    <x v="1"/>
    <n v="3.1"/>
    <x v="1"/>
    <n v="4.2"/>
    <n v="0.8"/>
    <n v="2.2799999999999998"/>
    <n v="1.6"/>
    <s v="medium"/>
    <n v="4"/>
    <n v="9"/>
    <n v="6"/>
    <n v="0"/>
    <m/>
  </r>
  <r>
    <n v="15"/>
    <x v="0"/>
    <n v="7.8"/>
    <x v="2"/>
    <n v="4.2"/>
    <n v="2.1"/>
    <n v="3.42"/>
    <n v="0"/>
    <s v="low"/>
    <n v="10"/>
    <n v="7"/>
    <n v="9"/>
    <n v="1"/>
    <m/>
  </r>
  <r>
    <n v="19"/>
    <x v="1"/>
    <n v="2.1"/>
    <x v="2"/>
    <n v="4.4000000000000004"/>
    <n v="2.2000000000000002"/>
    <n v="2.4700000000000002"/>
    <n v="0.7"/>
    <s v="high"/>
    <n v="9"/>
    <n v="5"/>
    <n v="6"/>
    <n v="0"/>
    <m/>
  </r>
  <r>
    <n v="14"/>
    <x v="1"/>
    <n v="5.5"/>
    <x v="2"/>
    <n v="5.7"/>
    <n v="2.2999999999999998"/>
    <n v="3.05"/>
    <n v="1.3"/>
    <s v="medium"/>
    <n v="7"/>
    <n v="8"/>
    <n v="5"/>
    <n v="1"/>
    <m/>
  </r>
  <r>
    <n v="15"/>
    <x v="1"/>
    <n v="5.7"/>
    <x v="0"/>
    <n v="7.2"/>
    <n v="2.4"/>
    <n v="2.1800000000000002"/>
    <n v="1.6"/>
    <s v="medium"/>
    <n v="5"/>
    <n v="1"/>
    <n v="7"/>
    <n v="0"/>
    <m/>
  </r>
  <r>
    <n v="15"/>
    <x v="1"/>
    <n v="5"/>
    <x v="1"/>
    <n v="6.3"/>
    <n v="1.5"/>
    <n v="2.67"/>
    <n v="1.1000000000000001"/>
    <s v="high"/>
    <n v="6"/>
    <n v="2"/>
    <n v="5"/>
    <n v="0"/>
    <m/>
  </r>
  <r>
    <n v="16"/>
    <x v="1"/>
    <n v="7.5"/>
    <x v="2"/>
    <n v="4"/>
    <n v="0.5"/>
    <n v="3.72"/>
    <n v="1.1000000000000001"/>
    <s v="medium"/>
    <n v="4"/>
    <n v="5"/>
    <n v="7"/>
    <n v="0"/>
    <m/>
  </r>
  <r>
    <n v="17"/>
    <x v="0"/>
    <n v="2.2000000000000002"/>
    <x v="1"/>
    <n v="7.1"/>
    <n v="1.1000000000000001"/>
    <n v="2.5"/>
    <n v="1.5"/>
    <s v="low"/>
    <n v="2"/>
    <n v="1"/>
    <n v="2"/>
    <n v="0"/>
    <m/>
  </r>
  <r>
    <n v="15"/>
    <x v="1"/>
    <n v="7.3"/>
    <x v="0"/>
    <n v="4.0999999999999996"/>
    <n v="2.1"/>
    <n v="2.87"/>
    <n v="0.4"/>
    <s v="low"/>
    <n v="10"/>
    <n v="10"/>
    <n v="1"/>
    <n v="1"/>
    <m/>
  </r>
  <r>
    <n v="17"/>
    <x v="0"/>
    <n v="2.7"/>
    <x v="0"/>
    <n v="7.5"/>
    <n v="1.5"/>
    <n v="3.23"/>
    <n v="1.4"/>
    <s v="low"/>
    <n v="5"/>
    <n v="7"/>
    <n v="3"/>
    <n v="0"/>
    <m/>
  </r>
  <r>
    <n v="18"/>
    <x v="0"/>
    <n v="1.6"/>
    <x v="0"/>
    <n v="8.6"/>
    <n v="2.6"/>
    <n v="3.53"/>
    <n v="0.1"/>
    <s v="medium"/>
    <n v="8"/>
    <n v="8"/>
    <n v="10"/>
    <n v="0"/>
    <m/>
  </r>
  <r>
    <n v="14"/>
    <x v="0"/>
    <n v="4"/>
    <x v="1"/>
    <n v="4.9000000000000004"/>
    <n v="2.7"/>
    <n v="2.2999999999999998"/>
    <n v="0.5"/>
    <s v="high"/>
    <n v="7"/>
    <n v="8"/>
    <n v="6"/>
    <n v="0"/>
    <m/>
  </r>
  <r>
    <n v="18"/>
    <x v="1"/>
    <n v="6.3"/>
    <x v="2"/>
    <n v="4.7"/>
    <n v="2.4"/>
    <n v="2.2999999999999998"/>
    <n v="0.9"/>
    <s v="medium"/>
    <n v="6"/>
    <n v="1"/>
    <n v="6"/>
    <n v="0"/>
    <m/>
  </r>
  <r>
    <n v="16"/>
    <x v="1"/>
    <n v="6.8"/>
    <x v="1"/>
    <n v="7.1"/>
    <n v="2.9"/>
    <n v="3.26"/>
    <n v="0.6"/>
    <s v="low"/>
    <n v="6"/>
    <n v="10"/>
    <n v="4"/>
    <n v="0"/>
    <m/>
  </r>
  <r>
    <n v="18"/>
    <x v="1"/>
    <n v="6.6"/>
    <x v="2"/>
    <n v="8.1"/>
    <n v="2"/>
    <n v="3.59"/>
    <n v="1.6"/>
    <s v="low"/>
    <n v="9"/>
    <n v="4"/>
    <n v="3"/>
    <n v="0"/>
    <m/>
  </r>
  <r>
    <n v="13"/>
    <x v="0"/>
    <n v="4"/>
    <x v="0"/>
    <n v="4.2"/>
    <n v="0.9"/>
    <n v="2.75"/>
    <n v="1"/>
    <s v="high"/>
    <n v="5"/>
    <n v="4"/>
    <n v="8"/>
    <n v="0"/>
    <m/>
  </r>
  <r>
    <n v="13"/>
    <x v="0"/>
    <n v="1.6"/>
    <x v="1"/>
    <n v="5"/>
    <n v="2.7"/>
    <n v="2.31"/>
    <n v="1.9"/>
    <s v="low"/>
    <n v="8"/>
    <n v="9"/>
    <n v="5"/>
    <n v="0"/>
    <m/>
  </r>
  <r>
    <n v="18"/>
    <x v="0"/>
    <n v="5.3"/>
    <x v="2"/>
    <n v="8.1999999999999993"/>
    <n v="1.9"/>
    <n v="3.87"/>
    <n v="1.9"/>
    <s v="low"/>
    <n v="2"/>
    <n v="9"/>
    <n v="8"/>
    <n v="0"/>
    <m/>
  </r>
  <r>
    <n v="19"/>
    <x v="1"/>
    <n v="7.4"/>
    <x v="2"/>
    <n v="4.4000000000000004"/>
    <n v="1.4"/>
    <n v="3.78"/>
    <n v="1.1000000000000001"/>
    <s v="low"/>
    <n v="9"/>
    <n v="7"/>
    <n v="5"/>
    <n v="1"/>
    <m/>
  </r>
  <r>
    <n v="18"/>
    <x v="1"/>
    <n v="2.2999999999999998"/>
    <x v="0"/>
    <n v="8.6999999999999993"/>
    <n v="0.6"/>
    <n v="2.76"/>
    <n v="1.9"/>
    <s v="high"/>
    <n v="4"/>
    <n v="8"/>
    <n v="7"/>
    <n v="0"/>
    <m/>
  </r>
  <r>
    <n v="16"/>
    <x v="0"/>
    <n v="7.6"/>
    <x v="2"/>
    <n v="6.1"/>
    <n v="0.8"/>
    <n v="3.09"/>
    <n v="1.3"/>
    <s v="low"/>
    <n v="8"/>
    <n v="4"/>
    <n v="4"/>
    <n v="0"/>
    <m/>
  </r>
  <r>
    <n v="16"/>
    <x v="1"/>
    <n v="7.6"/>
    <x v="1"/>
    <n v="7.6"/>
    <n v="2.4"/>
    <n v="2.2400000000000002"/>
    <n v="1.1000000000000001"/>
    <s v="medium"/>
    <n v="1"/>
    <n v="5"/>
    <n v="5"/>
    <n v="0"/>
    <m/>
  </r>
  <r>
    <n v="17"/>
    <x v="1"/>
    <n v="3.4"/>
    <x v="2"/>
    <n v="4.7"/>
    <n v="0.5"/>
    <n v="2.91"/>
    <n v="2"/>
    <s v="high"/>
    <n v="2"/>
    <n v="8"/>
    <n v="1"/>
    <n v="0"/>
    <m/>
  </r>
  <r>
    <n v="18"/>
    <x v="1"/>
    <n v="2.2999999999999998"/>
    <x v="0"/>
    <n v="4.2"/>
    <n v="0.9"/>
    <n v="3.84"/>
    <n v="1.3"/>
    <s v="high"/>
    <n v="6"/>
    <n v="6"/>
    <n v="10"/>
    <n v="0"/>
    <m/>
  </r>
  <r>
    <n v="18"/>
    <x v="0"/>
    <n v="5"/>
    <x v="0"/>
    <n v="4.3"/>
    <n v="1.1000000000000001"/>
    <n v="2.2200000000000002"/>
    <n v="0.1"/>
    <s v="high"/>
    <n v="7"/>
    <n v="2"/>
    <n v="2"/>
    <n v="0"/>
    <m/>
  </r>
  <r>
    <n v="15"/>
    <x v="0"/>
    <n v="3.8"/>
    <x v="1"/>
    <n v="7.1"/>
    <n v="0.5"/>
    <n v="3.08"/>
    <n v="0.2"/>
    <s v="medium"/>
    <n v="2"/>
    <n v="9"/>
    <n v="7"/>
    <n v="0"/>
    <m/>
  </r>
  <r>
    <n v="16"/>
    <x v="0"/>
    <n v="3.7"/>
    <x v="0"/>
    <n v="7.6"/>
    <n v="1.2"/>
    <n v="3.2"/>
    <n v="1"/>
    <s v="medium"/>
    <n v="4"/>
    <n v="8"/>
    <n v="6"/>
    <n v="0"/>
    <m/>
  </r>
  <r>
    <n v="13"/>
    <x v="0"/>
    <n v="1.4"/>
    <x v="2"/>
    <n v="8.6"/>
    <n v="2.4"/>
    <n v="3.31"/>
    <n v="0.7"/>
    <s v="low"/>
    <n v="2"/>
    <n v="6"/>
    <n v="2"/>
    <n v="0"/>
    <m/>
  </r>
  <r>
    <n v="18"/>
    <x v="0"/>
    <n v="1.8"/>
    <x v="2"/>
    <n v="4.9000000000000004"/>
    <n v="2.7"/>
    <n v="2.12"/>
    <n v="0.2"/>
    <s v="low"/>
    <n v="1"/>
    <n v="3"/>
    <n v="8"/>
    <n v="0"/>
    <m/>
  </r>
  <r>
    <n v="19"/>
    <x v="0"/>
    <n v="1.5"/>
    <x v="1"/>
    <n v="5.8"/>
    <n v="1.1000000000000001"/>
    <n v="3.29"/>
    <n v="1.7"/>
    <s v="high"/>
    <n v="6"/>
    <n v="4"/>
    <n v="2"/>
    <n v="0"/>
    <m/>
  </r>
  <r>
    <n v="18"/>
    <x v="1"/>
    <n v="5.5"/>
    <x v="2"/>
    <n v="5.5"/>
    <n v="1.8"/>
    <n v="2.2400000000000002"/>
    <n v="0"/>
    <s v="high"/>
    <n v="3"/>
    <n v="4"/>
    <n v="10"/>
    <n v="0"/>
    <m/>
  </r>
  <r>
    <n v="15"/>
    <x v="0"/>
    <n v="4.9000000000000004"/>
    <x v="2"/>
    <n v="5.2"/>
    <n v="0.7"/>
    <n v="2.5499999999999998"/>
    <n v="0.1"/>
    <s v="low"/>
    <n v="10"/>
    <n v="6"/>
    <n v="4"/>
    <n v="0"/>
    <m/>
  </r>
  <r>
    <n v="14"/>
    <x v="1"/>
    <n v="7.2"/>
    <x v="2"/>
    <n v="7"/>
    <n v="2.2999999999999998"/>
    <n v="3.74"/>
    <n v="0.7"/>
    <s v="low"/>
    <n v="8"/>
    <n v="4"/>
    <n v="7"/>
    <n v="0"/>
    <m/>
  </r>
  <r>
    <n v="16"/>
    <x v="1"/>
    <n v="6.8"/>
    <x v="0"/>
    <n v="7.2"/>
    <n v="1.1000000000000001"/>
    <n v="2.29"/>
    <n v="1.9"/>
    <s v="low"/>
    <n v="8"/>
    <n v="5"/>
    <n v="9"/>
    <n v="0"/>
    <m/>
  </r>
  <r>
    <n v="13"/>
    <x v="1"/>
    <n v="2.2000000000000002"/>
    <x v="2"/>
    <n v="7.7"/>
    <n v="2.1"/>
    <n v="2.33"/>
    <n v="1.7"/>
    <s v="low"/>
    <n v="2"/>
    <n v="8"/>
    <n v="7"/>
    <n v="0"/>
    <m/>
  </r>
  <r>
    <n v="16"/>
    <x v="1"/>
    <n v="5.9"/>
    <x v="1"/>
    <n v="7"/>
    <n v="0.8"/>
    <n v="2.29"/>
    <n v="1.6"/>
    <s v="low"/>
    <n v="6"/>
    <n v="8"/>
    <n v="1"/>
    <n v="0"/>
    <m/>
  </r>
  <r>
    <n v="15"/>
    <x v="1"/>
    <n v="2.2000000000000002"/>
    <x v="0"/>
    <n v="7.5"/>
    <n v="1.4"/>
    <n v="3.19"/>
    <n v="1.8"/>
    <s v="low"/>
    <n v="6"/>
    <n v="1"/>
    <n v="7"/>
    <n v="0"/>
    <m/>
  </r>
  <r>
    <n v="19"/>
    <x v="1"/>
    <n v="2.4"/>
    <x v="0"/>
    <n v="4.2"/>
    <n v="1.2"/>
    <n v="3.87"/>
    <n v="1.3"/>
    <s v="low"/>
    <n v="1"/>
    <n v="9"/>
    <n v="5"/>
    <n v="0"/>
    <m/>
  </r>
  <r>
    <n v="15"/>
    <x v="0"/>
    <n v="4.0999999999999996"/>
    <x v="0"/>
    <n v="7.6"/>
    <n v="1"/>
    <n v="2.17"/>
    <n v="1.1000000000000001"/>
    <s v="low"/>
    <n v="4"/>
    <n v="5"/>
    <n v="1"/>
    <n v="0"/>
    <m/>
  </r>
  <r>
    <n v="18"/>
    <x v="1"/>
    <n v="4.5"/>
    <x v="0"/>
    <n v="7"/>
    <n v="2.7"/>
    <n v="2.89"/>
    <n v="1.8"/>
    <s v="high"/>
    <n v="1"/>
    <n v="1"/>
    <n v="2"/>
    <n v="0"/>
    <m/>
  </r>
  <r>
    <n v="14"/>
    <x v="1"/>
    <n v="4.5999999999999996"/>
    <x v="0"/>
    <n v="5.9"/>
    <n v="1.4"/>
    <n v="2.15"/>
    <n v="0.3"/>
    <s v="high"/>
    <n v="3"/>
    <n v="10"/>
    <n v="2"/>
    <n v="0"/>
    <m/>
  </r>
  <r>
    <n v="17"/>
    <x v="1"/>
    <n v="4.5"/>
    <x v="2"/>
    <n v="6.1"/>
    <n v="2.8"/>
    <n v="3.38"/>
    <n v="1.2"/>
    <s v="low"/>
    <n v="10"/>
    <n v="4"/>
    <n v="2"/>
    <n v="0"/>
    <m/>
  </r>
  <r>
    <n v="13"/>
    <x v="0"/>
    <n v="5"/>
    <x v="0"/>
    <n v="5.2"/>
    <n v="2.6"/>
    <n v="2.04"/>
    <n v="1.7"/>
    <s v="medium"/>
    <n v="4"/>
    <n v="4"/>
    <n v="5"/>
    <n v="0"/>
    <m/>
  </r>
  <r>
    <n v="19"/>
    <x v="1"/>
    <n v="4.0999999999999996"/>
    <x v="2"/>
    <n v="6.4"/>
    <n v="1.4"/>
    <n v="2.2599999999999998"/>
    <n v="1.6"/>
    <s v="high"/>
    <n v="2"/>
    <n v="3"/>
    <n v="6"/>
    <n v="0"/>
    <m/>
  </r>
  <r>
    <n v="18"/>
    <x v="0"/>
    <n v="7.5"/>
    <x v="1"/>
    <n v="7.6"/>
    <n v="1.8"/>
    <n v="3.19"/>
    <n v="1.7"/>
    <s v="high"/>
    <n v="2"/>
    <n v="6"/>
    <n v="6"/>
    <n v="0"/>
    <m/>
  </r>
  <r>
    <n v="18"/>
    <x v="0"/>
    <n v="4.2"/>
    <x v="0"/>
    <n v="5.5"/>
    <n v="1.8"/>
    <n v="3.83"/>
    <n v="1.9"/>
    <s v="low"/>
    <n v="3"/>
    <n v="8"/>
    <n v="8"/>
    <n v="0"/>
    <m/>
  </r>
  <r>
    <n v="14"/>
    <x v="1"/>
    <n v="7.2"/>
    <x v="2"/>
    <n v="5"/>
    <n v="2.9"/>
    <n v="3.76"/>
    <n v="0.4"/>
    <s v="medium"/>
    <n v="7"/>
    <n v="4"/>
    <n v="2"/>
    <n v="0"/>
    <m/>
  </r>
  <r>
    <n v="13"/>
    <x v="0"/>
    <n v="4.8"/>
    <x v="0"/>
    <n v="6"/>
    <n v="0.6"/>
    <n v="2.41"/>
    <n v="0"/>
    <s v="high"/>
    <n v="3"/>
    <n v="6"/>
    <n v="9"/>
    <n v="0"/>
    <m/>
  </r>
  <r>
    <n v="17"/>
    <x v="1"/>
    <n v="7.3"/>
    <x v="0"/>
    <n v="6.7"/>
    <n v="1"/>
    <n v="3.41"/>
    <n v="1.7"/>
    <s v="medium"/>
    <n v="6"/>
    <n v="5"/>
    <n v="2"/>
    <n v="0"/>
    <m/>
  </r>
  <r>
    <n v="13"/>
    <x v="0"/>
    <n v="3.9"/>
    <x v="2"/>
    <n v="4.5"/>
    <n v="1.6"/>
    <n v="2.02"/>
    <n v="0.6"/>
    <s v="high"/>
    <n v="6"/>
    <n v="6"/>
    <n v="5"/>
    <n v="0"/>
    <m/>
  </r>
  <r>
    <n v="15"/>
    <x v="1"/>
    <n v="5.5"/>
    <x v="2"/>
    <n v="4"/>
    <n v="2.4"/>
    <n v="3.01"/>
    <n v="0.9"/>
    <s v="low"/>
    <n v="10"/>
    <n v="3"/>
    <n v="2"/>
    <n v="0"/>
    <m/>
  </r>
  <r>
    <n v="15"/>
    <x v="0"/>
    <n v="7.5"/>
    <x v="2"/>
    <n v="6.3"/>
    <n v="2.8"/>
    <n v="3.04"/>
    <n v="1.8"/>
    <s v="low"/>
    <n v="1"/>
    <n v="5"/>
    <n v="8"/>
    <n v="0"/>
    <m/>
  </r>
  <r>
    <n v="17"/>
    <x v="0"/>
    <n v="1.8"/>
    <x v="0"/>
    <n v="6.9"/>
    <n v="2.7"/>
    <n v="2.5299999999999998"/>
    <n v="1.7"/>
    <s v="high"/>
    <n v="2"/>
    <n v="2"/>
    <n v="7"/>
    <n v="0"/>
    <m/>
  </r>
  <r>
    <n v="16"/>
    <x v="0"/>
    <n v="2.6"/>
    <x v="0"/>
    <n v="5.0999999999999996"/>
    <n v="0.9"/>
    <n v="2.57"/>
    <n v="1.4"/>
    <s v="medium"/>
    <n v="8"/>
    <n v="5"/>
    <n v="8"/>
    <n v="0"/>
    <m/>
  </r>
  <r>
    <n v="17"/>
    <x v="1"/>
    <n v="5.5"/>
    <x v="2"/>
    <n v="6"/>
    <n v="2.8"/>
    <n v="3.4"/>
    <n v="0"/>
    <s v="medium"/>
    <n v="2"/>
    <n v="3"/>
    <n v="8"/>
    <n v="0"/>
    <m/>
  </r>
  <r>
    <n v="15"/>
    <x v="1"/>
    <n v="3.6"/>
    <x v="1"/>
    <n v="7.1"/>
    <n v="0.9"/>
    <n v="2.84"/>
    <n v="0.3"/>
    <s v="low"/>
    <n v="1"/>
    <n v="9"/>
    <n v="4"/>
    <n v="0"/>
    <m/>
  </r>
  <r>
    <n v="19"/>
    <x v="1"/>
    <n v="7.6"/>
    <x v="2"/>
    <n v="5.4"/>
    <n v="1.9"/>
    <n v="2.56"/>
    <n v="1.4"/>
    <s v="low"/>
    <n v="2"/>
    <n v="7"/>
    <n v="9"/>
    <n v="0"/>
    <m/>
  </r>
  <r>
    <n v="13"/>
    <x v="0"/>
    <n v="7.9"/>
    <x v="0"/>
    <n v="7.1"/>
    <n v="0.7"/>
    <n v="2.8"/>
    <n v="0.3"/>
    <s v="medium"/>
    <n v="6"/>
    <n v="8"/>
    <n v="8"/>
    <n v="0"/>
    <m/>
  </r>
  <r>
    <n v="15"/>
    <x v="0"/>
    <n v="2.6"/>
    <x v="2"/>
    <n v="6.8"/>
    <n v="1.7"/>
    <n v="2.06"/>
    <n v="0.4"/>
    <s v="medium"/>
    <n v="8"/>
    <n v="6"/>
    <n v="6"/>
    <n v="0"/>
    <m/>
  </r>
  <r>
    <n v="19"/>
    <x v="0"/>
    <n v="5.7"/>
    <x v="1"/>
    <n v="6.4"/>
    <n v="0.9"/>
    <n v="3.57"/>
    <n v="1.5"/>
    <s v="high"/>
    <n v="3"/>
    <n v="7"/>
    <n v="2"/>
    <n v="0"/>
    <m/>
  </r>
  <r>
    <n v="13"/>
    <x v="1"/>
    <n v="7.1"/>
    <x v="0"/>
    <n v="5.7"/>
    <n v="1.2"/>
    <n v="3.83"/>
    <n v="2"/>
    <s v="medium"/>
    <n v="2"/>
    <n v="8"/>
    <n v="7"/>
    <n v="0"/>
    <m/>
  </r>
  <r>
    <n v="13"/>
    <x v="1"/>
    <n v="1.3"/>
    <x v="1"/>
    <n v="8.6999999999999993"/>
    <n v="0.9"/>
    <n v="4"/>
    <n v="0.1"/>
    <s v="low"/>
    <n v="10"/>
    <n v="9"/>
    <n v="9"/>
    <n v="0"/>
    <m/>
  </r>
  <r>
    <n v="13"/>
    <x v="1"/>
    <n v="1.1000000000000001"/>
    <x v="2"/>
    <n v="6.7"/>
    <n v="2"/>
    <n v="3.63"/>
    <n v="0.2"/>
    <s v="medium"/>
    <n v="3"/>
    <n v="10"/>
    <n v="5"/>
    <n v="0"/>
    <m/>
  </r>
  <r>
    <n v="13"/>
    <x v="1"/>
    <n v="3.3"/>
    <x v="1"/>
    <n v="9"/>
    <n v="0.7"/>
    <n v="2.4900000000000002"/>
    <n v="0.6"/>
    <s v="medium"/>
    <n v="3"/>
    <n v="6"/>
    <n v="4"/>
    <n v="0"/>
    <m/>
  </r>
  <r>
    <n v="16"/>
    <x v="0"/>
    <n v="7.4"/>
    <x v="2"/>
    <n v="7.2"/>
    <n v="1.8"/>
    <n v="2.11"/>
    <n v="1.4"/>
    <s v="medium"/>
    <n v="3"/>
    <n v="7"/>
    <n v="3"/>
    <n v="0"/>
    <m/>
  </r>
  <r>
    <n v="13"/>
    <x v="0"/>
    <n v="5.8"/>
    <x v="1"/>
    <n v="8.3000000000000007"/>
    <n v="2.8"/>
    <n v="2.63"/>
    <n v="0.6"/>
    <s v="high"/>
    <n v="5"/>
    <n v="3"/>
    <n v="7"/>
    <n v="0"/>
    <m/>
  </r>
  <r>
    <n v="18"/>
    <x v="1"/>
    <n v="4.5999999999999996"/>
    <x v="1"/>
    <n v="6.8"/>
    <n v="1.5"/>
    <n v="2.4"/>
    <n v="1.4"/>
    <s v="medium"/>
    <n v="5"/>
    <n v="10"/>
    <n v="2"/>
    <n v="0"/>
    <m/>
  </r>
  <r>
    <n v="18"/>
    <x v="1"/>
    <n v="2.5"/>
    <x v="1"/>
    <n v="7.1"/>
    <n v="1.6"/>
    <n v="3.97"/>
    <n v="0.7"/>
    <s v="medium"/>
    <n v="10"/>
    <n v="7"/>
    <n v="3"/>
    <n v="0"/>
    <m/>
  </r>
  <r>
    <n v="18"/>
    <x v="0"/>
    <n v="4"/>
    <x v="2"/>
    <n v="8"/>
    <n v="2"/>
    <n v="3.04"/>
    <n v="1.4"/>
    <s v="high"/>
    <n v="3"/>
    <n v="1"/>
    <n v="8"/>
    <n v="0"/>
    <m/>
  </r>
  <r>
    <n v="17"/>
    <x v="1"/>
    <n v="6.6"/>
    <x v="2"/>
    <n v="8"/>
    <n v="1.9"/>
    <n v="2.86"/>
    <n v="0.4"/>
    <s v="medium"/>
    <n v="4"/>
    <n v="8"/>
    <n v="5"/>
    <n v="0"/>
    <m/>
  </r>
  <r>
    <n v="14"/>
    <x v="1"/>
    <n v="2.9"/>
    <x v="1"/>
    <n v="5.8"/>
    <n v="1.6"/>
    <n v="3.34"/>
    <n v="1.1000000000000001"/>
    <s v="medium"/>
    <n v="6"/>
    <n v="10"/>
    <n v="3"/>
    <n v="0"/>
    <m/>
  </r>
  <r>
    <n v="14"/>
    <x v="0"/>
    <n v="7.2"/>
    <x v="1"/>
    <n v="5.7"/>
    <n v="2.7"/>
    <n v="2.76"/>
    <n v="0.4"/>
    <s v="low"/>
    <n v="7"/>
    <n v="3"/>
    <n v="7"/>
    <n v="0"/>
    <m/>
  </r>
  <r>
    <n v="13"/>
    <x v="1"/>
    <n v="2.9"/>
    <x v="0"/>
    <n v="5.3"/>
    <n v="1"/>
    <n v="3.89"/>
    <n v="1.7"/>
    <s v="high"/>
    <n v="9"/>
    <n v="2"/>
    <n v="4"/>
    <n v="0"/>
    <m/>
  </r>
  <r>
    <n v="15"/>
    <x v="1"/>
    <n v="7.3"/>
    <x v="2"/>
    <n v="5.7"/>
    <n v="2.9"/>
    <n v="3.48"/>
    <n v="1.8"/>
    <s v="medium"/>
    <n v="2"/>
    <n v="7"/>
    <n v="8"/>
    <n v="0"/>
    <m/>
  </r>
  <r>
    <n v="16"/>
    <x v="1"/>
    <n v="3.7"/>
    <x v="1"/>
    <n v="9"/>
    <n v="1.5"/>
    <n v="3.37"/>
    <n v="1.9"/>
    <s v="low"/>
    <n v="4"/>
    <n v="3"/>
    <n v="1"/>
    <n v="0"/>
    <m/>
  </r>
  <r>
    <n v="16"/>
    <x v="0"/>
    <n v="7"/>
    <x v="0"/>
    <n v="4.8"/>
    <n v="1.7"/>
    <n v="2.9"/>
    <n v="0.3"/>
    <s v="low"/>
    <n v="4"/>
    <n v="1"/>
    <n v="8"/>
    <n v="0"/>
    <m/>
  </r>
  <r>
    <n v="15"/>
    <x v="0"/>
    <n v="4"/>
    <x v="1"/>
    <n v="8.4"/>
    <n v="2.2999999999999998"/>
    <n v="2.52"/>
    <n v="0.9"/>
    <s v="low"/>
    <n v="4"/>
    <n v="5"/>
    <n v="3"/>
    <n v="0"/>
    <m/>
  </r>
  <r>
    <n v="16"/>
    <x v="0"/>
    <n v="2.7"/>
    <x v="2"/>
    <n v="7.5"/>
    <n v="2.8"/>
    <n v="3.53"/>
    <n v="0.9"/>
    <s v="medium"/>
    <n v="3"/>
    <n v="1"/>
    <n v="5"/>
    <n v="0"/>
    <m/>
  </r>
  <r>
    <n v="15"/>
    <x v="0"/>
    <n v="7.2"/>
    <x v="2"/>
    <n v="5.7"/>
    <n v="0.7"/>
    <n v="3.89"/>
    <n v="1"/>
    <s v="medium"/>
    <n v="1"/>
    <n v="3"/>
    <n v="6"/>
    <n v="0"/>
    <m/>
  </r>
  <r>
    <n v="18"/>
    <x v="0"/>
    <n v="7.9"/>
    <x v="2"/>
    <n v="7"/>
    <n v="2.7"/>
    <n v="3.9"/>
    <n v="1"/>
    <s v="medium"/>
    <n v="1"/>
    <n v="2"/>
    <n v="10"/>
    <n v="0"/>
    <m/>
  </r>
  <r>
    <n v="14"/>
    <x v="1"/>
    <n v="5.0999999999999996"/>
    <x v="0"/>
    <n v="5.3"/>
    <n v="2.2999999999999998"/>
    <n v="2.31"/>
    <n v="0.2"/>
    <s v="high"/>
    <n v="3"/>
    <n v="3"/>
    <n v="6"/>
    <n v="0"/>
    <m/>
  </r>
  <r>
    <n v="15"/>
    <x v="1"/>
    <n v="6.4"/>
    <x v="2"/>
    <n v="7.7"/>
    <n v="0.7"/>
    <n v="3.86"/>
    <n v="1.5"/>
    <s v="high"/>
    <n v="10"/>
    <n v="2"/>
    <n v="7"/>
    <n v="0"/>
    <m/>
  </r>
  <r>
    <n v="16"/>
    <x v="1"/>
    <n v="4.4000000000000004"/>
    <x v="2"/>
    <n v="4.2"/>
    <n v="2"/>
    <n v="3.89"/>
    <n v="1.1000000000000001"/>
    <s v="medium"/>
    <n v="2"/>
    <n v="9"/>
    <n v="8"/>
    <n v="0"/>
    <m/>
  </r>
  <r>
    <n v="16"/>
    <x v="0"/>
    <n v="7"/>
    <x v="1"/>
    <n v="7.4"/>
    <n v="2.6"/>
    <n v="2.92"/>
    <n v="1"/>
    <s v="medium"/>
    <n v="10"/>
    <n v="6"/>
    <n v="3"/>
    <n v="0"/>
    <m/>
  </r>
  <r>
    <n v="17"/>
    <x v="1"/>
    <n v="7.8"/>
    <x v="1"/>
    <n v="5.7"/>
    <n v="1.2"/>
    <n v="3.72"/>
    <n v="1.2"/>
    <s v="high"/>
    <n v="10"/>
    <n v="2"/>
    <n v="6"/>
    <n v="0"/>
    <m/>
  </r>
  <r>
    <n v="14"/>
    <x v="1"/>
    <n v="5"/>
    <x v="0"/>
    <n v="6.2"/>
    <n v="1"/>
    <n v="2"/>
    <n v="1.5"/>
    <s v="low"/>
    <n v="5"/>
    <n v="6"/>
    <n v="1"/>
    <n v="0"/>
    <m/>
  </r>
  <r>
    <n v="17"/>
    <x v="0"/>
    <n v="6.6"/>
    <x v="1"/>
    <n v="5.3"/>
    <n v="1.1000000000000001"/>
    <n v="3.5"/>
    <n v="1.7"/>
    <s v="medium"/>
    <n v="1"/>
    <n v="10"/>
    <n v="7"/>
    <n v="0"/>
    <m/>
  </r>
  <r>
    <n v="18"/>
    <x v="0"/>
    <n v="2.6"/>
    <x v="2"/>
    <n v="8.6"/>
    <n v="2.7"/>
    <n v="3.28"/>
    <n v="0.8"/>
    <s v="high"/>
    <n v="5"/>
    <n v="4"/>
    <n v="6"/>
    <n v="0"/>
    <m/>
  </r>
  <r>
    <n v="13"/>
    <x v="1"/>
    <n v="5.8"/>
    <x v="0"/>
    <n v="4.4000000000000004"/>
    <n v="1.8"/>
    <n v="3.8"/>
    <n v="1"/>
    <s v="high"/>
    <n v="2"/>
    <n v="2"/>
    <n v="1"/>
    <n v="0"/>
    <m/>
  </r>
  <r>
    <n v="14"/>
    <x v="1"/>
    <n v="5.6"/>
    <x v="1"/>
    <n v="6.8"/>
    <n v="2.2999999999999998"/>
    <n v="2.66"/>
    <n v="1.1000000000000001"/>
    <s v="high"/>
    <n v="7"/>
    <n v="6"/>
    <n v="2"/>
    <n v="0"/>
    <m/>
  </r>
  <r>
    <n v="18"/>
    <x v="0"/>
    <n v="4.5999999999999996"/>
    <x v="2"/>
    <n v="4.3"/>
    <n v="2.9"/>
    <n v="2.95"/>
    <n v="0.6"/>
    <s v="medium"/>
    <n v="7"/>
    <n v="9"/>
    <n v="8"/>
    <n v="0"/>
    <m/>
  </r>
  <r>
    <n v="19"/>
    <x v="0"/>
    <n v="1.4"/>
    <x v="2"/>
    <n v="4.7"/>
    <n v="0.5"/>
    <n v="3.57"/>
    <n v="1.7"/>
    <s v="high"/>
    <n v="1"/>
    <n v="5"/>
    <n v="6"/>
    <n v="0"/>
    <m/>
  </r>
  <r>
    <n v="13"/>
    <x v="1"/>
    <n v="2.9"/>
    <x v="2"/>
    <n v="8.1999999999999993"/>
    <n v="2.2999999999999998"/>
    <n v="2.48"/>
    <n v="0.9"/>
    <s v="low"/>
    <n v="5"/>
    <n v="8"/>
    <n v="9"/>
    <n v="0"/>
    <m/>
  </r>
  <r>
    <n v="16"/>
    <x v="1"/>
    <n v="7.9"/>
    <x v="0"/>
    <n v="6.3"/>
    <n v="2.7"/>
    <n v="2.88"/>
    <n v="0.2"/>
    <s v="high"/>
    <n v="2"/>
    <n v="7"/>
    <n v="5"/>
    <n v="0"/>
    <m/>
  </r>
  <r>
    <n v="13"/>
    <x v="0"/>
    <n v="3.5"/>
    <x v="2"/>
    <n v="6.8"/>
    <n v="2.2999999999999998"/>
    <n v="2.2799999999999998"/>
    <n v="1"/>
    <s v="low"/>
    <n v="7"/>
    <n v="2"/>
    <n v="6"/>
    <n v="0"/>
    <m/>
  </r>
  <r>
    <n v="14"/>
    <x v="1"/>
    <n v="3.8"/>
    <x v="0"/>
    <n v="7.9"/>
    <n v="1.2"/>
    <n v="3.24"/>
    <n v="1.6"/>
    <s v="high"/>
    <n v="6"/>
    <n v="10"/>
    <n v="5"/>
    <n v="0"/>
    <m/>
  </r>
  <r>
    <n v="19"/>
    <x v="0"/>
    <n v="2.9"/>
    <x v="0"/>
    <n v="8.6999999999999993"/>
    <n v="0.9"/>
    <n v="2.99"/>
    <n v="0.8"/>
    <s v="medium"/>
    <n v="7"/>
    <n v="8"/>
    <n v="2"/>
    <n v="0"/>
    <m/>
  </r>
  <r>
    <n v="17"/>
    <x v="0"/>
    <n v="3.5"/>
    <x v="2"/>
    <n v="4.5999999999999996"/>
    <n v="0.7"/>
    <n v="3.9"/>
    <n v="0.6"/>
    <s v="high"/>
    <n v="7"/>
    <n v="3"/>
    <n v="1"/>
    <n v="0"/>
    <m/>
  </r>
  <r>
    <n v="16"/>
    <x v="0"/>
    <n v="4.8"/>
    <x v="0"/>
    <n v="8.6"/>
    <n v="1.8"/>
    <n v="2.44"/>
    <n v="1.7"/>
    <s v="high"/>
    <n v="8"/>
    <n v="7"/>
    <n v="3"/>
    <n v="0"/>
    <m/>
  </r>
  <r>
    <n v="13"/>
    <x v="0"/>
    <n v="5.8"/>
    <x v="1"/>
    <n v="7.2"/>
    <n v="1.1000000000000001"/>
    <n v="2.69"/>
    <n v="0.4"/>
    <s v="low"/>
    <n v="7"/>
    <n v="3"/>
    <n v="7"/>
    <n v="0"/>
    <m/>
  </r>
  <r>
    <n v="16"/>
    <x v="1"/>
    <n v="6.1"/>
    <x v="2"/>
    <n v="7.5"/>
    <n v="2.5"/>
    <n v="3.14"/>
    <n v="0.5"/>
    <s v="low"/>
    <n v="9"/>
    <n v="6"/>
    <n v="10"/>
    <n v="0"/>
    <m/>
  </r>
  <r>
    <n v="14"/>
    <x v="1"/>
    <n v="4.3"/>
    <x v="2"/>
    <n v="7.8"/>
    <n v="0.5"/>
    <n v="3.92"/>
    <n v="0.7"/>
    <s v="high"/>
    <n v="3"/>
    <n v="4"/>
    <n v="8"/>
    <n v="0"/>
    <m/>
  </r>
  <r>
    <n v="15"/>
    <x v="1"/>
    <n v="7.8"/>
    <x v="0"/>
    <n v="4.5999999999999996"/>
    <n v="3"/>
    <n v="2.44"/>
    <n v="1.4"/>
    <s v="medium"/>
    <n v="8"/>
    <n v="10"/>
    <n v="6"/>
    <n v="1"/>
    <m/>
  </r>
  <r>
    <n v="15"/>
    <x v="1"/>
    <n v="5.2"/>
    <x v="1"/>
    <n v="7.5"/>
    <n v="1.1000000000000001"/>
    <n v="3.61"/>
    <n v="0.1"/>
    <s v="low"/>
    <n v="4"/>
    <n v="6"/>
    <n v="7"/>
    <n v="0"/>
    <m/>
  </r>
  <r>
    <n v="17"/>
    <x v="0"/>
    <n v="3.5"/>
    <x v="0"/>
    <n v="4.3"/>
    <n v="2.2000000000000002"/>
    <n v="3.19"/>
    <n v="1"/>
    <s v="high"/>
    <n v="4"/>
    <n v="5"/>
    <n v="9"/>
    <n v="0"/>
    <m/>
  </r>
  <r>
    <n v="16"/>
    <x v="1"/>
    <n v="6.5"/>
    <x v="1"/>
    <n v="4.5999999999999996"/>
    <n v="1.8"/>
    <n v="2.2000000000000002"/>
    <n v="1.2"/>
    <s v="low"/>
    <n v="7"/>
    <n v="4"/>
    <n v="4"/>
    <n v="0"/>
    <m/>
  </r>
  <r>
    <n v="17"/>
    <x v="0"/>
    <n v="4.7"/>
    <x v="1"/>
    <n v="7.2"/>
    <n v="2.7"/>
    <n v="2.06"/>
    <n v="1.4"/>
    <s v="low"/>
    <n v="3"/>
    <n v="1"/>
    <n v="4"/>
    <n v="0"/>
    <m/>
  </r>
  <r>
    <n v="13"/>
    <x v="0"/>
    <n v="2.5"/>
    <x v="0"/>
    <n v="6.3"/>
    <n v="1.8"/>
    <n v="2.2000000000000002"/>
    <n v="0.1"/>
    <s v="high"/>
    <n v="9"/>
    <n v="3"/>
    <n v="9"/>
    <n v="0"/>
    <m/>
  </r>
  <r>
    <n v="19"/>
    <x v="1"/>
    <n v="5.5"/>
    <x v="1"/>
    <n v="7.4"/>
    <n v="2"/>
    <n v="2.8"/>
    <n v="1.8"/>
    <s v="high"/>
    <n v="9"/>
    <n v="8"/>
    <n v="10"/>
    <n v="0"/>
    <m/>
  </r>
  <r>
    <n v="15"/>
    <x v="1"/>
    <n v="3.5"/>
    <x v="0"/>
    <n v="8"/>
    <n v="1.9"/>
    <n v="3.45"/>
    <n v="1.5"/>
    <s v="high"/>
    <n v="10"/>
    <n v="4"/>
    <n v="1"/>
    <n v="0"/>
    <m/>
  </r>
  <r>
    <n v="14"/>
    <x v="1"/>
    <n v="4.5999999999999996"/>
    <x v="1"/>
    <n v="7"/>
    <n v="1.6"/>
    <n v="2.74"/>
    <n v="0.9"/>
    <s v="low"/>
    <n v="3"/>
    <n v="2"/>
    <n v="9"/>
    <n v="0"/>
    <m/>
  </r>
  <r>
    <n v="13"/>
    <x v="1"/>
    <n v="3.5"/>
    <x v="0"/>
    <n v="6.9"/>
    <n v="1.6"/>
    <n v="2.08"/>
    <n v="0.7"/>
    <s v="low"/>
    <n v="9"/>
    <n v="9"/>
    <n v="9"/>
    <n v="0"/>
    <m/>
  </r>
  <r>
    <n v="19"/>
    <x v="0"/>
    <n v="1.6"/>
    <x v="1"/>
    <n v="8.6"/>
    <n v="1.4"/>
    <n v="2.69"/>
    <n v="1.6"/>
    <s v="medium"/>
    <n v="4"/>
    <n v="3"/>
    <n v="4"/>
    <n v="0"/>
    <m/>
  </r>
  <r>
    <n v="13"/>
    <x v="1"/>
    <n v="3.2"/>
    <x v="2"/>
    <n v="5.9"/>
    <n v="0.7"/>
    <n v="3.98"/>
    <n v="0.8"/>
    <s v="low"/>
    <n v="6"/>
    <n v="8"/>
    <n v="1"/>
    <n v="0"/>
    <m/>
  </r>
  <r>
    <n v="19"/>
    <x v="1"/>
    <n v="1.7"/>
    <x v="2"/>
    <n v="7"/>
    <n v="2.7"/>
    <n v="2.0699999999999998"/>
    <n v="0.5"/>
    <s v="high"/>
    <n v="6"/>
    <n v="4"/>
    <n v="10"/>
    <n v="0"/>
    <m/>
  </r>
  <r>
    <n v="14"/>
    <x v="0"/>
    <n v="6.4"/>
    <x v="0"/>
    <n v="4.3"/>
    <n v="2.2999999999999998"/>
    <n v="3.99"/>
    <n v="1.1000000000000001"/>
    <s v="low"/>
    <n v="7"/>
    <n v="4"/>
    <n v="3"/>
    <n v="0"/>
    <m/>
  </r>
  <r>
    <n v="13"/>
    <x v="1"/>
    <n v="3.3"/>
    <x v="1"/>
    <n v="6.4"/>
    <n v="1"/>
    <n v="2.4900000000000002"/>
    <n v="1"/>
    <s v="low"/>
    <n v="9"/>
    <n v="2"/>
    <n v="4"/>
    <n v="0"/>
    <m/>
  </r>
  <r>
    <n v="18"/>
    <x v="0"/>
    <n v="1.2"/>
    <x v="2"/>
    <n v="6.8"/>
    <n v="2.6"/>
    <n v="2.85"/>
    <n v="1.8"/>
    <s v="medium"/>
    <n v="4"/>
    <n v="3"/>
    <n v="9"/>
    <n v="0"/>
    <m/>
  </r>
  <r>
    <n v="13"/>
    <x v="1"/>
    <n v="2.5"/>
    <x v="2"/>
    <n v="7.8"/>
    <n v="1.4"/>
    <n v="3.43"/>
    <n v="0.9"/>
    <s v="medium"/>
    <n v="1"/>
    <n v="4"/>
    <n v="6"/>
    <n v="0"/>
    <m/>
  </r>
  <r>
    <n v="16"/>
    <x v="0"/>
    <n v="2.2000000000000002"/>
    <x v="1"/>
    <n v="5.0999999999999996"/>
    <n v="2.2999999999999998"/>
    <n v="3.6"/>
    <n v="1"/>
    <s v="high"/>
    <n v="4"/>
    <n v="7"/>
    <n v="6"/>
    <n v="0"/>
    <m/>
  </r>
  <r>
    <n v="18"/>
    <x v="1"/>
    <n v="5.2"/>
    <x v="2"/>
    <n v="7.1"/>
    <n v="1.9"/>
    <n v="2.87"/>
    <n v="1.7"/>
    <s v="medium"/>
    <n v="5"/>
    <n v="8"/>
    <n v="6"/>
    <n v="0"/>
    <m/>
  </r>
  <r>
    <n v="16"/>
    <x v="0"/>
    <n v="7.9"/>
    <x v="0"/>
    <n v="8.6999999999999993"/>
    <n v="2.5"/>
    <n v="2.29"/>
    <n v="0.7"/>
    <s v="high"/>
    <n v="7"/>
    <n v="7"/>
    <n v="4"/>
    <n v="0"/>
    <m/>
  </r>
  <r>
    <n v="18"/>
    <x v="0"/>
    <n v="5.6"/>
    <x v="2"/>
    <n v="8"/>
    <n v="2.4"/>
    <n v="2.95"/>
    <n v="0"/>
    <s v="low"/>
    <n v="2"/>
    <n v="10"/>
    <n v="3"/>
    <n v="0"/>
    <m/>
  </r>
  <r>
    <n v="16"/>
    <x v="0"/>
    <n v="3.9"/>
    <x v="1"/>
    <n v="4.2"/>
    <n v="2.1"/>
    <n v="2.2799999999999998"/>
    <n v="1.1000000000000001"/>
    <s v="medium"/>
    <n v="6"/>
    <n v="5"/>
    <n v="7"/>
    <n v="0"/>
    <m/>
  </r>
  <r>
    <n v="18"/>
    <x v="1"/>
    <n v="1.8"/>
    <x v="1"/>
    <n v="6.1"/>
    <n v="2.7"/>
    <n v="2.86"/>
    <n v="1.1000000000000001"/>
    <s v="low"/>
    <n v="4"/>
    <n v="2"/>
    <n v="4"/>
    <n v="0"/>
    <m/>
  </r>
  <r>
    <n v="18"/>
    <x v="1"/>
    <n v="5.8"/>
    <x v="2"/>
    <n v="5.0999999999999996"/>
    <n v="1.2"/>
    <n v="3.24"/>
    <n v="0.4"/>
    <s v="high"/>
    <n v="5"/>
    <n v="9"/>
    <n v="2"/>
    <n v="0"/>
    <m/>
  </r>
  <r>
    <n v="18"/>
    <x v="1"/>
    <n v="2.2000000000000002"/>
    <x v="0"/>
    <n v="4.4000000000000004"/>
    <n v="1.7"/>
    <n v="2.86"/>
    <n v="1.1000000000000001"/>
    <s v="high"/>
    <n v="8"/>
    <n v="9"/>
    <n v="7"/>
    <n v="0"/>
    <m/>
  </r>
  <r>
    <n v="17"/>
    <x v="0"/>
    <n v="6.9"/>
    <x v="2"/>
    <n v="4.5999999999999996"/>
    <n v="2.5"/>
    <n v="2.04"/>
    <n v="0.8"/>
    <s v="high"/>
    <n v="10"/>
    <n v="9"/>
    <n v="2"/>
    <n v="1"/>
    <m/>
  </r>
  <r>
    <n v="14"/>
    <x v="1"/>
    <n v="5.7"/>
    <x v="0"/>
    <n v="6.7"/>
    <n v="2.6"/>
    <n v="2.35"/>
    <n v="1.8"/>
    <s v="high"/>
    <n v="10"/>
    <n v="10"/>
    <n v="7"/>
    <n v="0"/>
    <m/>
  </r>
  <r>
    <n v="17"/>
    <x v="0"/>
    <n v="7.5"/>
    <x v="1"/>
    <n v="5.6"/>
    <n v="2.2999999999999998"/>
    <n v="2.37"/>
    <n v="0"/>
    <s v="high"/>
    <n v="3"/>
    <n v="10"/>
    <n v="8"/>
    <n v="0"/>
    <m/>
  </r>
  <r>
    <n v="13"/>
    <x v="0"/>
    <n v="5.2"/>
    <x v="2"/>
    <n v="6.4"/>
    <n v="2.5"/>
    <n v="3.13"/>
    <n v="0.3"/>
    <s v="medium"/>
    <n v="8"/>
    <n v="6"/>
    <n v="7"/>
    <n v="0"/>
    <m/>
  </r>
  <r>
    <n v="16"/>
    <x v="0"/>
    <n v="7.2"/>
    <x v="2"/>
    <n v="6.9"/>
    <n v="2.1"/>
    <n v="2.3199999999999998"/>
    <n v="1.1000000000000001"/>
    <s v="low"/>
    <n v="3"/>
    <n v="4"/>
    <n v="10"/>
    <n v="0"/>
    <m/>
  </r>
  <r>
    <n v="19"/>
    <x v="0"/>
    <n v="2"/>
    <x v="1"/>
    <n v="4.3"/>
    <n v="0.8"/>
    <n v="3.4"/>
    <n v="0.7"/>
    <s v="low"/>
    <n v="8"/>
    <n v="1"/>
    <n v="1"/>
    <n v="0"/>
    <m/>
  </r>
  <r>
    <n v="13"/>
    <x v="1"/>
    <n v="4.7"/>
    <x v="2"/>
    <n v="6.8"/>
    <n v="1.4"/>
    <n v="3.91"/>
    <n v="0.8"/>
    <s v="high"/>
    <n v="10"/>
    <n v="6"/>
    <n v="9"/>
    <n v="0"/>
    <m/>
  </r>
  <r>
    <n v="14"/>
    <x v="0"/>
    <n v="5.6"/>
    <x v="2"/>
    <n v="4.5"/>
    <n v="1.4"/>
    <n v="2.44"/>
    <n v="1.2"/>
    <s v="low"/>
    <n v="5"/>
    <n v="10"/>
    <n v="9"/>
    <n v="0"/>
    <m/>
  </r>
  <r>
    <n v="18"/>
    <x v="1"/>
    <n v="4.5"/>
    <x v="0"/>
    <n v="4"/>
    <n v="2.9"/>
    <n v="3.15"/>
    <n v="1.9"/>
    <s v="medium"/>
    <n v="8"/>
    <n v="6"/>
    <n v="5"/>
    <n v="0"/>
    <m/>
  </r>
  <r>
    <n v="15"/>
    <x v="1"/>
    <n v="1.1000000000000001"/>
    <x v="0"/>
    <n v="9"/>
    <n v="1.2"/>
    <n v="2.9"/>
    <n v="1.8"/>
    <s v="medium"/>
    <n v="5"/>
    <n v="10"/>
    <n v="2"/>
    <n v="0"/>
    <m/>
  </r>
  <r>
    <n v="18"/>
    <x v="1"/>
    <n v="5.3"/>
    <x v="2"/>
    <n v="4.5999999999999996"/>
    <n v="1.5"/>
    <n v="2.54"/>
    <n v="0.6"/>
    <s v="medium"/>
    <n v="4"/>
    <n v="3"/>
    <n v="4"/>
    <n v="0"/>
    <m/>
  </r>
  <r>
    <n v="14"/>
    <x v="1"/>
    <n v="3.5"/>
    <x v="2"/>
    <n v="5.3"/>
    <n v="2.5"/>
    <n v="2.29"/>
    <n v="0.7"/>
    <s v="low"/>
    <n v="1"/>
    <n v="10"/>
    <n v="3"/>
    <n v="0"/>
    <m/>
  </r>
  <r>
    <n v="15"/>
    <x v="0"/>
    <n v="6.5"/>
    <x v="2"/>
    <n v="6.2"/>
    <n v="1.2"/>
    <n v="3.19"/>
    <n v="0"/>
    <s v="medium"/>
    <n v="6"/>
    <n v="5"/>
    <n v="2"/>
    <n v="0"/>
    <m/>
  </r>
  <r>
    <n v="14"/>
    <x v="0"/>
    <n v="7"/>
    <x v="2"/>
    <n v="6.7"/>
    <n v="1.9"/>
    <n v="2.48"/>
    <n v="1.3"/>
    <s v="low"/>
    <n v="7"/>
    <n v="1"/>
    <n v="5"/>
    <n v="0"/>
    <m/>
  </r>
  <r>
    <n v="14"/>
    <x v="1"/>
    <n v="4"/>
    <x v="1"/>
    <n v="4.0999999999999996"/>
    <n v="0.9"/>
    <n v="2.99"/>
    <n v="1.9"/>
    <s v="low"/>
    <n v="2"/>
    <n v="9"/>
    <n v="10"/>
    <n v="0"/>
    <m/>
  </r>
  <r>
    <n v="15"/>
    <x v="1"/>
    <n v="1.7"/>
    <x v="0"/>
    <n v="5.3"/>
    <n v="1.5"/>
    <n v="3.6"/>
    <n v="1.5"/>
    <s v="high"/>
    <n v="6"/>
    <n v="4"/>
    <n v="3"/>
    <n v="0"/>
    <m/>
  </r>
  <r>
    <n v="14"/>
    <x v="1"/>
    <n v="7.8"/>
    <x v="1"/>
    <n v="4.7"/>
    <n v="2.2000000000000002"/>
    <n v="3.53"/>
    <n v="0.6"/>
    <s v="low"/>
    <n v="5"/>
    <n v="8"/>
    <n v="2"/>
    <n v="0"/>
    <m/>
  </r>
  <r>
    <n v="15"/>
    <x v="1"/>
    <n v="5.2"/>
    <x v="0"/>
    <n v="6.7"/>
    <n v="3"/>
    <n v="3.18"/>
    <n v="0.6"/>
    <s v="low"/>
    <n v="9"/>
    <n v="7"/>
    <n v="9"/>
    <n v="0"/>
    <m/>
  </r>
  <r>
    <n v="19"/>
    <x v="1"/>
    <n v="7.9"/>
    <x v="1"/>
    <n v="5.8"/>
    <n v="2.1"/>
    <n v="3.91"/>
    <n v="1.4"/>
    <s v="high"/>
    <n v="7"/>
    <n v="1"/>
    <n v="10"/>
    <n v="0"/>
    <m/>
  </r>
  <r>
    <n v="17"/>
    <x v="0"/>
    <n v="5.9"/>
    <x v="2"/>
    <n v="6.6"/>
    <n v="1.3"/>
    <n v="2.11"/>
    <n v="1.4"/>
    <s v="low"/>
    <n v="10"/>
    <n v="4"/>
    <n v="9"/>
    <n v="0"/>
    <m/>
  </r>
  <r>
    <n v="13"/>
    <x v="1"/>
    <n v="2.6"/>
    <x v="1"/>
    <n v="8.5"/>
    <n v="1.9"/>
    <n v="3.06"/>
    <n v="1.9"/>
    <s v="high"/>
    <n v="5"/>
    <n v="7"/>
    <n v="6"/>
    <n v="0"/>
    <m/>
  </r>
  <r>
    <n v="18"/>
    <x v="1"/>
    <n v="6.3"/>
    <x v="1"/>
    <n v="4.8"/>
    <n v="1.2"/>
    <n v="2.91"/>
    <n v="1.3"/>
    <s v="medium"/>
    <n v="9"/>
    <n v="10"/>
    <n v="3"/>
    <n v="1"/>
    <m/>
  </r>
  <r>
    <n v="19"/>
    <x v="1"/>
    <n v="4.5"/>
    <x v="1"/>
    <n v="8.4"/>
    <n v="2.1"/>
    <n v="2.62"/>
    <n v="2"/>
    <s v="low"/>
    <n v="5"/>
    <n v="10"/>
    <n v="5"/>
    <n v="0"/>
    <m/>
  </r>
  <r>
    <n v="19"/>
    <x v="0"/>
    <n v="5.3"/>
    <x v="0"/>
    <n v="4.7"/>
    <n v="2.8"/>
    <n v="2.82"/>
    <n v="0.3"/>
    <s v="high"/>
    <n v="1"/>
    <n v="9"/>
    <n v="6"/>
    <n v="0"/>
    <m/>
  </r>
  <r>
    <n v="13"/>
    <x v="1"/>
    <n v="5.2"/>
    <x v="2"/>
    <n v="7.4"/>
    <n v="2.5"/>
    <n v="3.93"/>
    <n v="0.8"/>
    <s v="low"/>
    <n v="4"/>
    <n v="4"/>
    <n v="8"/>
    <n v="0"/>
    <m/>
  </r>
  <r>
    <n v="15"/>
    <x v="0"/>
    <n v="3.3"/>
    <x v="2"/>
    <n v="6.1"/>
    <n v="1.2"/>
    <n v="2.56"/>
    <n v="1.4"/>
    <s v="low"/>
    <n v="8"/>
    <n v="6"/>
    <n v="3"/>
    <n v="0"/>
    <m/>
  </r>
  <r>
    <n v="14"/>
    <x v="1"/>
    <n v="1.1000000000000001"/>
    <x v="2"/>
    <n v="5.4"/>
    <n v="1.6"/>
    <n v="3.34"/>
    <n v="1.5"/>
    <s v="medium"/>
    <n v="4"/>
    <n v="5"/>
    <n v="8"/>
    <n v="0"/>
    <m/>
  </r>
  <r>
    <n v="17"/>
    <x v="1"/>
    <n v="5"/>
    <x v="0"/>
    <n v="7.3"/>
    <n v="1.2"/>
    <n v="3.39"/>
    <n v="0.7"/>
    <s v="medium"/>
    <n v="9"/>
    <n v="10"/>
    <n v="8"/>
    <n v="0"/>
    <m/>
  </r>
  <r>
    <n v="15"/>
    <x v="1"/>
    <n v="7.4"/>
    <x v="1"/>
    <n v="8.6"/>
    <n v="1.4"/>
    <n v="2.19"/>
    <n v="1.8"/>
    <s v="low"/>
    <n v="10"/>
    <n v="10"/>
    <n v="1"/>
    <n v="0"/>
    <m/>
  </r>
  <r>
    <n v="15"/>
    <x v="1"/>
    <n v="7.4"/>
    <x v="1"/>
    <n v="8.9"/>
    <n v="2.9"/>
    <n v="3.39"/>
    <n v="1.1000000000000001"/>
    <s v="high"/>
    <n v="4"/>
    <n v="9"/>
    <n v="1"/>
    <n v="0"/>
    <m/>
  </r>
  <r>
    <n v="17"/>
    <x v="0"/>
    <n v="6.6"/>
    <x v="1"/>
    <n v="5.2"/>
    <n v="2.2000000000000002"/>
    <n v="2.98"/>
    <n v="0.8"/>
    <s v="high"/>
    <n v="6"/>
    <n v="8"/>
    <n v="7"/>
    <n v="0"/>
    <m/>
  </r>
  <r>
    <n v="13"/>
    <x v="1"/>
    <n v="7.1"/>
    <x v="2"/>
    <n v="7.2"/>
    <n v="1.1000000000000001"/>
    <n v="3.69"/>
    <n v="1"/>
    <s v="low"/>
    <n v="4"/>
    <n v="6"/>
    <n v="3"/>
    <n v="0"/>
    <m/>
  </r>
  <r>
    <n v="15"/>
    <x v="1"/>
    <n v="1.1000000000000001"/>
    <x v="1"/>
    <n v="8.6"/>
    <n v="2.2999999999999998"/>
    <n v="3.68"/>
    <n v="0.5"/>
    <s v="low"/>
    <n v="1"/>
    <n v="2"/>
    <n v="7"/>
    <n v="0"/>
    <m/>
  </r>
  <r>
    <n v="13"/>
    <x v="1"/>
    <n v="3.6"/>
    <x v="1"/>
    <n v="8.6999999999999993"/>
    <n v="0.8"/>
    <n v="2.41"/>
    <n v="1.3"/>
    <s v="low"/>
    <n v="4"/>
    <n v="6"/>
    <n v="8"/>
    <n v="0"/>
    <m/>
  </r>
  <r>
    <n v="16"/>
    <x v="0"/>
    <n v="5.0999999999999996"/>
    <x v="1"/>
    <n v="4.5999999999999996"/>
    <n v="1.1000000000000001"/>
    <n v="2.75"/>
    <n v="1.5"/>
    <s v="medium"/>
    <n v="6"/>
    <n v="3"/>
    <n v="6"/>
    <n v="0"/>
    <m/>
  </r>
  <r>
    <n v="19"/>
    <x v="1"/>
    <n v="7.3"/>
    <x v="0"/>
    <n v="7.8"/>
    <n v="1"/>
    <n v="2.91"/>
    <n v="0.8"/>
    <s v="medium"/>
    <n v="9"/>
    <n v="7"/>
    <n v="5"/>
    <n v="0"/>
    <m/>
  </r>
  <r>
    <n v="13"/>
    <x v="1"/>
    <n v="7.7"/>
    <x v="2"/>
    <n v="7.5"/>
    <n v="1.4"/>
    <n v="2.2400000000000002"/>
    <n v="0.1"/>
    <s v="low"/>
    <n v="5"/>
    <n v="3"/>
    <n v="3"/>
    <n v="0"/>
    <m/>
  </r>
  <r>
    <n v="13"/>
    <x v="1"/>
    <n v="7.9"/>
    <x v="1"/>
    <n v="4.0999999999999996"/>
    <n v="1.6"/>
    <n v="2.74"/>
    <n v="0.9"/>
    <s v="medium"/>
    <n v="9"/>
    <n v="3"/>
    <n v="5"/>
    <n v="0"/>
    <m/>
  </r>
  <r>
    <n v="16"/>
    <x v="1"/>
    <n v="5.5"/>
    <x v="2"/>
    <n v="5.8"/>
    <n v="2.5"/>
    <n v="2.34"/>
    <n v="1"/>
    <s v="low"/>
    <n v="5"/>
    <n v="2"/>
    <n v="8"/>
    <n v="0"/>
    <m/>
  </r>
  <r>
    <n v="19"/>
    <x v="0"/>
    <n v="4"/>
    <x v="0"/>
    <n v="7.8"/>
    <n v="0.6"/>
    <n v="3.61"/>
    <n v="1.7"/>
    <s v="high"/>
    <n v="2"/>
    <n v="7"/>
    <n v="9"/>
    <n v="0"/>
    <m/>
  </r>
  <r>
    <n v="15"/>
    <x v="1"/>
    <n v="7.9"/>
    <x v="1"/>
    <n v="4.7"/>
    <n v="1.5"/>
    <n v="3.3"/>
    <n v="0"/>
    <s v="low"/>
    <n v="5"/>
    <n v="8"/>
    <n v="5"/>
    <n v="0"/>
    <m/>
  </r>
  <r>
    <n v="18"/>
    <x v="1"/>
    <n v="5.5"/>
    <x v="2"/>
    <n v="8.1999999999999993"/>
    <n v="0.5"/>
    <n v="3.15"/>
    <n v="1.2"/>
    <s v="medium"/>
    <n v="8"/>
    <n v="7"/>
    <n v="7"/>
    <n v="0"/>
    <m/>
  </r>
  <r>
    <n v="17"/>
    <x v="1"/>
    <n v="7.6"/>
    <x v="2"/>
    <n v="7.1"/>
    <n v="1.1000000000000001"/>
    <n v="2.0699999999999998"/>
    <n v="1.9"/>
    <s v="high"/>
    <n v="3"/>
    <n v="2"/>
    <n v="6"/>
    <n v="0"/>
    <m/>
  </r>
  <r>
    <n v="13"/>
    <x v="0"/>
    <n v="1.3"/>
    <x v="1"/>
    <n v="4.4000000000000004"/>
    <n v="0.9"/>
    <n v="2.99"/>
    <n v="0"/>
    <s v="high"/>
    <n v="8"/>
    <n v="2"/>
    <n v="5"/>
    <n v="0"/>
    <m/>
  </r>
  <r>
    <n v="16"/>
    <x v="0"/>
    <n v="7.3"/>
    <x v="1"/>
    <n v="7"/>
    <n v="2.2000000000000002"/>
    <n v="2.0699999999999998"/>
    <n v="1"/>
    <s v="medium"/>
    <n v="3"/>
    <n v="7"/>
    <n v="1"/>
    <n v="0"/>
    <m/>
  </r>
  <r>
    <n v="18"/>
    <x v="0"/>
    <n v="4.3"/>
    <x v="0"/>
    <n v="6.7"/>
    <n v="2.5"/>
    <n v="3.19"/>
    <n v="1"/>
    <s v="high"/>
    <n v="5"/>
    <n v="5"/>
    <n v="5"/>
    <n v="0"/>
    <m/>
  </r>
  <r>
    <n v="16"/>
    <x v="0"/>
    <n v="7.1"/>
    <x v="1"/>
    <n v="7.7"/>
    <n v="1.9"/>
    <n v="2.2400000000000002"/>
    <n v="0.6"/>
    <s v="high"/>
    <n v="8"/>
    <n v="10"/>
    <n v="5"/>
    <n v="0"/>
    <m/>
  </r>
  <r>
    <n v="14"/>
    <x v="1"/>
    <n v="5.7"/>
    <x v="1"/>
    <n v="6.4"/>
    <n v="1.9"/>
    <n v="3.3"/>
    <n v="1.3"/>
    <s v="high"/>
    <n v="6"/>
    <n v="8"/>
    <n v="5"/>
    <n v="0"/>
    <m/>
  </r>
  <r>
    <n v="18"/>
    <x v="1"/>
    <n v="5.2"/>
    <x v="2"/>
    <n v="7.3"/>
    <n v="1.7"/>
    <n v="3.33"/>
    <n v="0.9"/>
    <s v="low"/>
    <n v="7"/>
    <n v="4"/>
    <n v="9"/>
    <n v="0"/>
    <m/>
  </r>
  <r>
    <n v="17"/>
    <x v="0"/>
    <n v="3.1"/>
    <x v="1"/>
    <n v="7.7"/>
    <n v="2.2000000000000002"/>
    <n v="3.72"/>
    <n v="1.4"/>
    <s v="medium"/>
    <n v="1"/>
    <n v="5"/>
    <n v="8"/>
    <n v="0"/>
    <m/>
  </r>
  <r>
    <n v="13"/>
    <x v="0"/>
    <n v="3"/>
    <x v="2"/>
    <n v="6.2"/>
    <n v="0.8"/>
    <n v="3.96"/>
    <n v="1.1000000000000001"/>
    <s v="low"/>
    <n v="9"/>
    <n v="10"/>
    <n v="3"/>
    <n v="0"/>
    <m/>
  </r>
  <r>
    <n v="17"/>
    <x v="1"/>
    <n v="6"/>
    <x v="2"/>
    <n v="4.2"/>
    <n v="2.2000000000000002"/>
    <n v="2.27"/>
    <n v="0.5"/>
    <s v="medium"/>
    <n v="1"/>
    <n v="4"/>
    <n v="5"/>
    <n v="0"/>
    <m/>
  </r>
  <r>
    <n v="13"/>
    <x v="0"/>
    <n v="5.9"/>
    <x v="0"/>
    <n v="8.6"/>
    <n v="1.9"/>
    <n v="3.88"/>
    <n v="0.2"/>
    <s v="medium"/>
    <n v="1"/>
    <n v="6"/>
    <n v="9"/>
    <n v="0"/>
    <m/>
  </r>
  <r>
    <n v="15"/>
    <x v="0"/>
    <n v="5.0999999999999996"/>
    <x v="1"/>
    <n v="5.5"/>
    <n v="0.7"/>
    <n v="2.13"/>
    <n v="0.5"/>
    <s v="medium"/>
    <n v="6"/>
    <n v="10"/>
    <n v="8"/>
    <n v="0"/>
    <m/>
  </r>
  <r>
    <n v="19"/>
    <x v="1"/>
    <n v="3.5"/>
    <x v="0"/>
    <n v="4.9000000000000004"/>
    <n v="0.5"/>
    <n v="3.68"/>
    <n v="1.7"/>
    <s v="high"/>
    <n v="8"/>
    <n v="4"/>
    <n v="3"/>
    <n v="0"/>
    <m/>
  </r>
  <r>
    <n v="16"/>
    <x v="0"/>
    <n v="5.3"/>
    <x v="1"/>
    <n v="5.3"/>
    <n v="2.4"/>
    <n v="3.01"/>
    <n v="1.6"/>
    <s v="medium"/>
    <n v="2"/>
    <n v="9"/>
    <n v="1"/>
    <n v="0"/>
    <m/>
  </r>
  <r>
    <n v="13"/>
    <x v="1"/>
    <n v="4.0999999999999996"/>
    <x v="0"/>
    <n v="7.5"/>
    <n v="1.7"/>
    <n v="3.12"/>
    <n v="2"/>
    <s v="medium"/>
    <n v="1"/>
    <n v="4"/>
    <n v="9"/>
    <n v="0"/>
    <m/>
  </r>
  <r>
    <n v="18"/>
    <x v="0"/>
    <n v="4.0999999999999996"/>
    <x v="0"/>
    <n v="6.7"/>
    <n v="2.1"/>
    <n v="2.5"/>
    <n v="0.1"/>
    <s v="medium"/>
    <n v="8"/>
    <n v="1"/>
    <n v="5"/>
    <n v="0"/>
    <m/>
  </r>
  <r>
    <n v="15"/>
    <x v="0"/>
    <n v="6.3"/>
    <x v="1"/>
    <n v="6.8"/>
    <n v="1.8"/>
    <n v="2.59"/>
    <n v="1.9"/>
    <s v="high"/>
    <n v="10"/>
    <n v="5"/>
    <n v="5"/>
    <n v="0"/>
    <m/>
  </r>
  <r>
    <n v="19"/>
    <x v="1"/>
    <n v="6.6"/>
    <x v="2"/>
    <n v="9"/>
    <n v="2.9"/>
    <n v="2.4700000000000002"/>
    <n v="1.7"/>
    <s v="medium"/>
    <n v="3"/>
    <n v="7"/>
    <n v="9"/>
    <n v="0"/>
    <m/>
  </r>
  <r>
    <n v="19"/>
    <x v="0"/>
    <n v="1.4"/>
    <x v="2"/>
    <n v="4.5"/>
    <n v="2.2999999999999998"/>
    <n v="3.9"/>
    <n v="0"/>
    <s v="medium"/>
    <n v="2"/>
    <n v="8"/>
    <n v="10"/>
    <n v="0"/>
    <m/>
  </r>
  <r>
    <n v="19"/>
    <x v="0"/>
    <n v="2.4"/>
    <x v="1"/>
    <n v="9"/>
    <n v="2.4"/>
    <n v="3.13"/>
    <n v="0.5"/>
    <s v="high"/>
    <n v="5"/>
    <n v="3"/>
    <n v="3"/>
    <n v="0"/>
    <m/>
  </r>
  <r>
    <n v="18"/>
    <x v="0"/>
    <n v="1.6"/>
    <x v="2"/>
    <n v="5.4"/>
    <n v="2"/>
    <n v="3.2"/>
    <n v="1.8"/>
    <s v="low"/>
    <n v="8"/>
    <n v="8"/>
    <n v="3"/>
    <n v="0"/>
    <m/>
  </r>
  <r>
    <n v="18"/>
    <x v="0"/>
    <n v="2"/>
    <x v="0"/>
    <n v="8.9"/>
    <n v="0.8"/>
    <n v="2.96"/>
    <n v="0.5"/>
    <s v="medium"/>
    <n v="6"/>
    <n v="2"/>
    <n v="2"/>
    <n v="0"/>
    <m/>
  </r>
  <r>
    <n v="17"/>
    <x v="1"/>
    <n v="7.4"/>
    <x v="0"/>
    <n v="7.4"/>
    <n v="2"/>
    <n v="3.76"/>
    <n v="1.7"/>
    <s v="high"/>
    <n v="10"/>
    <n v="1"/>
    <n v="4"/>
    <n v="0"/>
    <m/>
  </r>
  <r>
    <n v="14"/>
    <x v="1"/>
    <n v="1.6"/>
    <x v="1"/>
    <n v="4.8"/>
    <n v="2.4"/>
    <n v="2.97"/>
    <n v="1.9"/>
    <s v="low"/>
    <n v="9"/>
    <n v="9"/>
    <n v="10"/>
    <n v="0"/>
    <m/>
  </r>
  <r>
    <n v="17"/>
    <x v="1"/>
    <n v="3.8"/>
    <x v="0"/>
    <n v="8.4"/>
    <n v="0.9"/>
    <n v="3.6"/>
    <n v="1.9"/>
    <s v="high"/>
    <n v="1"/>
    <n v="2"/>
    <n v="2"/>
    <n v="0"/>
    <m/>
  </r>
  <r>
    <n v="19"/>
    <x v="0"/>
    <n v="8"/>
    <x v="1"/>
    <n v="4.7"/>
    <n v="0.5"/>
    <n v="2.1800000000000002"/>
    <n v="0.6"/>
    <s v="medium"/>
    <n v="8"/>
    <n v="8"/>
    <n v="6"/>
    <n v="1"/>
    <m/>
  </r>
  <r>
    <n v="13"/>
    <x v="0"/>
    <n v="7.8"/>
    <x v="1"/>
    <n v="5.9"/>
    <n v="1.5"/>
    <n v="3.31"/>
    <n v="1.9"/>
    <s v="high"/>
    <n v="10"/>
    <n v="1"/>
    <n v="10"/>
    <n v="0"/>
    <m/>
  </r>
  <r>
    <n v="13"/>
    <x v="1"/>
    <n v="7.2"/>
    <x v="0"/>
    <n v="8.1"/>
    <n v="2.1"/>
    <n v="2.52"/>
    <n v="0.4"/>
    <s v="medium"/>
    <n v="3"/>
    <n v="3"/>
    <n v="7"/>
    <n v="0"/>
    <m/>
  </r>
  <r>
    <n v="17"/>
    <x v="0"/>
    <n v="2"/>
    <x v="2"/>
    <n v="4.5"/>
    <n v="1.7"/>
    <n v="2.65"/>
    <n v="0"/>
    <s v="medium"/>
    <n v="9"/>
    <n v="4"/>
    <n v="2"/>
    <n v="0"/>
    <m/>
  </r>
  <r>
    <n v="18"/>
    <x v="1"/>
    <n v="6.8"/>
    <x v="0"/>
    <n v="6.6"/>
    <n v="2"/>
    <n v="2.76"/>
    <n v="1"/>
    <s v="low"/>
    <n v="3"/>
    <n v="4"/>
    <n v="4"/>
    <n v="0"/>
    <m/>
  </r>
  <r>
    <n v="16"/>
    <x v="0"/>
    <n v="2.2999999999999998"/>
    <x v="2"/>
    <n v="8"/>
    <n v="1.9"/>
    <n v="2.12"/>
    <n v="0.4"/>
    <s v="high"/>
    <n v="7"/>
    <n v="4"/>
    <n v="4"/>
    <n v="0"/>
    <m/>
  </r>
  <r>
    <n v="14"/>
    <x v="1"/>
    <n v="1.7"/>
    <x v="2"/>
    <n v="8.6999999999999993"/>
    <n v="0.7"/>
    <n v="3.98"/>
    <n v="0.8"/>
    <s v="high"/>
    <n v="1"/>
    <n v="1"/>
    <n v="1"/>
    <n v="0"/>
    <m/>
  </r>
  <r>
    <n v="15"/>
    <x v="0"/>
    <n v="3.9"/>
    <x v="2"/>
    <n v="8.5"/>
    <n v="2.1"/>
    <n v="3.19"/>
    <n v="0.6"/>
    <s v="high"/>
    <n v="7"/>
    <n v="9"/>
    <n v="9"/>
    <n v="0"/>
    <m/>
  </r>
  <r>
    <n v="16"/>
    <x v="1"/>
    <n v="4.7"/>
    <x v="1"/>
    <n v="6.5"/>
    <n v="1"/>
    <n v="2.91"/>
    <n v="0.9"/>
    <s v="medium"/>
    <n v="5"/>
    <n v="7"/>
    <n v="3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4"/>
    <x v="0"/>
    <n v="7.9"/>
    <x v="0"/>
    <n v="7.4"/>
    <n v="2.9"/>
    <n v="3.01"/>
    <n v="1.5"/>
    <x v="0"/>
    <n v="2"/>
    <n v="2"/>
    <n v="1"/>
    <n v="1"/>
    <d v="2026-06-04T00:00:00"/>
  </r>
  <r>
    <n v="19"/>
    <x v="1"/>
    <n v="1.9"/>
    <x v="1"/>
    <n v="8"/>
    <n v="2.9"/>
    <n v="3.22"/>
    <n v="0.8"/>
    <x v="1"/>
    <n v="8"/>
    <n v="1"/>
    <n v="10"/>
    <n v="1"/>
    <d v="2026-06-05T00:00:00"/>
  </r>
  <r>
    <n v="17"/>
    <x v="1"/>
    <n v="1.3"/>
    <x v="0"/>
    <n v="7.6"/>
    <n v="0.5"/>
    <n v="3.92"/>
    <n v="0"/>
    <x v="1"/>
    <n v="2"/>
    <n v="4"/>
    <n v="2"/>
    <n v="1"/>
    <d v="2026-06-06T00:00:00"/>
  </r>
  <r>
    <n v="15"/>
    <x v="0"/>
    <n v="7.4"/>
    <x v="1"/>
    <n v="6.9"/>
    <n v="1.6"/>
    <n v="3.48"/>
    <n v="0.8"/>
    <x v="2"/>
    <n v="1"/>
    <n v="7"/>
    <n v="9"/>
    <n v="1"/>
    <d v="2026-06-07T00:00:00"/>
  </r>
  <r>
    <n v="15"/>
    <x v="1"/>
    <n v="4.7"/>
    <x v="2"/>
    <n v="4.9000000000000004"/>
    <n v="3"/>
    <n v="2.37"/>
    <n v="1.4"/>
    <x v="2"/>
    <n v="3"/>
    <n v="5"/>
    <n v="2"/>
    <n v="1"/>
    <m/>
  </r>
  <r>
    <n v="19"/>
    <x v="1"/>
    <n v="7.4"/>
    <x v="2"/>
    <n v="4.4000000000000004"/>
    <n v="2.4"/>
    <n v="2.63"/>
    <n v="0.6"/>
    <x v="1"/>
    <n v="3"/>
    <n v="5"/>
    <n v="7"/>
    <n v="1"/>
    <m/>
  </r>
  <r>
    <n v="18"/>
    <x v="1"/>
    <n v="2.5"/>
    <x v="0"/>
    <n v="6.4"/>
    <n v="2.4"/>
    <n v="2.63"/>
    <n v="0.7"/>
    <x v="0"/>
    <n v="2"/>
    <n v="2"/>
    <n v="5"/>
    <n v="1"/>
    <m/>
  </r>
  <r>
    <n v="16"/>
    <x v="0"/>
    <n v="4"/>
    <x v="2"/>
    <n v="4.2"/>
    <n v="0.5"/>
    <n v="2.4"/>
    <n v="1.3"/>
    <x v="0"/>
    <n v="6"/>
    <n v="10"/>
    <n v="5"/>
    <n v="1"/>
    <m/>
  </r>
  <r>
    <n v="19"/>
    <x v="1"/>
    <n v="3.3"/>
    <x v="1"/>
    <n v="5"/>
    <n v="2.1"/>
    <n v="2.04"/>
    <n v="0.9"/>
    <x v="1"/>
    <n v="1"/>
    <n v="10"/>
    <n v="9"/>
    <n v="1"/>
    <m/>
  </r>
  <r>
    <n v="15"/>
    <x v="0"/>
    <n v="1.9"/>
    <x v="1"/>
    <n v="4.9000000000000004"/>
    <n v="1.5"/>
    <n v="3.77"/>
    <n v="1.1000000000000001"/>
    <x v="1"/>
    <n v="1"/>
    <n v="1"/>
    <n v="4"/>
    <n v="1"/>
    <m/>
  </r>
  <r>
    <n v="16"/>
    <x v="0"/>
    <n v="7.2"/>
    <x v="2"/>
    <n v="5.8"/>
    <n v="2.9"/>
    <n v="3.16"/>
    <n v="1.2"/>
    <x v="2"/>
    <n v="5"/>
    <n v="8"/>
    <n v="9"/>
    <n v="1"/>
    <m/>
  </r>
  <r>
    <n v="13"/>
    <x v="0"/>
    <n v="4.9000000000000004"/>
    <x v="0"/>
    <n v="4.7"/>
    <n v="2.5"/>
    <n v="3.92"/>
    <n v="1.2"/>
    <x v="0"/>
    <n v="1"/>
    <n v="10"/>
    <n v="8"/>
    <n v="-1"/>
    <m/>
  </r>
  <r>
    <n v="16"/>
    <x v="0"/>
    <n v="6.2"/>
    <x v="2"/>
    <n v="7.2"/>
    <n v="2.6"/>
    <n v="2.02"/>
    <n v="1.7"/>
    <x v="2"/>
    <n v="5"/>
    <n v="7"/>
    <n v="6"/>
    <n v="-1"/>
    <m/>
  </r>
  <r>
    <n v="17"/>
    <x v="1"/>
    <n v="6.8"/>
    <x v="1"/>
    <n v="5.7"/>
    <n v="1.1000000000000001"/>
    <n v="3.29"/>
    <n v="1.3"/>
    <x v="2"/>
    <n v="1"/>
    <n v="10"/>
    <n v="10"/>
    <n v="-1"/>
    <m/>
  </r>
  <r>
    <n v="15"/>
    <x v="0"/>
    <n v="5.7"/>
    <x v="1"/>
    <n v="5.9"/>
    <n v="0.8"/>
    <n v="3.5"/>
    <n v="0.7"/>
    <x v="0"/>
    <n v="1"/>
    <n v="9"/>
    <n v="1"/>
    <n v="-1"/>
    <m/>
  </r>
  <r>
    <n v="14"/>
    <x v="1"/>
    <n v="3.6"/>
    <x v="2"/>
    <n v="5.3"/>
    <n v="0.6"/>
    <n v="2.99"/>
    <n v="0.3"/>
    <x v="1"/>
    <n v="4"/>
    <n v="10"/>
    <n v="2"/>
    <n v="-1"/>
    <m/>
  </r>
  <r>
    <n v="13"/>
    <x v="0"/>
    <n v="1.5"/>
    <x v="2"/>
    <n v="4.2"/>
    <n v="1.4"/>
    <n v="2.59"/>
    <n v="0.5"/>
    <x v="1"/>
    <n v="4"/>
    <n v="5"/>
    <n v="8"/>
    <n v="-1"/>
    <m/>
  </r>
  <r>
    <n v="16"/>
    <x v="0"/>
    <n v="3.1"/>
    <x v="2"/>
    <n v="6.1"/>
    <n v="0.8"/>
    <n v="2.11"/>
    <n v="1.9"/>
    <x v="1"/>
    <n v="10"/>
    <n v="7"/>
    <n v="10"/>
    <n v="1"/>
    <m/>
  </r>
  <r>
    <n v="16"/>
    <x v="1"/>
    <n v="6.7"/>
    <x v="2"/>
    <n v="6.8"/>
    <n v="1.9"/>
    <n v="3.08"/>
    <n v="1.4"/>
    <x v="1"/>
    <n v="10"/>
    <n v="9"/>
    <n v="1"/>
    <n v="1"/>
    <m/>
  </r>
  <r>
    <n v="14"/>
    <x v="1"/>
    <n v="1.2"/>
    <x v="0"/>
    <n v="7.6"/>
    <n v="1"/>
    <n v="3.85"/>
    <n v="0.8"/>
    <x v="1"/>
    <n v="8"/>
    <n v="4"/>
    <n v="6"/>
    <n v="1"/>
    <m/>
  </r>
  <r>
    <n v="16"/>
    <x v="0"/>
    <n v="3.4"/>
    <x v="1"/>
    <n v="4.5999999999999996"/>
    <n v="2.1"/>
    <n v="2.2400000000000002"/>
    <n v="0.4"/>
    <x v="1"/>
    <n v="4"/>
    <n v="1"/>
    <n v="3"/>
    <n v="1"/>
    <m/>
  </r>
  <r>
    <n v="18"/>
    <x v="0"/>
    <n v="4.0999999999999996"/>
    <x v="2"/>
    <n v="7.4"/>
    <n v="2.4"/>
    <n v="2.38"/>
    <n v="1.5"/>
    <x v="2"/>
    <n v="8"/>
    <n v="4"/>
    <n v="9"/>
    <n v="1"/>
    <m/>
  </r>
  <r>
    <n v="18"/>
    <x v="0"/>
    <n v="5.3"/>
    <x v="0"/>
    <n v="4.9000000000000004"/>
    <n v="1.2"/>
    <n v="3.69"/>
    <n v="1.2"/>
    <x v="0"/>
    <n v="5"/>
    <n v="4"/>
    <n v="5"/>
    <n v="1"/>
    <m/>
  </r>
  <r>
    <n v="18"/>
    <x v="1"/>
    <n v="2.2999999999999998"/>
    <x v="1"/>
    <n v="7.6"/>
    <n v="0.5"/>
    <n v="2.96"/>
    <n v="1.7"/>
    <x v="2"/>
    <n v="9"/>
    <n v="8"/>
    <n v="7"/>
    <n v="1"/>
    <m/>
  </r>
  <r>
    <n v="18"/>
    <x v="1"/>
    <n v="2.4"/>
    <x v="2"/>
    <n v="6.7"/>
    <n v="1.9"/>
    <n v="2.5299999999999998"/>
    <n v="0.4"/>
    <x v="1"/>
    <n v="8"/>
    <n v="8"/>
    <n v="2"/>
    <n v="1"/>
    <m/>
  </r>
  <r>
    <n v="13"/>
    <x v="1"/>
    <n v="1.5"/>
    <x v="2"/>
    <n v="7.2"/>
    <n v="2.5"/>
    <n v="2.15"/>
    <n v="1.3"/>
    <x v="2"/>
    <n v="4"/>
    <n v="6"/>
    <n v="2"/>
    <n v="1"/>
    <m/>
  </r>
  <r>
    <n v="14"/>
    <x v="1"/>
    <n v="5.7"/>
    <x v="2"/>
    <n v="8.6999999999999993"/>
    <n v="0.6"/>
    <n v="2.64"/>
    <n v="0.1"/>
    <x v="0"/>
    <n v="8"/>
    <n v="9"/>
    <n v="4"/>
    <n v="1"/>
    <m/>
  </r>
  <r>
    <n v="19"/>
    <x v="0"/>
    <n v="2"/>
    <x v="1"/>
    <n v="7.1"/>
    <n v="0.9"/>
    <n v="3.26"/>
    <n v="1.6"/>
    <x v="1"/>
    <n v="7"/>
    <n v="5"/>
    <n v="9"/>
    <n v="1"/>
    <m/>
  </r>
  <r>
    <n v="14"/>
    <x v="0"/>
    <n v="2.5"/>
    <x v="1"/>
    <n v="5.6"/>
    <n v="2.9"/>
    <n v="2.2400000000000002"/>
    <n v="0.5"/>
    <x v="0"/>
    <n v="3"/>
    <n v="9"/>
    <n v="5"/>
    <n v="1"/>
    <m/>
  </r>
  <r>
    <n v="16"/>
    <x v="1"/>
    <n v="3.4"/>
    <x v="1"/>
    <n v="7.8"/>
    <n v="2.8"/>
    <n v="3.83"/>
    <n v="1.8"/>
    <x v="2"/>
    <n v="6"/>
    <n v="6"/>
    <n v="4"/>
    <n v="1"/>
    <m/>
  </r>
  <r>
    <n v="13"/>
    <x v="0"/>
    <n v="6.6"/>
    <x v="1"/>
    <n v="5.7"/>
    <n v="2.5"/>
    <n v="2.67"/>
    <n v="1.1000000000000001"/>
    <x v="0"/>
    <n v="2"/>
    <n v="1"/>
    <n v="10"/>
    <n v="1"/>
    <m/>
  </r>
  <r>
    <n v="13"/>
    <x v="1"/>
    <n v="1.6"/>
    <x v="0"/>
    <n v="8.6999999999999993"/>
    <n v="2.5"/>
    <n v="3.69"/>
    <n v="0.4"/>
    <x v="1"/>
    <n v="8"/>
    <n v="2"/>
    <n v="9"/>
    <n v="1"/>
    <m/>
  </r>
  <r>
    <n v="16"/>
    <x v="0"/>
    <n v="2.7"/>
    <x v="0"/>
    <n v="4.2"/>
    <n v="2.4"/>
    <n v="3.05"/>
    <n v="0.2"/>
    <x v="1"/>
    <n v="1"/>
    <n v="8"/>
    <n v="4"/>
    <n v="0"/>
    <m/>
  </r>
  <r>
    <n v="14"/>
    <x v="0"/>
    <n v="4.0999999999999996"/>
    <x v="1"/>
    <n v="8"/>
    <n v="3"/>
    <n v="2.31"/>
    <n v="0.8"/>
    <x v="0"/>
    <n v="8"/>
    <n v="4"/>
    <n v="1"/>
    <n v="0"/>
    <m/>
  </r>
  <r>
    <n v="13"/>
    <x v="1"/>
    <n v="6.6"/>
    <x v="1"/>
    <n v="7.3"/>
    <n v="1.6"/>
    <n v="3.27"/>
    <n v="0.1"/>
    <x v="2"/>
    <n v="10"/>
    <n v="2"/>
    <n v="1"/>
    <n v="0"/>
    <m/>
  </r>
  <r>
    <n v="17"/>
    <x v="1"/>
    <n v="5"/>
    <x v="2"/>
    <n v="4.9000000000000004"/>
    <n v="2.1"/>
    <n v="2.0099999999999998"/>
    <n v="1"/>
    <x v="0"/>
    <n v="9"/>
    <n v="4"/>
    <n v="9"/>
    <n v="0"/>
    <m/>
  </r>
  <r>
    <n v="19"/>
    <x v="1"/>
    <n v="4.5999999999999996"/>
    <x v="0"/>
    <n v="5.5"/>
    <n v="2.5"/>
    <n v="3.96"/>
    <n v="0.8"/>
    <x v="1"/>
    <n v="3"/>
    <n v="10"/>
    <n v="7"/>
    <n v="0"/>
    <m/>
  </r>
  <r>
    <n v="17"/>
    <x v="1"/>
    <n v="4.8"/>
    <x v="0"/>
    <n v="4.4000000000000004"/>
    <n v="1.3"/>
    <n v="2.02"/>
    <n v="0.5"/>
    <x v="0"/>
    <n v="5"/>
    <n v="10"/>
    <n v="6"/>
    <n v="0"/>
    <m/>
  </r>
  <r>
    <n v="17"/>
    <x v="1"/>
    <n v="1.3"/>
    <x v="1"/>
    <n v="8"/>
    <n v="2"/>
    <n v="2.84"/>
    <n v="1.8"/>
    <x v="1"/>
    <n v="1"/>
    <n v="7"/>
    <n v="8"/>
    <n v="0"/>
    <m/>
  </r>
  <r>
    <n v="17"/>
    <x v="1"/>
    <n v="6.3"/>
    <x v="0"/>
    <n v="4"/>
    <n v="1"/>
    <n v="2.4300000000000002"/>
    <n v="1.2"/>
    <x v="1"/>
    <n v="1"/>
    <n v="10"/>
    <n v="9"/>
    <n v="1"/>
    <m/>
  </r>
  <r>
    <n v="14"/>
    <x v="0"/>
    <n v="6.4"/>
    <x v="0"/>
    <n v="5.7"/>
    <n v="0.9"/>
    <n v="2.06"/>
    <n v="1.8"/>
    <x v="1"/>
    <n v="10"/>
    <n v="4"/>
    <n v="2"/>
    <n v="1"/>
    <m/>
  </r>
  <r>
    <n v="19"/>
    <x v="0"/>
    <n v="1.6"/>
    <x v="0"/>
    <n v="8.6"/>
    <n v="2.4"/>
    <n v="3.81"/>
    <n v="0.4"/>
    <x v="0"/>
    <n v="10"/>
    <n v="4"/>
    <n v="1"/>
    <n v="1"/>
    <m/>
  </r>
  <r>
    <n v="14"/>
    <x v="1"/>
    <n v="7.3"/>
    <x v="0"/>
    <n v="7.7"/>
    <n v="1.4"/>
    <n v="3.42"/>
    <n v="0.3"/>
    <x v="2"/>
    <n v="6"/>
    <n v="1"/>
    <n v="8"/>
    <n v="1"/>
    <m/>
  </r>
  <r>
    <n v="15"/>
    <x v="0"/>
    <n v="4"/>
    <x v="2"/>
    <n v="8.8000000000000007"/>
    <n v="1.3"/>
    <n v="3.59"/>
    <n v="1.9"/>
    <x v="2"/>
    <n v="10"/>
    <n v="6"/>
    <n v="10"/>
    <n v="1"/>
    <m/>
  </r>
  <r>
    <n v="14"/>
    <x v="0"/>
    <n v="5.2"/>
    <x v="2"/>
    <n v="4.0999999999999996"/>
    <n v="2.1"/>
    <n v="3.07"/>
    <n v="0.2"/>
    <x v="2"/>
    <n v="9"/>
    <n v="3"/>
    <n v="8"/>
    <n v="1"/>
    <m/>
  </r>
  <r>
    <n v="14"/>
    <x v="1"/>
    <n v="4.5"/>
    <x v="1"/>
    <n v="4.8"/>
    <n v="0.9"/>
    <n v="2.2200000000000002"/>
    <n v="0.8"/>
    <x v="0"/>
    <n v="1"/>
    <n v="4"/>
    <n v="10"/>
    <n v="1"/>
    <m/>
  </r>
  <r>
    <n v="18"/>
    <x v="0"/>
    <n v="6.8"/>
    <x v="1"/>
    <n v="8.6"/>
    <n v="1.1000000000000001"/>
    <n v="2.36"/>
    <n v="1.6"/>
    <x v="1"/>
    <n v="1"/>
    <n v="10"/>
    <n v="10"/>
    <n v="1"/>
    <m/>
  </r>
  <r>
    <n v="13"/>
    <x v="1"/>
    <n v="3.5"/>
    <x v="0"/>
    <n v="5.0999999999999996"/>
    <n v="1.1000000000000001"/>
    <n v="2.27"/>
    <n v="1.8"/>
    <x v="2"/>
    <n v="2"/>
    <n v="5"/>
    <n v="6"/>
    <n v="1"/>
    <m/>
  </r>
  <r>
    <n v="16"/>
    <x v="0"/>
    <n v="2.2999999999999998"/>
    <x v="1"/>
    <n v="6.3"/>
    <n v="3"/>
    <n v="3.24"/>
    <n v="1.9"/>
    <x v="2"/>
    <n v="4"/>
    <n v="4"/>
    <n v="9"/>
    <n v="1"/>
    <m/>
  </r>
  <r>
    <n v="14"/>
    <x v="0"/>
    <n v="1.2"/>
    <x v="0"/>
    <n v="8.5"/>
    <n v="1.8"/>
    <n v="3.65"/>
    <n v="1.8"/>
    <x v="1"/>
    <n v="5"/>
    <n v="10"/>
    <n v="10"/>
    <n v="1"/>
    <m/>
  </r>
  <r>
    <n v="13"/>
    <x v="0"/>
    <n v="6.2"/>
    <x v="2"/>
    <n v="7.1"/>
    <n v="2.2000000000000002"/>
    <n v="3.43"/>
    <n v="0.2"/>
    <x v="2"/>
    <n v="5"/>
    <n v="2"/>
    <n v="2"/>
    <n v="1"/>
    <m/>
  </r>
  <r>
    <n v="18"/>
    <x v="0"/>
    <n v="4.5"/>
    <x v="1"/>
    <n v="4.0999999999999996"/>
    <n v="1.9"/>
    <n v="3.42"/>
    <n v="0.1"/>
    <x v="2"/>
    <n v="6"/>
    <n v="7"/>
    <n v="8"/>
    <n v="1"/>
    <m/>
  </r>
  <r>
    <n v="18"/>
    <x v="0"/>
    <n v="2.9"/>
    <x v="0"/>
    <n v="4.5"/>
    <n v="2.5"/>
    <n v="3.16"/>
    <n v="1.3"/>
    <x v="0"/>
    <n v="3"/>
    <n v="7"/>
    <n v="8"/>
    <n v="1"/>
    <m/>
  </r>
  <r>
    <n v="13"/>
    <x v="1"/>
    <n v="5.8"/>
    <x v="1"/>
    <n v="8.5"/>
    <n v="2.2999999999999998"/>
    <n v="3.3"/>
    <n v="1.9"/>
    <x v="1"/>
    <n v="1"/>
    <n v="1"/>
    <n v="5"/>
    <n v="1"/>
    <m/>
  </r>
  <r>
    <n v="18"/>
    <x v="0"/>
    <n v="6.8"/>
    <x v="0"/>
    <n v="6.5"/>
    <n v="2.7"/>
    <n v="2.97"/>
    <n v="1.9"/>
    <x v="0"/>
    <n v="4"/>
    <n v="4"/>
    <n v="5"/>
    <n v="1"/>
    <m/>
  </r>
  <r>
    <n v="15"/>
    <x v="1"/>
    <n v="7.4"/>
    <x v="0"/>
    <n v="8.6"/>
    <n v="0.9"/>
    <n v="2.2999999999999998"/>
    <n v="0"/>
    <x v="0"/>
    <n v="1"/>
    <n v="5"/>
    <n v="3"/>
    <n v="1"/>
    <m/>
  </r>
  <r>
    <n v="18"/>
    <x v="0"/>
    <n v="4.5"/>
    <x v="1"/>
    <n v="5"/>
    <n v="2.5"/>
    <n v="2.65"/>
    <n v="0.7"/>
    <x v="2"/>
    <n v="8"/>
    <n v="9"/>
    <n v="1"/>
    <n v="1"/>
    <m/>
  </r>
  <r>
    <n v="16"/>
    <x v="0"/>
    <n v="6.4"/>
    <x v="1"/>
    <n v="5.3"/>
    <n v="2.4"/>
    <n v="2.0299999999999998"/>
    <n v="1.7"/>
    <x v="2"/>
    <n v="7"/>
    <n v="5"/>
    <n v="10"/>
    <n v="1"/>
    <m/>
  </r>
  <r>
    <n v="13"/>
    <x v="0"/>
    <n v="7.3"/>
    <x v="2"/>
    <n v="4.2"/>
    <n v="1.3"/>
    <n v="2.16"/>
    <n v="1"/>
    <x v="1"/>
    <n v="4"/>
    <n v="5"/>
    <n v="2"/>
    <n v="1"/>
    <m/>
  </r>
  <r>
    <n v="17"/>
    <x v="1"/>
    <n v="7.1"/>
    <x v="0"/>
    <n v="5.6"/>
    <n v="0.6"/>
    <n v="3.07"/>
    <n v="1"/>
    <x v="2"/>
    <n v="1"/>
    <n v="3"/>
    <n v="7"/>
    <n v="1"/>
    <m/>
  </r>
  <r>
    <n v="18"/>
    <x v="0"/>
    <n v="1.6"/>
    <x v="1"/>
    <n v="5.0999999999999996"/>
    <n v="2.7"/>
    <n v="3.57"/>
    <n v="0.8"/>
    <x v="1"/>
    <n v="3"/>
    <n v="9"/>
    <n v="7"/>
    <n v="0"/>
    <m/>
  </r>
  <r>
    <n v="15"/>
    <x v="1"/>
    <n v="1.5"/>
    <x v="0"/>
    <n v="4.7"/>
    <n v="1"/>
    <n v="3.82"/>
    <n v="0.6"/>
    <x v="2"/>
    <n v="6"/>
    <n v="1"/>
    <n v="4"/>
    <n v="0"/>
    <m/>
  </r>
  <r>
    <n v="13"/>
    <x v="0"/>
    <n v="4.3"/>
    <x v="2"/>
    <n v="5.8"/>
    <n v="0.7"/>
    <n v="3.15"/>
    <n v="0.1"/>
    <x v="2"/>
    <n v="7"/>
    <n v="2"/>
    <n v="1"/>
    <n v="0"/>
    <m/>
  </r>
  <r>
    <n v="17"/>
    <x v="0"/>
    <n v="2.5"/>
    <x v="2"/>
    <n v="6.7"/>
    <n v="2"/>
    <n v="2.56"/>
    <n v="1.7"/>
    <x v="1"/>
    <n v="5"/>
    <n v="7"/>
    <n v="5"/>
    <n v="0"/>
    <m/>
  </r>
  <r>
    <n v="19"/>
    <x v="1"/>
    <n v="7.9"/>
    <x v="1"/>
    <n v="5.0999999999999996"/>
    <n v="1.7"/>
    <n v="2.8"/>
    <n v="0.8"/>
    <x v="0"/>
    <n v="6"/>
    <n v="1"/>
    <n v="8"/>
    <n v="0"/>
    <m/>
  </r>
  <r>
    <n v="17"/>
    <x v="0"/>
    <n v="2.7"/>
    <x v="0"/>
    <n v="8"/>
    <n v="2.6"/>
    <n v="3.53"/>
    <n v="1.9"/>
    <x v="1"/>
    <n v="1"/>
    <n v="8"/>
    <n v="7"/>
    <n v="0"/>
    <m/>
  </r>
  <r>
    <n v="13"/>
    <x v="0"/>
    <n v="3.1"/>
    <x v="1"/>
    <n v="8.1999999999999993"/>
    <n v="1.5"/>
    <n v="2.4500000000000002"/>
    <n v="0.3"/>
    <x v="0"/>
    <n v="5"/>
    <n v="8"/>
    <n v="6"/>
    <n v="1"/>
    <m/>
  </r>
  <r>
    <n v="17"/>
    <x v="0"/>
    <n v="5.8"/>
    <x v="2"/>
    <n v="7.6"/>
    <n v="0.7"/>
    <n v="2.83"/>
    <n v="1"/>
    <x v="2"/>
    <n v="7"/>
    <n v="6"/>
    <n v="8"/>
    <n v="1"/>
    <m/>
  </r>
  <r>
    <n v="14"/>
    <x v="1"/>
    <n v="3.9"/>
    <x v="2"/>
    <n v="7"/>
    <n v="2.8"/>
    <n v="2.8"/>
    <n v="0.1"/>
    <x v="0"/>
    <n v="8"/>
    <n v="2"/>
    <n v="8"/>
    <n v="1"/>
    <m/>
  </r>
  <r>
    <n v="15"/>
    <x v="0"/>
    <n v="7.5"/>
    <x v="2"/>
    <n v="7"/>
    <n v="0.9"/>
    <n v="3.48"/>
    <n v="1.1000000000000001"/>
    <x v="1"/>
    <n v="2"/>
    <n v="2"/>
    <n v="6"/>
    <n v="1"/>
    <m/>
  </r>
  <r>
    <n v="14"/>
    <x v="0"/>
    <n v="5.2"/>
    <x v="2"/>
    <n v="6.7"/>
    <n v="2"/>
    <n v="3.48"/>
    <n v="1"/>
    <x v="2"/>
    <n v="2"/>
    <n v="1"/>
    <n v="5"/>
    <n v="1"/>
    <m/>
  </r>
  <r>
    <n v="16"/>
    <x v="1"/>
    <n v="3.1"/>
    <x v="1"/>
    <n v="5"/>
    <n v="1.1000000000000001"/>
    <n v="2.73"/>
    <n v="1.6"/>
    <x v="0"/>
    <n v="2"/>
    <n v="8"/>
    <n v="1"/>
    <n v="1"/>
    <m/>
  </r>
  <r>
    <n v="16"/>
    <x v="1"/>
    <n v="2"/>
    <x v="0"/>
    <n v="8.6999999999999993"/>
    <n v="1.2"/>
    <n v="3"/>
    <n v="0"/>
    <x v="0"/>
    <n v="8"/>
    <n v="8"/>
    <n v="4"/>
    <n v="1"/>
    <m/>
  </r>
  <r>
    <n v="14"/>
    <x v="0"/>
    <n v="2.7"/>
    <x v="0"/>
    <n v="8.4"/>
    <n v="1.3"/>
    <n v="2.0099999999999998"/>
    <n v="0.6"/>
    <x v="0"/>
    <n v="6"/>
    <n v="3"/>
    <n v="8"/>
    <n v="1"/>
    <m/>
  </r>
  <r>
    <n v="14"/>
    <x v="0"/>
    <n v="1.5"/>
    <x v="2"/>
    <n v="4.3"/>
    <n v="2.1"/>
    <n v="3.9"/>
    <n v="1.5"/>
    <x v="0"/>
    <n v="10"/>
    <n v="2"/>
    <n v="4"/>
    <n v="1"/>
    <m/>
  </r>
  <r>
    <n v="17"/>
    <x v="1"/>
    <n v="6.9"/>
    <x v="0"/>
    <n v="8.1999999999999993"/>
    <n v="0.8"/>
    <n v="2.36"/>
    <n v="0"/>
    <x v="2"/>
    <n v="10"/>
    <n v="10"/>
    <n v="7"/>
    <n v="1"/>
    <m/>
  </r>
  <r>
    <n v="13"/>
    <x v="0"/>
    <n v="1.1000000000000001"/>
    <x v="1"/>
    <n v="7.1"/>
    <n v="1.8"/>
    <n v="2.5499999999999998"/>
    <n v="0.8"/>
    <x v="1"/>
    <n v="5"/>
    <n v="5"/>
    <n v="10"/>
    <n v="1"/>
    <m/>
  </r>
  <r>
    <n v="13"/>
    <x v="0"/>
    <n v="3.4"/>
    <x v="1"/>
    <n v="4.4000000000000004"/>
    <n v="0.6"/>
    <n v="3.41"/>
    <n v="0.2"/>
    <x v="0"/>
    <n v="8"/>
    <n v="6"/>
    <n v="3"/>
    <n v="1"/>
    <m/>
  </r>
  <r>
    <n v="15"/>
    <x v="0"/>
    <n v="6.7"/>
    <x v="2"/>
    <n v="4.5"/>
    <n v="2.1"/>
    <n v="3.71"/>
    <n v="1.3"/>
    <x v="1"/>
    <n v="3"/>
    <n v="3"/>
    <n v="3"/>
    <n v="1"/>
    <m/>
  </r>
  <r>
    <n v="18"/>
    <x v="0"/>
    <n v="1.1000000000000001"/>
    <x v="2"/>
    <n v="7.2"/>
    <n v="1"/>
    <n v="3.13"/>
    <n v="0.6"/>
    <x v="2"/>
    <n v="2"/>
    <n v="1"/>
    <n v="4"/>
    <n v="1"/>
    <m/>
  </r>
  <r>
    <n v="18"/>
    <x v="1"/>
    <n v="7.4"/>
    <x v="0"/>
    <n v="7.5"/>
    <n v="2.2999999999999998"/>
    <n v="2.39"/>
    <n v="0.9"/>
    <x v="1"/>
    <n v="4"/>
    <n v="1"/>
    <n v="4"/>
    <n v="1"/>
    <m/>
  </r>
  <r>
    <n v="19"/>
    <x v="1"/>
    <n v="4.8"/>
    <x v="1"/>
    <n v="6"/>
    <n v="1.5"/>
    <n v="2.61"/>
    <n v="1.2"/>
    <x v="1"/>
    <n v="2"/>
    <n v="2"/>
    <n v="6"/>
    <n v="1"/>
    <m/>
  </r>
  <r>
    <n v="14"/>
    <x v="0"/>
    <n v="1.2"/>
    <x v="2"/>
    <n v="5.2"/>
    <n v="2.2000000000000002"/>
    <n v="2.19"/>
    <n v="1.9"/>
    <x v="2"/>
    <n v="9"/>
    <n v="9"/>
    <n v="4"/>
    <n v="1"/>
    <m/>
  </r>
  <r>
    <n v="13"/>
    <x v="0"/>
    <n v="7.4"/>
    <x v="0"/>
    <n v="5.6"/>
    <n v="1.4"/>
    <n v="2.95"/>
    <n v="1.7"/>
    <x v="1"/>
    <n v="8"/>
    <n v="5"/>
    <n v="5"/>
    <n v="1"/>
    <m/>
  </r>
  <r>
    <n v="16"/>
    <x v="1"/>
    <n v="2.6"/>
    <x v="2"/>
    <n v="8.6"/>
    <n v="1.3"/>
    <n v="3.64"/>
    <n v="1.6"/>
    <x v="1"/>
    <n v="5"/>
    <n v="3"/>
    <n v="1"/>
    <n v="-1"/>
    <m/>
  </r>
  <r>
    <n v="17"/>
    <x v="1"/>
    <n v="5"/>
    <x v="2"/>
    <n v="9"/>
    <n v="2.5"/>
    <n v="3.4"/>
    <n v="0.9"/>
    <x v="1"/>
    <n v="8"/>
    <n v="10"/>
    <n v="5"/>
    <n v="-1"/>
    <m/>
  </r>
  <r>
    <n v="18"/>
    <x v="0"/>
    <n v="7.5"/>
    <x v="0"/>
    <n v="7.4"/>
    <n v="1.8"/>
    <n v="3.47"/>
    <n v="0"/>
    <x v="0"/>
    <n v="9"/>
    <n v="4"/>
    <n v="2"/>
    <n v="-1"/>
    <m/>
  </r>
  <r>
    <n v="17"/>
    <x v="1"/>
    <n v="5.4"/>
    <x v="2"/>
    <n v="5.7"/>
    <n v="2.5"/>
    <n v="3.13"/>
    <n v="1.9"/>
    <x v="2"/>
    <n v="5"/>
    <n v="10"/>
    <n v="3"/>
    <n v="-1"/>
    <m/>
  </r>
  <r>
    <n v="17"/>
    <x v="1"/>
    <n v="5.6"/>
    <x v="0"/>
    <n v="5.3"/>
    <n v="1.7"/>
    <n v="2.77"/>
    <n v="0.9"/>
    <x v="2"/>
    <n v="8"/>
    <n v="4"/>
    <n v="8"/>
    <n v="-1"/>
    <m/>
  </r>
  <r>
    <n v="18"/>
    <x v="0"/>
    <n v="6.2"/>
    <x v="0"/>
    <n v="4.0999999999999996"/>
    <n v="2.8"/>
    <n v="3.41"/>
    <n v="1.1000000000000001"/>
    <x v="2"/>
    <n v="7"/>
    <n v="8"/>
    <n v="1"/>
    <n v="-1"/>
    <m/>
  </r>
  <r>
    <n v="17"/>
    <x v="1"/>
    <n v="4.7"/>
    <x v="0"/>
    <n v="4.7"/>
    <n v="2.4"/>
    <n v="3.94"/>
    <n v="0"/>
    <x v="2"/>
    <n v="10"/>
    <n v="5"/>
    <n v="8"/>
    <n v="-1"/>
    <m/>
  </r>
  <r>
    <n v="18"/>
    <x v="1"/>
    <n v="4"/>
    <x v="0"/>
    <n v="4.5999999999999996"/>
    <n v="2.2000000000000002"/>
    <n v="3.7"/>
    <n v="0.6"/>
    <x v="2"/>
    <n v="4"/>
    <n v="1"/>
    <n v="4"/>
    <n v="1"/>
    <m/>
  </r>
  <r>
    <n v="18"/>
    <x v="0"/>
    <n v="6.2"/>
    <x v="1"/>
    <n v="8.6"/>
    <n v="1.5"/>
    <n v="3.22"/>
    <n v="1.6"/>
    <x v="0"/>
    <n v="4"/>
    <n v="5"/>
    <n v="7"/>
    <n v="1"/>
    <m/>
  </r>
  <r>
    <n v="17"/>
    <x v="1"/>
    <n v="5.6"/>
    <x v="1"/>
    <n v="6.8"/>
    <n v="2"/>
    <n v="2.2200000000000002"/>
    <n v="1"/>
    <x v="2"/>
    <n v="6"/>
    <n v="9"/>
    <n v="8"/>
    <n v="1"/>
    <m/>
  </r>
  <r>
    <n v="13"/>
    <x v="1"/>
    <n v="4"/>
    <x v="0"/>
    <n v="4.4000000000000004"/>
    <n v="2.5"/>
    <n v="3.6"/>
    <n v="1.4"/>
    <x v="2"/>
    <n v="7"/>
    <n v="2"/>
    <n v="10"/>
    <n v="1"/>
    <m/>
  </r>
  <r>
    <n v="15"/>
    <x v="1"/>
    <n v="1.8"/>
    <x v="0"/>
    <n v="6.4"/>
    <n v="2.4"/>
    <n v="2.16"/>
    <n v="1.9"/>
    <x v="2"/>
    <n v="3"/>
    <n v="6"/>
    <n v="9"/>
    <n v="1"/>
    <m/>
  </r>
  <r>
    <n v="13"/>
    <x v="0"/>
    <n v="3.1"/>
    <x v="1"/>
    <n v="5.4"/>
    <n v="1.9"/>
    <n v="3.66"/>
    <n v="0.4"/>
    <x v="0"/>
    <n v="7"/>
    <n v="4"/>
    <n v="2"/>
    <n v="1"/>
    <m/>
  </r>
  <r>
    <n v="13"/>
    <x v="1"/>
    <n v="3.5"/>
    <x v="1"/>
    <n v="5.2"/>
    <n v="2.5"/>
    <n v="2.57"/>
    <n v="1.1000000000000001"/>
    <x v="1"/>
    <n v="1"/>
    <n v="6"/>
    <n v="3"/>
    <n v="1"/>
    <m/>
  </r>
  <r>
    <n v="18"/>
    <x v="0"/>
    <n v="7.4"/>
    <x v="1"/>
    <n v="6.4"/>
    <n v="2.2000000000000002"/>
    <n v="3.51"/>
    <n v="1"/>
    <x v="1"/>
    <n v="4"/>
    <n v="5"/>
    <n v="4"/>
    <n v="1"/>
    <m/>
  </r>
  <r>
    <n v="16"/>
    <x v="0"/>
    <n v="8"/>
    <x v="0"/>
    <n v="5.5"/>
    <n v="1.4"/>
    <n v="2.95"/>
    <n v="0.3"/>
    <x v="2"/>
    <n v="2"/>
    <n v="5"/>
    <n v="2"/>
    <n v="1"/>
    <m/>
  </r>
  <r>
    <n v="13"/>
    <x v="0"/>
    <n v="5.0999999999999996"/>
    <x v="2"/>
    <n v="4.0999999999999996"/>
    <n v="1.6"/>
    <n v="3.32"/>
    <n v="0.8"/>
    <x v="2"/>
    <n v="1"/>
    <n v="3"/>
    <n v="8"/>
    <n v="1"/>
    <m/>
  </r>
  <r>
    <n v="18"/>
    <x v="1"/>
    <n v="2.4"/>
    <x v="0"/>
    <n v="6.3"/>
    <n v="1.3"/>
    <n v="3.05"/>
    <n v="1.7"/>
    <x v="0"/>
    <n v="2"/>
    <n v="9"/>
    <n v="5"/>
    <n v="1"/>
    <m/>
  </r>
  <r>
    <n v="13"/>
    <x v="0"/>
    <n v="1.6"/>
    <x v="0"/>
    <n v="4.2"/>
    <n v="1.5"/>
    <n v="3.72"/>
    <n v="1.7"/>
    <x v="2"/>
    <n v="10"/>
    <n v="1"/>
    <n v="10"/>
    <n v="1"/>
    <m/>
  </r>
  <r>
    <n v="18"/>
    <x v="0"/>
    <n v="5.8"/>
    <x v="0"/>
    <n v="6.7"/>
    <n v="1.9"/>
    <n v="3"/>
    <n v="1.9"/>
    <x v="0"/>
    <n v="5"/>
    <n v="8"/>
    <n v="2"/>
    <n v="1"/>
    <m/>
  </r>
  <r>
    <n v="15"/>
    <x v="0"/>
    <n v="2.7"/>
    <x v="1"/>
    <n v="6.6"/>
    <n v="1.9"/>
    <n v="2.75"/>
    <n v="1.9"/>
    <x v="2"/>
    <n v="3"/>
    <n v="6"/>
    <n v="6"/>
    <n v="1"/>
    <m/>
  </r>
  <r>
    <n v="13"/>
    <x v="1"/>
    <n v="4"/>
    <x v="2"/>
    <n v="4.5"/>
    <n v="1"/>
    <n v="3.65"/>
    <n v="1.8"/>
    <x v="0"/>
    <n v="5"/>
    <n v="6"/>
    <n v="5"/>
    <n v="1"/>
    <m/>
  </r>
  <r>
    <n v="18"/>
    <x v="0"/>
    <n v="3.2"/>
    <x v="2"/>
    <n v="8.8000000000000007"/>
    <n v="1.2"/>
    <n v="3.71"/>
    <n v="1.1000000000000001"/>
    <x v="2"/>
    <n v="7"/>
    <n v="6"/>
    <n v="10"/>
    <n v="1"/>
    <m/>
  </r>
  <r>
    <n v="13"/>
    <x v="0"/>
    <n v="1.6"/>
    <x v="1"/>
    <n v="4.3"/>
    <n v="0.6"/>
    <n v="3.91"/>
    <n v="2"/>
    <x v="2"/>
    <n v="5"/>
    <n v="10"/>
    <n v="7"/>
    <n v="1"/>
    <m/>
  </r>
  <r>
    <n v="14"/>
    <x v="0"/>
    <n v="2.2999999999999998"/>
    <x v="1"/>
    <n v="8"/>
    <n v="2.5"/>
    <n v="3.08"/>
    <n v="1.7"/>
    <x v="2"/>
    <n v="5"/>
    <n v="6"/>
    <n v="7"/>
    <n v="1"/>
    <m/>
  </r>
  <r>
    <n v="17"/>
    <x v="0"/>
    <n v="7.7"/>
    <x v="1"/>
    <n v="8.5"/>
    <n v="1.2"/>
    <n v="3.56"/>
    <n v="0"/>
    <x v="2"/>
    <n v="7"/>
    <n v="10"/>
    <n v="7"/>
    <n v="1"/>
    <m/>
  </r>
  <r>
    <n v="16"/>
    <x v="0"/>
    <n v="4.8"/>
    <x v="2"/>
    <n v="7.1"/>
    <n v="0.6"/>
    <n v="3.36"/>
    <n v="0.7"/>
    <x v="1"/>
    <n v="7"/>
    <n v="6"/>
    <n v="9"/>
    <n v="0"/>
    <m/>
  </r>
  <r>
    <n v="17"/>
    <x v="1"/>
    <n v="5.2"/>
    <x v="2"/>
    <n v="6"/>
    <n v="0.6"/>
    <n v="3.07"/>
    <n v="0.6"/>
    <x v="2"/>
    <n v="6"/>
    <n v="2"/>
    <n v="9"/>
    <n v="0"/>
    <m/>
  </r>
  <r>
    <n v="13"/>
    <x v="0"/>
    <n v="5.7"/>
    <x v="2"/>
    <n v="6.6"/>
    <n v="2.4"/>
    <n v="3.99"/>
    <n v="1.7"/>
    <x v="1"/>
    <n v="1"/>
    <n v="3"/>
    <n v="1"/>
    <n v="0"/>
    <m/>
  </r>
  <r>
    <n v="15"/>
    <x v="0"/>
    <n v="4.5999999999999996"/>
    <x v="1"/>
    <n v="5.2"/>
    <n v="1.4"/>
    <n v="2.98"/>
    <n v="1.9"/>
    <x v="0"/>
    <n v="1"/>
    <n v="4"/>
    <n v="5"/>
    <n v="0"/>
    <m/>
  </r>
  <r>
    <n v="13"/>
    <x v="0"/>
    <n v="4.3"/>
    <x v="1"/>
    <n v="7.5"/>
    <n v="2.7"/>
    <n v="2.29"/>
    <n v="0.8"/>
    <x v="1"/>
    <n v="1"/>
    <n v="10"/>
    <n v="1"/>
    <n v="0"/>
    <m/>
  </r>
  <r>
    <n v="17"/>
    <x v="1"/>
    <n v="4.0999999999999996"/>
    <x v="0"/>
    <n v="8.6"/>
    <n v="3"/>
    <n v="2.77"/>
    <n v="0.1"/>
    <x v="2"/>
    <n v="3"/>
    <n v="6"/>
    <n v="1"/>
    <n v="0"/>
    <m/>
  </r>
  <r>
    <n v="15"/>
    <x v="0"/>
    <n v="6.5"/>
    <x v="2"/>
    <n v="8.1"/>
    <n v="2"/>
    <n v="3.89"/>
    <n v="1.3"/>
    <x v="1"/>
    <n v="8"/>
    <n v="2"/>
    <n v="2"/>
    <n v="0"/>
    <m/>
  </r>
  <r>
    <n v="19"/>
    <x v="1"/>
    <n v="7.8"/>
    <x v="2"/>
    <n v="8.8000000000000007"/>
    <n v="2.1"/>
    <n v="3.75"/>
    <n v="1.3"/>
    <x v="1"/>
    <n v="10"/>
    <n v="9"/>
    <n v="6"/>
    <n v="0"/>
    <m/>
  </r>
  <r>
    <n v="17"/>
    <x v="0"/>
    <n v="6.5"/>
    <x v="0"/>
    <n v="4.0999999999999996"/>
    <n v="2.7"/>
    <n v="3.66"/>
    <n v="1.1000000000000001"/>
    <x v="2"/>
    <n v="6"/>
    <n v="10"/>
    <n v="10"/>
    <n v="0"/>
    <m/>
  </r>
  <r>
    <n v="17"/>
    <x v="1"/>
    <n v="3.2"/>
    <x v="1"/>
    <n v="4.2"/>
    <n v="0.6"/>
    <n v="2.21"/>
    <n v="1.4"/>
    <x v="2"/>
    <n v="6"/>
    <n v="6"/>
    <n v="3"/>
    <n v="0"/>
    <m/>
  </r>
  <r>
    <n v="13"/>
    <x v="0"/>
    <n v="2.4"/>
    <x v="1"/>
    <n v="4.0999999999999996"/>
    <n v="0.8"/>
    <n v="2.79"/>
    <n v="1.1000000000000001"/>
    <x v="2"/>
    <n v="8"/>
    <n v="6"/>
    <n v="3"/>
    <n v="1"/>
    <m/>
  </r>
  <r>
    <n v="15"/>
    <x v="1"/>
    <n v="4"/>
    <x v="0"/>
    <n v="8.1"/>
    <n v="2.1"/>
    <n v="2.0099999999999998"/>
    <n v="0.4"/>
    <x v="2"/>
    <n v="4"/>
    <n v="8"/>
    <n v="8"/>
    <n v="1"/>
    <m/>
  </r>
  <r>
    <n v="17"/>
    <x v="1"/>
    <n v="6"/>
    <x v="2"/>
    <n v="8.8000000000000007"/>
    <n v="1.3"/>
    <n v="4"/>
    <n v="0.9"/>
    <x v="2"/>
    <n v="8"/>
    <n v="10"/>
    <n v="7"/>
    <n v="1"/>
    <m/>
  </r>
  <r>
    <n v="18"/>
    <x v="0"/>
    <n v="1.2"/>
    <x v="1"/>
    <n v="8"/>
    <n v="1.7"/>
    <n v="3.12"/>
    <n v="0.1"/>
    <x v="0"/>
    <n v="6"/>
    <n v="4"/>
    <n v="2"/>
    <n v="1"/>
    <m/>
  </r>
  <r>
    <n v="16"/>
    <x v="0"/>
    <n v="5.7"/>
    <x v="2"/>
    <n v="5.8"/>
    <n v="2.8"/>
    <n v="2.17"/>
    <n v="0.5"/>
    <x v="2"/>
    <n v="3"/>
    <n v="9"/>
    <n v="2"/>
    <n v="1"/>
    <m/>
  </r>
  <r>
    <n v="19"/>
    <x v="0"/>
    <n v="6.5"/>
    <x v="2"/>
    <n v="8.1"/>
    <n v="2.2999999999999998"/>
    <n v="2.21"/>
    <n v="0.4"/>
    <x v="1"/>
    <n v="8"/>
    <n v="8"/>
    <n v="6"/>
    <n v="1"/>
    <m/>
  </r>
  <r>
    <n v="16"/>
    <x v="0"/>
    <n v="6.6"/>
    <x v="0"/>
    <n v="5.6"/>
    <n v="0.8"/>
    <n v="3.48"/>
    <n v="1.7"/>
    <x v="2"/>
    <n v="4"/>
    <n v="3"/>
    <n v="4"/>
    <n v="1"/>
    <m/>
  </r>
  <r>
    <n v="13"/>
    <x v="0"/>
    <n v="6"/>
    <x v="1"/>
    <n v="7.2"/>
    <n v="1.5"/>
    <n v="2.36"/>
    <n v="0.2"/>
    <x v="0"/>
    <n v="1"/>
    <n v="3"/>
    <n v="4"/>
    <n v="1"/>
    <m/>
  </r>
  <r>
    <n v="18"/>
    <x v="1"/>
    <n v="1.1000000000000001"/>
    <x v="2"/>
    <n v="8"/>
    <n v="2.7"/>
    <n v="2.04"/>
    <n v="0.1"/>
    <x v="0"/>
    <n v="7"/>
    <n v="10"/>
    <n v="2"/>
    <n v="1"/>
    <m/>
  </r>
  <r>
    <n v="13"/>
    <x v="1"/>
    <n v="3.8"/>
    <x v="0"/>
    <n v="7.9"/>
    <n v="1.3"/>
    <n v="3.97"/>
    <n v="0.2"/>
    <x v="2"/>
    <n v="7"/>
    <n v="10"/>
    <n v="9"/>
    <n v="1"/>
    <m/>
  </r>
  <r>
    <n v="13"/>
    <x v="1"/>
    <n v="4.7"/>
    <x v="2"/>
    <n v="6.8"/>
    <n v="1.7"/>
    <n v="3.27"/>
    <n v="1.4"/>
    <x v="0"/>
    <n v="4"/>
    <n v="2"/>
    <n v="4"/>
    <n v="1"/>
    <m/>
  </r>
  <r>
    <n v="15"/>
    <x v="0"/>
    <n v="7.4"/>
    <x v="1"/>
    <n v="6.3"/>
    <n v="1.3"/>
    <n v="3.47"/>
    <n v="1.2"/>
    <x v="2"/>
    <n v="1"/>
    <n v="3"/>
    <n v="9"/>
    <n v="1"/>
    <m/>
  </r>
  <r>
    <n v="17"/>
    <x v="0"/>
    <n v="3.9"/>
    <x v="0"/>
    <n v="7.1"/>
    <n v="2.4"/>
    <n v="3.82"/>
    <n v="0.8"/>
    <x v="1"/>
    <n v="3"/>
    <n v="6"/>
    <n v="10"/>
    <n v="1"/>
    <m/>
  </r>
  <r>
    <n v="18"/>
    <x v="0"/>
    <n v="3.1"/>
    <x v="0"/>
    <n v="5.7"/>
    <n v="2.9"/>
    <n v="3.1"/>
    <n v="0.6"/>
    <x v="2"/>
    <n v="9"/>
    <n v="4"/>
    <n v="2"/>
    <n v="1"/>
    <m/>
  </r>
  <r>
    <n v="16"/>
    <x v="1"/>
    <n v="2.6"/>
    <x v="1"/>
    <n v="8.8000000000000007"/>
    <n v="1.7"/>
    <n v="2.39"/>
    <n v="1"/>
    <x v="2"/>
    <n v="5"/>
    <n v="2"/>
    <n v="6"/>
    <n v="1"/>
    <m/>
  </r>
  <r>
    <n v="13"/>
    <x v="0"/>
    <n v="5"/>
    <x v="1"/>
    <n v="6.9"/>
    <n v="0.6"/>
    <n v="3.03"/>
    <n v="0.8"/>
    <x v="0"/>
    <n v="9"/>
    <n v="3"/>
    <n v="8"/>
    <n v="1"/>
    <m/>
  </r>
  <r>
    <n v="18"/>
    <x v="0"/>
    <n v="4.5"/>
    <x v="0"/>
    <n v="8.1"/>
    <n v="1.6"/>
    <n v="3.72"/>
    <n v="1.2"/>
    <x v="0"/>
    <n v="1"/>
    <n v="2"/>
    <n v="1"/>
    <n v="1"/>
    <m/>
  </r>
  <r>
    <n v="17"/>
    <x v="0"/>
    <n v="2.1"/>
    <x v="1"/>
    <n v="4.7"/>
    <n v="2"/>
    <n v="2.99"/>
    <n v="1.9"/>
    <x v="0"/>
    <n v="5"/>
    <n v="1"/>
    <n v="8"/>
    <n v="1"/>
    <m/>
  </r>
  <r>
    <n v="14"/>
    <x v="1"/>
    <n v="6.4"/>
    <x v="0"/>
    <n v="6"/>
    <n v="1.1000000000000001"/>
    <n v="3.81"/>
    <n v="0.9"/>
    <x v="2"/>
    <n v="8"/>
    <n v="2"/>
    <n v="3"/>
    <n v="1"/>
    <m/>
  </r>
  <r>
    <n v="15"/>
    <x v="1"/>
    <n v="2.2999999999999998"/>
    <x v="1"/>
    <n v="6.5"/>
    <n v="2.6"/>
    <n v="3.18"/>
    <n v="0.1"/>
    <x v="0"/>
    <n v="1"/>
    <n v="8"/>
    <n v="4"/>
    <n v="1"/>
    <m/>
  </r>
  <r>
    <n v="13"/>
    <x v="1"/>
    <n v="4.4000000000000004"/>
    <x v="1"/>
    <n v="8.8000000000000007"/>
    <n v="1.3"/>
    <n v="2.69"/>
    <n v="0.4"/>
    <x v="0"/>
    <n v="3"/>
    <n v="1"/>
    <n v="7"/>
    <n v="1"/>
    <m/>
  </r>
  <r>
    <n v="19"/>
    <x v="0"/>
    <n v="2.2999999999999998"/>
    <x v="0"/>
    <n v="6.9"/>
    <n v="2.2999999999999998"/>
    <n v="2.17"/>
    <n v="1.6"/>
    <x v="2"/>
    <n v="3"/>
    <n v="6"/>
    <n v="10"/>
    <n v="1"/>
    <m/>
  </r>
  <r>
    <n v="13"/>
    <x v="0"/>
    <n v="4.3"/>
    <x v="0"/>
    <n v="4.4000000000000004"/>
    <n v="0.7"/>
    <n v="3.19"/>
    <n v="0.3"/>
    <x v="0"/>
    <n v="6"/>
    <n v="2"/>
    <n v="6"/>
    <n v="1"/>
    <m/>
  </r>
  <r>
    <n v="18"/>
    <x v="1"/>
    <n v="3.9"/>
    <x v="1"/>
    <n v="5.2"/>
    <n v="1.8"/>
    <n v="2.41"/>
    <n v="0.6"/>
    <x v="1"/>
    <n v="9"/>
    <n v="5"/>
    <n v="5"/>
    <n v="1"/>
    <m/>
  </r>
  <r>
    <n v="18"/>
    <x v="0"/>
    <n v="2.9"/>
    <x v="1"/>
    <n v="7.5"/>
    <n v="0.9"/>
    <n v="2.62"/>
    <n v="2"/>
    <x v="1"/>
    <n v="3"/>
    <n v="1"/>
    <n v="9"/>
    <n v="1"/>
    <m/>
  </r>
  <r>
    <n v="14"/>
    <x v="0"/>
    <n v="2.1"/>
    <x v="0"/>
    <n v="8.5"/>
    <n v="1.1000000000000001"/>
    <n v="3.03"/>
    <n v="1.6"/>
    <x v="2"/>
    <n v="5"/>
    <n v="6"/>
    <n v="7"/>
    <n v="1"/>
    <m/>
  </r>
  <r>
    <n v="14"/>
    <x v="0"/>
    <n v="2.1"/>
    <x v="1"/>
    <n v="5"/>
    <n v="1.4"/>
    <n v="2.96"/>
    <n v="1.1000000000000001"/>
    <x v="0"/>
    <n v="7"/>
    <n v="1"/>
    <n v="9"/>
    <n v="1"/>
    <m/>
  </r>
  <r>
    <n v="16"/>
    <x v="0"/>
    <n v="3.8"/>
    <x v="1"/>
    <n v="5.7"/>
    <n v="1.3"/>
    <n v="3.84"/>
    <n v="1.6"/>
    <x v="2"/>
    <n v="3"/>
    <n v="4"/>
    <n v="10"/>
    <n v="1"/>
    <m/>
  </r>
  <r>
    <n v="15"/>
    <x v="1"/>
    <n v="1.1000000000000001"/>
    <x v="1"/>
    <n v="8.1999999999999993"/>
    <n v="0.7"/>
    <n v="2.94"/>
    <n v="0.7"/>
    <x v="1"/>
    <n v="10"/>
    <n v="7"/>
    <n v="9"/>
    <n v="1"/>
    <m/>
  </r>
  <r>
    <n v="14"/>
    <x v="0"/>
    <n v="2.5"/>
    <x v="2"/>
    <n v="5.3"/>
    <n v="2.4"/>
    <n v="3.87"/>
    <n v="1.3"/>
    <x v="1"/>
    <n v="10"/>
    <n v="9"/>
    <n v="6"/>
    <n v="1"/>
    <m/>
  </r>
  <r>
    <n v="19"/>
    <x v="1"/>
    <n v="4.0999999999999996"/>
    <x v="0"/>
    <n v="6.4"/>
    <n v="0.9"/>
    <n v="2.4700000000000002"/>
    <n v="1.2"/>
    <x v="1"/>
    <n v="7"/>
    <n v="3"/>
    <n v="4"/>
    <n v="1"/>
    <m/>
  </r>
  <r>
    <n v="16"/>
    <x v="0"/>
    <n v="3"/>
    <x v="0"/>
    <n v="8.6"/>
    <n v="1.5"/>
    <n v="2.84"/>
    <n v="0.3"/>
    <x v="1"/>
    <n v="6"/>
    <n v="4"/>
    <n v="3"/>
    <n v="1"/>
    <m/>
  </r>
  <r>
    <n v="13"/>
    <x v="1"/>
    <n v="3.9"/>
    <x v="0"/>
    <n v="5"/>
    <n v="0.7"/>
    <n v="2.98"/>
    <n v="0.3"/>
    <x v="2"/>
    <n v="10"/>
    <n v="8"/>
    <n v="3"/>
    <n v="1"/>
    <m/>
  </r>
  <r>
    <n v="13"/>
    <x v="0"/>
    <n v="7"/>
    <x v="1"/>
    <n v="8.9"/>
    <n v="0.6"/>
    <n v="2.7"/>
    <n v="1.8"/>
    <x v="2"/>
    <n v="5"/>
    <n v="4"/>
    <n v="1"/>
    <n v="1"/>
    <m/>
  </r>
  <r>
    <n v="16"/>
    <x v="0"/>
    <n v="3.6"/>
    <x v="2"/>
    <n v="8.9"/>
    <n v="1.9"/>
    <n v="2.11"/>
    <n v="1.7"/>
    <x v="0"/>
    <n v="9"/>
    <n v="5"/>
    <n v="2"/>
    <n v="1"/>
    <m/>
  </r>
  <r>
    <n v="15"/>
    <x v="0"/>
    <n v="7.6"/>
    <x v="0"/>
    <n v="7.6"/>
    <n v="2.7"/>
    <n v="2.36"/>
    <n v="1.2"/>
    <x v="2"/>
    <n v="5"/>
    <n v="10"/>
    <n v="3"/>
    <n v="1"/>
    <m/>
  </r>
  <r>
    <n v="19"/>
    <x v="0"/>
    <n v="1.3"/>
    <x v="0"/>
    <n v="4.5"/>
    <n v="0.7"/>
    <n v="2.5099999999999998"/>
    <n v="0.8"/>
    <x v="0"/>
    <n v="10"/>
    <n v="9"/>
    <n v="7"/>
    <n v="1"/>
    <m/>
  </r>
  <r>
    <n v="17"/>
    <x v="1"/>
    <n v="2.1"/>
    <x v="2"/>
    <n v="7.8"/>
    <n v="2.1"/>
    <n v="3.29"/>
    <n v="1.5"/>
    <x v="0"/>
    <n v="8"/>
    <n v="1"/>
    <n v="7"/>
    <n v="1"/>
    <m/>
  </r>
  <r>
    <n v="15"/>
    <x v="1"/>
    <n v="2.7"/>
    <x v="2"/>
    <n v="8.8000000000000007"/>
    <n v="1.9"/>
    <n v="2.14"/>
    <n v="0.4"/>
    <x v="1"/>
    <n v="8"/>
    <n v="10"/>
    <n v="3"/>
    <n v="-1"/>
    <m/>
  </r>
  <r>
    <n v="13"/>
    <x v="0"/>
    <n v="7.5"/>
    <x v="2"/>
    <n v="8"/>
    <n v="2"/>
    <n v="3.25"/>
    <n v="0.7"/>
    <x v="2"/>
    <n v="9"/>
    <n v="10"/>
    <n v="2"/>
    <n v="-1"/>
    <m/>
  </r>
  <r>
    <n v="16"/>
    <x v="1"/>
    <n v="6.1"/>
    <x v="2"/>
    <n v="8.8000000000000007"/>
    <n v="1.7"/>
    <n v="3.55"/>
    <n v="1.3"/>
    <x v="2"/>
    <n v="6"/>
    <n v="10"/>
    <n v="9"/>
    <n v="-1"/>
    <m/>
  </r>
  <r>
    <n v="19"/>
    <x v="0"/>
    <n v="2.4"/>
    <x v="2"/>
    <n v="7.4"/>
    <n v="1.2"/>
    <n v="2.5"/>
    <n v="1.8"/>
    <x v="1"/>
    <n v="2"/>
    <n v="5"/>
    <n v="2"/>
    <n v="-1"/>
    <m/>
  </r>
  <r>
    <n v="19"/>
    <x v="0"/>
    <n v="2"/>
    <x v="1"/>
    <n v="5.3"/>
    <n v="1.7"/>
    <n v="2.91"/>
    <n v="0.8"/>
    <x v="0"/>
    <n v="9"/>
    <n v="5"/>
    <n v="9"/>
    <n v="-1"/>
    <m/>
  </r>
  <r>
    <n v="15"/>
    <x v="1"/>
    <n v="7.8"/>
    <x v="1"/>
    <n v="5.3"/>
    <n v="0.5"/>
    <n v="2.3199999999999998"/>
    <n v="0.8"/>
    <x v="0"/>
    <n v="8"/>
    <n v="9"/>
    <n v="3"/>
    <n v="-1"/>
    <m/>
  </r>
  <r>
    <n v="16"/>
    <x v="1"/>
    <n v="6.8"/>
    <x v="1"/>
    <n v="7.2"/>
    <n v="2.5"/>
    <n v="3.61"/>
    <n v="0.5"/>
    <x v="2"/>
    <n v="10"/>
    <n v="1"/>
    <n v="9"/>
    <n v="-1"/>
    <m/>
  </r>
  <r>
    <n v="17"/>
    <x v="0"/>
    <n v="8"/>
    <x v="0"/>
    <n v="4.5999999999999996"/>
    <n v="2.6"/>
    <n v="3.06"/>
    <n v="0.1"/>
    <x v="1"/>
    <n v="9"/>
    <n v="2"/>
    <n v="6"/>
    <n v="1"/>
    <m/>
  </r>
  <r>
    <n v="13"/>
    <x v="1"/>
    <n v="7.3"/>
    <x v="2"/>
    <n v="8.9"/>
    <n v="2.7"/>
    <n v="3.68"/>
    <n v="1.9"/>
    <x v="0"/>
    <n v="6"/>
    <n v="6"/>
    <n v="10"/>
    <n v="1"/>
    <m/>
  </r>
  <r>
    <n v="15"/>
    <x v="1"/>
    <n v="1.5"/>
    <x v="2"/>
    <n v="8.6999999999999993"/>
    <n v="1.2"/>
    <n v="2.52"/>
    <n v="0.1"/>
    <x v="0"/>
    <n v="9"/>
    <n v="7"/>
    <n v="2"/>
    <n v="1"/>
    <m/>
  </r>
  <r>
    <n v="15"/>
    <x v="1"/>
    <n v="3.4"/>
    <x v="0"/>
    <n v="5"/>
    <n v="1.8"/>
    <n v="3.2"/>
    <n v="1.5"/>
    <x v="2"/>
    <n v="4"/>
    <n v="5"/>
    <n v="1"/>
    <n v="1"/>
    <m/>
  </r>
  <r>
    <n v="15"/>
    <x v="0"/>
    <n v="7.3"/>
    <x v="2"/>
    <n v="4.8"/>
    <n v="2.6"/>
    <n v="3.81"/>
    <n v="1.5"/>
    <x v="0"/>
    <n v="4"/>
    <n v="7"/>
    <n v="4"/>
    <n v="1"/>
    <m/>
  </r>
  <r>
    <n v="13"/>
    <x v="1"/>
    <n v="1.9"/>
    <x v="1"/>
    <n v="8.5"/>
    <n v="0.8"/>
    <n v="3.33"/>
    <n v="1.3"/>
    <x v="2"/>
    <n v="5"/>
    <n v="1"/>
    <n v="3"/>
    <n v="1"/>
    <m/>
  </r>
  <r>
    <n v="17"/>
    <x v="1"/>
    <n v="3.9"/>
    <x v="0"/>
    <n v="8.1999999999999993"/>
    <n v="1.3"/>
    <n v="3.21"/>
    <n v="1.8"/>
    <x v="2"/>
    <n v="3"/>
    <n v="7"/>
    <n v="7"/>
    <n v="1"/>
    <m/>
  </r>
  <r>
    <n v="18"/>
    <x v="0"/>
    <n v="1.3"/>
    <x v="0"/>
    <n v="5.8"/>
    <n v="1.3"/>
    <n v="3.35"/>
    <n v="1.9"/>
    <x v="2"/>
    <n v="9"/>
    <n v="4"/>
    <n v="9"/>
    <n v="1"/>
    <m/>
  </r>
  <r>
    <n v="19"/>
    <x v="0"/>
    <n v="4.7"/>
    <x v="1"/>
    <n v="8.1999999999999993"/>
    <n v="1.8"/>
    <n v="2.2599999999999998"/>
    <n v="1"/>
    <x v="0"/>
    <n v="7"/>
    <n v="4"/>
    <n v="7"/>
    <n v="1"/>
    <m/>
  </r>
  <r>
    <n v="15"/>
    <x v="0"/>
    <n v="1.9"/>
    <x v="1"/>
    <n v="5.8"/>
    <n v="2.2999999999999998"/>
    <n v="2.4700000000000002"/>
    <n v="0.3"/>
    <x v="1"/>
    <n v="10"/>
    <n v="9"/>
    <n v="4"/>
    <n v="1"/>
    <m/>
  </r>
  <r>
    <n v="18"/>
    <x v="1"/>
    <n v="7"/>
    <x v="2"/>
    <n v="6.3"/>
    <n v="1.6"/>
    <n v="2.5499999999999998"/>
    <n v="0.5"/>
    <x v="2"/>
    <n v="10"/>
    <n v="1"/>
    <n v="8"/>
    <n v="1"/>
    <m/>
  </r>
  <r>
    <n v="15"/>
    <x v="0"/>
    <n v="6.2"/>
    <x v="1"/>
    <n v="6.3"/>
    <n v="1.7"/>
    <n v="2.2599999999999998"/>
    <n v="1.1000000000000001"/>
    <x v="1"/>
    <n v="9"/>
    <n v="6"/>
    <n v="2"/>
    <n v="1"/>
    <m/>
  </r>
  <r>
    <n v="14"/>
    <x v="0"/>
    <n v="3.2"/>
    <x v="1"/>
    <n v="8"/>
    <n v="1.3"/>
    <n v="2.5"/>
    <n v="1.1000000000000001"/>
    <x v="1"/>
    <n v="2"/>
    <n v="7"/>
    <n v="5"/>
    <n v="1"/>
    <m/>
  </r>
  <r>
    <n v="18"/>
    <x v="1"/>
    <n v="4.5"/>
    <x v="2"/>
    <n v="7.9"/>
    <n v="1.4"/>
    <n v="2.38"/>
    <n v="0.1"/>
    <x v="1"/>
    <n v="7"/>
    <n v="9"/>
    <n v="1"/>
    <n v="1"/>
    <m/>
  </r>
  <r>
    <n v="14"/>
    <x v="1"/>
    <n v="1.1000000000000001"/>
    <x v="2"/>
    <n v="6.1"/>
    <n v="2.5"/>
    <n v="2.8"/>
    <n v="1.8"/>
    <x v="1"/>
    <n v="4"/>
    <n v="10"/>
    <n v="3"/>
    <n v="1"/>
    <m/>
  </r>
  <r>
    <n v="13"/>
    <x v="0"/>
    <n v="5.9"/>
    <x v="0"/>
    <n v="8"/>
    <n v="2.8"/>
    <n v="3.21"/>
    <n v="1.6"/>
    <x v="2"/>
    <n v="2"/>
    <n v="8"/>
    <n v="8"/>
    <n v="1"/>
    <m/>
  </r>
  <r>
    <n v="17"/>
    <x v="0"/>
    <n v="5.0999999999999996"/>
    <x v="2"/>
    <n v="5"/>
    <n v="2.2000000000000002"/>
    <n v="3.58"/>
    <n v="1.2"/>
    <x v="1"/>
    <n v="6"/>
    <n v="3"/>
    <n v="9"/>
    <n v="1"/>
    <m/>
  </r>
  <r>
    <n v="15"/>
    <x v="0"/>
    <n v="1.6"/>
    <x v="0"/>
    <n v="6.9"/>
    <n v="2.2999999999999998"/>
    <n v="3.16"/>
    <n v="0.9"/>
    <x v="2"/>
    <n v="3"/>
    <n v="1"/>
    <n v="5"/>
    <n v="1"/>
    <m/>
  </r>
  <r>
    <n v="15"/>
    <x v="1"/>
    <n v="7.2"/>
    <x v="1"/>
    <n v="8"/>
    <n v="1.4"/>
    <n v="3.64"/>
    <n v="0.4"/>
    <x v="2"/>
    <n v="10"/>
    <n v="5"/>
    <n v="7"/>
    <n v="1"/>
    <m/>
  </r>
  <r>
    <n v="17"/>
    <x v="1"/>
    <n v="1.4"/>
    <x v="0"/>
    <n v="6.9"/>
    <n v="2.4"/>
    <n v="3.06"/>
    <n v="1.9"/>
    <x v="2"/>
    <n v="4"/>
    <n v="10"/>
    <n v="8"/>
    <n v="1"/>
    <m/>
  </r>
  <r>
    <n v="17"/>
    <x v="1"/>
    <n v="6.6"/>
    <x v="0"/>
    <n v="8"/>
    <n v="2.2000000000000002"/>
    <n v="2.21"/>
    <n v="1"/>
    <x v="1"/>
    <n v="10"/>
    <n v="8"/>
    <n v="10"/>
    <n v="1"/>
    <m/>
  </r>
  <r>
    <n v="15"/>
    <x v="1"/>
    <n v="3.5"/>
    <x v="0"/>
    <n v="6.3"/>
    <n v="0.8"/>
    <n v="2.71"/>
    <n v="1.8"/>
    <x v="1"/>
    <n v="7"/>
    <n v="4"/>
    <n v="2"/>
    <n v="1"/>
    <m/>
  </r>
  <r>
    <n v="17"/>
    <x v="1"/>
    <n v="5.4"/>
    <x v="2"/>
    <n v="6.3"/>
    <n v="2.8"/>
    <n v="3.06"/>
    <n v="0.8"/>
    <x v="0"/>
    <n v="3"/>
    <n v="7"/>
    <n v="9"/>
    <n v="1"/>
    <m/>
  </r>
  <r>
    <n v="16"/>
    <x v="1"/>
    <n v="4.2"/>
    <x v="2"/>
    <n v="7.3"/>
    <n v="1.1000000000000001"/>
    <n v="3.1"/>
    <n v="1.6"/>
    <x v="2"/>
    <n v="1"/>
    <n v="6"/>
    <n v="2"/>
    <n v="1"/>
    <m/>
  </r>
  <r>
    <n v="13"/>
    <x v="0"/>
    <n v="2.5"/>
    <x v="0"/>
    <n v="8.3000000000000007"/>
    <n v="1.6"/>
    <n v="2.91"/>
    <n v="0.6"/>
    <x v="1"/>
    <n v="10"/>
    <n v="2"/>
    <n v="6"/>
    <n v="1"/>
    <m/>
  </r>
  <r>
    <n v="16"/>
    <x v="1"/>
    <n v="3.8"/>
    <x v="1"/>
    <n v="6"/>
    <n v="3"/>
    <n v="2.1"/>
    <n v="0.2"/>
    <x v="0"/>
    <n v="7"/>
    <n v="9"/>
    <n v="1"/>
    <n v="1"/>
    <m/>
  </r>
  <r>
    <n v="13"/>
    <x v="0"/>
    <n v="1.8"/>
    <x v="0"/>
    <n v="8.9"/>
    <n v="1.2"/>
    <n v="3.67"/>
    <n v="0.1"/>
    <x v="2"/>
    <n v="2"/>
    <n v="8"/>
    <n v="9"/>
    <n v="1"/>
    <m/>
  </r>
  <r>
    <n v="14"/>
    <x v="0"/>
    <n v="5.4"/>
    <x v="0"/>
    <n v="5.6"/>
    <n v="1.8"/>
    <n v="3.01"/>
    <n v="0.9"/>
    <x v="0"/>
    <n v="10"/>
    <n v="6"/>
    <n v="8"/>
    <n v="1"/>
    <m/>
  </r>
  <r>
    <n v="14"/>
    <x v="1"/>
    <n v="7.7"/>
    <x v="0"/>
    <n v="6.1"/>
    <n v="0.8"/>
    <n v="3.47"/>
    <n v="1.5"/>
    <x v="2"/>
    <n v="9"/>
    <n v="10"/>
    <n v="9"/>
    <n v="1"/>
    <m/>
  </r>
  <r>
    <n v="18"/>
    <x v="1"/>
    <n v="4.0999999999999996"/>
    <x v="0"/>
    <n v="8"/>
    <n v="1.7"/>
    <n v="2.29"/>
    <n v="1.4"/>
    <x v="0"/>
    <n v="2"/>
    <n v="1"/>
    <n v="10"/>
    <n v="0"/>
    <m/>
  </r>
  <r>
    <n v="15"/>
    <x v="1"/>
    <n v="6.6"/>
    <x v="2"/>
    <n v="4.9000000000000004"/>
    <n v="3"/>
    <n v="2.99"/>
    <n v="0.9"/>
    <x v="2"/>
    <n v="4"/>
    <n v="8"/>
    <n v="3"/>
    <n v="0"/>
    <m/>
  </r>
  <r>
    <n v="16"/>
    <x v="0"/>
    <n v="2.2999999999999998"/>
    <x v="2"/>
    <n v="4.0999999999999996"/>
    <n v="0.8"/>
    <n v="3.18"/>
    <n v="1.7"/>
    <x v="2"/>
    <n v="5"/>
    <n v="3"/>
    <n v="8"/>
    <n v="0"/>
    <m/>
  </r>
  <r>
    <n v="17"/>
    <x v="1"/>
    <n v="7.5"/>
    <x v="0"/>
    <n v="5.9"/>
    <n v="2.9"/>
    <n v="3.71"/>
    <n v="1.7"/>
    <x v="0"/>
    <n v="3"/>
    <n v="1"/>
    <n v="10"/>
    <n v="0"/>
    <m/>
  </r>
  <r>
    <n v="18"/>
    <x v="0"/>
    <n v="7.1"/>
    <x v="0"/>
    <n v="8"/>
    <n v="2.9"/>
    <n v="2.59"/>
    <n v="1.2"/>
    <x v="1"/>
    <n v="10"/>
    <n v="8"/>
    <n v="5"/>
    <n v="0"/>
    <m/>
  </r>
  <r>
    <n v="17"/>
    <x v="1"/>
    <n v="1.7"/>
    <x v="2"/>
    <n v="6.3"/>
    <n v="1.5"/>
    <n v="2.66"/>
    <n v="1.8"/>
    <x v="0"/>
    <n v="1"/>
    <n v="4"/>
    <n v="10"/>
    <n v="0"/>
    <m/>
  </r>
  <r>
    <n v="13"/>
    <x v="0"/>
    <n v="7.9"/>
    <x v="0"/>
    <n v="5.8"/>
    <n v="0.8"/>
    <n v="3.31"/>
    <n v="1.6"/>
    <x v="2"/>
    <n v="3"/>
    <n v="7"/>
    <n v="2"/>
    <n v="0"/>
    <m/>
  </r>
  <r>
    <n v="16"/>
    <x v="1"/>
    <n v="4"/>
    <x v="0"/>
    <n v="7.9"/>
    <n v="1.9"/>
    <n v="2.56"/>
    <n v="0.1"/>
    <x v="1"/>
    <n v="4"/>
    <n v="9"/>
    <n v="9"/>
    <n v="0"/>
    <m/>
  </r>
  <r>
    <n v="15"/>
    <x v="1"/>
    <n v="1.2"/>
    <x v="1"/>
    <n v="8.1"/>
    <n v="2"/>
    <n v="3.33"/>
    <n v="1.5"/>
    <x v="2"/>
    <n v="7"/>
    <n v="3"/>
    <n v="8"/>
    <n v="0"/>
    <m/>
  </r>
  <r>
    <n v="19"/>
    <x v="0"/>
    <n v="3.5"/>
    <x v="1"/>
    <n v="8.4"/>
    <n v="1.7"/>
    <n v="2.46"/>
    <n v="0.1"/>
    <x v="1"/>
    <n v="6"/>
    <n v="9"/>
    <n v="3"/>
    <n v="0"/>
    <m/>
  </r>
  <r>
    <n v="17"/>
    <x v="0"/>
    <n v="1.1000000000000001"/>
    <x v="0"/>
    <n v="6.8"/>
    <n v="2"/>
    <n v="3.45"/>
    <n v="1.3"/>
    <x v="2"/>
    <n v="7"/>
    <n v="1"/>
    <n v="2"/>
    <n v="0"/>
    <m/>
  </r>
  <r>
    <n v="19"/>
    <x v="1"/>
    <n v="1.6"/>
    <x v="1"/>
    <n v="4.0999999999999996"/>
    <n v="1.6"/>
    <n v="3.15"/>
    <n v="0.9"/>
    <x v="2"/>
    <n v="2"/>
    <n v="6"/>
    <n v="4"/>
    <n v="0"/>
    <m/>
  </r>
  <r>
    <n v="16"/>
    <x v="1"/>
    <n v="2.5"/>
    <x v="1"/>
    <n v="8.9"/>
    <n v="2.9"/>
    <n v="2.5299999999999998"/>
    <n v="0.1"/>
    <x v="1"/>
    <n v="8"/>
    <n v="7"/>
    <n v="3"/>
    <n v="0"/>
    <m/>
  </r>
  <r>
    <n v="15"/>
    <x v="0"/>
    <n v="2.8"/>
    <x v="0"/>
    <n v="7.2"/>
    <n v="1.8"/>
    <n v="2.91"/>
    <n v="0.2"/>
    <x v="0"/>
    <n v="5"/>
    <n v="5"/>
    <n v="4"/>
    <n v="0"/>
    <m/>
  </r>
  <r>
    <n v="15"/>
    <x v="0"/>
    <n v="2.2000000000000002"/>
    <x v="0"/>
    <n v="5.2"/>
    <n v="1.4"/>
    <n v="2.62"/>
    <n v="1.5"/>
    <x v="2"/>
    <n v="10"/>
    <n v="7"/>
    <n v="5"/>
    <n v="0"/>
    <m/>
  </r>
  <r>
    <n v="16"/>
    <x v="0"/>
    <n v="4.8"/>
    <x v="2"/>
    <n v="6.8"/>
    <n v="1"/>
    <n v="2.6"/>
    <n v="1.1000000000000001"/>
    <x v="2"/>
    <n v="1"/>
    <n v="5"/>
    <n v="6"/>
    <n v="0"/>
    <m/>
  </r>
  <r>
    <n v="18"/>
    <x v="1"/>
    <n v="3.7"/>
    <x v="2"/>
    <n v="7.9"/>
    <n v="2.7"/>
    <n v="3.11"/>
    <n v="0.3"/>
    <x v="2"/>
    <n v="6"/>
    <n v="6"/>
    <n v="5"/>
    <n v="0"/>
    <m/>
  </r>
  <r>
    <n v="16"/>
    <x v="0"/>
    <n v="5.5"/>
    <x v="0"/>
    <n v="8.3000000000000007"/>
    <n v="2.2999999999999998"/>
    <n v="3.47"/>
    <n v="1.6"/>
    <x v="2"/>
    <n v="4"/>
    <n v="8"/>
    <n v="5"/>
    <n v="0"/>
    <m/>
  </r>
  <r>
    <n v="16"/>
    <x v="0"/>
    <n v="2.5"/>
    <x v="0"/>
    <n v="6.8"/>
    <n v="1"/>
    <n v="3.77"/>
    <n v="1"/>
    <x v="1"/>
    <n v="3"/>
    <n v="9"/>
    <n v="9"/>
    <n v="0"/>
    <m/>
  </r>
  <r>
    <n v="18"/>
    <x v="1"/>
    <n v="1.9"/>
    <x v="1"/>
    <n v="5.8"/>
    <n v="1.7"/>
    <n v="3.52"/>
    <n v="0.2"/>
    <x v="0"/>
    <n v="6"/>
    <n v="5"/>
    <n v="1"/>
    <n v="0"/>
    <m/>
  </r>
  <r>
    <n v="13"/>
    <x v="0"/>
    <n v="5.9"/>
    <x v="0"/>
    <n v="7.5"/>
    <n v="1.4"/>
    <n v="2.58"/>
    <n v="1.2"/>
    <x v="0"/>
    <n v="6"/>
    <n v="2"/>
    <n v="8"/>
    <n v="0"/>
    <m/>
  </r>
  <r>
    <n v="13"/>
    <x v="1"/>
    <n v="6.5"/>
    <x v="1"/>
    <n v="8.3000000000000007"/>
    <n v="0.6"/>
    <n v="3.05"/>
    <n v="0.3"/>
    <x v="1"/>
    <n v="2"/>
    <n v="7"/>
    <n v="8"/>
    <n v="0"/>
    <m/>
  </r>
  <r>
    <n v="15"/>
    <x v="0"/>
    <n v="7.5"/>
    <x v="0"/>
    <n v="8.1"/>
    <n v="2.5"/>
    <n v="3.56"/>
    <n v="1.2"/>
    <x v="2"/>
    <n v="6"/>
    <n v="8"/>
    <n v="10"/>
    <n v="0"/>
    <m/>
  </r>
  <r>
    <n v="19"/>
    <x v="0"/>
    <n v="4.9000000000000004"/>
    <x v="1"/>
    <n v="4.5"/>
    <n v="2.9"/>
    <n v="3.88"/>
    <n v="0.8"/>
    <x v="0"/>
    <n v="5"/>
    <n v="5"/>
    <n v="6"/>
    <n v="1"/>
    <m/>
  </r>
  <r>
    <n v="13"/>
    <x v="0"/>
    <n v="2.2000000000000002"/>
    <x v="1"/>
    <n v="5.3"/>
    <n v="1.4"/>
    <n v="3.97"/>
    <n v="0"/>
    <x v="0"/>
    <n v="1"/>
    <n v="10"/>
    <n v="7"/>
    <n v="1"/>
    <m/>
  </r>
  <r>
    <n v="14"/>
    <x v="0"/>
    <n v="5.8"/>
    <x v="2"/>
    <n v="6.9"/>
    <n v="0.7"/>
    <n v="3.01"/>
    <n v="1.9"/>
    <x v="1"/>
    <n v="9"/>
    <n v="9"/>
    <n v="4"/>
    <n v="1"/>
    <m/>
  </r>
  <r>
    <n v="14"/>
    <x v="0"/>
    <n v="1.3"/>
    <x v="0"/>
    <n v="8.5"/>
    <n v="0.9"/>
    <n v="3.71"/>
    <n v="0.7"/>
    <x v="1"/>
    <n v="3"/>
    <n v="3"/>
    <n v="6"/>
    <n v="1"/>
    <m/>
  </r>
  <r>
    <n v="19"/>
    <x v="1"/>
    <n v="2.8"/>
    <x v="1"/>
    <n v="4.8"/>
    <n v="1.7"/>
    <n v="2.8"/>
    <n v="0.6"/>
    <x v="0"/>
    <n v="5"/>
    <n v="7"/>
    <n v="4"/>
    <n v="1"/>
    <m/>
  </r>
  <r>
    <n v="19"/>
    <x v="1"/>
    <n v="4"/>
    <x v="1"/>
    <n v="6.5"/>
    <n v="2.4"/>
    <n v="3.67"/>
    <n v="0.6"/>
    <x v="0"/>
    <n v="4"/>
    <n v="6"/>
    <n v="4"/>
    <n v="1"/>
    <m/>
  </r>
  <r>
    <n v="14"/>
    <x v="1"/>
    <n v="1.7"/>
    <x v="1"/>
    <n v="4.9000000000000004"/>
    <n v="1.6"/>
    <n v="2.36"/>
    <n v="1.7"/>
    <x v="1"/>
    <n v="3"/>
    <n v="1"/>
    <n v="6"/>
    <n v="1"/>
    <m/>
  </r>
  <r>
    <n v="18"/>
    <x v="1"/>
    <n v="1.4"/>
    <x v="1"/>
    <n v="6.1"/>
    <n v="1.6"/>
    <n v="2.56"/>
    <n v="1.2"/>
    <x v="1"/>
    <n v="2"/>
    <n v="7"/>
    <n v="8"/>
    <n v="1"/>
    <m/>
  </r>
  <r>
    <n v="19"/>
    <x v="0"/>
    <n v="2.2999999999999998"/>
    <x v="1"/>
    <n v="6.5"/>
    <n v="3"/>
    <n v="3.5"/>
    <n v="0.1"/>
    <x v="1"/>
    <n v="9"/>
    <n v="10"/>
    <n v="8"/>
    <n v="1"/>
    <m/>
  </r>
  <r>
    <n v="14"/>
    <x v="0"/>
    <n v="3.8"/>
    <x v="0"/>
    <n v="5.3"/>
    <n v="1"/>
    <n v="2.2799999999999998"/>
    <n v="1.2"/>
    <x v="0"/>
    <n v="9"/>
    <n v="3"/>
    <n v="1"/>
    <n v="1"/>
    <m/>
  </r>
  <r>
    <n v="13"/>
    <x v="0"/>
    <n v="6.4"/>
    <x v="1"/>
    <n v="5.0999999999999996"/>
    <n v="2.5"/>
    <n v="2.62"/>
    <n v="1.3"/>
    <x v="0"/>
    <n v="5"/>
    <n v="4"/>
    <n v="7"/>
    <n v="1"/>
    <m/>
  </r>
  <r>
    <n v="19"/>
    <x v="0"/>
    <n v="6"/>
    <x v="2"/>
    <n v="7.1"/>
    <n v="0.9"/>
    <n v="2.98"/>
    <n v="0.1"/>
    <x v="0"/>
    <n v="1"/>
    <n v="6"/>
    <n v="5"/>
    <n v="1"/>
    <m/>
  </r>
  <r>
    <n v="16"/>
    <x v="0"/>
    <n v="1.9"/>
    <x v="0"/>
    <n v="7.8"/>
    <n v="2.1"/>
    <n v="2.2599999999999998"/>
    <n v="0.3"/>
    <x v="1"/>
    <n v="7"/>
    <n v="7"/>
    <n v="5"/>
    <n v="1"/>
    <m/>
  </r>
  <r>
    <n v="17"/>
    <x v="0"/>
    <n v="2.4"/>
    <x v="1"/>
    <n v="8.5"/>
    <n v="2.4"/>
    <n v="2.79"/>
    <n v="1.1000000000000001"/>
    <x v="0"/>
    <n v="1"/>
    <n v="6"/>
    <n v="7"/>
    <n v="1"/>
    <m/>
  </r>
  <r>
    <n v="14"/>
    <x v="1"/>
    <n v="2.7"/>
    <x v="0"/>
    <n v="5.0999999999999996"/>
    <n v="2.4"/>
    <n v="2.17"/>
    <n v="1.8"/>
    <x v="1"/>
    <n v="3"/>
    <n v="10"/>
    <n v="8"/>
    <n v="1"/>
    <m/>
  </r>
  <r>
    <n v="14"/>
    <x v="0"/>
    <n v="1.5"/>
    <x v="2"/>
    <n v="7.2"/>
    <n v="1.7"/>
    <n v="2.76"/>
    <n v="0"/>
    <x v="0"/>
    <n v="10"/>
    <n v="7"/>
    <n v="10"/>
    <n v="1"/>
    <m/>
  </r>
  <r>
    <n v="18"/>
    <x v="0"/>
    <n v="7.7"/>
    <x v="0"/>
    <n v="7.3"/>
    <n v="1.8"/>
    <n v="3.13"/>
    <n v="2"/>
    <x v="2"/>
    <n v="7"/>
    <n v="9"/>
    <n v="7"/>
    <n v="1"/>
    <m/>
  </r>
  <r>
    <n v="13"/>
    <x v="0"/>
    <n v="2.9"/>
    <x v="1"/>
    <n v="5.0999999999999996"/>
    <n v="2.2000000000000002"/>
    <n v="3.81"/>
    <n v="0.7"/>
    <x v="0"/>
    <n v="6"/>
    <n v="6"/>
    <n v="10"/>
    <n v="1"/>
    <m/>
  </r>
  <r>
    <n v="16"/>
    <x v="0"/>
    <n v="7.6"/>
    <x v="1"/>
    <n v="4.3"/>
    <n v="2.7"/>
    <n v="2.5099999999999998"/>
    <n v="0.3"/>
    <x v="2"/>
    <n v="3"/>
    <n v="9"/>
    <n v="10"/>
    <n v="1"/>
    <m/>
  </r>
  <r>
    <n v="18"/>
    <x v="0"/>
    <n v="5.7"/>
    <x v="2"/>
    <n v="8.4"/>
    <n v="2.4"/>
    <n v="2.84"/>
    <n v="0.7"/>
    <x v="0"/>
    <n v="5"/>
    <n v="4"/>
    <n v="9"/>
    <n v="1"/>
    <m/>
  </r>
  <r>
    <n v="19"/>
    <x v="0"/>
    <n v="1.2"/>
    <x v="1"/>
    <n v="5"/>
    <n v="1.5"/>
    <n v="2.09"/>
    <n v="0.6"/>
    <x v="2"/>
    <n v="5"/>
    <n v="2"/>
    <n v="1"/>
    <n v="1"/>
    <m/>
  </r>
  <r>
    <n v="16"/>
    <x v="1"/>
    <n v="2.4"/>
    <x v="2"/>
    <n v="6.2"/>
    <n v="1.6"/>
    <n v="2.38"/>
    <n v="0"/>
    <x v="2"/>
    <n v="8"/>
    <n v="4"/>
    <n v="10"/>
    <n v="1"/>
    <m/>
  </r>
  <r>
    <n v="17"/>
    <x v="1"/>
    <n v="6.2"/>
    <x v="2"/>
    <n v="5.0999999999999996"/>
    <n v="2"/>
    <n v="3.82"/>
    <n v="1.7"/>
    <x v="2"/>
    <n v="7"/>
    <n v="3"/>
    <n v="5"/>
    <n v="1"/>
    <m/>
  </r>
  <r>
    <n v="14"/>
    <x v="1"/>
    <n v="4.7"/>
    <x v="0"/>
    <n v="5.0999999999999996"/>
    <n v="2.2000000000000002"/>
    <n v="2.0299999999999998"/>
    <n v="1.1000000000000001"/>
    <x v="2"/>
    <n v="2"/>
    <n v="10"/>
    <n v="7"/>
    <n v="-1"/>
    <m/>
  </r>
  <r>
    <n v="19"/>
    <x v="0"/>
    <n v="5.3"/>
    <x v="0"/>
    <n v="6.7"/>
    <n v="0.7"/>
    <n v="3.59"/>
    <n v="1.8"/>
    <x v="1"/>
    <n v="4"/>
    <n v="8"/>
    <n v="8"/>
    <n v="-1"/>
    <m/>
  </r>
  <r>
    <n v="19"/>
    <x v="1"/>
    <n v="6"/>
    <x v="1"/>
    <n v="6"/>
    <n v="0.7"/>
    <n v="3.29"/>
    <n v="1.4"/>
    <x v="0"/>
    <n v="4"/>
    <n v="5"/>
    <n v="1"/>
    <n v="-1"/>
    <m/>
  </r>
  <r>
    <n v="16"/>
    <x v="1"/>
    <n v="7.8"/>
    <x v="1"/>
    <n v="4.7"/>
    <n v="2.1"/>
    <n v="2.48"/>
    <n v="2"/>
    <x v="0"/>
    <n v="8"/>
    <n v="3"/>
    <n v="1"/>
    <n v="-1"/>
    <m/>
  </r>
  <r>
    <n v="14"/>
    <x v="1"/>
    <n v="4.4000000000000004"/>
    <x v="2"/>
    <n v="4.2"/>
    <n v="2.6"/>
    <n v="2.2799999999999998"/>
    <n v="1.3"/>
    <x v="2"/>
    <n v="8"/>
    <n v="10"/>
    <n v="4"/>
    <n v="-1"/>
    <m/>
  </r>
  <r>
    <n v="17"/>
    <x v="0"/>
    <n v="6.7"/>
    <x v="0"/>
    <n v="7.6"/>
    <n v="2.4"/>
    <n v="3.59"/>
    <n v="0.4"/>
    <x v="2"/>
    <n v="9"/>
    <n v="5"/>
    <n v="5"/>
    <n v="1"/>
    <m/>
  </r>
  <r>
    <n v="13"/>
    <x v="1"/>
    <n v="7.2"/>
    <x v="1"/>
    <n v="7.4"/>
    <n v="2.2000000000000002"/>
    <n v="3.42"/>
    <n v="0.1"/>
    <x v="0"/>
    <n v="8"/>
    <n v="9"/>
    <n v="6"/>
    <n v="1"/>
    <m/>
  </r>
  <r>
    <n v="18"/>
    <x v="0"/>
    <n v="6.1"/>
    <x v="2"/>
    <n v="4.4000000000000004"/>
    <n v="2.1"/>
    <n v="2.23"/>
    <n v="1"/>
    <x v="0"/>
    <n v="8"/>
    <n v="2"/>
    <n v="5"/>
    <n v="1"/>
    <m/>
  </r>
  <r>
    <n v="16"/>
    <x v="0"/>
    <n v="5.4"/>
    <x v="1"/>
    <n v="8.6999999999999993"/>
    <n v="1.9"/>
    <n v="2.67"/>
    <n v="1.3"/>
    <x v="0"/>
    <n v="1"/>
    <n v="5"/>
    <n v="7"/>
    <n v="1"/>
    <m/>
  </r>
  <r>
    <n v="19"/>
    <x v="0"/>
    <n v="2.7"/>
    <x v="2"/>
    <n v="7.7"/>
    <n v="0.7"/>
    <n v="2.2200000000000002"/>
    <n v="0.4"/>
    <x v="2"/>
    <n v="10"/>
    <n v="8"/>
    <n v="7"/>
    <n v="1"/>
    <m/>
  </r>
  <r>
    <n v="13"/>
    <x v="1"/>
    <n v="7.9"/>
    <x v="0"/>
    <n v="7.2"/>
    <n v="1.5"/>
    <n v="2.36"/>
    <n v="0.2"/>
    <x v="2"/>
    <n v="2"/>
    <n v="6"/>
    <n v="8"/>
    <n v="1"/>
    <m/>
  </r>
  <r>
    <n v="13"/>
    <x v="0"/>
    <n v="4.5999999999999996"/>
    <x v="1"/>
    <n v="7.3"/>
    <n v="1.6"/>
    <n v="2.91"/>
    <n v="0.4"/>
    <x v="0"/>
    <n v="10"/>
    <n v="5"/>
    <n v="7"/>
    <n v="1"/>
    <m/>
  </r>
  <r>
    <n v="13"/>
    <x v="0"/>
    <n v="5.6"/>
    <x v="0"/>
    <n v="4.5999999999999996"/>
    <n v="1.9"/>
    <n v="2.54"/>
    <n v="0.1"/>
    <x v="0"/>
    <n v="5"/>
    <n v="5"/>
    <n v="6"/>
    <n v="1"/>
    <m/>
  </r>
  <r>
    <n v="17"/>
    <x v="1"/>
    <n v="6.5"/>
    <x v="1"/>
    <n v="6.4"/>
    <n v="0.7"/>
    <n v="3.57"/>
    <n v="1.1000000000000001"/>
    <x v="0"/>
    <n v="2"/>
    <n v="9"/>
    <n v="6"/>
    <n v="1"/>
    <m/>
  </r>
  <r>
    <n v="19"/>
    <x v="0"/>
    <n v="5.9"/>
    <x v="2"/>
    <n v="7.2"/>
    <n v="0.9"/>
    <n v="3.99"/>
    <n v="1.7"/>
    <x v="0"/>
    <n v="7"/>
    <n v="9"/>
    <n v="3"/>
    <n v="1"/>
    <m/>
  </r>
  <r>
    <n v="19"/>
    <x v="1"/>
    <n v="1.1000000000000001"/>
    <x v="1"/>
    <n v="5.0999999999999996"/>
    <n v="2.2000000000000002"/>
    <n v="2.13"/>
    <n v="0.9"/>
    <x v="0"/>
    <n v="7"/>
    <n v="7"/>
    <n v="2"/>
    <n v="1"/>
    <m/>
  </r>
  <r>
    <n v="18"/>
    <x v="0"/>
    <n v="3.2"/>
    <x v="1"/>
    <n v="5.0999999999999996"/>
    <n v="1.2"/>
    <n v="3.54"/>
    <n v="1.3"/>
    <x v="0"/>
    <n v="6"/>
    <n v="2"/>
    <n v="8"/>
    <n v="1"/>
    <m/>
  </r>
  <r>
    <n v="14"/>
    <x v="0"/>
    <n v="6.5"/>
    <x v="0"/>
    <n v="5.3"/>
    <n v="2.7"/>
    <n v="3.79"/>
    <n v="0.8"/>
    <x v="0"/>
    <n v="8"/>
    <n v="6"/>
    <n v="4"/>
    <n v="1"/>
    <m/>
  </r>
  <r>
    <n v="17"/>
    <x v="1"/>
    <n v="7.3"/>
    <x v="0"/>
    <n v="6.2"/>
    <n v="1"/>
    <n v="2.02"/>
    <n v="0.2"/>
    <x v="0"/>
    <n v="1"/>
    <n v="6"/>
    <n v="3"/>
    <n v="1"/>
    <m/>
  </r>
  <r>
    <n v="17"/>
    <x v="0"/>
    <n v="1.5"/>
    <x v="1"/>
    <n v="5.5"/>
    <n v="1.7"/>
    <n v="2.93"/>
    <n v="0.7"/>
    <x v="0"/>
    <n v="4"/>
    <n v="9"/>
    <n v="9"/>
    <n v="1"/>
    <m/>
  </r>
  <r>
    <n v="16"/>
    <x v="0"/>
    <n v="3.8"/>
    <x v="0"/>
    <n v="6.8"/>
    <n v="2.4"/>
    <n v="3.1"/>
    <n v="1.6"/>
    <x v="0"/>
    <n v="6"/>
    <n v="10"/>
    <n v="4"/>
    <n v="1"/>
    <m/>
  </r>
  <r>
    <n v="13"/>
    <x v="1"/>
    <n v="3.6"/>
    <x v="1"/>
    <n v="8.6"/>
    <n v="2.8"/>
    <n v="3.28"/>
    <n v="0.7"/>
    <x v="1"/>
    <n v="10"/>
    <n v="3"/>
    <n v="5"/>
    <n v="0"/>
    <m/>
  </r>
  <r>
    <n v="15"/>
    <x v="0"/>
    <n v="3.6"/>
    <x v="1"/>
    <n v="4.3"/>
    <n v="2.9"/>
    <n v="2.2000000000000002"/>
    <n v="1"/>
    <x v="1"/>
    <n v="10"/>
    <n v="9"/>
    <n v="7"/>
    <n v="0"/>
    <m/>
  </r>
  <r>
    <n v="17"/>
    <x v="1"/>
    <n v="5.3"/>
    <x v="0"/>
    <n v="7.4"/>
    <n v="1.2"/>
    <n v="3.41"/>
    <n v="1.1000000000000001"/>
    <x v="1"/>
    <n v="6"/>
    <n v="3"/>
    <n v="7"/>
    <n v="0"/>
    <m/>
  </r>
  <r>
    <n v="19"/>
    <x v="0"/>
    <n v="4.4000000000000004"/>
    <x v="1"/>
    <n v="4.3"/>
    <n v="0.8"/>
    <n v="2.44"/>
    <n v="1"/>
    <x v="1"/>
    <n v="9"/>
    <n v="9"/>
    <n v="7"/>
    <n v="0"/>
    <m/>
  </r>
  <r>
    <n v="18"/>
    <x v="0"/>
    <n v="7.7"/>
    <x v="1"/>
    <n v="4.7"/>
    <n v="1.4"/>
    <n v="3.04"/>
    <n v="0.6"/>
    <x v="2"/>
    <n v="9"/>
    <n v="6"/>
    <n v="6"/>
    <n v="0"/>
    <m/>
  </r>
  <r>
    <n v="14"/>
    <x v="1"/>
    <n v="7.1"/>
    <x v="1"/>
    <n v="4.5"/>
    <n v="2.4"/>
    <n v="3.53"/>
    <n v="0.4"/>
    <x v="1"/>
    <n v="3"/>
    <n v="4"/>
    <n v="4"/>
    <n v="1"/>
    <m/>
  </r>
  <r>
    <n v="16"/>
    <x v="0"/>
    <n v="4.9000000000000004"/>
    <x v="0"/>
    <n v="6.8"/>
    <n v="1"/>
    <n v="3.18"/>
    <n v="1.9"/>
    <x v="1"/>
    <n v="7"/>
    <n v="4"/>
    <n v="8"/>
    <n v="1"/>
    <m/>
  </r>
  <r>
    <n v="19"/>
    <x v="0"/>
    <n v="4.5999999999999996"/>
    <x v="2"/>
    <n v="8.9"/>
    <n v="1.9"/>
    <n v="2.5"/>
    <n v="0.4"/>
    <x v="2"/>
    <n v="8"/>
    <n v="1"/>
    <n v="3"/>
    <n v="1"/>
    <m/>
  </r>
  <r>
    <n v="19"/>
    <x v="0"/>
    <n v="1.8"/>
    <x v="0"/>
    <n v="6.5"/>
    <n v="2.6"/>
    <n v="2.75"/>
    <n v="1.7"/>
    <x v="1"/>
    <n v="7"/>
    <n v="6"/>
    <n v="1"/>
    <n v="1"/>
    <m/>
  </r>
  <r>
    <n v="16"/>
    <x v="0"/>
    <n v="4.2"/>
    <x v="2"/>
    <n v="5.7"/>
    <n v="1"/>
    <n v="2.77"/>
    <n v="0.1"/>
    <x v="1"/>
    <n v="10"/>
    <n v="5"/>
    <n v="9"/>
    <n v="1"/>
    <m/>
  </r>
  <r>
    <n v="16"/>
    <x v="0"/>
    <n v="1.5"/>
    <x v="1"/>
    <n v="6.7"/>
    <n v="0.5"/>
    <n v="2.78"/>
    <n v="1.2"/>
    <x v="0"/>
    <n v="1"/>
    <n v="9"/>
    <n v="6"/>
    <n v="1"/>
    <m/>
  </r>
  <r>
    <n v="19"/>
    <x v="0"/>
    <n v="7"/>
    <x v="0"/>
    <n v="8.9"/>
    <n v="2.8"/>
    <n v="2.84"/>
    <n v="0.4"/>
    <x v="1"/>
    <n v="6"/>
    <n v="8"/>
    <n v="6"/>
    <n v="1"/>
    <m/>
  </r>
  <r>
    <n v="14"/>
    <x v="1"/>
    <n v="6.5"/>
    <x v="2"/>
    <n v="7.8"/>
    <n v="1.5"/>
    <n v="3.26"/>
    <n v="0.8"/>
    <x v="2"/>
    <n v="9"/>
    <n v="2"/>
    <n v="3"/>
    <n v="1"/>
    <m/>
  </r>
  <r>
    <n v="19"/>
    <x v="1"/>
    <n v="4.3"/>
    <x v="0"/>
    <n v="5.9"/>
    <n v="2.1"/>
    <n v="2.85"/>
    <n v="1.7"/>
    <x v="1"/>
    <n v="9"/>
    <n v="9"/>
    <n v="8"/>
    <n v="1"/>
    <m/>
  </r>
  <r>
    <n v="16"/>
    <x v="0"/>
    <n v="7.2"/>
    <x v="2"/>
    <n v="7.7"/>
    <n v="2.5"/>
    <n v="2.56"/>
    <n v="1.7"/>
    <x v="1"/>
    <n v="8"/>
    <n v="7"/>
    <n v="6"/>
    <n v="1"/>
    <m/>
  </r>
  <r>
    <n v="13"/>
    <x v="0"/>
    <n v="7"/>
    <x v="2"/>
    <n v="4.0999999999999996"/>
    <n v="1.9"/>
    <n v="2.2999999999999998"/>
    <n v="0.3"/>
    <x v="2"/>
    <n v="3"/>
    <n v="10"/>
    <n v="6"/>
    <n v="1"/>
    <m/>
  </r>
  <r>
    <n v="18"/>
    <x v="1"/>
    <n v="3.8"/>
    <x v="2"/>
    <n v="5.4"/>
    <n v="1.7"/>
    <n v="3.06"/>
    <n v="1.9"/>
    <x v="2"/>
    <n v="5"/>
    <n v="10"/>
    <n v="3"/>
    <n v="1"/>
    <m/>
  </r>
  <r>
    <n v="17"/>
    <x v="1"/>
    <n v="3"/>
    <x v="0"/>
    <n v="6.9"/>
    <n v="2.2999999999999998"/>
    <n v="3.34"/>
    <n v="0.6"/>
    <x v="0"/>
    <n v="5"/>
    <n v="2"/>
    <n v="9"/>
    <n v="1"/>
    <m/>
  </r>
  <r>
    <n v="14"/>
    <x v="1"/>
    <n v="7"/>
    <x v="1"/>
    <n v="7.8"/>
    <n v="1.1000000000000001"/>
    <n v="3.81"/>
    <n v="1.4"/>
    <x v="2"/>
    <n v="10"/>
    <n v="4"/>
    <n v="2"/>
    <n v="1"/>
    <m/>
  </r>
  <r>
    <n v="13"/>
    <x v="0"/>
    <n v="4.5999999999999996"/>
    <x v="1"/>
    <n v="5.3"/>
    <n v="2.2999999999999998"/>
    <n v="2.42"/>
    <n v="0.2"/>
    <x v="0"/>
    <n v="5"/>
    <n v="9"/>
    <n v="5"/>
    <n v="1"/>
    <m/>
  </r>
  <r>
    <n v="16"/>
    <x v="0"/>
    <n v="3.4"/>
    <x v="2"/>
    <n v="8.9"/>
    <n v="2.6"/>
    <n v="2.54"/>
    <n v="1.8"/>
    <x v="1"/>
    <n v="6"/>
    <n v="2"/>
    <n v="5"/>
    <n v="1"/>
    <m/>
  </r>
  <r>
    <n v="19"/>
    <x v="1"/>
    <n v="3.5"/>
    <x v="1"/>
    <n v="6.7"/>
    <n v="2.7"/>
    <n v="3.4"/>
    <n v="1.2"/>
    <x v="0"/>
    <n v="4"/>
    <n v="6"/>
    <n v="7"/>
    <n v="1"/>
    <m/>
  </r>
  <r>
    <n v="14"/>
    <x v="1"/>
    <n v="4.4000000000000004"/>
    <x v="2"/>
    <n v="7.3"/>
    <n v="2.7"/>
    <n v="3.3"/>
    <n v="1.1000000000000001"/>
    <x v="0"/>
    <n v="2"/>
    <n v="1"/>
    <n v="9"/>
    <n v="1"/>
    <m/>
  </r>
  <r>
    <n v="14"/>
    <x v="1"/>
    <n v="1.8"/>
    <x v="2"/>
    <n v="8.1999999999999993"/>
    <n v="2.2000000000000002"/>
    <n v="3.36"/>
    <n v="1.7"/>
    <x v="1"/>
    <n v="9"/>
    <n v="5"/>
    <n v="10"/>
    <n v="1"/>
    <m/>
  </r>
  <r>
    <n v="17"/>
    <x v="0"/>
    <n v="3.9"/>
    <x v="2"/>
    <n v="7.7"/>
    <n v="1"/>
    <n v="2.1"/>
    <n v="1.8"/>
    <x v="1"/>
    <n v="7"/>
    <n v="4"/>
    <n v="5"/>
    <n v="1"/>
    <m/>
  </r>
  <r>
    <n v="14"/>
    <x v="1"/>
    <n v="4.4000000000000004"/>
    <x v="1"/>
    <n v="5.7"/>
    <n v="1"/>
    <n v="3.2"/>
    <n v="1.9"/>
    <x v="1"/>
    <n v="4"/>
    <n v="2"/>
    <n v="2"/>
    <n v="1"/>
    <m/>
  </r>
  <r>
    <n v="13"/>
    <x v="1"/>
    <n v="2"/>
    <x v="0"/>
    <n v="8.6999999999999993"/>
    <n v="1.9"/>
    <n v="2.2799999999999998"/>
    <n v="1.2"/>
    <x v="2"/>
    <n v="7"/>
    <n v="7"/>
    <n v="9"/>
    <n v="1"/>
    <m/>
  </r>
  <r>
    <n v="17"/>
    <x v="0"/>
    <n v="7.2"/>
    <x v="1"/>
    <n v="8.8000000000000007"/>
    <n v="2.5"/>
    <n v="3.97"/>
    <n v="1.9"/>
    <x v="0"/>
    <n v="1"/>
    <n v="3"/>
    <n v="9"/>
    <n v="1"/>
    <m/>
  </r>
  <r>
    <n v="19"/>
    <x v="0"/>
    <n v="4.4000000000000004"/>
    <x v="2"/>
    <n v="6.4"/>
    <n v="0.9"/>
    <n v="2.72"/>
    <n v="0.2"/>
    <x v="2"/>
    <n v="6"/>
    <n v="9"/>
    <n v="8"/>
    <n v="1"/>
    <m/>
  </r>
  <r>
    <n v="14"/>
    <x v="0"/>
    <n v="7.2"/>
    <x v="1"/>
    <n v="4.8"/>
    <n v="1.4"/>
    <n v="2.36"/>
    <n v="0.1"/>
    <x v="0"/>
    <n v="5"/>
    <n v="7"/>
    <n v="1"/>
    <n v="1"/>
    <m/>
  </r>
  <r>
    <n v="13"/>
    <x v="0"/>
    <n v="5.4"/>
    <x v="0"/>
    <n v="6.5"/>
    <n v="0.8"/>
    <n v="3.17"/>
    <n v="0.3"/>
    <x v="2"/>
    <n v="10"/>
    <n v="3"/>
    <n v="3"/>
    <n v="1"/>
    <m/>
  </r>
  <r>
    <n v="16"/>
    <x v="0"/>
    <n v="1.5"/>
    <x v="1"/>
    <n v="4.0999999999999996"/>
    <n v="1.3"/>
    <n v="3.67"/>
    <n v="1.2"/>
    <x v="1"/>
    <n v="10"/>
    <n v="6"/>
    <n v="6"/>
    <n v="1"/>
    <m/>
  </r>
  <r>
    <n v="15"/>
    <x v="1"/>
    <n v="1.8"/>
    <x v="0"/>
    <n v="8"/>
    <n v="2.8"/>
    <n v="3.49"/>
    <n v="0.6"/>
    <x v="0"/>
    <n v="9"/>
    <n v="8"/>
    <n v="8"/>
    <n v="1"/>
    <m/>
  </r>
  <r>
    <n v="17"/>
    <x v="1"/>
    <n v="3.7"/>
    <x v="1"/>
    <n v="5.3"/>
    <n v="0.7"/>
    <n v="2.09"/>
    <n v="0.8"/>
    <x v="1"/>
    <n v="8"/>
    <n v="8"/>
    <n v="10"/>
    <n v="1"/>
    <m/>
  </r>
  <r>
    <n v="13"/>
    <x v="0"/>
    <n v="6.4"/>
    <x v="2"/>
    <n v="8.3000000000000007"/>
    <n v="1.3"/>
    <n v="2.21"/>
    <n v="1.2"/>
    <x v="1"/>
    <n v="4"/>
    <n v="5"/>
    <n v="9"/>
    <n v="1"/>
    <m/>
  </r>
  <r>
    <n v="19"/>
    <x v="0"/>
    <n v="6.4"/>
    <x v="2"/>
    <n v="6.7"/>
    <n v="2.4"/>
    <n v="2.2000000000000002"/>
    <n v="1.3"/>
    <x v="0"/>
    <n v="5"/>
    <n v="2"/>
    <n v="2"/>
    <n v="1"/>
    <m/>
  </r>
  <r>
    <n v="17"/>
    <x v="1"/>
    <n v="1.1000000000000001"/>
    <x v="0"/>
    <n v="9"/>
    <n v="2.9"/>
    <n v="2.74"/>
    <n v="1"/>
    <x v="2"/>
    <n v="2"/>
    <n v="8"/>
    <n v="2"/>
    <n v="1"/>
    <m/>
  </r>
  <r>
    <n v="13"/>
    <x v="0"/>
    <n v="1.3"/>
    <x v="1"/>
    <n v="7.8"/>
    <n v="2.6"/>
    <n v="3.01"/>
    <n v="0.3"/>
    <x v="0"/>
    <n v="2"/>
    <n v="9"/>
    <n v="10"/>
    <n v="1"/>
    <m/>
  </r>
  <r>
    <n v="17"/>
    <x v="1"/>
    <n v="4.4000000000000004"/>
    <x v="0"/>
    <n v="6"/>
    <n v="1.2"/>
    <n v="2.48"/>
    <n v="0.9"/>
    <x v="2"/>
    <n v="6"/>
    <n v="2"/>
    <n v="6"/>
    <n v="1"/>
    <m/>
  </r>
  <r>
    <n v="13"/>
    <x v="0"/>
    <n v="7.8"/>
    <x v="0"/>
    <n v="5"/>
    <n v="1.8"/>
    <n v="3.57"/>
    <n v="1.5"/>
    <x v="2"/>
    <n v="8"/>
    <n v="10"/>
    <n v="3"/>
    <n v="1"/>
    <m/>
  </r>
  <r>
    <n v="14"/>
    <x v="1"/>
    <n v="6.9"/>
    <x v="1"/>
    <n v="6.4"/>
    <n v="0.9"/>
    <n v="2.04"/>
    <n v="1.3"/>
    <x v="2"/>
    <n v="5"/>
    <n v="5"/>
    <n v="9"/>
    <n v="1"/>
    <m/>
  </r>
  <r>
    <n v="14"/>
    <x v="1"/>
    <n v="4.8"/>
    <x v="0"/>
    <n v="6.8"/>
    <n v="0.8"/>
    <n v="3"/>
    <n v="0.9"/>
    <x v="0"/>
    <n v="4"/>
    <n v="3"/>
    <n v="4"/>
    <n v="1"/>
    <m/>
  </r>
  <r>
    <n v="13"/>
    <x v="0"/>
    <n v="7.5"/>
    <x v="0"/>
    <n v="8.6"/>
    <n v="1.9"/>
    <n v="3.33"/>
    <n v="0.9"/>
    <x v="2"/>
    <n v="7"/>
    <n v="3"/>
    <n v="10"/>
    <n v="1"/>
    <m/>
  </r>
  <r>
    <n v="15"/>
    <x v="1"/>
    <n v="6.7"/>
    <x v="0"/>
    <n v="7"/>
    <n v="2.2000000000000002"/>
    <n v="2.61"/>
    <n v="0.7"/>
    <x v="1"/>
    <n v="2"/>
    <n v="7"/>
    <n v="8"/>
    <n v="1"/>
    <m/>
  </r>
  <r>
    <n v="14"/>
    <x v="0"/>
    <n v="3.8"/>
    <x v="0"/>
    <n v="4.8"/>
    <n v="1.9"/>
    <n v="3.97"/>
    <n v="0.2"/>
    <x v="1"/>
    <n v="4"/>
    <n v="6"/>
    <n v="6"/>
    <n v="1"/>
    <m/>
  </r>
  <r>
    <n v="15"/>
    <x v="0"/>
    <n v="3"/>
    <x v="0"/>
    <n v="8.6"/>
    <n v="1.5"/>
    <n v="3.27"/>
    <n v="0.8"/>
    <x v="2"/>
    <n v="10"/>
    <n v="10"/>
    <n v="4"/>
    <n v="1"/>
    <m/>
  </r>
  <r>
    <n v="17"/>
    <x v="0"/>
    <n v="7.8"/>
    <x v="1"/>
    <n v="7.1"/>
    <n v="0.8"/>
    <n v="2.79"/>
    <n v="1.4"/>
    <x v="2"/>
    <n v="9"/>
    <n v="4"/>
    <n v="2"/>
    <n v="1"/>
    <m/>
  </r>
  <r>
    <n v="14"/>
    <x v="1"/>
    <n v="7.8"/>
    <x v="0"/>
    <n v="4.3"/>
    <n v="2.6"/>
    <n v="3.33"/>
    <n v="2"/>
    <x v="1"/>
    <n v="3"/>
    <n v="7"/>
    <n v="3"/>
    <n v="1"/>
    <m/>
  </r>
  <r>
    <n v="15"/>
    <x v="1"/>
    <n v="6.6"/>
    <x v="1"/>
    <n v="9"/>
    <n v="1.5"/>
    <n v="3.04"/>
    <n v="1.5"/>
    <x v="0"/>
    <n v="4"/>
    <n v="2"/>
    <n v="7"/>
    <n v="-1"/>
    <m/>
  </r>
  <r>
    <n v="13"/>
    <x v="1"/>
    <n v="7.3"/>
    <x v="0"/>
    <n v="6.4"/>
    <n v="2.2999999999999998"/>
    <n v="2.5299999999999998"/>
    <n v="0.7"/>
    <x v="0"/>
    <n v="9"/>
    <n v="9"/>
    <n v="4"/>
    <n v="-1"/>
    <m/>
  </r>
  <r>
    <n v="19"/>
    <x v="0"/>
    <n v="6.6"/>
    <x v="0"/>
    <n v="4.4000000000000004"/>
    <n v="1.1000000000000001"/>
    <n v="2.29"/>
    <n v="1"/>
    <x v="0"/>
    <n v="6"/>
    <n v="8"/>
    <n v="5"/>
    <n v="-1"/>
    <m/>
  </r>
  <r>
    <n v="19"/>
    <x v="1"/>
    <n v="5.6"/>
    <x v="1"/>
    <n v="8.1"/>
    <n v="3"/>
    <n v="2.75"/>
    <n v="0.7"/>
    <x v="2"/>
    <n v="6"/>
    <n v="3"/>
    <n v="4"/>
    <n v="-1"/>
    <m/>
  </r>
  <r>
    <n v="13"/>
    <x v="1"/>
    <n v="8"/>
    <x v="0"/>
    <n v="5.4"/>
    <n v="2.8"/>
    <n v="3.1"/>
    <n v="1.9"/>
    <x v="1"/>
    <n v="6"/>
    <n v="10"/>
    <n v="10"/>
    <n v="-1"/>
    <m/>
  </r>
  <r>
    <n v="13"/>
    <x v="1"/>
    <n v="1.3"/>
    <x v="0"/>
    <n v="8.9"/>
    <n v="2.6"/>
    <n v="3.54"/>
    <n v="1.2"/>
    <x v="1"/>
    <n v="8"/>
    <n v="5"/>
    <n v="2"/>
    <n v="-1"/>
    <m/>
  </r>
  <r>
    <n v="15"/>
    <x v="1"/>
    <n v="5.9"/>
    <x v="2"/>
    <n v="6.9"/>
    <n v="1.4"/>
    <n v="3.62"/>
    <n v="1.5"/>
    <x v="2"/>
    <n v="3"/>
    <n v="9"/>
    <n v="1"/>
    <n v="-1"/>
    <m/>
  </r>
  <r>
    <n v="14"/>
    <x v="1"/>
    <n v="2"/>
    <x v="0"/>
    <n v="8.8000000000000007"/>
    <n v="0.9"/>
    <n v="3.61"/>
    <n v="0.7"/>
    <x v="1"/>
    <n v="10"/>
    <n v="2"/>
    <n v="3"/>
    <n v="-1"/>
    <m/>
  </r>
  <r>
    <n v="19"/>
    <x v="1"/>
    <n v="1.4"/>
    <x v="0"/>
    <n v="6.6"/>
    <n v="1.8"/>
    <n v="3.07"/>
    <n v="0"/>
    <x v="0"/>
    <n v="5"/>
    <n v="2"/>
    <n v="6"/>
    <n v="-1"/>
    <m/>
  </r>
  <r>
    <n v="13"/>
    <x v="1"/>
    <n v="6.4"/>
    <x v="2"/>
    <n v="6.7"/>
    <n v="0.8"/>
    <n v="3.9"/>
    <n v="1.9"/>
    <x v="1"/>
    <n v="3"/>
    <n v="3"/>
    <n v="10"/>
    <n v="-1"/>
    <m/>
  </r>
  <r>
    <n v="15"/>
    <x v="0"/>
    <n v="7.6"/>
    <x v="1"/>
    <n v="7.9"/>
    <n v="0.8"/>
    <n v="3.55"/>
    <n v="1.9"/>
    <x v="1"/>
    <n v="10"/>
    <n v="8"/>
    <n v="6"/>
    <n v="-1"/>
    <m/>
  </r>
  <r>
    <n v="16"/>
    <x v="0"/>
    <n v="7.9"/>
    <x v="2"/>
    <n v="5.5"/>
    <n v="0.6"/>
    <n v="3.65"/>
    <n v="1.4"/>
    <x v="0"/>
    <n v="1"/>
    <n v="4"/>
    <n v="1"/>
    <n v="-1"/>
    <m/>
  </r>
  <r>
    <n v="15"/>
    <x v="0"/>
    <n v="5.0999999999999996"/>
    <x v="0"/>
    <n v="4.0999999999999996"/>
    <n v="2.8"/>
    <n v="3.79"/>
    <n v="0.8"/>
    <x v="2"/>
    <n v="9"/>
    <n v="7"/>
    <n v="3"/>
    <n v="-1"/>
    <m/>
  </r>
  <r>
    <n v="18"/>
    <x v="0"/>
    <n v="6.4"/>
    <x v="1"/>
    <n v="7.4"/>
    <n v="1.5"/>
    <n v="2.92"/>
    <n v="0.6"/>
    <x v="0"/>
    <n v="9"/>
    <n v="2"/>
    <n v="5"/>
    <n v="-1"/>
    <m/>
  </r>
  <r>
    <n v="13"/>
    <x v="1"/>
    <n v="7.2"/>
    <x v="2"/>
    <n v="6.7"/>
    <n v="0.9"/>
    <n v="2.36"/>
    <n v="0.6"/>
    <x v="0"/>
    <n v="8"/>
    <n v="8"/>
    <n v="1"/>
    <n v="-1"/>
    <m/>
  </r>
  <r>
    <n v="18"/>
    <x v="1"/>
    <n v="2.9"/>
    <x v="2"/>
    <n v="4.5999999999999996"/>
    <n v="2.2999999999999998"/>
    <n v="3.03"/>
    <n v="0.3"/>
    <x v="0"/>
    <n v="6"/>
    <n v="1"/>
    <n v="9"/>
    <n v="0"/>
    <m/>
  </r>
  <r>
    <n v="19"/>
    <x v="0"/>
    <n v="1.5"/>
    <x v="0"/>
    <n v="7.3"/>
    <n v="2.7"/>
    <n v="2.61"/>
    <n v="0.9"/>
    <x v="0"/>
    <n v="5"/>
    <n v="7"/>
    <n v="10"/>
    <n v="0"/>
    <m/>
  </r>
  <r>
    <n v="14"/>
    <x v="0"/>
    <n v="5.4"/>
    <x v="2"/>
    <n v="8.1"/>
    <n v="1.8"/>
    <n v="2.5299999999999998"/>
    <n v="0.9"/>
    <x v="2"/>
    <n v="5"/>
    <n v="8"/>
    <n v="8"/>
    <n v="1"/>
    <m/>
  </r>
  <r>
    <n v="13"/>
    <x v="0"/>
    <n v="7.2"/>
    <x v="1"/>
    <n v="4.0999999999999996"/>
    <n v="1.3"/>
    <n v="2.4900000000000002"/>
    <n v="1.8"/>
    <x v="2"/>
    <n v="5"/>
    <n v="5"/>
    <n v="4"/>
    <n v="1"/>
    <m/>
  </r>
  <r>
    <n v="15"/>
    <x v="1"/>
    <n v="7"/>
    <x v="0"/>
    <n v="5.9"/>
    <n v="1.3"/>
    <n v="2.91"/>
    <n v="1.2"/>
    <x v="0"/>
    <n v="10"/>
    <n v="2"/>
    <n v="6"/>
    <n v="1"/>
    <m/>
  </r>
  <r>
    <n v="17"/>
    <x v="1"/>
    <n v="7.5"/>
    <x v="1"/>
    <n v="6.7"/>
    <n v="1.1000000000000001"/>
    <n v="3.77"/>
    <n v="0.6"/>
    <x v="1"/>
    <n v="3"/>
    <n v="8"/>
    <n v="6"/>
    <n v="1"/>
    <m/>
  </r>
  <r>
    <n v="14"/>
    <x v="0"/>
    <n v="1.4"/>
    <x v="2"/>
    <n v="7"/>
    <n v="1.8"/>
    <n v="2.69"/>
    <n v="0.9"/>
    <x v="0"/>
    <n v="10"/>
    <n v="4"/>
    <n v="2"/>
    <n v="1"/>
    <m/>
  </r>
  <r>
    <n v="16"/>
    <x v="1"/>
    <n v="6.1"/>
    <x v="0"/>
    <n v="8.1"/>
    <n v="1.4"/>
    <n v="3.27"/>
    <n v="1.6"/>
    <x v="0"/>
    <n v="10"/>
    <n v="1"/>
    <n v="4"/>
    <n v="1"/>
    <m/>
  </r>
  <r>
    <n v="16"/>
    <x v="1"/>
    <n v="1.4"/>
    <x v="2"/>
    <n v="5.2"/>
    <n v="1.7"/>
    <n v="3.82"/>
    <n v="0.7"/>
    <x v="0"/>
    <n v="10"/>
    <n v="4"/>
    <n v="3"/>
    <n v="1"/>
    <m/>
  </r>
  <r>
    <n v="13"/>
    <x v="0"/>
    <n v="5.4"/>
    <x v="0"/>
    <n v="4.0999999999999996"/>
    <n v="2"/>
    <n v="3.82"/>
    <n v="1.9"/>
    <x v="2"/>
    <n v="6"/>
    <n v="10"/>
    <n v="8"/>
    <n v="1"/>
    <m/>
  </r>
  <r>
    <n v="13"/>
    <x v="1"/>
    <n v="2.1"/>
    <x v="0"/>
    <n v="8.1999999999999993"/>
    <n v="0.9"/>
    <n v="2.48"/>
    <n v="0.5"/>
    <x v="1"/>
    <n v="2"/>
    <n v="7"/>
    <n v="6"/>
    <n v="1"/>
    <m/>
  </r>
  <r>
    <n v="14"/>
    <x v="0"/>
    <n v="5"/>
    <x v="2"/>
    <n v="4.3"/>
    <n v="1.1000000000000001"/>
    <n v="3.8"/>
    <n v="0.4"/>
    <x v="2"/>
    <n v="9"/>
    <n v="4"/>
    <n v="10"/>
    <n v="1"/>
    <m/>
  </r>
  <r>
    <n v="13"/>
    <x v="1"/>
    <n v="4.4000000000000004"/>
    <x v="0"/>
    <n v="4.3"/>
    <n v="1.9"/>
    <n v="3.51"/>
    <n v="0.9"/>
    <x v="2"/>
    <n v="8"/>
    <n v="4"/>
    <n v="3"/>
    <n v="1"/>
    <m/>
  </r>
  <r>
    <n v="13"/>
    <x v="0"/>
    <n v="3.4"/>
    <x v="2"/>
    <n v="8.6"/>
    <n v="0.8"/>
    <n v="3.08"/>
    <n v="0.4"/>
    <x v="0"/>
    <n v="7"/>
    <n v="10"/>
    <n v="6"/>
    <n v="1"/>
    <m/>
  </r>
  <r>
    <n v="18"/>
    <x v="0"/>
    <n v="1.2"/>
    <x v="0"/>
    <n v="6.4"/>
    <n v="1.3"/>
    <n v="3.03"/>
    <n v="1"/>
    <x v="0"/>
    <n v="5"/>
    <n v="9"/>
    <n v="10"/>
    <n v="1"/>
    <m/>
  </r>
  <r>
    <n v="14"/>
    <x v="0"/>
    <n v="5.5"/>
    <x v="1"/>
    <n v="7.3"/>
    <n v="1.4"/>
    <n v="2.61"/>
    <n v="1.2"/>
    <x v="1"/>
    <n v="5"/>
    <n v="7"/>
    <n v="1"/>
    <n v="1"/>
    <m/>
  </r>
  <r>
    <n v="15"/>
    <x v="0"/>
    <n v="2.2999999999999998"/>
    <x v="2"/>
    <n v="7.8"/>
    <n v="3"/>
    <n v="2.2999999999999998"/>
    <n v="1.4"/>
    <x v="2"/>
    <n v="4"/>
    <n v="9"/>
    <n v="10"/>
    <n v="1"/>
    <m/>
  </r>
  <r>
    <n v="13"/>
    <x v="1"/>
    <n v="1.4"/>
    <x v="2"/>
    <n v="7.4"/>
    <n v="0.5"/>
    <n v="2.3199999999999998"/>
    <n v="1.3"/>
    <x v="0"/>
    <n v="3"/>
    <n v="2"/>
    <n v="6"/>
    <n v="1"/>
    <m/>
  </r>
  <r>
    <n v="13"/>
    <x v="1"/>
    <n v="3"/>
    <x v="0"/>
    <n v="7"/>
    <n v="0.9"/>
    <n v="2.73"/>
    <n v="1.7"/>
    <x v="1"/>
    <n v="5"/>
    <n v="6"/>
    <n v="9"/>
    <n v="1"/>
    <m/>
  </r>
  <r>
    <n v="14"/>
    <x v="0"/>
    <n v="2.8"/>
    <x v="0"/>
    <n v="5"/>
    <n v="2.5"/>
    <n v="3.92"/>
    <n v="1.8"/>
    <x v="1"/>
    <n v="1"/>
    <n v="3"/>
    <n v="4"/>
    <n v="1"/>
    <m/>
  </r>
  <r>
    <n v="14"/>
    <x v="0"/>
    <n v="7"/>
    <x v="1"/>
    <n v="6.9"/>
    <n v="1"/>
    <n v="3.93"/>
    <n v="1.1000000000000001"/>
    <x v="1"/>
    <n v="9"/>
    <n v="3"/>
    <n v="7"/>
    <n v="1"/>
    <m/>
  </r>
  <r>
    <n v="13"/>
    <x v="1"/>
    <n v="1.6"/>
    <x v="2"/>
    <n v="8.4"/>
    <n v="1.4"/>
    <n v="3.47"/>
    <n v="0.1"/>
    <x v="2"/>
    <n v="1"/>
    <n v="6"/>
    <n v="6"/>
    <n v="1"/>
    <m/>
  </r>
  <r>
    <n v="15"/>
    <x v="1"/>
    <n v="4.2"/>
    <x v="0"/>
    <n v="8.4"/>
    <n v="1.2"/>
    <n v="2.61"/>
    <n v="0"/>
    <x v="2"/>
    <n v="3"/>
    <n v="10"/>
    <n v="2"/>
    <n v="1"/>
    <m/>
  </r>
  <r>
    <n v="17"/>
    <x v="0"/>
    <n v="4.9000000000000004"/>
    <x v="0"/>
    <n v="8.6"/>
    <n v="3"/>
    <n v="3.62"/>
    <n v="1.2"/>
    <x v="0"/>
    <n v="6"/>
    <n v="6"/>
    <n v="9"/>
    <n v="1"/>
    <m/>
  </r>
  <r>
    <n v="14"/>
    <x v="1"/>
    <n v="3.6"/>
    <x v="0"/>
    <n v="4.0999999999999996"/>
    <n v="2.9"/>
    <n v="2.83"/>
    <n v="0.5"/>
    <x v="2"/>
    <n v="10"/>
    <n v="6"/>
    <n v="7"/>
    <n v="1"/>
    <m/>
  </r>
  <r>
    <n v="19"/>
    <x v="0"/>
    <n v="1.8"/>
    <x v="1"/>
    <n v="6"/>
    <n v="2.2999999999999998"/>
    <n v="3.22"/>
    <n v="1"/>
    <x v="2"/>
    <n v="5"/>
    <n v="6"/>
    <n v="8"/>
    <n v="1"/>
    <m/>
  </r>
  <r>
    <n v="17"/>
    <x v="1"/>
    <n v="2.7"/>
    <x v="0"/>
    <n v="5.4"/>
    <n v="2.6"/>
    <n v="2.0699999999999998"/>
    <n v="0"/>
    <x v="2"/>
    <n v="6"/>
    <n v="5"/>
    <n v="6"/>
    <n v="1"/>
    <m/>
  </r>
  <r>
    <n v="15"/>
    <x v="1"/>
    <n v="1.2"/>
    <x v="0"/>
    <n v="5.2"/>
    <n v="1"/>
    <n v="2.78"/>
    <n v="1.3"/>
    <x v="1"/>
    <n v="5"/>
    <n v="8"/>
    <n v="10"/>
    <n v="1"/>
    <m/>
  </r>
  <r>
    <n v="18"/>
    <x v="1"/>
    <n v="6.2"/>
    <x v="2"/>
    <n v="6.7"/>
    <n v="1.4"/>
    <n v="3.42"/>
    <n v="0.9"/>
    <x v="0"/>
    <n v="6"/>
    <n v="8"/>
    <n v="6"/>
    <n v="1"/>
    <m/>
  </r>
  <r>
    <n v="18"/>
    <x v="0"/>
    <n v="1.6"/>
    <x v="1"/>
    <n v="6.2"/>
    <n v="1.9"/>
    <n v="2.0499999999999998"/>
    <n v="0.3"/>
    <x v="0"/>
    <n v="8"/>
    <n v="9"/>
    <n v="9"/>
    <n v="1"/>
    <m/>
  </r>
  <r>
    <n v="18"/>
    <x v="1"/>
    <n v="5.0999999999999996"/>
    <x v="1"/>
    <n v="7.4"/>
    <n v="1.3"/>
    <n v="3.5"/>
    <n v="1.6"/>
    <x v="1"/>
    <n v="1"/>
    <n v="5"/>
    <n v="5"/>
    <n v="1"/>
    <m/>
  </r>
  <r>
    <n v="13"/>
    <x v="1"/>
    <n v="5.2"/>
    <x v="1"/>
    <n v="8.1999999999999993"/>
    <n v="2.8"/>
    <n v="2.12"/>
    <n v="1.4"/>
    <x v="2"/>
    <n v="1"/>
    <n v="8"/>
    <n v="1"/>
    <n v="1"/>
    <m/>
  </r>
  <r>
    <n v="14"/>
    <x v="0"/>
    <n v="4.0999999999999996"/>
    <x v="1"/>
    <n v="5.0999999999999996"/>
    <n v="2"/>
    <n v="3.51"/>
    <n v="0.7"/>
    <x v="1"/>
    <n v="2"/>
    <n v="9"/>
    <n v="1"/>
    <n v="1"/>
    <m/>
  </r>
  <r>
    <n v="19"/>
    <x v="1"/>
    <n v="5.4"/>
    <x v="1"/>
    <n v="4.4000000000000004"/>
    <n v="2.2999999999999998"/>
    <n v="3.34"/>
    <n v="0.4"/>
    <x v="1"/>
    <n v="3"/>
    <n v="3"/>
    <n v="8"/>
    <n v="1"/>
    <m/>
  </r>
  <r>
    <n v="13"/>
    <x v="0"/>
    <n v="2.4"/>
    <x v="1"/>
    <n v="8.4"/>
    <n v="1.6"/>
    <n v="2.82"/>
    <n v="1.1000000000000001"/>
    <x v="0"/>
    <n v="1"/>
    <n v="3"/>
    <n v="2"/>
    <n v="1"/>
    <m/>
  </r>
  <r>
    <n v="18"/>
    <x v="0"/>
    <n v="1.7"/>
    <x v="2"/>
    <n v="5.6"/>
    <n v="1.4"/>
    <n v="2.85"/>
    <n v="1"/>
    <x v="1"/>
    <n v="3"/>
    <n v="3"/>
    <n v="7"/>
    <n v="1"/>
    <m/>
  </r>
  <r>
    <n v="18"/>
    <x v="0"/>
    <n v="6"/>
    <x v="2"/>
    <n v="6.1"/>
    <n v="0.9"/>
    <n v="2.68"/>
    <n v="0.3"/>
    <x v="2"/>
    <n v="2"/>
    <n v="10"/>
    <n v="10"/>
    <n v="1"/>
    <m/>
  </r>
  <r>
    <n v="17"/>
    <x v="0"/>
    <n v="7.2"/>
    <x v="2"/>
    <n v="6.1"/>
    <n v="0.8"/>
    <n v="3.9"/>
    <n v="0.2"/>
    <x v="0"/>
    <n v="8"/>
    <n v="3"/>
    <n v="7"/>
    <n v="1"/>
    <m/>
  </r>
  <r>
    <n v="18"/>
    <x v="0"/>
    <n v="3.5"/>
    <x v="1"/>
    <n v="6.3"/>
    <n v="2.9"/>
    <n v="3.35"/>
    <n v="1.6"/>
    <x v="1"/>
    <n v="1"/>
    <n v="4"/>
    <n v="2"/>
    <n v="1"/>
    <m/>
  </r>
  <r>
    <n v="15"/>
    <x v="1"/>
    <n v="3.8"/>
    <x v="0"/>
    <n v="4.4000000000000004"/>
    <n v="1.9"/>
    <n v="2.04"/>
    <n v="0.5"/>
    <x v="2"/>
    <n v="4"/>
    <n v="9"/>
    <n v="7"/>
    <n v="1"/>
    <m/>
  </r>
  <r>
    <n v="18"/>
    <x v="1"/>
    <n v="4.5"/>
    <x v="2"/>
    <n v="8"/>
    <n v="1.5"/>
    <n v="3.45"/>
    <n v="1"/>
    <x v="0"/>
    <n v="4"/>
    <n v="3"/>
    <n v="9"/>
    <n v="1"/>
    <m/>
  </r>
  <r>
    <n v="16"/>
    <x v="1"/>
    <n v="7.3"/>
    <x v="2"/>
    <n v="7.2"/>
    <n v="0.5"/>
    <n v="2.78"/>
    <n v="1.9"/>
    <x v="0"/>
    <n v="7"/>
    <n v="3"/>
    <n v="9"/>
    <n v="1"/>
    <m/>
  </r>
  <r>
    <n v="18"/>
    <x v="1"/>
    <n v="6.4"/>
    <x v="0"/>
    <n v="7.7"/>
    <n v="0.5"/>
    <n v="3.05"/>
    <n v="1.2"/>
    <x v="0"/>
    <n v="3"/>
    <n v="1"/>
    <n v="2"/>
    <n v="1"/>
    <m/>
  </r>
  <r>
    <n v="16"/>
    <x v="0"/>
    <n v="5.3"/>
    <x v="1"/>
    <n v="8.4"/>
    <n v="2.2000000000000002"/>
    <n v="2.81"/>
    <n v="0.6"/>
    <x v="1"/>
    <n v="2"/>
    <n v="8"/>
    <n v="8"/>
    <n v="1"/>
    <m/>
  </r>
  <r>
    <n v="13"/>
    <x v="0"/>
    <n v="2.4"/>
    <x v="0"/>
    <n v="7.1"/>
    <n v="0.7"/>
    <n v="3.64"/>
    <n v="1.1000000000000001"/>
    <x v="1"/>
    <n v="6"/>
    <n v="5"/>
    <n v="5"/>
    <n v="1"/>
    <m/>
  </r>
  <r>
    <n v="13"/>
    <x v="0"/>
    <n v="8"/>
    <x v="2"/>
    <n v="8.9"/>
    <n v="2.2000000000000002"/>
    <n v="3.82"/>
    <n v="1.2"/>
    <x v="0"/>
    <n v="8"/>
    <n v="8"/>
    <n v="4"/>
    <n v="1"/>
    <m/>
  </r>
  <r>
    <n v="15"/>
    <x v="0"/>
    <n v="7.3"/>
    <x v="2"/>
    <n v="4.4000000000000004"/>
    <n v="2.2999999999999998"/>
    <n v="2.76"/>
    <n v="1.8"/>
    <x v="2"/>
    <n v="4"/>
    <n v="6"/>
    <n v="9"/>
    <n v="1"/>
    <m/>
  </r>
  <r>
    <n v="17"/>
    <x v="1"/>
    <n v="4.5"/>
    <x v="2"/>
    <n v="7.3"/>
    <n v="0.9"/>
    <n v="2.34"/>
    <n v="0.9"/>
    <x v="2"/>
    <n v="7"/>
    <n v="3"/>
    <n v="8"/>
    <n v="1"/>
    <m/>
  </r>
  <r>
    <n v="19"/>
    <x v="0"/>
    <n v="5"/>
    <x v="2"/>
    <n v="9"/>
    <n v="2.4"/>
    <n v="2.5299999999999998"/>
    <n v="0.4"/>
    <x v="2"/>
    <n v="7"/>
    <n v="2"/>
    <n v="10"/>
    <n v="1"/>
    <m/>
  </r>
  <r>
    <n v="16"/>
    <x v="1"/>
    <n v="5.7"/>
    <x v="2"/>
    <n v="4.2"/>
    <n v="1.4"/>
    <n v="2.56"/>
    <n v="0.1"/>
    <x v="1"/>
    <n v="4"/>
    <n v="3"/>
    <n v="1"/>
    <n v="1"/>
    <m/>
  </r>
  <r>
    <n v="18"/>
    <x v="1"/>
    <n v="2.9"/>
    <x v="0"/>
    <n v="8.4"/>
    <n v="2.6"/>
    <n v="2.57"/>
    <n v="1.8"/>
    <x v="2"/>
    <n v="4"/>
    <n v="1"/>
    <n v="3"/>
    <n v="1"/>
    <m/>
  </r>
  <r>
    <n v="13"/>
    <x v="0"/>
    <n v="7.9"/>
    <x v="0"/>
    <n v="8.8000000000000007"/>
    <n v="2.2999999999999998"/>
    <n v="3.39"/>
    <n v="0.5"/>
    <x v="0"/>
    <n v="1"/>
    <n v="9"/>
    <n v="3"/>
    <n v="1"/>
    <m/>
  </r>
  <r>
    <n v="19"/>
    <x v="0"/>
    <n v="4.8"/>
    <x v="1"/>
    <n v="5"/>
    <n v="2.6"/>
    <n v="3.25"/>
    <n v="1.6"/>
    <x v="0"/>
    <n v="4"/>
    <n v="6"/>
    <n v="1"/>
    <n v="1"/>
    <m/>
  </r>
  <r>
    <n v="13"/>
    <x v="1"/>
    <n v="3"/>
    <x v="2"/>
    <n v="6"/>
    <n v="1"/>
    <n v="2.63"/>
    <n v="0.1"/>
    <x v="0"/>
    <n v="5"/>
    <n v="10"/>
    <n v="9"/>
    <n v="1"/>
    <m/>
  </r>
  <r>
    <n v="14"/>
    <x v="1"/>
    <n v="4.0999999999999996"/>
    <x v="2"/>
    <n v="6.4"/>
    <n v="2"/>
    <n v="3.69"/>
    <n v="1.5"/>
    <x v="2"/>
    <n v="7"/>
    <n v="7"/>
    <n v="9"/>
    <n v="1"/>
    <m/>
  </r>
  <r>
    <n v="19"/>
    <x v="0"/>
    <n v="6.9"/>
    <x v="0"/>
    <n v="5"/>
    <n v="1.2"/>
    <n v="2.56"/>
    <n v="1.6"/>
    <x v="1"/>
    <n v="3"/>
    <n v="10"/>
    <n v="8"/>
    <n v="1"/>
    <m/>
  </r>
  <r>
    <n v="17"/>
    <x v="1"/>
    <n v="3.2"/>
    <x v="0"/>
    <n v="6.2"/>
    <n v="2.2000000000000002"/>
    <n v="2.96"/>
    <n v="1.6"/>
    <x v="0"/>
    <n v="8"/>
    <n v="10"/>
    <n v="9"/>
    <n v="1"/>
    <m/>
  </r>
  <r>
    <n v="18"/>
    <x v="1"/>
    <n v="1.3"/>
    <x v="2"/>
    <n v="4.9000000000000004"/>
    <n v="0.9"/>
    <n v="3.86"/>
    <n v="0"/>
    <x v="2"/>
    <n v="4"/>
    <n v="9"/>
    <n v="8"/>
    <n v="1"/>
    <m/>
  </r>
  <r>
    <n v="15"/>
    <x v="1"/>
    <n v="4.2"/>
    <x v="1"/>
    <n v="6.8"/>
    <n v="1.1000000000000001"/>
    <n v="3.37"/>
    <n v="0.7"/>
    <x v="1"/>
    <n v="3"/>
    <n v="6"/>
    <n v="8"/>
    <n v="1"/>
    <m/>
  </r>
  <r>
    <n v="19"/>
    <x v="0"/>
    <n v="6.6"/>
    <x v="2"/>
    <n v="6"/>
    <n v="2.1"/>
    <n v="2.84"/>
    <n v="1.5"/>
    <x v="0"/>
    <n v="9"/>
    <n v="4"/>
    <n v="5"/>
    <n v="1"/>
    <m/>
  </r>
  <r>
    <n v="13"/>
    <x v="0"/>
    <n v="7.5"/>
    <x v="1"/>
    <n v="4.8"/>
    <n v="0.7"/>
    <n v="2.91"/>
    <n v="2"/>
    <x v="1"/>
    <n v="10"/>
    <n v="9"/>
    <n v="1"/>
    <n v="1"/>
    <m/>
  </r>
  <r>
    <n v="15"/>
    <x v="0"/>
    <n v="7"/>
    <x v="2"/>
    <n v="8.6999999999999993"/>
    <n v="3"/>
    <n v="2.84"/>
    <n v="1.4"/>
    <x v="2"/>
    <n v="5"/>
    <n v="3"/>
    <n v="2"/>
    <n v="1"/>
    <m/>
  </r>
  <r>
    <n v="15"/>
    <x v="1"/>
    <n v="6.7"/>
    <x v="2"/>
    <n v="5"/>
    <n v="0.6"/>
    <n v="2.75"/>
    <n v="1.5"/>
    <x v="2"/>
    <n v="7"/>
    <n v="4"/>
    <n v="8"/>
    <n v="1"/>
    <m/>
  </r>
  <r>
    <n v="15"/>
    <x v="1"/>
    <n v="2.2999999999999998"/>
    <x v="0"/>
    <n v="5.6"/>
    <n v="2.9"/>
    <n v="2.72"/>
    <n v="1"/>
    <x v="1"/>
    <n v="6"/>
    <n v="6"/>
    <n v="2"/>
    <n v="1"/>
    <m/>
  </r>
  <r>
    <n v="14"/>
    <x v="0"/>
    <n v="5.3"/>
    <x v="2"/>
    <n v="9"/>
    <n v="2.8"/>
    <n v="3.1"/>
    <n v="1.6"/>
    <x v="1"/>
    <n v="10"/>
    <n v="7"/>
    <n v="6"/>
    <n v="1"/>
    <m/>
  </r>
  <r>
    <n v="13"/>
    <x v="1"/>
    <n v="2.7"/>
    <x v="1"/>
    <n v="6.5"/>
    <n v="1.5"/>
    <n v="2.58"/>
    <n v="0.4"/>
    <x v="1"/>
    <n v="1"/>
    <n v="1"/>
    <n v="6"/>
    <n v="1"/>
    <m/>
  </r>
  <r>
    <n v="13"/>
    <x v="0"/>
    <n v="5.4"/>
    <x v="0"/>
    <n v="7.8"/>
    <n v="1.8"/>
    <n v="3.46"/>
    <n v="1"/>
    <x v="1"/>
    <n v="4"/>
    <n v="7"/>
    <n v="7"/>
    <n v="1"/>
    <m/>
  </r>
  <r>
    <n v="17"/>
    <x v="0"/>
    <n v="7.2"/>
    <x v="0"/>
    <n v="8"/>
    <n v="1.9"/>
    <n v="2.66"/>
    <n v="1.4"/>
    <x v="2"/>
    <n v="5"/>
    <n v="8"/>
    <n v="6"/>
    <n v="1"/>
    <m/>
  </r>
  <r>
    <n v="19"/>
    <x v="0"/>
    <n v="1.5"/>
    <x v="1"/>
    <n v="6.8"/>
    <n v="2.5"/>
    <n v="2.13"/>
    <n v="0.2"/>
    <x v="2"/>
    <n v="9"/>
    <n v="8"/>
    <n v="10"/>
    <n v="1"/>
    <m/>
  </r>
  <r>
    <n v="13"/>
    <x v="0"/>
    <n v="4"/>
    <x v="2"/>
    <n v="4.2"/>
    <n v="0.5"/>
    <n v="2.46"/>
    <n v="0.6"/>
    <x v="0"/>
    <n v="2"/>
    <n v="9"/>
    <n v="9"/>
    <n v="1"/>
    <m/>
  </r>
  <r>
    <n v="15"/>
    <x v="1"/>
    <n v="4.2"/>
    <x v="2"/>
    <n v="7.1"/>
    <n v="2.1"/>
    <n v="2.21"/>
    <n v="1.8"/>
    <x v="2"/>
    <n v="4"/>
    <n v="1"/>
    <n v="3"/>
    <n v="1"/>
    <m/>
  </r>
  <r>
    <n v="19"/>
    <x v="0"/>
    <n v="1.8"/>
    <x v="1"/>
    <n v="7.7"/>
    <n v="2.2000000000000002"/>
    <n v="3.77"/>
    <n v="0.3"/>
    <x v="2"/>
    <n v="4"/>
    <n v="6"/>
    <n v="7"/>
    <n v="1"/>
    <m/>
  </r>
  <r>
    <n v="17"/>
    <x v="1"/>
    <n v="3.3"/>
    <x v="0"/>
    <n v="8.6"/>
    <n v="1.1000000000000001"/>
    <n v="2.62"/>
    <n v="0.4"/>
    <x v="0"/>
    <n v="4"/>
    <n v="7"/>
    <n v="9"/>
    <n v="1"/>
    <m/>
  </r>
  <r>
    <n v="14"/>
    <x v="1"/>
    <n v="1"/>
    <x v="2"/>
    <n v="6.6"/>
    <n v="1.4"/>
    <n v="2.02"/>
    <n v="1.9"/>
    <x v="0"/>
    <n v="6"/>
    <n v="5"/>
    <n v="5"/>
    <n v="1"/>
    <m/>
  </r>
  <r>
    <n v="13"/>
    <x v="1"/>
    <n v="1.2"/>
    <x v="1"/>
    <n v="8"/>
    <n v="2.8"/>
    <n v="2.1800000000000002"/>
    <n v="1.1000000000000001"/>
    <x v="1"/>
    <n v="5"/>
    <n v="8"/>
    <n v="5"/>
    <n v="1"/>
    <m/>
  </r>
  <r>
    <n v="19"/>
    <x v="0"/>
    <n v="2"/>
    <x v="0"/>
    <n v="4.0999999999999996"/>
    <n v="1.3"/>
    <n v="3.71"/>
    <n v="1.6"/>
    <x v="0"/>
    <n v="7"/>
    <n v="7"/>
    <n v="8"/>
    <n v="1"/>
    <m/>
  </r>
  <r>
    <n v="13"/>
    <x v="1"/>
    <n v="7.1"/>
    <x v="2"/>
    <n v="6.5"/>
    <n v="1.6"/>
    <n v="2.0299999999999998"/>
    <n v="0.3"/>
    <x v="2"/>
    <n v="1"/>
    <n v="10"/>
    <n v="6"/>
    <n v="1"/>
    <m/>
  </r>
  <r>
    <n v="15"/>
    <x v="1"/>
    <n v="5.5"/>
    <x v="1"/>
    <n v="7.8"/>
    <n v="1.5"/>
    <n v="2.79"/>
    <n v="0.7"/>
    <x v="1"/>
    <n v="9"/>
    <n v="10"/>
    <n v="7"/>
    <n v="1"/>
    <m/>
  </r>
  <r>
    <n v="17"/>
    <x v="0"/>
    <n v="7.7"/>
    <x v="1"/>
    <n v="4.7"/>
    <n v="2.8"/>
    <n v="3.5"/>
    <n v="1.5"/>
    <x v="0"/>
    <n v="8"/>
    <n v="4"/>
    <n v="8"/>
    <n v="1"/>
    <m/>
  </r>
  <r>
    <n v="17"/>
    <x v="1"/>
    <n v="7.6"/>
    <x v="0"/>
    <n v="5.9"/>
    <n v="2"/>
    <n v="2.52"/>
    <n v="1.5"/>
    <x v="2"/>
    <n v="1"/>
    <n v="5"/>
    <n v="1"/>
    <n v="1"/>
    <m/>
  </r>
  <r>
    <n v="13"/>
    <x v="0"/>
    <n v="8"/>
    <x v="0"/>
    <n v="6.9"/>
    <n v="2.5"/>
    <n v="2.4500000000000002"/>
    <n v="1.7"/>
    <x v="2"/>
    <n v="10"/>
    <n v="1"/>
    <n v="3"/>
    <n v="1"/>
    <m/>
  </r>
  <r>
    <n v="16"/>
    <x v="1"/>
    <n v="4.3"/>
    <x v="0"/>
    <n v="6"/>
    <n v="1.4"/>
    <n v="2.98"/>
    <n v="1.7"/>
    <x v="0"/>
    <n v="8"/>
    <n v="7"/>
    <n v="4"/>
    <n v="1"/>
    <m/>
  </r>
  <r>
    <n v="13"/>
    <x v="0"/>
    <n v="3.8"/>
    <x v="2"/>
    <n v="5.3"/>
    <n v="2.5"/>
    <n v="3.48"/>
    <n v="1"/>
    <x v="0"/>
    <n v="6"/>
    <n v="7"/>
    <n v="7"/>
    <n v="1"/>
    <m/>
  </r>
  <r>
    <n v="16"/>
    <x v="1"/>
    <n v="2.9"/>
    <x v="1"/>
    <n v="6.3"/>
    <n v="3"/>
    <n v="2.6"/>
    <n v="0.4"/>
    <x v="2"/>
    <n v="9"/>
    <n v="7"/>
    <n v="3"/>
    <n v="1"/>
    <m/>
  </r>
  <r>
    <n v="13"/>
    <x v="1"/>
    <n v="5.3"/>
    <x v="1"/>
    <n v="6.5"/>
    <n v="1.1000000000000001"/>
    <n v="3.48"/>
    <n v="1.8"/>
    <x v="0"/>
    <n v="9"/>
    <n v="5"/>
    <n v="4"/>
    <n v="1"/>
    <m/>
  </r>
  <r>
    <n v="15"/>
    <x v="1"/>
    <n v="5.7"/>
    <x v="0"/>
    <n v="7.5"/>
    <n v="2.4"/>
    <n v="2.84"/>
    <n v="1.3"/>
    <x v="2"/>
    <n v="10"/>
    <n v="10"/>
    <n v="2"/>
    <n v="1"/>
    <m/>
  </r>
  <r>
    <n v="18"/>
    <x v="1"/>
    <n v="2.8"/>
    <x v="0"/>
    <n v="7.4"/>
    <n v="1"/>
    <n v="3.73"/>
    <n v="1.9"/>
    <x v="0"/>
    <n v="7"/>
    <n v="3"/>
    <n v="6"/>
    <n v="1"/>
    <m/>
  </r>
  <r>
    <n v="15"/>
    <x v="0"/>
    <n v="2.8"/>
    <x v="1"/>
    <n v="6.1"/>
    <n v="2.9"/>
    <n v="2.98"/>
    <n v="1.8"/>
    <x v="2"/>
    <n v="6"/>
    <n v="3"/>
    <n v="7"/>
    <n v="1"/>
    <m/>
  </r>
  <r>
    <n v="13"/>
    <x v="1"/>
    <n v="1.1000000000000001"/>
    <x v="0"/>
    <n v="7"/>
    <n v="1.9"/>
    <n v="4"/>
    <n v="0.9"/>
    <x v="2"/>
    <n v="2"/>
    <n v="9"/>
    <n v="6"/>
    <n v="1"/>
    <m/>
  </r>
  <r>
    <n v="14"/>
    <x v="1"/>
    <n v="2"/>
    <x v="2"/>
    <n v="5"/>
    <n v="2.6"/>
    <n v="2.71"/>
    <n v="2"/>
    <x v="0"/>
    <n v="5"/>
    <n v="4"/>
    <n v="3"/>
    <n v="1"/>
    <m/>
  </r>
  <r>
    <n v="16"/>
    <x v="1"/>
    <n v="6.5"/>
    <x v="1"/>
    <n v="5.3"/>
    <n v="1.8"/>
    <n v="2.29"/>
    <n v="0.2"/>
    <x v="1"/>
    <n v="4"/>
    <n v="10"/>
    <n v="2"/>
    <n v="1"/>
    <m/>
  </r>
  <r>
    <n v="16"/>
    <x v="1"/>
    <n v="7.5"/>
    <x v="1"/>
    <n v="7.8"/>
    <n v="1.3"/>
    <n v="2.73"/>
    <n v="1.5"/>
    <x v="2"/>
    <n v="4"/>
    <n v="5"/>
    <n v="8"/>
    <n v="1"/>
    <m/>
  </r>
  <r>
    <n v="16"/>
    <x v="1"/>
    <n v="3.1"/>
    <x v="0"/>
    <n v="7.9"/>
    <n v="1.2"/>
    <n v="2.85"/>
    <n v="0.7"/>
    <x v="1"/>
    <n v="2"/>
    <n v="2"/>
    <n v="5"/>
    <n v="1"/>
    <m/>
  </r>
  <r>
    <n v="19"/>
    <x v="0"/>
    <n v="5.9"/>
    <x v="2"/>
    <n v="7"/>
    <n v="2.2999999999999998"/>
    <n v="3"/>
    <n v="1.6"/>
    <x v="0"/>
    <n v="3"/>
    <n v="5"/>
    <n v="10"/>
    <n v="1"/>
    <m/>
  </r>
  <r>
    <n v="15"/>
    <x v="0"/>
    <n v="7.9"/>
    <x v="1"/>
    <n v="4.0999999999999996"/>
    <n v="0.7"/>
    <n v="2.33"/>
    <n v="1.2"/>
    <x v="2"/>
    <n v="3"/>
    <n v="8"/>
    <n v="1"/>
    <n v="1"/>
    <m/>
  </r>
  <r>
    <n v="15"/>
    <x v="0"/>
    <n v="5.0999999999999996"/>
    <x v="0"/>
    <n v="7.4"/>
    <n v="0.7"/>
    <n v="2.64"/>
    <n v="0.2"/>
    <x v="2"/>
    <n v="5"/>
    <n v="8"/>
    <n v="1"/>
    <n v="1"/>
    <m/>
  </r>
  <r>
    <n v="16"/>
    <x v="0"/>
    <n v="1.9"/>
    <x v="2"/>
    <n v="5.8"/>
    <n v="2.1"/>
    <n v="2.27"/>
    <n v="0.6"/>
    <x v="2"/>
    <n v="3"/>
    <n v="3"/>
    <n v="2"/>
    <n v="1"/>
    <m/>
  </r>
  <r>
    <n v="17"/>
    <x v="0"/>
    <n v="8"/>
    <x v="0"/>
    <n v="8.6999999999999993"/>
    <n v="1.5"/>
    <n v="3.7"/>
    <n v="2"/>
    <x v="1"/>
    <n v="10"/>
    <n v="9"/>
    <n v="5"/>
    <n v="1"/>
    <m/>
  </r>
  <r>
    <n v="19"/>
    <x v="0"/>
    <n v="2.9"/>
    <x v="2"/>
    <n v="4"/>
    <n v="0.5"/>
    <n v="3.16"/>
    <n v="0.2"/>
    <x v="1"/>
    <n v="7"/>
    <n v="6"/>
    <n v="3"/>
    <n v="1"/>
    <m/>
  </r>
  <r>
    <n v="14"/>
    <x v="0"/>
    <n v="4.3"/>
    <x v="0"/>
    <n v="8.4"/>
    <n v="0.9"/>
    <n v="3.2"/>
    <n v="1.6"/>
    <x v="1"/>
    <n v="10"/>
    <n v="10"/>
    <n v="1"/>
    <n v="1"/>
    <m/>
  </r>
  <r>
    <n v="16"/>
    <x v="0"/>
    <n v="1.1000000000000001"/>
    <x v="0"/>
    <n v="6.4"/>
    <n v="3"/>
    <n v="2.5099999999999998"/>
    <n v="0.1"/>
    <x v="2"/>
    <n v="8"/>
    <n v="6"/>
    <n v="9"/>
    <n v="1"/>
    <m/>
  </r>
  <r>
    <n v="16"/>
    <x v="0"/>
    <n v="4.9000000000000004"/>
    <x v="0"/>
    <n v="5.7"/>
    <n v="1.2"/>
    <n v="2.0699999999999998"/>
    <n v="0.1"/>
    <x v="2"/>
    <n v="8"/>
    <n v="2"/>
    <n v="1"/>
    <n v="1"/>
    <m/>
  </r>
  <r>
    <n v="14"/>
    <x v="0"/>
    <n v="6.1"/>
    <x v="2"/>
    <n v="7.6"/>
    <n v="1.4"/>
    <n v="2.72"/>
    <n v="0.9"/>
    <x v="0"/>
    <n v="9"/>
    <n v="3"/>
    <n v="3"/>
    <n v="1"/>
    <m/>
  </r>
  <r>
    <n v="15"/>
    <x v="1"/>
    <n v="2.7"/>
    <x v="2"/>
    <n v="6.5"/>
    <n v="1.6"/>
    <n v="2.14"/>
    <n v="0.4"/>
    <x v="1"/>
    <n v="6"/>
    <n v="6"/>
    <n v="6"/>
    <n v="1"/>
    <m/>
  </r>
  <r>
    <n v="16"/>
    <x v="1"/>
    <n v="7.8"/>
    <x v="2"/>
    <n v="7.4"/>
    <n v="0.7"/>
    <n v="2.54"/>
    <n v="1.2"/>
    <x v="2"/>
    <n v="10"/>
    <n v="4"/>
    <n v="9"/>
    <n v="1"/>
    <m/>
  </r>
  <r>
    <n v="18"/>
    <x v="0"/>
    <n v="4.2"/>
    <x v="1"/>
    <n v="6.5"/>
    <n v="1.4"/>
    <n v="2.91"/>
    <n v="1.5"/>
    <x v="0"/>
    <n v="5"/>
    <n v="6"/>
    <n v="4"/>
    <n v="1"/>
    <m/>
  </r>
  <r>
    <n v="13"/>
    <x v="1"/>
    <n v="4.4000000000000004"/>
    <x v="0"/>
    <n v="5.5"/>
    <n v="2.7"/>
    <n v="3.17"/>
    <n v="0.3"/>
    <x v="0"/>
    <n v="5"/>
    <n v="1"/>
    <n v="5"/>
    <n v="1"/>
    <m/>
  </r>
  <r>
    <n v="13"/>
    <x v="1"/>
    <n v="1.4"/>
    <x v="2"/>
    <n v="7.8"/>
    <n v="0.6"/>
    <n v="3.42"/>
    <n v="1.6"/>
    <x v="2"/>
    <n v="10"/>
    <n v="4"/>
    <n v="6"/>
    <n v="1"/>
    <m/>
  </r>
  <r>
    <n v="17"/>
    <x v="0"/>
    <n v="3.7"/>
    <x v="1"/>
    <n v="7.2"/>
    <n v="0.6"/>
    <n v="3.34"/>
    <n v="1.8"/>
    <x v="1"/>
    <n v="2"/>
    <n v="6"/>
    <n v="2"/>
    <n v="1"/>
    <m/>
  </r>
  <r>
    <n v="14"/>
    <x v="0"/>
    <n v="3.8"/>
    <x v="0"/>
    <n v="8.9"/>
    <n v="1.9"/>
    <n v="2.77"/>
    <n v="0.2"/>
    <x v="2"/>
    <n v="6"/>
    <n v="2"/>
    <n v="2"/>
    <n v="1"/>
    <m/>
  </r>
  <r>
    <n v="15"/>
    <x v="1"/>
    <n v="5.4"/>
    <x v="1"/>
    <n v="7"/>
    <n v="1.8"/>
    <n v="2.54"/>
    <n v="0.1"/>
    <x v="0"/>
    <n v="1"/>
    <n v="4"/>
    <n v="4"/>
    <n v="1"/>
    <m/>
  </r>
  <r>
    <n v="17"/>
    <x v="0"/>
    <n v="4"/>
    <x v="2"/>
    <n v="4.3"/>
    <n v="1.8"/>
    <n v="2.17"/>
    <n v="0.9"/>
    <x v="1"/>
    <n v="8"/>
    <n v="8"/>
    <n v="3"/>
    <n v="1"/>
    <m/>
  </r>
  <r>
    <n v="19"/>
    <x v="0"/>
    <n v="3.5"/>
    <x v="1"/>
    <n v="5.8"/>
    <n v="1.8"/>
    <n v="3.3"/>
    <n v="0.9"/>
    <x v="0"/>
    <n v="7"/>
    <n v="6"/>
    <n v="9"/>
    <n v="1"/>
    <m/>
  </r>
  <r>
    <n v="17"/>
    <x v="0"/>
    <n v="1.3"/>
    <x v="2"/>
    <n v="8.3000000000000007"/>
    <n v="1"/>
    <n v="3.95"/>
    <n v="1.2"/>
    <x v="2"/>
    <n v="4"/>
    <n v="1"/>
    <n v="1"/>
    <n v="1"/>
    <m/>
  </r>
  <r>
    <n v="14"/>
    <x v="0"/>
    <n v="5.6"/>
    <x v="0"/>
    <n v="8.8000000000000007"/>
    <n v="0.9"/>
    <n v="3.03"/>
    <n v="2"/>
    <x v="0"/>
    <n v="8"/>
    <n v="10"/>
    <n v="3"/>
    <n v="1"/>
    <m/>
  </r>
  <r>
    <n v="13"/>
    <x v="1"/>
    <n v="2.4"/>
    <x v="0"/>
    <n v="5.5"/>
    <n v="0.6"/>
    <n v="3.56"/>
    <n v="1.6"/>
    <x v="2"/>
    <n v="4"/>
    <n v="8"/>
    <n v="7"/>
    <n v="1"/>
    <m/>
  </r>
  <r>
    <n v="16"/>
    <x v="0"/>
    <n v="2"/>
    <x v="2"/>
    <n v="7.8"/>
    <n v="2.8"/>
    <n v="2.1"/>
    <n v="0.6"/>
    <x v="2"/>
    <n v="2"/>
    <n v="6"/>
    <n v="8"/>
    <n v="1"/>
    <m/>
  </r>
  <r>
    <n v="15"/>
    <x v="0"/>
    <n v="6.6"/>
    <x v="0"/>
    <n v="8.6"/>
    <n v="1.5"/>
    <n v="2.63"/>
    <n v="1.1000000000000001"/>
    <x v="0"/>
    <n v="1"/>
    <n v="9"/>
    <n v="9"/>
    <n v="1"/>
    <m/>
  </r>
  <r>
    <n v="17"/>
    <x v="1"/>
    <n v="2.2999999999999998"/>
    <x v="1"/>
    <n v="6.4"/>
    <n v="2.4"/>
    <n v="3.61"/>
    <n v="0.6"/>
    <x v="2"/>
    <n v="2"/>
    <n v="1"/>
    <n v="1"/>
    <n v="1"/>
    <m/>
  </r>
  <r>
    <n v="16"/>
    <x v="0"/>
    <n v="6.4"/>
    <x v="1"/>
    <n v="5.4"/>
    <n v="1.4"/>
    <n v="2.42"/>
    <n v="1.9"/>
    <x v="2"/>
    <n v="4"/>
    <n v="9"/>
    <n v="5"/>
    <n v="1"/>
    <m/>
  </r>
  <r>
    <n v="18"/>
    <x v="1"/>
    <n v="3.5"/>
    <x v="2"/>
    <n v="5.9"/>
    <n v="1.3"/>
    <n v="3.68"/>
    <n v="2"/>
    <x v="2"/>
    <n v="7"/>
    <n v="4"/>
    <n v="10"/>
    <n v="1"/>
    <m/>
  </r>
  <r>
    <n v="18"/>
    <x v="1"/>
    <n v="1.7"/>
    <x v="0"/>
    <n v="8.5"/>
    <n v="1"/>
    <n v="3.32"/>
    <n v="1.3"/>
    <x v="2"/>
    <n v="1"/>
    <n v="1"/>
    <n v="7"/>
    <n v="1"/>
    <m/>
  </r>
  <r>
    <n v="14"/>
    <x v="0"/>
    <n v="4.0999999999999996"/>
    <x v="0"/>
    <n v="8.1999999999999993"/>
    <n v="1.7"/>
    <n v="2.3199999999999998"/>
    <n v="1.4"/>
    <x v="1"/>
    <n v="9"/>
    <n v="2"/>
    <n v="4"/>
    <n v="1"/>
    <m/>
  </r>
  <r>
    <n v="14"/>
    <x v="0"/>
    <n v="3.3"/>
    <x v="0"/>
    <n v="6.5"/>
    <n v="0.8"/>
    <n v="2.54"/>
    <n v="0.8"/>
    <x v="0"/>
    <n v="1"/>
    <n v="2"/>
    <n v="3"/>
    <n v="1"/>
    <m/>
  </r>
  <r>
    <n v="14"/>
    <x v="1"/>
    <n v="5"/>
    <x v="1"/>
    <n v="4.9000000000000004"/>
    <n v="2.6"/>
    <n v="3.82"/>
    <n v="1.9"/>
    <x v="2"/>
    <n v="3"/>
    <n v="10"/>
    <n v="10"/>
    <n v="1"/>
    <m/>
  </r>
  <r>
    <n v="19"/>
    <x v="1"/>
    <n v="1.5"/>
    <x v="0"/>
    <n v="8.4"/>
    <n v="3"/>
    <n v="2.46"/>
    <n v="1.5"/>
    <x v="1"/>
    <n v="1"/>
    <n v="7"/>
    <n v="6"/>
    <n v="1"/>
    <m/>
  </r>
  <r>
    <n v="17"/>
    <x v="1"/>
    <n v="3.3"/>
    <x v="1"/>
    <n v="8.4"/>
    <n v="2.1"/>
    <n v="3.4"/>
    <n v="0.2"/>
    <x v="1"/>
    <n v="1"/>
    <n v="3"/>
    <n v="10"/>
    <n v="1"/>
    <m/>
  </r>
  <r>
    <n v="13"/>
    <x v="0"/>
    <n v="6.4"/>
    <x v="2"/>
    <n v="4.0999999999999996"/>
    <n v="1.3"/>
    <n v="2.77"/>
    <n v="1.3"/>
    <x v="0"/>
    <n v="10"/>
    <n v="6"/>
    <n v="1"/>
    <n v="1"/>
    <m/>
  </r>
  <r>
    <n v="17"/>
    <x v="1"/>
    <n v="8"/>
    <x v="0"/>
    <n v="8.1"/>
    <n v="1.2"/>
    <n v="2.13"/>
    <n v="1"/>
    <x v="0"/>
    <n v="1"/>
    <n v="8"/>
    <n v="7"/>
    <n v="1"/>
    <m/>
  </r>
  <r>
    <n v="16"/>
    <x v="1"/>
    <n v="1"/>
    <x v="2"/>
    <n v="4.0999999999999996"/>
    <n v="1.3"/>
    <n v="2.2200000000000002"/>
    <n v="0.4"/>
    <x v="0"/>
    <n v="2"/>
    <n v="1"/>
    <n v="8"/>
    <n v="1"/>
    <m/>
  </r>
  <r>
    <n v="18"/>
    <x v="1"/>
    <n v="4.2"/>
    <x v="0"/>
    <n v="5.4"/>
    <n v="1.1000000000000001"/>
    <n v="2.31"/>
    <n v="0.3"/>
    <x v="0"/>
    <n v="4"/>
    <n v="9"/>
    <n v="1"/>
    <n v="1"/>
    <m/>
  </r>
  <r>
    <n v="18"/>
    <x v="1"/>
    <n v="4.5999999999999996"/>
    <x v="1"/>
    <n v="7.3"/>
    <n v="2.8"/>
    <n v="3.22"/>
    <n v="0.6"/>
    <x v="1"/>
    <n v="1"/>
    <n v="3"/>
    <n v="6"/>
    <n v="0"/>
    <m/>
  </r>
  <r>
    <n v="17"/>
    <x v="1"/>
    <n v="2.8"/>
    <x v="2"/>
    <n v="6.2"/>
    <n v="2.4"/>
    <n v="2.58"/>
    <n v="0.4"/>
    <x v="1"/>
    <n v="4"/>
    <n v="10"/>
    <n v="9"/>
    <n v="0"/>
    <m/>
  </r>
  <r>
    <n v="16"/>
    <x v="1"/>
    <n v="6.3"/>
    <x v="0"/>
    <n v="6.9"/>
    <n v="1.3"/>
    <n v="2.15"/>
    <n v="1.4"/>
    <x v="0"/>
    <n v="9"/>
    <n v="2"/>
    <n v="10"/>
    <n v="0"/>
    <m/>
  </r>
  <r>
    <n v="17"/>
    <x v="1"/>
    <n v="7.2"/>
    <x v="1"/>
    <n v="7"/>
    <n v="1.3"/>
    <n v="3.86"/>
    <n v="0.9"/>
    <x v="0"/>
    <n v="7"/>
    <n v="8"/>
    <n v="4"/>
    <n v="0"/>
    <m/>
  </r>
  <r>
    <n v="13"/>
    <x v="0"/>
    <n v="4.5"/>
    <x v="2"/>
    <n v="6.7"/>
    <n v="2.2000000000000002"/>
    <n v="3.73"/>
    <n v="0.3"/>
    <x v="0"/>
    <n v="3"/>
    <n v="5"/>
    <n v="10"/>
    <n v="0"/>
    <m/>
  </r>
  <r>
    <n v="18"/>
    <x v="0"/>
    <n v="5.3"/>
    <x v="2"/>
    <n v="5.0999999999999996"/>
    <n v="1.2"/>
    <n v="3.32"/>
    <n v="1.8"/>
    <x v="0"/>
    <n v="7"/>
    <n v="3"/>
    <n v="8"/>
    <n v="0"/>
    <m/>
  </r>
  <r>
    <n v="13"/>
    <x v="0"/>
    <n v="5.2"/>
    <x v="1"/>
    <n v="6.7"/>
    <n v="2.5"/>
    <n v="3.82"/>
    <n v="0.9"/>
    <x v="2"/>
    <n v="8"/>
    <n v="8"/>
    <n v="6"/>
    <n v="1"/>
    <m/>
  </r>
  <r>
    <n v="13"/>
    <x v="0"/>
    <n v="7.9"/>
    <x v="1"/>
    <n v="6"/>
    <n v="2.7"/>
    <n v="2.85"/>
    <n v="0.3"/>
    <x v="0"/>
    <n v="9"/>
    <n v="10"/>
    <n v="3"/>
    <n v="1"/>
    <m/>
  </r>
  <r>
    <n v="19"/>
    <x v="0"/>
    <n v="6.9"/>
    <x v="1"/>
    <n v="8.5"/>
    <n v="1.5"/>
    <n v="3.55"/>
    <n v="1.3"/>
    <x v="0"/>
    <n v="5"/>
    <n v="6"/>
    <n v="1"/>
    <n v="1"/>
    <m/>
  </r>
  <r>
    <n v="17"/>
    <x v="1"/>
    <n v="5.8"/>
    <x v="0"/>
    <n v="4.0999999999999996"/>
    <n v="2.9"/>
    <n v="2.33"/>
    <n v="0.4"/>
    <x v="1"/>
    <n v="9"/>
    <n v="6"/>
    <n v="8"/>
    <n v="1"/>
    <m/>
  </r>
  <r>
    <n v="19"/>
    <x v="0"/>
    <n v="7"/>
    <x v="0"/>
    <n v="8.3000000000000007"/>
    <n v="2.1"/>
    <n v="3.09"/>
    <n v="1.5"/>
    <x v="0"/>
    <n v="9"/>
    <n v="7"/>
    <n v="3"/>
    <n v="1"/>
    <m/>
  </r>
  <r>
    <n v="14"/>
    <x v="1"/>
    <n v="3"/>
    <x v="1"/>
    <n v="8.3000000000000007"/>
    <n v="2.7"/>
    <n v="3.9"/>
    <n v="0.7"/>
    <x v="1"/>
    <n v="3"/>
    <n v="1"/>
    <n v="5"/>
    <n v="-1"/>
    <m/>
  </r>
  <r>
    <n v="18"/>
    <x v="0"/>
    <n v="6.3"/>
    <x v="2"/>
    <n v="7.9"/>
    <n v="1.7"/>
    <n v="2.85"/>
    <n v="0.3"/>
    <x v="2"/>
    <n v="1"/>
    <n v="1"/>
    <n v="2"/>
    <n v="-1"/>
    <m/>
  </r>
  <r>
    <n v="17"/>
    <x v="1"/>
    <n v="5.5"/>
    <x v="0"/>
    <n v="4.9000000000000004"/>
    <n v="2.6"/>
    <n v="3.64"/>
    <n v="0.8"/>
    <x v="2"/>
    <n v="6"/>
    <n v="8"/>
    <n v="3"/>
    <n v="-1"/>
    <m/>
  </r>
  <r>
    <n v="17"/>
    <x v="1"/>
    <n v="2.2000000000000002"/>
    <x v="2"/>
    <n v="7.5"/>
    <n v="2.2000000000000002"/>
    <n v="2.95"/>
    <n v="1.6"/>
    <x v="0"/>
    <n v="9"/>
    <n v="7"/>
    <n v="4"/>
    <n v="-1"/>
    <m/>
  </r>
  <r>
    <n v="14"/>
    <x v="0"/>
    <n v="1.4"/>
    <x v="2"/>
    <n v="4.5"/>
    <n v="1.4"/>
    <n v="3.17"/>
    <n v="1.7"/>
    <x v="1"/>
    <n v="9"/>
    <n v="10"/>
    <n v="9"/>
    <n v="-1"/>
    <m/>
  </r>
  <r>
    <n v="18"/>
    <x v="0"/>
    <n v="4.5"/>
    <x v="0"/>
    <n v="4.4000000000000004"/>
    <n v="1.9"/>
    <n v="2.2599999999999998"/>
    <n v="0"/>
    <x v="0"/>
    <n v="7"/>
    <n v="8"/>
    <n v="10"/>
    <n v="-1"/>
    <m/>
  </r>
  <r>
    <n v="14"/>
    <x v="1"/>
    <n v="6.1"/>
    <x v="0"/>
    <n v="5.7"/>
    <n v="2"/>
    <n v="3.9"/>
    <n v="1"/>
    <x v="0"/>
    <n v="8"/>
    <n v="4"/>
    <n v="6"/>
    <n v="1"/>
    <m/>
  </r>
  <r>
    <n v="17"/>
    <x v="0"/>
    <n v="3.3"/>
    <x v="1"/>
    <n v="5.7"/>
    <n v="2"/>
    <n v="3.71"/>
    <n v="0.1"/>
    <x v="0"/>
    <n v="6"/>
    <n v="6"/>
    <n v="8"/>
    <n v="1"/>
    <m/>
  </r>
  <r>
    <n v="15"/>
    <x v="0"/>
    <n v="5.2"/>
    <x v="2"/>
    <n v="5.6"/>
    <n v="1.1000000000000001"/>
    <n v="2.88"/>
    <n v="0.1"/>
    <x v="2"/>
    <n v="4"/>
    <n v="8"/>
    <n v="7"/>
    <n v="1"/>
    <m/>
  </r>
  <r>
    <n v="18"/>
    <x v="0"/>
    <n v="5"/>
    <x v="2"/>
    <n v="5.8"/>
    <n v="1.3"/>
    <n v="2.12"/>
    <n v="0.1"/>
    <x v="0"/>
    <n v="1"/>
    <n v="9"/>
    <n v="2"/>
    <n v="1"/>
    <m/>
  </r>
  <r>
    <n v="17"/>
    <x v="1"/>
    <n v="1.8"/>
    <x v="1"/>
    <n v="5.9"/>
    <n v="1.9"/>
    <n v="2.89"/>
    <n v="0.6"/>
    <x v="0"/>
    <n v="8"/>
    <n v="8"/>
    <n v="5"/>
    <n v="1"/>
    <m/>
  </r>
  <r>
    <n v="13"/>
    <x v="0"/>
    <n v="2.2999999999999998"/>
    <x v="1"/>
    <n v="4.5"/>
    <n v="0.7"/>
    <n v="2.71"/>
    <n v="0.2"/>
    <x v="0"/>
    <n v="6"/>
    <n v="3"/>
    <n v="7"/>
    <n v="1"/>
    <m/>
  </r>
  <r>
    <n v="14"/>
    <x v="0"/>
    <n v="2.7"/>
    <x v="2"/>
    <n v="6.3"/>
    <n v="0.6"/>
    <n v="3.88"/>
    <n v="0.3"/>
    <x v="2"/>
    <n v="6"/>
    <n v="6"/>
    <n v="6"/>
    <n v="1"/>
    <m/>
  </r>
  <r>
    <n v="16"/>
    <x v="0"/>
    <n v="7.4"/>
    <x v="1"/>
    <n v="7.5"/>
    <n v="1.7"/>
    <n v="3.16"/>
    <n v="1.8"/>
    <x v="2"/>
    <n v="2"/>
    <n v="3"/>
    <n v="2"/>
    <n v="1"/>
    <m/>
  </r>
  <r>
    <n v="15"/>
    <x v="0"/>
    <n v="6.2"/>
    <x v="1"/>
    <n v="4.5999999999999996"/>
    <n v="1.1000000000000001"/>
    <n v="2.94"/>
    <n v="1.8"/>
    <x v="1"/>
    <n v="4"/>
    <n v="2"/>
    <n v="3"/>
    <n v="1"/>
    <m/>
  </r>
  <r>
    <n v="16"/>
    <x v="0"/>
    <n v="2.2999999999999998"/>
    <x v="1"/>
    <n v="8.8000000000000007"/>
    <n v="1"/>
    <n v="2.5099999999999998"/>
    <n v="2"/>
    <x v="2"/>
    <n v="6"/>
    <n v="10"/>
    <n v="10"/>
    <n v="1"/>
    <m/>
  </r>
  <r>
    <n v="18"/>
    <x v="0"/>
    <n v="1.8"/>
    <x v="1"/>
    <n v="5.2"/>
    <n v="1.4"/>
    <n v="2.68"/>
    <n v="0.1"/>
    <x v="1"/>
    <n v="6"/>
    <n v="2"/>
    <n v="10"/>
    <n v="1"/>
    <m/>
  </r>
  <r>
    <n v="16"/>
    <x v="1"/>
    <n v="1.3"/>
    <x v="0"/>
    <n v="4.9000000000000004"/>
    <n v="2.6"/>
    <n v="2.89"/>
    <n v="0.2"/>
    <x v="0"/>
    <n v="2"/>
    <n v="5"/>
    <n v="2"/>
    <n v="1"/>
    <m/>
  </r>
  <r>
    <n v="15"/>
    <x v="0"/>
    <n v="2.1"/>
    <x v="0"/>
    <n v="4.4000000000000004"/>
    <n v="2.1"/>
    <n v="3.43"/>
    <n v="1.9"/>
    <x v="0"/>
    <n v="6"/>
    <n v="6"/>
    <n v="7"/>
    <n v="1"/>
    <m/>
  </r>
  <r>
    <n v="14"/>
    <x v="0"/>
    <n v="3.9"/>
    <x v="0"/>
    <n v="7.7"/>
    <n v="1.4"/>
    <n v="2.86"/>
    <n v="1.7"/>
    <x v="1"/>
    <n v="3"/>
    <n v="5"/>
    <n v="1"/>
    <n v="1"/>
    <m/>
  </r>
  <r>
    <n v="18"/>
    <x v="1"/>
    <n v="3.8"/>
    <x v="2"/>
    <n v="4.5"/>
    <n v="1.3"/>
    <n v="3.06"/>
    <n v="0.3"/>
    <x v="2"/>
    <n v="7"/>
    <n v="8"/>
    <n v="1"/>
    <n v="1"/>
    <m/>
  </r>
  <r>
    <n v="15"/>
    <x v="0"/>
    <n v="6.4"/>
    <x v="0"/>
    <n v="7.8"/>
    <n v="0.7"/>
    <n v="2.6"/>
    <n v="0.7"/>
    <x v="1"/>
    <n v="4"/>
    <n v="4"/>
    <n v="2"/>
    <n v="1"/>
    <m/>
  </r>
  <r>
    <n v="19"/>
    <x v="0"/>
    <n v="3.2"/>
    <x v="0"/>
    <n v="6.2"/>
    <n v="2.6"/>
    <n v="3.72"/>
    <n v="1.9"/>
    <x v="1"/>
    <n v="9"/>
    <n v="5"/>
    <n v="7"/>
    <n v="1"/>
    <m/>
  </r>
  <r>
    <n v="13"/>
    <x v="0"/>
    <n v="4.4000000000000004"/>
    <x v="2"/>
    <n v="8.1999999999999993"/>
    <n v="1.5"/>
    <n v="3.98"/>
    <n v="1.4"/>
    <x v="1"/>
    <n v="9"/>
    <n v="6"/>
    <n v="6"/>
    <n v="1"/>
    <m/>
  </r>
  <r>
    <n v="15"/>
    <x v="0"/>
    <n v="1.3"/>
    <x v="1"/>
    <n v="7.5"/>
    <n v="1.3"/>
    <n v="2.99"/>
    <n v="1.4"/>
    <x v="0"/>
    <n v="1"/>
    <n v="5"/>
    <n v="2"/>
    <n v="1"/>
    <m/>
  </r>
  <r>
    <n v="18"/>
    <x v="1"/>
    <n v="5.7"/>
    <x v="1"/>
    <n v="6.2"/>
    <n v="0.5"/>
    <n v="3.98"/>
    <n v="1.7"/>
    <x v="2"/>
    <n v="7"/>
    <n v="6"/>
    <n v="3"/>
    <n v="1"/>
    <m/>
  </r>
  <r>
    <n v="13"/>
    <x v="0"/>
    <n v="4"/>
    <x v="1"/>
    <n v="5"/>
    <n v="2.9"/>
    <n v="3.84"/>
    <n v="0.1"/>
    <x v="0"/>
    <n v="7"/>
    <n v="8"/>
    <n v="10"/>
    <n v="1"/>
    <m/>
  </r>
  <r>
    <n v="16"/>
    <x v="1"/>
    <n v="4.8"/>
    <x v="0"/>
    <n v="6.7"/>
    <n v="1.4"/>
    <n v="2.44"/>
    <n v="0.3"/>
    <x v="0"/>
    <n v="1"/>
    <n v="3"/>
    <n v="1"/>
    <n v="1"/>
    <m/>
  </r>
  <r>
    <n v="19"/>
    <x v="0"/>
    <n v="5.8"/>
    <x v="2"/>
    <n v="7.5"/>
    <n v="1.9"/>
    <n v="2.08"/>
    <n v="0.1"/>
    <x v="1"/>
    <n v="2"/>
    <n v="1"/>
    <n v="3"/>
    <n v="1"/>
    <m/>
  </r>
  <r>
    <n v="16"/>
    <x v="0"/>
    <n v="5.8"/>
    <x v="2"/>
    <n v="8.9"/>
    <n v="1.1000000000000001"/>
    <n v="2.08"/>
    <n v="1.9"/>
    <x v="2"/>
    <n v="8"/>
    <n v="5"/>
    <n v="9"/>
    <n v="1"/>
    <m/>
  </r>
  <r>
    <n v="13"/>
    <x v="0"/>
    <n v="3.2"/>
    <x v="1"/>
    <n v="5.0999999999999996"/>
    <n v="1.6"/>
    <n v="2.87"/>
    <n v="1.8"/>
    <x v="2"/>
    <n v="4"/>
    <n v="9"/>
    <n v="8"/>
    <n v="1"/>
    <m/>
  </r>
  <r>
    <n v="16"/>
    <x v="1"/>
    <n v="5.2"/>
    <x v="2"/>
    <n v="4"/>
    <n v="2.4"/>
    <n v="2.35"/>
    <n v="1.6"/>
    <x v="0"/>
    <n v="10"/>
    <n v="5"/>
    <n v="2"/>
    <n v="1"/>
    <m/>
  </r>
  <r>
    <n v="17"/>
    <x v="0"/>
    <n v="2.4"/>
    <x v="1"/>
    <n v="6"/>
    <n v="0.7"/>
    <n v="3.67"/>
    <n v="1.5"/>
    <x v="0"/>
    <n v="7"/>
    <n v="9"/>
    <n v="2"/>
    <n v="1"/>
    <m/>
  </r>
  <r>
    <n v="15"/>
    <x v="0"/>
    <n v="7.4"/>
    <x v="2"/>
    <n v="5.9"/>
    <n v="2.6"/>
    <n v="2.89"/>
    <n v="1.9"/>
    <x v="2"/>
    <n v="7"/>
    <n v="3"/>
    <n v="8"/>
    <n v="1"/>
    <m/>
  </r>
  <r>
    <n v="18"/>
    <x v="1"/>
    <n v="7.1"/>
    <x v="0"/>
    <n v="4.8"/>
    <n v="2.1"/>
    <n v="2.5099999999999998"/>
    <n v="0.9"/>
    <x v="1"/>
    <n v="1"/>
    <n v="1"/>
    <n v="10"/>
    <n v="1"/>
    <m/>
  </r>
  <r>
    <n v="16"/>
    <x v="0"/>
    <n v="6.5"/>
    <x v="1"/>
    <n v="7.4"/>
    <n v="1.9"/>
    <n v="2.2200000000000002"/>
    <n v="1.1000000000000001"/>
    <x v="2"/>
    <n v="10"/>
    <n v="10"/>
    <n v="2"/>
    <n v="1"/>
    <m/>
  </r>
  <r>
    <n v="13"/>
    <x v="0"/>
    <n v="7.4"/>
    <x v="2"/>
    <n v="7"/>
    <n v="1.8"/>
    <n v="2.17"/>
    <n v="1.4"/>
    <x v="2"/>
    <n v="9"/>
    <n v="10"/>
    <n v="5"/>
    <n v="1"/>
    <m/>
  </r>
  <r>
    <n v="15"/>
    <x v="1"/>
    <n v="3.9"/>
    <x v="0"/>
    <n v="6.4"/>
    <n v="1.7"/>
    <n v="2.87"/>
    <n v="1.8"/>
    <x v="1"/>
    <n v="6"/>
    <n v="6"/>
    <n v="6"/>
    <n v="1"/>
    <m/>
  </r>
  <r>
    <n v="15"/>
    <x v="1"/>
    <n v="4.5999999999999996"/>
    <x v="2"/>
    <n v="8.6"/>
    <n v="2"/>
    <n v="3.01"/>
    <n v="0"/>
    <x v="0"/>
    <n v="1"/>
    <n v="8"/>
    <n v="3"/>
    <n v="1"/>
    <m/>
  </r>
  <r>
    <n v="19"/>
    <x v="0"/>
    <n v="1.5"/>
    <x v="1"/>
    <n v="6.7"/>
    <n v="1"/>
    <n v="3.9"/>
    <n v="0.4"/>
    <x v="0"/>
    <n v="4"/>
    <n v="3"/>
    <n v="3"/>
    <n v="1"/>
    <m/>
  </r>
  <r>
    <n v="15"/>
    <x v="1"/>
    <n v="5.8"/>
    <x v="0"/>
    <n v="7.1"/>
    <n v="1.1000000000000001"/>
    <n v="3.72"/>
    <n v="1.5"/>
    <x v="0"/>
    <n v="9"/>
    <n v="6"/>
    <n v="6"/>
    <n v="1"/>
    <m/>
  </r>
  <r>
    <n v="17"/>
    <x v="1"/>
    <n v="6.4"/>
    <x v="1"/>
    <n v="4.9000000000000004"/>
    <n v="2.1"/>
    <n v="2.78"/>
    <n v="1"/>
    <x v="1"/>
    <n v="2"/>
    <n v="2"/>
    <n v="6"/>
    <n v="1"/>
    <m/>
  </r>
  <r>
    <n v="16"/>
    <x v="1"/>
    <n v="2.1"/>
    <x v="1"/>
    <n v="8.1999999999999993"/>
    <n v="2.4"/>
    <n v="3.25"/>
    <n v="0.1"/>
    <x v="1"/>
    <n v="1"/>
    <n v="1"/>
    <n v="8"/>
    <n v="1"/>
    <m/>
  </r>
  <r>
    <n v="17"/>
    <x v="1"/>
    <n v="2.2000000000000002"/>
    <x v="1"/>
    <n v="6.5"/>
    <n v="3"/>
    <n v="2.4900000000000002"/>
    <n v="0.2"/>
    <x v="2"/>
    <n v="5"/>
    <n v="8"/>
    <n v="4"/>
    <n v="1"/>
    <m/>
  </r>
  <r>
    <n v="14"/>
    <x v="0"/>
    <n v="5.5"/>
    <x v="1"/>
    <n v="7.4"/>
    <n v="2.9"/>
    <n v="3.54"/>
    <n v="1.1000000000000001"/>
    <x v="1"/>
    <n v="8"/>
    <n v="4"/>
    <n v="10"/>
    <n v="1"/>
    <m/>
  </r>
  <r>
    <n v="17"/>
    <x v="1"/>
    <n v="6.6"/>
    <x v="2"/>
    <n v="7.4"/>
    <n v="2.2000000000000002"/>
    <n v="2.63"/>
    <n v="0.6"/>
    <x v="1"/>
    <n v="7"/>
    <n v="4"/>
    <n v="9"/>
    <n v="1"/>
    <m/>
  </r>
  <r>
    <n v="19"/>
    <x v="1"/>
    <n v="5.2"/>
    <x v="0"/>
    <n v="6.6"/>
    <n v="1.6"/>
    <n v="2.36"/>
    <n v="1.4"/>
    <x v="0"/>
    <n v="2"/>
    <n v="6"/>
    <n v="10"/>
    <n v="1"/>
    <m/>
  </r>
  <r>
    <n v="17"/>
    <x v="0"/>
    <n v="4.7"/>
    <x v="1"/>
    <n v="5.0999999999999996"/>
    <n v="2"/>
    <n v="2.35"/>
    <n v="1.8"/>
    <x v="0"/>
    <n v="8"/>
    <n v="9"/>
    <n v="1"/>
    <n v="1"/>
    <m/>
  </r>
  <r>
    <n v="19"/>
    <x v="1"/>
    <n v="7.1"/>
    <x v="2"/>
    <n v="6.3"/>
    <n v="2.2000000000000002"/>
    <n v="3.88"/>
    <n v="0.8"/>
    <x v="1"/>
    <n v="10"/>
    <n v="4"/>
    <n v="9"/>
    <n v="1"/>
    <m/>
  </r>
  <r>
    <n v="19"/>
    <x v="1"/>
    <n v="4.2"/>
    <x v="2"/>
    <n v="8.1"/>
    <n v="1.4"/>
    <n v="2.66"/>
    <n v="1.9"/>
    <x v="0"/>
    <n v="9"/>
    <n v="4"/>
    <n v="2"/>
    <n v="1"/>
    <m/>
  </r>
  <r>
    <n v="17"/>
    <x v="1"/>
    <n v="1.3"/>
    <x v="0"/>
    <n v="5.0999999999999996"/>
    <n v="2.2000000000000002"/>
    <n v="3.44"/>
    <n v="0.6"/>
    <x v="1"/>
    <n v="7"/>
    <n v="8"/>
    <n v="6"/>
    <n v="1"/>
    <m/>
  </r>
  <r>
    <n v="18"/>
    <x v="0"/>
    <n v="2.6"/>
    <x v="2"/>
    <n v="7.8"/>
    <n v="1.9"/>
    <n v="3.15"/>
    <n v="0.4"/>
    <x v="2"/>
    <n v="8"/>
    <n v="3"/>
    <n v="2"/>
    <n v="1"/>
    <m/>
  </r>
  <r>
    <n v="15"/>
    <x v="0"/>
    <n v="6.2"/>
    <x v="0"/>
    <n v="8.1"/>
    <n v="2.2999999999999998"/>
    <n v="3.46"/>
    <n v="1.3"/>
    <x v="0"/>
    <n v="5"/>
    <n v="4"/>
    <n v="9"/>
    <n v="1"/>
    <m/>
  </r>
  <r>
    <n v="14"/>
    <x v="1"/>
    <n v="6.2"/>
    <x v="1"/>
    <n v="5.0999999999999996"/>
    <n v="1.5"/>
    <n v="3.85"/>
    <n v="0.2"/>
    <x v="1"/>
    <n v="3"/>
    <n v="4"/>
    <n v="10"/>
    <n v="1"/>
    <m/>
  </r>
  <r>
    <n v="18"/>
    <x v="0"/>
    <n v="4.8"/>
    <x v="1"/>
    <n v="8.5"/>
    <n v="2.8"/>
    <n v="3.77"/>
    <n v="1.3"/>
    <x v="0"/>
    <n v="5"/>
    <n v="4"/>
    <n v="3"/>
    <n v="1"/>
    <m/>
  </r>
  <r>
    <n v="18"/>
    <x v="1"/>
    <n v="3"/>
    <x v="2"/>
    <n v="4.5999999999999996"/>
    <n v="2"/>
    <n v="2.2400000000000002"/>
    <n v="1.5"/>
    <x v="2"/>
    <n v="10"/>
    <n v="2"/>
    <n v="5"/>
    <n v="1"/>
    <m/>
  </r>
  <r>
    <n v="16"/>
    <x v="0"/>
    <n v="4.7"/>
    <x v="0"/>
    <n v="8.1999999999999993"/>
    <n v="2.7"/>
    <n v="3.04"/>
    <n v="0.3"/>
    <x v="1"/>
    <n v="1"/>
    <n v="3"/>
    <n v="4"/>
    <n v="1"/>
    <m/>
  </r>
  <r>
    <n v="18"/>
    <x v="1"/>
    <n v="4.4000000000000004"/>
    <x v="2"/>
    <n v="5.0999999999999996"/>
    <n v="1.4"/>
    <n v="2.33"/>
    <n v="0.6"/>
    <x v="0"/>
    <n v="2"/>
    <n v="7"/>
    <n v="4"/>
    <n v="1"/>
    <m/>
  </r>
  <r>
    <n v="14"/>
    <x v="1"/>
    <n v="2.2999999999999998"/>
    <x v="1"/>
    <n v="7.3"/>
    <n v="2.2999999999999998"/>
    <n v="2.8"/>
    <n v="1.5"/>
    <x v="2"/>
    <n v="4"/>
    <n v="6"/>
    <n v="5"/>
    <n v="1"/>
    <m/>
  </r>
  <r>
    <n v="14"/>
    <x v="1"/>
    <n v="3.1"/>
    <x v="0"/>
    <n v="6.9"/>
    <n v="1.9"/>
    <n v="2.2000000000000002"/>
    <n v="1.2"/>
    <x v="2"/>
    <n v="3"/>
    <n v="4"/>
    <n v="2"/>
    <n v="1"/>
    <m/>
  </r>
  <r>
    <n v="18"/>
    <x v="0"/>
    <n v="2.9"/>
    <x v="1"/>
    <n v="7.5"/>
    <n v="0.6"/>
    <n v="2.25"/>
    <n v="1"/>
    <x v="1"/>
    <n v="4"/>
    <n v="7"/>
    <n v="4"/>
    <n v="1"/>
    <m/>
  </r>
  <r>
    <n v="13"/>
    <x v="0"/>
    <n v="1.8"/>
    <x v="0"/>
    <n v="4.4000000000000004"/>
    <n v="0.6"/>
    <n v="3.48"/>
    <n v="1.7"/>
    <x v="2"/>
    <n v="3"/>
    <n v="1"/>
    <n v="10"/>
    <n v="1"/>
    <m/>
  </r>
  <r>
    <n v="15"/>
    <x v="1"/>
    <n v="2"/>
    <x v="0"/>
    <n v="4.7"/>
    <n v="1.3"/>
    <n v="3.55"/>
    <n v="1.3"/>
    <x v="0"/>
    <n v="2"/>
    <n v="6"/>
    <n v="5"/>
    <n v="1"/>
    <m/>
  </r>
  <r>
    <n v="13"/>
    <x v="1"/>
    <n v="4.2"/>
    <x v="0"/>
    <n v="7.9"/>
    <n v="2.7"/>
    <n v="3.76"/>
    <n v="0.1"/>
    <x v="2"/>
    <n v="10"/>
    <n v="7"/>
    <n v="2"/>
    <n v="1"/>
    <m/>
  </r>
  <r>
    <n v="17"/>
    <x v="1"/>
    <n v="6.7"/>
    <x v="2"/>
    <n v="7.9"/>
    <n v="1.4"/>
    <n v="3.91"/>
    <n v="0.4"/>
    <x v="1"/>
    <n v="3"/>
    <n v="3"/>
    <n v="1"/>
    <n v="1"/>
    <m/>
  </r>
  <r>
    <n v="17"/>
    <x v="1"/>
    <n v="2.2000000000000002"/>
    <x v="2"/>
    <n v="7.2"/>
    <n v="0.5"/>
    <n v="2.38"/>
    <n v="1.2"/>
    <x v="2"/>
    <n v="10"/>
    <n v="4"/>
    <n v="8"/>
    <n v="1"/>
    <m/>
  </r>
  <r>
    <n v="17"/>
    <x v="1"/>
    <n v="1.1000000000000001"/>
    <x v="1"/>
    <n v="6.8"/>
    <n v="0.6"/>
    <n v="2.2799999999999998"/>
    <n v="1.6"/>
    <x v="2"/>
    <n v="9"/>
    <n v="3"/>
    <n v="7"/>
    <n v="1"/>
    <m/>
  </r>
  <r>
    <n v="16"/>
    <x v="1"/>
    <n v="6.4"/>
    <x v="1"/>
    <n v="5.9"/>
    <n v="2.8"/>
    <n v="3.81"/>
    <n v="1.3"/>
    <x v="1"/>
    <n v="1"/>
    <n v="3"/>
    <n v="7"/>
    <n v="1"/>
    <m/>
  </r>
  <r>
    <n v="19"/>
    <x v="1"/>
    <n v="2.8"/>
    <x v="0"/>
    <n v="5.9"/>
    <n v="1.5"/>
    <n v="2.85"/>
    <n v="0.6"/>
    <x v="1"/>
    <n v="10"/>
    <n v="9"/>
    <n v="4"/>
    <n v="1"/>
    <m/>
  </r>
  <r>
    <n v="13"/>
    <x v="0"/>
    <n v="2.2000000000000002"/>
    <x v="2"/>
    <n v="5.8"/>
    <n v="2"/>
    <n v="3.63"/>
    <n v="1.9"/>
    <x v="0"/>
    <n v="4"/>
    <n v="4"/>
    <n v="10"/>
    <n v="1"/>
    <m/>
  </r>
  <r>
    <n v="19"/>
    <x v="0"/>
    <n v="5.7"/>
    <x v="0"/>
    <n v="4.8"/>
    <n v="2.2000000000000002"/>
    <n v="3.66"/>
    <n v="0.9"/>
    <x v="0"/>
    <n v="3"/>
    <n v="7"/>
    <n v="5"/>
    <n v="1"/>
    <m/>
  </r>
  <r>
    <n v="15"/>
    <x v="0"/>
    <n v="5.3"/>
    <x v="2"/>
    <n v="7.3"/>
    <n v="1.9"/>
    <n v="2.5099999999999998"/>
    <n v="1.4"/>
    <x v="1"/>
    <n v="10"/>
    <n v="4"/>
    <n v="2"/>
    <n v="1"/>
    <m/>
  </r>
  <r>
    <n v="14"/>
    <x v="0"/>
    <n v="3.1"/>
    <x v="1"/>
    <n v="8.8000000000000007"/>
    <n v="1.5"/>
    <n v="3.91"/>
    <n v="0.6"/>
    <x v="2"/>
    <n v="4"/>
    <n v="9"/>
    <n v="6"/>
    <n v="1"/>
    <m/>
  </r>
  <r>
    <n v="16"/>
    <x v="0"/>
    <n v="1.7"/>
    <x v="1"/>
    <n v="4.9000000000000004"/>
    <n v="0.6"/>
    <n v="3.38"/>
    <n v="1.1000000000000001"/>
    <x v="2"/>
    <n v="10"/>
    <n v="4"/>
    <n v="6"/>
    <n v="1"/>
    <m/>
  </r>
  <r>
    <n v="19"/>
    <x v="1"/>
    <n v="6.7"/>
    <x v="0"/>
    <n v="7.3"/>
    <n v="2.8"/>
    <n v="2.2599999999999998"/>
    <n v="1.4"/>
    <x v="1"/>
    <n v="7"/>
    <n v="6"/>
    <n v="8"/>
    <n v="1"/>
    <m/>
  </r>
  <r>
    <n v="13"/>
    <x v="1"/>
    <n v="7.8"/>
    <x v="0"/>
    <n v="7.4"/>
    <n v="1.7"/>
    <n v="2.76"/>
    <n v="1.1000000000000001"/>
    <x v="0"/>
    <n v="10"/>
    <n v="1"/>
    <n v="4"/>
    <n v="1"/>
    <m/>
  </r>
  <r>
    <n v="18"/>
    <x v="1"/>
    <n v="2.1"/>
    <x v="2"/>
    <n v="6.7"/>
    <n v="0.9"/>
    <n v="3.73"/>
    <n v="0.7"/>
    <x v="0"/>
    <n v="3"/>
    <n v="5"/>
    <n v="7"/>
    <n v="1"/>
    <m/>
  </r>
  <r>
    <n v="17"/>
    <x v="1"/>
    <n v="5.0999999999999996"/>
    <x v="1"/>
    <n v="8.6"/>
    <n v="1.9"/>
    <n v="3.33"/>
    <n v="1.1000000000000001"/>
    <x v="0"/>
    <n v="1"/>
    <n v="7"/>
    <n v="8"/>
    <n v="1"/>
    <m/>
  </r>
  <r>
    <n v="18"/>
    <x v="1"/>
    <n v="3.6"/>
    <x v="0"/>
    <n v="5.4"/>
    <n v="0.9"/>
    <n v="3.45"/>
    <n v="0.5"/>
    <x v="2"/>
    <n v="1"/>
    <n v="10"/>
    <n v="2"/>
    <n v="1"/>
    <m/>
  </r>
  <r>
    <n v="18"/>
    <x v="0"/>
    <n v="5"/>
    <x v="2"/>
    <n v="7.6"/>
    <n v="2"/>
    <n v="3.94"/>
    <n v="0.5"/>
    <x v="0"/>
    <n v="4"/>
    <n v="3"/>
    <n v="3"/>
    <n v="1"/>
    <m/>
  </r>
  <r>
    <n v="17"/>
    <x v="0"/>
    <n v="1.7"/>
    <x v="2"/>
    <n v="8.6"/>
    <n v="0.9"/>
    <n v="2.36"/>
    <n v="1.7"/>
    <x v="0"/>
    <n v="9"/>
    <n v="1"/>
    <n v="3"/>
    <n v="1"/>
    <m/>
  </r>
  <r>
    <n v="17"/>
    <x v="0"/>
    <n v="6.8"/>
    <x v="0"/>
    <n v="4.7"/>
    <n v="0.6"/>
    <n v="3.4"/>
    <n v="0.9"/>
    <x v="0"/>
    <n v="3"/>
    <n v="9"/>
    <n v="7"/>
    <n v="1"/>
    <m/>
  </r>
  <r>
    <n v="14"/>
    <x v="0"/>
    <n v="3.8"/>
    <x v="2"/>
    <n v="7.5"/>
    <n v="0.5"/>
    <n v="2.1800000000000002"/>
    <n v="1"/>
    <x v="2"/>
    <n v="5"/>
    <n v="2"/>
    <n v="2"/>
    <n v="1"/>
    <m/>
  </r>
  <r>
    <n v="16"/>
    <x v="0"/>
    <n v="2.1"/>
    <x v="0"/>
    <n v="7.7"/>
    <n v="1.1000000000000001"/>
    <n v="2.27"/>
    <n v="1.1000000000000001"/>
    <x v="2"/>
    <n v="3"/>
    <n v="2"/>
    <n v="4"/>
    <n v="1"/>
    <m/>
  </r>
  <r>
    <n v="15"/>
    <x v="1"/>
    <n v="3.2"/>
    <x v="0"/>
    <n v="4"/>
    <n v="2"/>
    <n v="3.25"/>
    <n v="0.7"/>
    <x v="0"/>
    <n v="8"/>
    <n v="4"/>
    <n v="8"/>
    <n v="1"/>
    <m/>
  </r>
  <r>
    <n v="18"/>
    <x v="0"/>
    <n v="1.9"/>
    <x v="0"/>
    <n v="5.6"/>
    <n v="2.2999999999999998"/>
    <n v="2.8"/>
    <n v="1.9"/>
    <x v="2"/>
    <n v="8"/>
    <n v="1"/>
    <n v="8"/>
    <n v="1"/>
    <m/>
  </r>
  <r>
    <n v="13"/>
    <x v="1"/>
    <n v="3.5"/>
    <x v="0"/>
    <n v="6.8"/>
    <n v="1.5"/>
    <n v="2.35"/>
    <n v="1.8"/>
    <x v="2"/>
    <n v="7"/>
    <n v="3"/>
    <n v="2"/>
    <n v="-1"/>
    <m/>
  </r>
  <r>
    <n v="15"/>
    <x v="1"/>
    <n v="4.5"/>
    <x v="0"/>
    <n v="7.7"/>
    <n v="0.9"/>
    <n v="2.61"/>
    <n v="1.1000000000000001"/>
    <x v="2"/>
    <n v="9"/>
    <n v="10"/>
    <n v="4"/>
    <n v="-1"/>
    <m/>
  </r>
  <r>
    <n v="13"/>
    <x v="1"/>
    <n v="6"/>
    <x v="1"/>
    <n v="5"/>
    <n v="2.5"/>
    <n v="2.5499999999999998"/>
    <n v="1.8"/>
    <x v="1"/>
    <n v="4"/>
    <n v="9"/>
    <n v="2"/>
    <n v="-1"/>
    <m/>
  </r>
  <r>
    <n v="13"/>
    <x v="1"/>
    <n v="3.6"/>
    <x v="1"/>
    <n v="4.8"/>
    <n v="2.2000000000000002"/>
    <n v="3.58"/>
    <n v="1.2"/>
    <x v="2"/>
    <n v="4"/>
    <n v="4"/>
    <n v="7"/>
    <n v="1"/>
    <m/>
  </r>
  <r>
    <n v="19"/>
    <x v="0"/>
    <n v="5.2"/>
    <x v="1"/>
    <n v="6.9"/>
    <n v="2.2999999999999998"/>
    <n v="2.09"/>
    <n v="0.2"/>
    <x v="1"/>
    <n v="6"/>
    <n v="4"/>
    <n v="8"/>
    <n v="1"/>
    <m/>
  </r>
  <r>
    <n v="13"/>
    <x v="0"/>
    <n v="2.7"/>
    <x v="2"/>
    <n v="6.9"/>
    <n v="1.4"/>
    <n v="2.87"/>
    <n v="1.5"/>
    <x v="0"/>
    <n v="2"/>
    <n v="6"/>
    <n v="3"/>
    <n v="1"/>
    <m/>
  </r>
  <r>
    <n v="16"/>
    <x v="1"/>
    <n v="2.8"/>
    <x v="1"/>
    <n v="7.1"/>
    <n v="1.4"/>
    <n v="3.85"/>
    <n v="0.4"/>
    <x v="1"/>
    <n v="7"/>
    <n v="9"/>
    <n v="8"/>
    <n v="1"/>
    <m/>
  </r>
  <r>
    <n v="14"/>
    <x v="0"/>
    <n v="5.6"/>
    <x v="0"/>
    <n v="7"/>
    <n v="1.9"/>
    <n v="2.58"/>
    <n v="0.4"/>
    <x v="0"/>
    <n v="5"/>
    <n v="7"/>
    <n v="3"/>
    <n v="1"/>
    <m/>
  </r>
  <r>
    <n v="16"/>
    <x v="0"/>
    <n v="2.7"/>
    <x v="2"/>
    <n v="7.2"/>
    <n v="0.6"/>
    <n v="3.98"/>
    <n v="1.7"/>
    <x v="0"/>
    <n v="6"/>
    <n v="1"/>
    <n v="5"/>
    <n v="1"/>
    <m/>
  </r>
  <r>
    <n v="14"/>
    <x v="0"/>
    <n v="4.2"/>
    <x v="2"/>
    <n v="7"/>
    <n v="1.1000000000000001"/>
    <n v="2.12"/>
    <n v="0.9"/>
    <x v="1"/>
    <n v="4"/>
    <n v="8"/>
    <n v="1"/>
    <n v="1"/>
    <m/>
  </r>
  <r>
    <n v="18"/>
    <x v="1"/>
    <n v="5.0999999999999996"/>
    <x v="1"/>
    <n v="8.1999999999999993"/>
    <n v="2.8"/>
    <n v="2.1800000000000002"/>
    <n v="0.5"/>
    <x v="1"/>
    <n v="8"/>
    <n v="8"/>
    <n v="8"/>
    <n v="1"/>
    <m/>
  </r>
  <r>
    <n v="15"/>
    <x v="1"/>
    <n v="5.7"/>
    <x v="0"/>
    <n v="6.1"/>
    <n v="0.7"/>
    <n v="3.08"/>
    <n v="0.6"/>
    <x v="2"/>
    <n v="5"/>
    <n v="9"/>
    <n v="7"/>
    <n v="1"/>
    <m/>
  </r>
  <r>
    <n v="13"/>
    <x v="1"/>
    <n v="1.5"/>
    <x v="2"/>
    <n v="7.9"/>
    <n v="1.8"/>
    <n v="2.85"/>
    <n v="1.1000000000000001"/>
    <x v="2"/>
    <n v="5"/>
    <n v="7"/>
    <n v="1"/>
    <n v="1"/>
    <m/>
  </r>
  <r>
    <n v="15"/>
    <x v="1"/>
    <n v="6.9"/>
    <x v="1"/>
    <n v="8.3000000000000007"/>
    <n v="2.4"/>
    <n v="3.34"/>
    <n v="1.2"/>
    <x v="1"/>
    <n v="2"/>
    <n v="4"/>
    <n v="9"/>
    <n v="1"/>
    <m/>
  </r>
  <r>
    <n v="14"/>
    <x v="0"/>
    <n v="4.7"/>
    <x v="1"/>
    <n v="7.9"/>
    <n v="2.9"/>
    <n v="2.54"/>
    <n v="0.7"/>
    <x v="1"/>
    <n v="5"/>
    <n v="8"/>
    <n v="7"/>
    <n v="1"/>
    <m/>
  </r>
  <r>
    <n v="15"/>
    <x v="1"/>
    <n v="2.7"/>
    <x v="2"/>
    <n v="8.5"/>
    <n v="0.8"/>
    <n v="2.91"/>
    <n v="1.3"/>
    <x v="0"/>
    <n v="6"/>
    <n v="3"/>
    <n v="1"/>
    <n v="1"/>
    <m/>
  </r>
  <r>
    <n v="13"/>
    <x v="1"/>
    <n v="6.1"/>
    <x v="2"/>
    <n v="6.4"/>
    <n v="2.8"/>
    <n v="2.5099999999999998"/>
    <n v="1.9"/>
    <x v="0"/>
    <n v="6"/>
    <n v="1"/>
    <n v="9"/>
    <n v="1"/>
    <m/>
  </r>
  <r>
    <n v="17"/>
    <x v="1"/>
    <n v="5"/>
    <x v="1"/>
    <n v="7.3"/>
    <n v="1.9"/>
    <n v="3.83"/>
    <n v="0.4"/>
    <x v="1"/>
    <n v="8"/>
    <n v="9"/>
    <n v="9"/>
    <n v="1"/>
    <m/>
  </r>
  <r>
    <n v="17"/>
    <x v="1"/>
    <n v="5.3"/>
    <x v="2"/>
    <n v="6.8"/>
    <n v="1.9"/>
    <n v="3.39"/>
    <n v="1.6"/>
    <x v="0"/>
    <n v="10"/>
    <n v="6"/>
    <n v="8"/>
    <n v="1"/>
    <m/>
  </r>
  <r>
    <n v="19"/>
    <x v="0"/>
    <n v="7.2"/>
    <x v="1"/>
    <n v="6.6"/>
    <n v="2.9"/>
    <n v="2.74"/>
    <n v="0.3"/>
    <x v="2"/>
    <n v="1"/>
    <n v="10"/>
    <n v="9"/>
    <n v="0"/>
    <m/>
  </r>
  <r>
    <n v="15"/>
    <x v="0"/>
    <n v="2.2999999999999998"/>
    <x v="2"/>
    <n v="5.7"/>
    <n v="2.8"/>
    <n v="2.79"/>
    <n v="1.9"/>
    <x v="2"/>
    <n v="4"/>
    <n v="1"/>
    <n v="4"/>
    <n v="0"/>
    <m/>
  </r>
  <r>
    <n v="17"/>
    <x v="1"/>
    <n v="7.3"/>
    <x v="2"/>
    <n v="7.8"/>
    <n v="1.1000000000000001"/>
    <n v="2.0299999999999998"/>
    <n v="1.1000000000000001"/>
    <x v="0"/>
    <n v="3"/>
    <n v="10"/>
    <n v="6"/>
    <n v="1"/>
    <m/>
  </r>
  <r>
    <n v="16"/>
    <x v="1"/>
    <n v="1.5"/>
    <x v="0"/>
    <n v="8"/>
    <n v="0.7"/>
    <n v="2.1800000000000002"/>
    <n v="0.6"/>
    <x v="2"/>
    <n v="4"/>
    <n v="7"/>
    <n v="5"/>
    <n v="1"/>
    <m/>
  </r>
  <r>
    <n v="18"/>
    <x v="1"/>
    <n v="2.2000000000000002"/>
    <x v="0"/>
    <n v="6.5"/>
    <n v="1.9"/>
    <n v="3.79"/>
    <n v="0.2"/>
    <x v="0"/>
    <n v="1"/>
    <n v="6"/>
    <n v="2"/>
    <n v="1"/>
    <m/>
  </r>
  <r>
    <n v="13"/>
    <x v="1"/>
    <n v="5.5"/>
    <x v="2"/>
    <n v="6.7"/>
    <n v="1.6"/>
    <n v="3.09"/>
    <n v="1.7"/>
    <x v="1"/>
    <n v="10"/>
    <n v="1"/>
    <n v="6"/>
    <n v="1"/>
    <m/>
  </r>
  <r>
    <n v="19"/>
    <x v="0"/>
    <n v="2.1"/>
    <x v="1"/>
    <n v="5.2"/>
    <n v="2.5"/>
    <n v="3.1"/>
    <n v="0.3"/>
    <x v="0"/>
    <n v="9"/>
    <n v="9"/>
    <n v="3"/>
    <n v="1"/>
    <m/>
  </r>
  <r>
    <n v="15"/>
    <x v="1"/>
    <n v="4.5"/>
    <x v="2"/>
    <n v="5.4"/>
    <n v="1.2"/>
    <n v="3.76"/>
    <n v="1.7"/>
    <x v="1"/>
    <n v="1"/>
    <n v="8"/>
    <n v="7"/>
    <n v="1"/>
    <m/>
  </r>
  <r>
    <n v="13"/>
    <x v="0"/>
    <n v="3.9"/>
    <x v="2"/>
    <n v="5.8"/>
    <n v="0.7"/>
    <n v="2.77"/>
    <n v="1.3"/>
    <x v="2"/>
    <n v="10"/>
    <n v="3"/>
    <n v="1"/>
    <n v="1"/>
    <m/>
  </r>
  <r>
    <n v="14"/>
    <x v="0"/>
    <n v="5.8"/>
    <x v="0"/>
    <n v="5.0999999999999996"/>
    <n v="2.6"/>
    <n v="2.06"/>
    <n v="1.5"/>
    <x v="2"/>
    <n v="7"/>
    <n v="5"/>
    <n v="2"/>
    <n v="1"/>
    <m/>
  </r>
  <r>
    <n v="13"/>
    <x v="1"/>
    <n v="7.2"/>
    <x v="2"/>
    <n v="4.2"/>
    <n v="2.5"/>
    <n v="2.65"/>
    <n v="1.6"/>
    <x v="0"/>
    <n v="10"/>
    <n v="9"/>
    <n v="3"/>
    <n v="1"/>
    <m/>
  </r>
  <r>
    <n v="17"/>
    <x v="1"/>
    <n v="2.9"/>
    <x v="2"/>
    <n v="7.5"/>
    <n v="1.4"/>
    <n v="3.42"/>
    <n v="1.7"/>
    <x v="0"/>
    <n v="5"/>
    <n v="6"/>
    <n v="3"/>
    <n v="1"/>
    <m/>
  </r>
  <r>
    <n v="17"/>
    <x v="0"/>
    <n v="6.2"/>
    <x v="0"/>
    <n v="7.4"/>
    <n v="0.6"/>
    <n v="3.38"/>
    <n v="1.5"/>
    <x v="0"/>
    <n v="4"/>
    <n v="7"/>
    <n v="9"/>
    <n v="0"/>
    <m/>
  </r>
  <r>
    <n v="18"/>
    <x v="1"/>
    <n v="1.1000000000000001"/>
    <x v="2"/>
    <n v="4.9000000000000004"/>
    <n v="2.6"/>
    <n v="2.4300000000000002"/>
    <n v="1.3"/>
    <x v="1"/>
    <n v="9"/>
    <n v="7"/>
    <n v="6"/>
    <n v="1"/>
    <m/>
  </r>
  <r>
    <n v="19"/>
    <x v="0"/>
    <n v="5.2"/>
    <x v="0"/>
    <n v="4.3"/>
    <n v="1.3"/>
    <n v="2.29"/>
    <n v="1.3"/>
    <x v="2"/>
    <n v="10"/>
    <n v="8"/>
    <n v="10"/>
    <n v="1"/>
    <m/>
  </r>
  <r>
    <n v="15"/>
    <x v="1"/>
    <n v="5"/>
    <x v="0"/>
    <n v="7.6"/>
    <n v="1.8"/>
    <n v="2.52"/>
    <n v="1.4"/>
    <x v="1"/>
    <n v="1"/>
    <n v="4"/>
    <n v="3"/>
    <n v="1"/>
    <m/>
  </r>
  <r>
    <n v="13"/>
    <x v="1"/>
    <n v="2.2999999999999998"/>
    <x v="1"/>
    <n v="8.6999999999999993"/>
    <n v="1.2"/>
    <n v="3.25"/>
    <n v="1.5"/>
    <x v="1"/>
    <n v="9"/>
    <n v="9"/>
    <n v="1"/>
    <n v="1"/>
    <m/>
  </r>
  <r>
    <n v="15"/>
    <x v="1"/>
    <n v="5.2"/>
    <x v="1"/>
    <n v="5.6"/>
    <n v="1.5"/>
    <n v="3.13"/>
    <n v="0.1"/>
    <x v="0"/>
    <n v="7"/>
    <n v="9"/>
    <n v="4"/>
    <n v="1"/>
    <m/>
  </r>
  <r>
    <n v="13"/>
    <x v="1"/>
    <n v="3.5"/>
    <x v="2"/>
    <n v="8.6999999999999993"/>
    <n v="1.4"/>
    <n v="3.5"/>
    <n v="1.3"/>
    <x v="1"/>
    <n v="9"/>
    <n v="4"/>
    <n v="5"/>
    <n v="1"/>
    <m/>
  </r>
  <r>
    <n v="16"/>
    <x v="1"/>
    <n v="3.5"/>
    <x v="2"/>
    <n v="4.2"/>
    <n v="1.5"/>
    <n v="3.98"/>
    <n v="0.4"/>
    <x v="2"/>
    <n v="1"/>
    <n v="7"/>
    <n v="2"/>
    <n v="1"/>
    <m/>
  </r>
  <r>
    <n v="19"/>
    <x v="0"/>
    <n v="7.7"/>
    <x v="0"/>
    <n v="4.2"/>
    <n v="2.6"/>
    <n v="2.2000000000000002"/>
    <n v="1.8"/>
    <x v="0"/>
    <n v="8"/>
    <n v="9"/>
    <n v="4"/>
    <n v="1"/>
    <m/>
  </r>
  <r>
    <n v="18"/>
    <x v="1"/>
    <n v="2"/>
    <x v="2"/>
    <n v="8.6"/>
    <n v="2.2000000000000002"/>
    <n v="3.53"/>
    <n v="1.9"/>
    <x v="0"/>
    <n v="2"/>
    <n v="5"/>
    <n v="8"/>
    <n v="0"/>
    <m/>
  </r>
  <r>
    <n v="13"/>
    <x v="1"/>
    <n v="5.0999999999999996"/>
    <x v="1"/>
    <n v="4.5"/>
    <n v="2.7"/>
    <n v="2.54"/>
    <n v="1.4"/>
    <x v="1"/>
    <n v="2"/>
    <n v="3"/>
    <n v="10"/>
    <n v="0"/>
    <m/>
  </r>
  <r>
    <n v="16"/>
    <x v="0"/>
    <n v="2"/>
    <x v="0"/>
    <n v="7.9"/>
    <n v="2.4"/>
    <n v="2.81"/>
    <n v="1.9"/>
    <x v="0"/>
    <n v="10"/>
    <n v="6"/>
    <n v="6"/>
    <n v="0"/>
    <m/>
  </r>
  <r>
    <n v="15"/>
    <x v="0"/>
    <n v="4.7"/>
    <x v="0"/>
    <n v="8.4"/>
    <n v="1.9"/>
    <n v="3.9"/>
    <n v="1"/>
    <x v="1"/>
    <n v="4"/>
    <n v="10"/>
    <n v="6"/>
    <n v="0"/>
    <m/>
  </r>
  <r>
    <n v="17"/>
    <x v="1"/>
    <n v="6.9"/>
    <x v="1"/>
    <n v="6.1"/>
    <n v="2.4"/>
    <n v="3.77"/>
    <n v="1.1000000000000001"/>
    <x v="2"/>
    <n v="9"/>
    <n v="4"/>
    <n v="9"/>
    <n v="0"/>
    <m/>
  </r>
  <r>
    <n v="18"/>
    <x v="0"/>
    <n v="5.9"/>
    <x v="0"/>
    <n v="4.4000000000000004"/>
    <n v="2.7"/>
    <n v="2.09"/>
    <n v="1.8"/>
    <x v="1"/>
    <n v="1"/>
    <n v="6"/>
    <n v="6"/>
    <n v="0"/>
    <m/>
  </r>
  <r>
    <n v="19"/>
    <x v="0"/>
    <n v="2.7"/>
    <x v="0"/>
    <n v="6.3"/>
    <n v="1.3"/>
    <n v="3.91"/>
    <n v="1.2"/>
    <x v="1"/>
    <n v="7"/>
    <n v="5"/>
    <n v="7"/>
    <n v="0"/>
    <m/>
  </r>
  <r>
    <n v="16"/>
    <x v="0"/>
    <n v="7.9"/>
    <x v="1"/>
    <n v="8"/>
    <n v="1.6"/>
    <n v="3.47"/>
    <n v="1.5"/>
    <x v="1"/>
    <n v="3"/>
    <n v="5"/>
    <n v="6"/>
    <n v="0"/>
    <m/>
  </r>
  <r>
    <n v="16"/>
    <x v="1"/>
    <n v="7.4"/>
    <x v="1"/>
    <n v="5.5"/>
    <n v="1.8"/>
    <n v="2.13"/>
    <n v="0.3"/>
    <x v="1"/>
    <n v="7"/>
    <n v="9"/>
    <n v="9"/>
    <n v="1"/>
    <m/>
  </r>
  <r>
    <n v="17"/>
    <x v="1"/>
    <n v="2.2999999999999998"/>
    <x v="0"/>
    <n v="4.9000000000000004"/>
    <n v="1.7"/>
    <n v="2.0699999999999998"/>
    <n v="0.3"/>
    <x v="2"/>
    <n v="3"/>
    <n v="7"/>
    <n v="7"/>
    <n v="0"/>
    <m/>
  </r>
  <r>
    <n v="13"/>
    <x v="0"/>
    <n v="7.1"/>
    <x v="2"/>
    <n v="5.7"/>
    <n v="2.1"/>
    <n v="3.52"/>
    <n v="1.7"/>
    <x v="0"/>
    <n v="1"/>
    <n v="1"/>
    <n v="3"/>
    <n v="0"/>
    <m/>
  </r>
  <r>
    <n v="16"/>
    <x v="0"/>
    <n v="6.9"/>
    <x v="0"/>
    <n v="6.8"/>
    <n v="1.1000000000000001"/>
    <n v="3.33"/>
    <n v="1"/>
    <x v="2"/>
    <n v="7"/>
    <n v="9"/>
    <n v="4"/>
    <n v="0"/>
    <m/>
  </r>
  <r>
    <n v="16"/>
    <x v="1"/>
    <n v="5.6"/>
    <x v="1"/>
    <n v="7.9"/>
    <n v="2"/>
    <n v="3.91"/>
    <n v="0.6"/>
    <x v="2"/>
    <n v="7"/>
    <n v="3"/>
    <n v="10"/>
    <n v="0"/>
    <m/>
  </r>
  <r>
    <n v="16"/>
    <x v="1"/>
    <n v="5.2"/>
    <x v="1"/>
    <n v="8.1"/>
    <n v="2.1"/>
    <n v="2.67"/>
    <n v="1.7"/>
    <x v="2"/>
    <n v="9"/>
    <n v="10"/>
    <n v="10"/>
    <n v="0"/>
    <m/>
  </r>
  <r>
    <n v="17"/>
    <x v="0"/>
    <n v="4.5"/>
    <x v="2"/>
    <n v="4.9000000000000004"/>
    <n v="0.5"/>
    <n v="3.44"/>
    <n v="1.2"/>
    <x v="2"/>
    <n v="5"/>
    <n v="3"/>
    <n v="1"/>
    <n v="0"/>
    <m/>
  </r>
  <r>
    <n v="14"/>
    <x v="0"/>
    <n v="3.6"/>
    <x v="1"/>
    <n v="4"/>
    <n v="1.4"/>
    <n v="3.83"/>
    <n v="0.5"/>
    <x v="2"/>
    <n v="1"/>
    <n v="5"/>
    <n v="2"/>
    <n v="0"/>
    <m/>
  </r>
  <r>
    <n v="19"/>
    <x v="0"/>
    <n v="7.2"/>
    <x v="0"/>
    <n v="5"/>
    <n v="2.2000000000000002"/>
    <n v="2.5"/>
    <n v="0.7"/>
    <x v="1"/>
    <n v="6"/>
    <n v="9"/>
    <n v="2"/>
    <n v="0"/>
    <m/>
  </r>
  <r>
    <n v="17"/>
    <x v="0"/>
    <n v="6.4"/>
    <x v="1"/>
    <n v="8.6"/>
    <n v="2.2999999999999998"/>
    <n v="2.57"/>
    <n v="1.3"/>
    <x v="0"/>
    <n v="9"/>
    <n v="10"/>
    <n v="5"/>
    <n v="0"/>
    <m/>
  </r>
  <r>
    <n v="15"/>
    <x v="0"/>
    <n v="7.1"/>
    <x v="2"/>
    <n v="6.5"/>
    <n v="0.7"/>
    <n v="3.94"/>
    <n v="0.2"/>
    <x v="2"/>
    <n v="4"/>
    <n v="7"/>
    <n v="1"/>
    <n v="0"/>
    <m/>
  </r>
  <r>
    <n v="18"/>
    <x v="0"/>
    <n v="1.2"/>
    <x v="2"/>
    <n v="4.0999999999999996"/>
    <n v="1.1000000000000001"/>
    <n v="3.04"/>
    <n v="1.6"/>
    <x v="0"/>
    <n v="1"/>
    <n v="3"/>
    <n v="6"/>
    <n v="0"/>
    <m/>
  </r>
  <r>
    <n v="19"/>
    <x v="0"/>
    <n v="6.6"/>
    <x v="1"/>
    <n v="8.8000000000000007"/>
    <n v="0.9"/>
    <n v="3.84"/>
    <n v="0.3"/>
    <x v="1"/>
    <n v="10"/>
    <n v="10"/>
    <n v="6"/>
    <n v="0"/>
    <m/>
  </r>
  <r>
    <n v="19"/>
    <x v="1"/>
    <n v="6.5"/>
    <x v="1"/>
    <n v="6.4"/>
    <n v="1.1000000000000001"/>
    <n v="3.71"/>
    <n v="1.2"/>
    <x v="0"/>
    <n v="8"/>
    <n v="9"/>
    <n v="8"/>
    <n v="0"/>
    <m/>
  </r>
  <r>
    <n v="16"/>
    <x v="0"/>
    <n v="2"/>
    <x v="1"/>
    <n v="4.4000000000000004"/>
    <n v="0.7"/>
    <n v="2.68"/>
    <n v="0.8"/>
    <x v="2"/>
    <n v="1"/>
    <n v="4"/>
    <n v="10"/>
    <n v="0"/>
    <m/>
  </r>
  <r>
    <n v="13"/>
    <x v="0"/>
    <n v="2.5"/>
    <x v="0"/>
    <n v="5.3"/>
    <n v="0.8"/>
    <n v="3.12"/>
    <n v="0.4"/>
    <x v="1"/>
    <n v="3"/>
    <n v="5"/>
    <n v="3"/>
    <n v="0"/>
    <m/>
  </r>
  <r>
    <n v="19"/>
    <x v="0"/>
    <n v="2.1"/>
    <x v="0"/>
    <n v="8.8000000000000007"/>
    <n v="2.2999999999999998"/>
    <n v="2.2200000000000002"/>
    <n v="1.2"/>
    <x v="1"/>
    <n v="5"/>
    <n v="5"/>
    <n v="3"/>
    <n v="0"/>
    <m/>
  </r>
  <r>
    <n v="16"/>
    <x v="1"/>
    <n v="7.1"/>
    <x v="1"/>
    <n v="8.8000000000000007"/>
    <n v="1.8"/>
    <n v="3.99"/>
    <n v="0.8"/>
    <x v="0"/>
    <n v="6"/>
    <n v="10"/>
    <n v="8"/>
    <n v="0"/>
    <m/>
  </r>
  <r>
    <n v="19"/>
    <x v="1"/>
    <n v="6.8"/>
    <x v="2"/>
    <n v="4.4000000000000004"/>
    <n v="2.1"/>
    <n v="3.69"/>
    <n v="0.4"/>
    <x v="1"/>
    <n v="3"/>
    <n v="2"/>
    <n v="8"/>
    <n v="0"/>
    <m/>
  </r>
  <r>
    <n v="13"/>
    <x v="0"/>
    <n v="5.2"/>
    <x v="2"/>
    <n v="5.4"/>
    <n v="0.8"/>
    <n v="2.39"/>
    <n v="2"/>
    <x v="0"/>
    <n v="8"/>
    <n v="3"/>
    <n v="10"/>
    <n v="0"/>
    <m/>
  </r>
  <r>
    <n v="19"/>
    <x v="0"/>
    <n v="7"/>
    <x v="1"/>
    <n v="4.5"/>
    <n v="2.2999999999999998"/>
    <n v="3.26"/>
    <n v="1.7"/>
    <x v="1"/>
    <n v="9"/>
    <n v="10"/>
    <n v="3"/>
    <n v="1"/>
    <m/>
  </r>
  <r>
    <n v="19"/>
    <x v="0"/>
    <n v="6.8"/>
    <x v="1"/>
    <n v="8.4"/>
    <n v="2"/>
    <n v="2.6"/>
    <n v="1.5"/>
    <x v="0"/>
    <n v="7"/>
    <n v="2"/>
    <n v="2"/>
    <n v="0"/>
    <m/>
  </r>
  <r>
    <n v="16"/>
    <x v="1"/>
    <n v="3.8"/>
    <x v="1"/>
    <n v="5.3"/>
    <n v="1.5"/>
    <n v="2.04"/>
    <n v="1.5"/>
    <x v="1"/>
    <n v="5"/>
    <n v="10"/>
    <n v="5"/>
    <n v="0"/>
    <m/>
  </r>
  <r>
    <n v="14"/>
    <x v="0"/>
    <n v="2.9"/>
    <x v="0"/>
    <n v="7.2"/>
    <n v="2"/>
    <n v="3.96"/>
    <n v="1.5"/>
    <x v="2"/>
    <n v="9"/>
    <n v="10"/>
    <n v="4"/>
    <n v="0"/>
    <m/>
  </r>
  <r>
    <n v="16"/>
    <x v="0"/>
    <n v="3.6"/>
    <x v="0"/>
    <n v="6.6"/>
    <n v="0.7"/>
    <n v="2.25"/>
    <n v="1.9"/>
    <x v="0"/>
    <n v="4"/>
    <n v="1"/>
    <n v="8"/>
    <n v="0"/>
    <m/>
  </r>
  <r>
    <n v="13"/>
    <x v="0"/>
    <n v="4"/>
    <x v="2"/>
    <n v="8.3000000000000007"/>
    <n v="0.6"/>
    <n v="3.71"/>
    <n v="0.1"/>
    <x v="0"/>
    <n v="2"/>
    <n v="6"/>
    <n v="1"/>
    <n v="0"/>
    <m/>
  </r>
  <r>
    <n v="17"/>
    <x v="1"/>
    <n v="7.5"/>
    <x v="2"/>
    <n v="4.7"/>
    <n v="2.1"/>
    <n v="2.5499999999999998"/>
    <n v="0.1"/>
    <x v="1"/>
    <n v="3"/>
    <n v="9"/>
    <n v="1"/>
    <n v="0"/>
    <m/>
  </r>
  <r>
    <n v="16"/>
    <x v="1"/>
    <n v="6"/>
    <x v="2"/>
    <n v="8.6999999999999993"/>
    <n v="1.5"/>
    <n v="3.76"/>
    <n v="0.1"/>
    <x v="2"/>
    <n v="2"/>
    <n v="5"/>
    <n v="4"/>
    <n v="0"/>
    <m/>
  </r>
  <r>
    <n v="16"/>
    <x v="1"/>
    <n v="3.6"/>
    <x v="0"/>
    <n v="6.1"/>
    <n v="2.8"/>
    <n v="3.8"/>
    <n v="0.1"/>
    <x v="1"/>
    <n v="2"/>
    <n v="1"/>
    <n v="7"/>
    <n v="0"/>
    <m/>
  </r>
  <r>
    <n v="19"/>
    <x v="0"/>
    <n v="4.7"/>
    <x v="2"/>
    <n v="8.1999999999999993"/>
    <n v="1.2"/>
    <n v="2.83"/>
    <n v="1.2"/>
    <x v="1"/>
    <n v="5"/>
    <n v="9"/>
    <n v="9"/>
    <n v="0"/>
    <m/>
  </r>
  <r>
    <n v="13"/>
    <x v="0"/>
    <n v="2"/>
    <x v="0"/>
    <n v="6.6"/>
    <n v="0.9"/>
    <n v="3.34"/>
    <n v="1.5"/>
    <x v="1"/>
    <n v="5"/>
    <n v="9"/>
    <n v="4"/>
    <n v="0"/>
    <m/>
  </r>
  <r>
    <n v="13"/>
    <x v="0"/>
    <n v="7.8"/>
    <x v="1"/>
    <n v="7.2"/>
    <n v="1.3"/>
    <n v="3.31"/>
    <n v="0.8"/>
    <x v="1"/>
    <n v="9"/>
    <n v="2"/>
    <n v="4"/>
    <n v="0"/>
    <m/>
  </r>
  <r>
    <n v="19"/>
    <x v="0"/>
    <n v="5.9"/>
    <x v="1"/>
    <n v="7.4"/>
    <n v="0.7"/>
    <n v="3.27"/>
    <n v="1.7"/>
    <x v="1"/>
    <n v="1"/>
    <n v="9"/>
    <n v="9"/>
    <n v="0"/>
    <m/>
  </r>
  <r>
    <n v="19"/>
    <x v="0"/>
    <n v="7.7"/>
    <x v="1"/>
    <n v="8.4"/>
    <n v="2.8"/>
    <n v="3.43"/>
    <n v="0.2"/>
    <x v="2"/>
    <n v="7"/>
    <n v="6"/>
    <n v="6"/>
    <n v="0"/>
    <m/>
  </r>
  <r>
    <n v="13"/>
    <x v="0"/>
    <n v="2.2000000000000002"/>
    <x v="1"/>
    <n v="5.4"/>
    <n v="1.2"/>
    <n v="2.33"/>
    <n v="0.8"/>
    <x v="2"/>
    <n v="10"/>
    <n v="3"/>
    <n v="4"/>
    <n v="0"/>
    <m/>
  </r>
  <r>
    <n v="18"/>
    <x v="1"/>
    <n v="7.7"/>
    <x v="1"/>
    <n v="7.6"/>
    <n v="2.9"/>
    <n v="3.81"/>
    <n v="0.5"/>
    <x v="1"/>
    <n v="10"/>
    <n v="3"/>
    <n v="6"/>
    <n v="0"/>
    <m/>
  </r>
  <r>
    <n v="18"/>
    <x v="0"/>
    <n v="3.2"/>
    <x v="0"/>
    <n v="6"/>
    <n v="1.5"/>
    <n v="3.36"/>
    <n v="1.5"/>
    <x v="1"/>
    <n v="9"/>
    <n v="7"/>
    <n v="10"/>
    <n v="0"/>
    <m/>
  </r>
  <r>
    <n v="16"/>
    <x v="0"/>
    <n v="2"/>
    <x v="1"/>
    <n v="7.8"/>
    <n v="0.5"/>
    <n v="2.81"/>
    <n v="1.4"/>
    <x v="1"/>
    <n v="10"/>
    <n v="2"/>
    <n v="4"/>
    <n v="0"/>
    <m/>
  </r>
  <r>
    <n v="15"/>
    <x v="1"/>
    <n v="6.2"/>
    <x v="2"/>
    <n v="5.2"/>
    <n v="1"/>
    <n v="3.94"/>
    <n v="1.4"/>
    <x v="0"/>
    <n v="5"/>
    <n v="2"/>
    <n v="7"/>
    <n v="0"/>
    <m/>
  </r>
  <r>
    <n v="19"/>
    <x v="1"/>
    <n v="2.4"/>
    <x v="0"/>
    <n v="8.6999999999999993"/>
    <n v="1.6"/>
    <n v="2.4"/>
    <n v="0.1"/>
    <x v="2"/>
    <n v="2"/>
    <n v="9"/>
    <n v="7"/>
    <n v="0"/>
    <m/>
  </r>
  <r>
    <n v="15"/>
    <x v="0"/>
    <n v="3.4"/>
    <x v="2"/>
    <n v="8"/>
    <n v="1"/>
    <n v="2.31"/>
    <n v="1"/>
    <x v="1"/>
    <n v="4"/>
    <n v="7"/>
    <n v="6"/>
    <n v="0"/>
    <m/>
  </r>
  <r>
    <n v="19"/>
    <x v="0"/>
    <n v="6"/>
    <x v="0"/>
    <n v="4.2"/>
    <n v="0.9"/>
    <n v="2.41"/>
    <n v="0.8"/>
    <x v="2"/>
    <n v="7"/>
    <n v="9"/>
    <n v="9"/>
    <n v="1"/>
    <m/>
  </r>
  <r>
    <n v="16"/>
    <x v="1"/>
    <n v="5.3"/>
    <x v="2"/>
    <n v="5.6"/>
    <n v="2.5"/>
    <n v="2.73"/>
    <n v="1.3"/>
    <x v="2"/>
    <n v="7"/>
    <n v="10"/>
    <n v="4"/>
    <n v="1"/>
    <m/>
  </r>
  <r>
    <n v="17"/>
    <x v="1"/>
    <n v="5.5"/>
    <x v="0"/>
    <n v="6.3"/>
    <n v="0.8"/>
    <n v="2.59"/>
    <n v="1.6"/>
    <x v="1"/>
    <n v="6"/>
    <n v="8"/>
    <n v="7"/>
    <n v="0"/>
    <m/>
  </r>
  <r>
    <n v="17"/>
    <x v="0"/>
    <n v="3.6"/>
    <x v="2"/>
    <n v="6.1"/>
    <n v="2.8"/>
    <n v="2.39"/>
    <n v="0.6"/>
    <x v="0"/>
    <n v="6"/>
    <n v="8"/>
    <n v="5"/>
    <n v="0"/>
    <m/>
  </r>
  <r>
    <n v="17"/>
    <x v="1"/>
    <n v="3.7"/>
    <x v="0"/>
    <n v="6.3"/>
    <n v="1.3"/>
    <n v="2.7"/>
    <n v="1.1000000000000001"/>
    <x v="2"/>
    <n v="2"/>
    <n v="6"/>
    <n v="9"/>
    <n v="0"/>
    <m/>
  </r>
  <r>
    <n v="16"/>
    <x v="1"/>
    <n v="7.4"/>
    <x v="0"/>
    <n v="7.4"/>
    <n v="0.9"/>
    <n v="3.7"/>
    <n v="1.3"/>
    <x v="2"/>
    <n v="10"/>
    <n v="6"/>
    <n v="2"/>
    <n v="0"/>
    <m/>
  </r>
  <r>
    <n v="13"/>
    <x v="0"/>
    <n v="5.3"/>
    <x v="0"/>
    <n v="6"/>
    <n v="1"/>
    <n v="2.92"/>
    <n v="0.7"/>
    <x v="1"/>
    <n v="3"/>
    <n v="8"/>
    <n v="5"/>
    <n v="0"/>
    <m/>
  </r>
  <r>
    <n v="18"/>
    <x v="1"/>
    <n v="4.8"/>
    <x v="0"/>
    <n v="5.5"/>
    <n v="1.8"/>
    <n v="2.9"/>
    <n v="0.6"/>
    <x v="0"/>
    <n v="6"/>
    <n v="2"/>
    <n v="5"/>
    <n v="0"/>
    <m/>
  </r>
  <r>
    <n v="13"/>
    <x v="0"/>
    <n v="3.4"/>
    <x v="1"/>
    <n v="4.5"/>
    <n v="0.5"/>
    <n v="3.71"/>
    <n v="1"/>
    <x v="2"/>
    <n v="1"/>
    <n v="10"/>
    <n v="1"/>
    <n v="0"/>
    <m/>
  </r>
  <r>
    <n v="17"/>
    <x v="1"/>
    <n v="7"/>
    <x v="1"/>
    <n v="8.9"/>
    <n v="0.6"/>
    <n v="3.67"/>
    <n v="0.2"/>
    <x v="2"/>
    <n v="9"/>
    <n v="2"/>
    <n v="4"/>
    <n v="0"/>
    <m/>
  </r>
  <r>
    <n v="15"/>
    <x v="0"/>
    <n v="5.4"/>
    <x v="0"/>
    <n v="7.2"/>
    <n v="1.2"/>
    <n v="3.32"/>
    <n v="1.3"/>
    <x v="1"/>
    <n v="7"/>
    <n v="8"/>
    <n v="1"/>
    <n v="0"/>
    <m/>
  </r>
  <r>
    <n v="17"/>
    <x v="0"/>
    <n v="5.3"/>
    <x v="0"/>
    <n v="6.4"/>
    <n v="2.9"/>
    <n v="2.42"/>
    <n v="1.1000000000000001"/>
    <x v="0"/>
    <n v="3"/>
    <n v="8"/>
    <n v="3"/>
    <n v="0"/>
    <m/>
  </r>
  <r>
    <n v="14"/>
    <x v="0"/>
    <n v="1.8"/>
    <x v="2"/>
    <n v="5.0999999999999996"/>
    <n v="2.7"/>
    <n v="3.47"/>
    <n v="0.2"/>
    <x v="0"/>
    <n v="8"/>
    <n v="4"/>
    <n v="6"/>
    <n v="0"/>
    <m/>
  </r>
  <r>
    <n v="15"/>
    <x v="0"/>
    <n v="4.5"/>
    <x v="1"/>
    <n v="6.2"/>
    <n v="2.8"/>
    <n v="2.74"/>
    <n v="0.1"/>
    <x v="1"/>
    <n v="2"/>
    <n v="3"/>
    <n v="5"/>
    <n v="0"/>
    <m/>
  </r>
  <r>
    <n v="17"/>
    <x v="1"/>
    <n v="5.4"/>
    <x v="1"/>
    <n v="7.1"/>
    <n v="2.5"/>
    <n v="2.68"/>
    <n v="1.6"/>
    <x v="0"/>
    <n v="3"/>
    <n v="5"/>
    <n v="7"/>
    <n v="0"/>
    <m/>
  </r>
  <r>
    <n v="13"/>
    <x v="0"/>
    <n v="3.6"/>
    <x v="0"/>
    <n v="8.6"/>
    <n v="0.7"/>
    <n v="2.42"/>
    <n v="0.2"/>
    <x v="2"/>
    <n v="2"/>
    <n v="6"/>
    <n v="8"/>
    <n v="0"/>
    <m/>
  </r>
  <r>
    <n v="14"/>
    <x v="1"/>
    <n v="5.7"/>
    <x v="0"/>
    <n v="8.9"/>
    <n v="0.7"/>
    <n v="2.17"/>
    <n v="1.3"/>
    <x v="1"/>
    <n v="10"/>
    <n v="4"/>
    <n v="3"/>
    <n v="0"/>
    <m/>
  </r>
  <r>
    <n v="15"/>
    <x v="1"/>
    <n v="5.5"/>
    <x v="2"/>
    <n v="7.3"/>
    <n v="2.5"/>
    <n v="3.67"/>
    <n v="0.5"/>
    <x v="0"/>
    <n v="4"/>
    <n v="3"/>
    <n v="6"/>
    <n v="0"/>
    <m/>
  </r>
  <r>
    <n v="14"/>
    <x v="1"/>
    <n v="5.3"/>
    <x v="2"/>
    <n v="4.7"/>
    <n v="1.1000000000000001"/>
    <n v="3.68"/>
    <n v="1.8"/>
    <x v="1"/>
    <n v="10"/>
    <n v="8"/>
    <n v="10"/>
    <n v="1"/>
    <m/>
  </r>
  <r>
    <n v="15"/>
    <x v="0"/>
    <n v="2.7"/>
    <x v="0"/>
    <n v="5.4"/>
    <n v="1.6"/>
    <n v="2.34"/>
    <n v="0.3"/>
    <x v="1"/>
    <n v="2"/>
    <n v="6"/>
    <n v="8"/>
    <n v="0"/>
    <m/>
  </r>
  <r>
    <n v="14"/>
    <x v="0"/>
    <n v="6.4"/>
    <x v="0"/>
    <n v="5.6"/>
    <n v="0.8"/>
    <n v="4"/>
    <n v="1.9"/>
    <x v="2"/>
    <n v="5"/>
    <n v="1"/>
    <n v="3"/>
    <n v="0"/>
    <m/>
  </r>
  <r>
    <n v="16"/>
    <x v="0"/>
    <n v="5"/>
    <x v="1"/>
    <n v="6.3"/>
    <n v="3"/>
    <n v="3.72"/>
    <n v="1.6"/>
    <x v="2"/>
    <n v="5"/>
    <n v="10"/>
    <n v="3"/>
    <n v="0"/>
    <m/>
  </r>
  <r>
    <n v="13"/>
    <x v="1"/>
    <n v="2.5"/>
    <x v="0"/>
    <n v="4.5999999999999996"/>
    <n v="1.6"/>
    <n v="3.22"/>
    <n v="0.9"/>
    <x v="2"/>
    <n v="6"/>
    <n v="4"/>
    <n v="3"/>
    <n v="0"/>
    <m/>
  </r>
  <r>
    <n v="18"/>
    <x v="0"/>
    <n v="2.2000000000000002"/>
    <x v="2"/>
    <n v="4.5"/>
    <n v="2"/>
    <n v="2.4900000000000002"/>
    <n v="0.8"/>
    <x v="1"/>
    <n v="1"/>
    <n v="7"/>
    <n v="6"/>
    <n v="0"/>
    <m/>
  </r>
  <r>
    <n v="16"/>
    <x v="0"/>
    <n v="4.0999999999999996"/>
    <x v="2"/>
    <n v="5.5"/>
    <n v="1.9"/>
    <n v="2.65"/>
    <n v="1.5"/>
    <x v="0"/>
    <n v="5"/>
    <n v="7"/>
    <n v="9"/>
    <n v="0"/>
    <m/>
  </r>
  <r>
    <n v="16"/>
    <x v="1"/>
    <n v="2.8"/>
    <x v="1"/>
    <n v="7.4"/>
    <n v="2"/>
    <n v="3.4"/>
    <n v="1.6"/>
    <x v="0"/>
    <n v="4"/>
    <n v="1"/>
    <n v="1"/>
    <n v="0"/>
    <m/>
  </r>
  <r>
    <n v="17"/>
    <x v="1"/>
    <n v="1.1000000000000001"/>
    <x v="1"/>
    <n v="8.1999999999999993"/>
    <n v="2.7"/>
    <n v="2.84"/>
    <n v="0.2"/>
    <x v="1"/>
    <n v="2"/>
    <n v="4"/>
    <n v="1"/>
    <n v="0"/>
    <m/>
  </r>
  <r>
    <n v="13"/>
    <x v="0"/>
    <n v="7"/>
    <x v="2"/>
    <n v="5.7"/>
    <n v="1.6"/>
    <n v="3.45"/>
    <n v="1.2"/>
    <x v="2"/>
    <n v="7"/>
    <n v="1"/>
    <n v="10"/>
    <n v="0"/>
    <m/>
  </r>
  <r>
    <n v="18"/>
    <x v="0"/>
    <n v="2.6"/>
    <x v="1"/>
    <n v="7.9"/>
    <n v="2.2999999999999998"/>
    <n v="2.4300000000000002"/>
    <n v="0.1"/>
    <x v="1"/>
    <n v="5"/>
    <n v="1"/>
    <n v="6"/>
    <n v="0"/>
    <m/>
  </r>
  <r>
    <n v="13"/>
    <x v="1"/>
    <n v="2.6"/>
    <x v="1"/>
    <n v="6.1"/>
    <n v="1.4"/>
    <n v="2.11"/>
    <n v="0.4"/>
    <x v="1"/>
    <n v="7"/>
    <n v="5"/>
    <n v="10"/>
    <n v="0"/>
    <m/>
  </r>
  <r>
    <n v="14"/>
    <x v="0"/>
    <n v="3.4"/>
    <x v="0"/>
    <n v="4.5999999999999996"/>
    <n v="2"/>
    <n v="2.27"/>
    <n v="1.9"/>
    <x v="1"/>
    <n v="7"/>
    <n v="10"/>
    <n v="6"/>
    <n v="0"/>
    <m/>
  </r>
  <r>
    <n v="14"/>
    <x v="0"/>
    <n v="7.9"/>
    <x v="0"/>
    <n v="5.7"/>
    <n v="1.6"/>
    <n v="3.67"/>
    <n v="0.6"/>
    <x v="2"/>
    <n v="4"/>
    <n v="3"/>
    <n v="4"/>
    <n v="0"/>
    <m/>
  </r>
  <r>
    <n v="13"/>
    <x v="0"/>
    <n v="5.0999999999999996"/>
    <x v="1"/>
    <n v="5.3"/>
    <n v="2.6"/>
    <n v="2.95"/>
    <n v="1.2"/>
    <x v="2"/>
    <n v="2"/>
    <n v="6"/>
    <n v="10"/>
    <n v="0"/>
    <m/>
  </r>
  <r>
    <n v="13"/>
    <x v="1"/>
    <n v="2.8"/>
    <x v="2"/>
    <n v="6.4"/>
    <n v="1.4"/>
    <n v="2.38"/>
    <n v="1.4"/>
    <x v="2"/>
    <n v="4"/>
    <n v="8"/>
    <n v="10"/>
    <n v="0"/>
    <m/>
  </r>
  <r>
    <n v="19"/>
    <x v="1"/>
    <n v="3.4"/>
    <x v="1"/>
    <n v="4.3"/>
    <n v="0.7"/>
    <n v="2.17"/>
    <n v="0.7"/>
    <x v="1"/>
    <n v="3"/>
    <n v="1"/>
    <n v="4"/>
    <n v="0"/>
    <m/>
  </r>
  <r>
    <n v="18"/>
    <x v="0"/>
    <n v="6.3"/>
    <x v="2"/>
    <n v="6.9"/>
    <n v="1"/>
    <n v="3.22"/>
    <n v="0.8"/>
    <x v="2"/>
    <n v="4"/>
    <n v="6"/>
    <n v="1"/>
    <n v="0"/>
    <m/>
  </r>
  <r>
    <n v="17"/>
    <x v="1"/>
    <n v="1.1000000000000001"/>
    <x v="1"/>
    <n v="4.5999999999999996"/>
    <n v="2.5"/>
    <n v="3.93"/>
    <n v="0.3"/>
    <x v="1"/>
    <n v="10"/>
    <n v="6"/>
    <n v="2"/>
    <n v="0"/>
    <m/>
  </r>
  <r>
    <n v="19"/>
    <x v="0"/>
    <n v="3.8"/>
    <x v="0"/>
    <n v="7.1"/>
    <n v="2.5"/>
    <n v="3.81"/>
    <n v="0.9"/>
    <x v="0"/>
    <n v="6"/>
    <n v="9"/>
    <n v="4"/>
    <n v="0"/>
    <m/>
  </r>
  <r>
    <n v="13"/>
    <x v="0"/>
    <n v="2.1"/>
    <x v="0"/>
    <n v="4.0999999999999996"/>
    <n v="1.6"/>
    <n v="2.12"/>
    <n v="1.8"/>
    <x v="1"/>
    <n v="10"/>
    <n v="9"/>
    <n v="6"/>
    <n v="0"/>
    <m/>
  </r>
  <r>
    <n v="17"/>
    <x v="1"/>
    <n v="6.2"/>
    <x v="2"/>
    <n v="6.1"/>
    <n v="2.4"/>
    <n v="3.05"/>
    <n v="1.8"/>
    <x v="1"/>
    <n v="3"/>
    <n v="6"/>
    <n v="8"/>
    <n v="0"/>
    <m/>
  </r>
  <r>
    <n v="19"/>
    <x v="0"/>
    <n v="6.8"/>
    <x v="0"/>
    <n v="8.4"/>
    <n v="2.1"/>
    <n v="3.15"/>
    <n v="2"/>
    <x v="2"/>
    <n v="4"/>
    <n v="10"/>
    <n v="1"/>
    <n v="0"/>
    <m/>
  </r>
  <r>
    <n v="14"/>
    <x v="0"/>
    <n v="5.2"/>
    <x v="0"/>
    <n v="5.5"/>
    <n v="1.6"/>
    <n v="3.08"/>
    <n v="0.5"/>
    <x v="2"/>
    <n v="3"/>
    <n v="8"/>
    <n v="1"/>
    <n v="0"/>
    <m/>
  </r>
  <r>
    <n v="15"/>
    <x v="0"/>
    <n v="3.7"/>
    <x v="2"/>
    <n v="4"/>
    <n v="0.9"/>
    <n v="3"/>
    <n v="1.4"/>
    <x v="2"/>
    <n v="1"/>
    <n v="8"/>
    <n v="10"/>
    <n v="0"/>
    <m/>
  </r>
  <r>
    <n v="19"/>
    <x v="0"/>
    <n v="2.4"/>
    <x v="2"/>
    <n v="7.5"/>
    <n v="1.8"/>
    <n v="2.35"/>
    <n v="1.4"/>
    <x v="0"/>
    <n v="3"/>
    <n v="8"/>
    <n v="6"/>
    <n v="0"/>
    <m/>
  </r>
  <r>
    <n v="13"/>
    <x v="0"/>
    <n v="2.1"/>
    <x v="1"/>
    <n v="5.8"/>
    <n v="2.7"/>
    <n v="3.83"/>
    <n v="1.9"/>
    <x v="0"/>
    <n v="4"/>
    <n v="6"/>
    <n v="6"/>
    <n v="0"/>
    <m/>
  </r>
  <r>
    <n v="17"/>
    <x v="1"/>
    <n v="2.6"/>
    <x v="1"/>
    <n v="4.2"/>
    <n v="0.7"/>
    <n v="3.02"/>
    <n v="1.6"/>
    <x v="0"/>
    <n v="7"/>
    <n v="4"/>
    <n v="7"/>
    <n v="0"/>
    <m/>
  </r>
  <r>
    <n v="19"/>
    <x v="0"/>
    <n v="6.5"/>
    <x v="0"/>
    <n v="6"/>
    <n v="1.5"/>
    <n v="2.12"/>
    <n v="1.7"/>
    <x v="2"/>
    <n v="8"/>
    <n v="5"/>
    <n v="7"/>
    <n v="0"/>
    <m/>
  </r>
  <r>
    <n v="16"/>
    <x v="1"/>
    <n v="3.4"/>
    <x v="0"/>
    <n v="5.3"/>
    <n v="1.8"/>
    <n v="3.33"/>
    <n v="0.3"/>
    <x v="0"/>
    <n v="9"/>
    <n v="2"/>
    <n v="4"/>
    <n v="0"/>
    <m/>
  </r>
  <r>
    <n v="16"/>
    <x v="0"/>
    <n v="1.7"/>
    <x v="2"/>
    <n v="4.3"/>
    <n v="1.4"/>
    <n v="3.27"/>
    <n v="1.2"/>
    <x v="2"/>
    <n v="10"/>
    <n v="4"/>
    <n v="10"/>
    <n v="0"/>
    <m/>
  </r>
  <r>
    <n v="13"/>
    <x v="0"/>
    <n v="5.6"/>
    <x v="2"/>
    <n v="4.4000000000000004"/>
    <n v="2.9"/>
    <n v="3.19"/>
    <n v="0.9"/>
    <x v="2"/>
    <n v="6"/>
    <n v="3"/>
    <n v="4"/>
    <n v="0"/>
    <m/>
  </r>
  <r>
    <n v="15"/>
    <x v="1"/>
    <n v="8"/>
    <x v="2"/>
    <n v="5.7"/>
    <n v="1.3"/>
    <n v="3.54"/>
    <n v="0.1"/>
    <x v="1"/>
    <n v="9"/>
    <n v="7"/>
    <n v="5"/>
    <n v="1"/>
    <m/>
  </r>
  <r>
    <n v="15"/>
    <x v="1"/>
    <n v="5.7"/>
    <x v="0"/>
    <n v="8.4"/>
    <n v="1.3"/>
    <n v="2.48"/>
    <n v="0.9"/>
    <x v="1"/>
    <n v="5"/>
    <n v="2"/>
    <n v="4"/>
    <n v="0"/>
    <m/>
  </r>
  <r>
    <n v="16"/>
    <x v="1"/>
    <n v="4"/>
    <x v="1"/>
    <n v="5.4"/>
    <n v="2.7"/>
    <n v="2.88"/>
    <n v="1.2"/>
    <x v="2"/>
    <n v="4"/>
    <n v="10"/>
    <n v="1"/>
    <n v="0"/>
    <m/>
  </r>
  <r>
    <n v="13"/>
    <x v="1"/>
    <n v="3.5"/>
    <x v="0"/>
    <n v="5.3"/>
    <n v="1.7"/>
    <n v="2.2000000000000002"/>
    <n v="0.8"/>
    <x v="1"/>
    <n v="6"/>
    <n v="10"/>
    <n v="8"/>
    <n v="0"/>
    <m/>
  </r>
  <r>
    <n v="15"/>
    <x v="1"/>
    <n v="4.2"/>
    <x v="1"/>
    <n v="5.5"/>
    <n v="1.3"/>
    <n v="3.49"/>
    <n v="0.5"/>
    <x v="0"/>
    <n v="2"/>
    <n v="5"/>
    <n v="2"/>
    <n v="0"/>
    <m/>
  </r>
  <r>
    <n v="19"/>
    <x v="1"/>
    <n v="3.9"/>
    <x v="1"/>
    <n v="7.4"/>
    <n v="2.5"/>
    <n v="3.74"/>
    <n v="0.3"/>
    <x v="2"/>
    <n v="5"/>
    <n v="8"/>
    <n v="3"/>
    <n v="0"/>
    <m/>
  </r>
  <r>
    <n v="17"/>
    <x v="1"/>
    <n v="6.7"/>
    <x v="0"/>
    <n v="4.3"/>
    <n v="0.6"/>
    <n v="3.76"/>
    <n v="0"/>
    <x v="0"/>
    <n v="2"/>
    <n v="1"/>
    <n v="7"/>
    <n v="0"/>
    <m/>
  </r>
  <r>
    <n v="15"/>
    <x v="0"/>
    <n v="6.7"/>
    <x v="2"/>
    <n v="4.3"/>
    <n v="1.8"/>
    <n v="3.69"/>
    <n v="0.7"/>
    <x v="1"/>
    <n v="2"/>
    <n v="8"/>
    <n v="7"/>
    <n v="0"/>
    <m/>
  </r>
  <r>
    <n v="14"/>
    <x v="1"/>
    <n v="3.4"/>
    <x v="0"/>
    <n v="5.6"/>
    <n v="1.7"/>
    <n v="3.38"/>
    <n v="0.3"/>
    <x v="1"/>
    <n v="9"/>
    <n v="3"/>
    <n v="1"/>
    <n v="0"/>
    <m/>
  </r>
  <r>
    <n v="16"/>
    <x v="0"/>
    <n v="5"/>
    <x v="1"/>
    <n v="4.3"/>
    <n v="0.7"/>
    <n v="3.68"/>
    <n v="1.2"/>
    <x v="0"/>
    <n v="6"/>
    <n v="2"/>
    <n v="4"/>
    <n v="0"/>
    <m/>
  </r>
  <r>
    <n v="18"/>
    <x v="1"/>
    <n v="3.8"/>
    <x v="0"/>
    <n v="5.9"/>
    <n v="1"/>
    <n v="2.2200000000000002"/>
    <n v="0.6"/>
    <x v="0"/>
    <n v="9"/>
    <n v="10"/>
    <n v="9"/>
    <n v="0"/>
    <m/>
  </r>
  <r>
    <n v="15"/>
    <x v="1"/>
    <n v="7.3"/>
    <x v="1"/>
    <n v="7.3"/>
    <n v="2.8"/>
    <n v="2.46"/>
    <n v="0.3"/>
    <x v="0"/>
    <n v="2"/>
    <n v="7"/>
    <n v="5"/>
    <n v="0"/>
    <m/>
  </r>
  <r>
    <n v="18"/>
    <x v="1"/>
    <n v="7.2"/>
    <x v="1"/>
    <n v="5"/>
    <n v="1.4"/>
    <n v="3.65"/>
    <n v="1.1000000000000001"/>
    <x v="0"/>
    <n v="8"/>
    <n v="8"/>
    <n v="4"/>
    <n v="1"/>
    <m/>
  </r>
  <r>
    <n v="15"/>
    <x v="1"/>
    <n v="3.1"/>
    <x v="2"/>
    <n v="4.2"/>
    <n v="2.1"/>
    <n v="3.21"/>
    <n v="1.1000000000000001"/>
    <x v="2"/>
    <n v="8"/>
    <n v="2"/>
    <n v="10"/>
    <n v="0"/>
    <m/>
  </r>
  <r>
    <n v="15"/>
    <x v="1"/>
    <n v="8"/>
    <x v="0"/>
    <n v="4.4000000000000004"/>
    <n v="0.7"/>
    <n v="2.62"/>
    <n v="1.6"/>
    <x v="1"/>
    <n v="6"/>
    <n v="7"/>
    <n v="2"/>
    <n v="0"/>
    <m/>
  </r>
  <r>
    <n v="15"/>
    <x v="0"/>
    <n v="4.3"/>
    <x v="0"/>
    <n v="7.5"/>
    <n v="1.1000000000000001"/>
    <n v="2.06"/>
    <n v="1.8"/>
    <x v="2"/>
    <n v="5"/>
    <n v="7"/>
    <n v="2"/>
    <n v="0"/>
    <m/>
  </r>
  <r>
    <n v="14"/>
    <x v="1"/>
    <n v="4"/>
    <x v="1"/>
    <n v="5.0999999999999996"/>
    <n v="1.1000000000000001"/>
    <n v="3.98"/>
    <n v="1.3"/>
    <x v="2"/>
    <n v="5"/>
    <n v="4"/>
    <n v="9"/>
    <n v="0"/>
    <m/>
  </r>
  <r>
    <n v="15"/>
    <x v="0"/>
    <n v="6.9"/>
    <x v="1"/>
    <n v="5.6"/>
    <n v="1.4"/>
    <n v="2.09"/>
    <n v="0.7"/>
    <x v="0"/>
    <n v="9"/>
    <n v="5"/>
    <n v="9"/>
    <n v="0"/>
    <m/>
  </r>
  <r>
    <n v="13"/>
    <x v="0"/>
    <n v="7"/>
    <x v="1"/>
    <n v="4.4000000000000004"/>
    <n v="0.9"/>
    <n v="3.67"/>
    <n v="0.4"/>
    <x v="0"/>
    <n v="5"/>
    <n v="3"/>
    <n v="6"/>
    <n v="0"/>
    <m/>
  </r>
  <r>
    <n v="13"/>
    <x v="0"/>
    <n v="6.2"/>
    <x v="0"/>
    <n v="8.6"/>
    <n v="1.8"/>
    <n v="2.19"/>
    <n v="0.7"/>
    <x v="1"/>
    <n v="8"/>
    <n v="4"/>
    <n v="7"/>
    <n v="0"/>
    <m/>
  </r>
  <r>
    <n v="15"/>
    <x v="0"/>
    <n v="7.7"/>
    <x v="0"/>
    <n v="8"/>
    <n v="1.3"/>
    <n v="3.78"/>
    <n v="1.1000000000000001"/>
    <x v="2"/>
    <n v="1"/>
    <n v="6"/>
    <n v="5"/>
    <n v="0"/>
    <m/>
  </r>
  <r>
    <n v="19"/>
    <x v="1"/>
    <n v="5.0999999999999996"/>
    <x v="2"/>
    <n v="6.3"/>
    <n v="2.2999999999999998"/>
    <n v="2.5499999999999998"/>
    <n v="2"/>
    <x v="2"/>
    <n v="6"/>
    <n v="9"/>
    <n v="7"/>
    <n v="0"/>
    <m/>
  </r>
  <r>
    <n v="15"/>
    <x v="0"/>
    <n v="1"/>
    <x v="1"/>
    <n v="8.5"/>
    <n v="2"/>
    <n v="3.77"/>
    <n v="1.9"/>
    <x v="1"/>
    <n v="4"/>
    <n v="1"/>
    <n v="7"/>
    <n v="0"/>
    <m/>
  </r>
  <r>
    <n v="15"/>
    <x v="1"/>
    <n v="1.1000000000000001"/>
    <x v="0"/>
    <n v="4.5999999999999996"/>
    <n v="1.8"/>
    <n v="2.35"/>
    <n v="1.1000000000000001"/>
    <x v="2"/>
    <n v="10"/>
    <n v="6"/>
    <n v="6"/>
    <n v="0"/>
    <m/>
  </r>
  <r>
    <n v="13"/>
    <x v="1"/>
    <n v="7"/>
    <x v="0"/>
    <n v="4.9000000000000004"/>
    <n v="1.2"/>
    <n v="3.61"/>
    <n v="0.2"/>
    <x v="2"/>
    <n v="2"/>
    <n v="3"/>
    <n v="5"/>
    <n v="0"/>
    <m/>
  </r>
  <r>
    <n v="15"/>
    <x v="1"/>
    <n v="2.7"/>
    <x v="2"/>
    <n v="7.8"/>
    <n v="1.8"/>
    <n v="3.9"/>
    <n v="1.4"/>
    <x v="0"/>
    <n v="5"/>
    <n v="8"/>
    <n v="9"/>
    <n v="0"/>
    <m/>
  </r>
  <r>
    <n v="18"/>
    <x v="0"/>
    <n v="2.5"/>
    <x v="0"/>
    <n v="4.2"/>
    <n v="1.4"/>
    <n v="3.9"/>
    <n v="0.7"/>
    <x v="1"/>
    <n v="5"/>
    <n v="2"/>
    <n v="3"/>
    <n v="0"/>
    <m/>
  </r>
  <r>
    <n v="18"/>
    <x v="1"/>
    <n v="2.2999999999999998"/>
    <x v="1"/>
    <n v="4.3"/>
    <n v="0.9"/>
    <n v="3.27"/>
    <n v="0.1"/>
    <x v="1"/>
    <n v="5"/>
    <n v="9"/>
    <n v="10"/>
    <n v="0"/>
    <m/>
  </r>
  <r>
    <n v="17"/>
    <x v="1"/>
    <n v="2.7"/>
    <x v="1"/>
    <n v="6.6"/>
    <n v="1.6"/>
    <n v="3.36"/>
    <n v="1.6"/>
    <x v="1"/>
    <n v="3"/>
    <n v="1"/>
    <n v="2"/>
    <n v="0"/>
    <m/>
  </r>
  <r>
    <n v="14"/>
    <x v="0"/>
    <n v="3.2"/>
    <x v="0"/>
    <n v="5.4"/>
    <n v="2.6"/>
    <n v="3.18"/>
    <n v="0.9"/>
    <x v="0"/>
    <n v="9"/>
    <n v="1"/>
    <n v="7"/>
    <n v="0"/>
    <m/>
  </r>
  <r>
    <n v="18"/>
    <x v="1"/>
    <n v="3.8"/>
    <x v="2"/>
    <n v="5.3"/>
    <n v="2.2999999999999998"/>
    <n v="3.42"/>
    <n v="0.4"/>
    <x v="0"/>
    <n v="4"/>
    <n v="8"/>
    <n v="2"/>
    <n v="0"/>
    <m/>
  </r>
  <r>
    <n v="14"/>
    <x v="1"/>
    <n v="4.0999999999999996"/>
    <x v="1"/>
    <n v="5.4"/>
    <n v="2.4"/>
    <n v="2.71"/>
    <n v="1.3"/>
    <x v="0"/>
    <n v="9"/>
    <n v="5"/>
    <n v="10"/>
    <n v="0"/>
    <m/>
  </r>
  <r>
    <n v="13"/>
    <x v="1"/>
    <n v="2.2999999999999998"/>
    <x v="1"/>
    <n v="6.6"/>
    <n v="1.4"/>
    <n v="3.74"/>
    <n v="1.5"/>
    <x v="2"/>
    <n v="6"/>
    <n v="10"/>
    <n v="1"/>
    <n v="0"/>
    <m/>
  </r>
  <r>
    <n v="15"/>
    <x v="0"/>
    <n v="8"/>
    <x v="0"/>
    <n v="4.7"/>
    <n v="0.6"/>
    <n v="3.01"/>
    <n v="1.8"/>
    <x v="2"/>
    <n v="2"/>
    <n v="9"/>
    <n v="10"/>
    <n v="0"/>
    <m/>
  </r>
  <r>
    <n v="15"/>
    <x v="1"/>
    <n v="2.9"/>
    <x v="1"/>
    <n v="6.4"/>
    <n v="0.7"/>
    <n v="3.41"/>
    <n v="1.6"/>
    <x v="0"/>
    <n v="3"/>
    <n v="10"/>
    <n v="7"/>
    <n v="0"/>
    <m/>
  </r>
  <r>
    <n v="19"/>
    <x v="1"/>
    <n v="4.4000000000000004"/>
    <x v="2"/>
    <n v="5"/>
    <n v="2.8"/>
    <n v="2.69"/>
    <n v="0.4"/>
    <x v="1"/>
    <n v="3"/>
    <n v="8"/>
    <n v="8"/>
    <n v="0"/>
    <m/>
  </r>
  <r>
    <n v="18"/>
    <x v="1"/>
    <n v="3.1"/>
    <x v="2"/>
    <n v="6.8"/>
    <n v="2"/>
    <n v="3.77"/>
    <n v="1.4"/>
    <x v="0"/>
    <n v="1"/>
    <n v="3"/>
    <n v="4"/>
    <n v="0"/>
    <m/>
  </r>
  <r>
    <n v="18"/>
    <x v="0"/>
    <n v="7.9"/>
    <x v="1"/>
    <n v="7.5"/>
    <n v="2"/>
    <n v="2.77"/>
    <n v="0.9"/>
    <x v="0"/>
    <n v="10"/>
    <n v="4"/>
    <n v="4"/>
    <n v="0"/>
    <m/>
  </r>
  <r>
    <n v="14"/>
    <x v="1"/>
    <n v="1.2"/>
    <x v="2"/>
    <n v="7"/>
    <n v="2.2000000000000002"/>
    <n v="3.83"/>
    <n v="0.8"/>
    <x v="0"/>
    <n v="6"/>
    <n v="10"/>
    <n v="5"/>
    <n v="0"/>
    <m/>
  </r>
  <r>
    <n v="19"/>
    <x v="1"/>
    <n v="4"/>
    <x v="2"/>
    <n v="7.4"/>
    <n v="2.7"/>
    <n v="3.41"/>
    <n v="1.4"/>
    <x v="2"/>
    <n v="9"/>
    <n v="4"/>
    <n v="7"/>
    <n v="0"/>
    <m/>
  </r>
  <r>
    <n v="18"/>
    <x v="0"/>
    <n v="1"/>
    <x v="0"/>
    <n v="7.1"/>
    <n v="0.8"/>
    <n v="2.4700000000000002"/>
    <n v="1.9"/>
    <x v="1"/>
    <n v="4"/>
    <n v="2"/>
    <n v="4"/>
    <n v="0"/>
    <m/>
  </r>
  <r>
    <n v="19"/>
    <x v="1"/>
    <n v="7.9"/>
    <x v="0"/>
    <n v="5.7"/>
    <n v="2.4"/>
    <n v="3.59"/>
    <n v="1.9"/>
    <x v="1"/>
    <n v="1"/>
    <n v="9"/>
    <n v="9"/>
    <n v="0"/>
    <m/>
  </r>
  <r>
    <n v="14"/>
    <x v="0"/>
    <n v="6.2"/>
    <x v="1"/>
    <n v="4.4000000000000004"/>
    <n v="0.7"/>
    <n v="3.45"/>
    <n v="0.5"/>
    <x v="2"/>
    <n v="9"/>
    <n v="10"/>
    <n v="3"/>
    <n v="1"/>
    <m/>
  </r>
  <r>
    <n v="16"/>
    <x v="1"/>
    <n v="2.5"/>
    <x v="0"/>
    <n v="5.4"/>
    <n v="2.2999999999999998"/>
    <n v="3.43"/>
    <n v="0.5"/>
    <x v="1"/>
    <n v="9"/>
    <n v="1"/>
    <n v="2"/>
    <n v="0"/>
    <m/>
  </r>
  <r>
    <n v="16"/>
    <x v="0"/>
    <n v="4.7"/>
    <x v="2"/>
    <n v="8.1999999999999993"/>
    <n v="2.6"/>
    <n v="3.05"/>
    <n v="1"/>
    <x v="2"/>
    <n v="4"/>
    <n v="7"/>
    <n v="2"/>
    <n v="0"/>
    <m/>
  </r>
  <r>
    <n v="16"/>
    <x v="0"/>
    <n v="6.3"/>
    <x v="0"/>
    <n v="6.5"/>
    <n v="1"/>
    <n v="2.52"/>
    <n v="0.4"/>
    <x v="0"/>
    <n v="1"/>
    <n v="10"/>
    <n v="6"/>
    <n v="0"/>
    <m/>
  </r>
  <r>
    <n v="17"/>
    <x v="1"/>
    <n v="7.5"/>
    <x v="1"/>
    <n v="5.4"/>
    <n v="2.2999999999999998"/>
    <n v="3.44"/>
    <n v="0.4"/>
    <x v="2"/>
    <n v="7"/>
    <n v="9"/>
    <n v="7"/>
    <n v="1"/>
    <m/>
  </r>
  <r>
    <n v="18"/>
    <x v="0"/>
    <n v="2"/>
    <x v="1"/>
    <n v="8.4"/>
    <n v="1.5"/>
    <n v="2.83"/>
    <n v="1.2"/>
    <x v="0"/>
    <n v="9"/>
    <n v="4"/>
    <n v="5"/>
    <n v="0"/>
    <m/>
  </r>
  <r>
    <n v="13"/>
    <x v="1"/>
    <n v="6.3"/>
    <x v="0"/>
    <n v="8.4"/>
    <n v="1.6"/>
    <n v="2.0299999999999998"/>
    <n v="1.5"/>
    <x v="2"/>
    <n v="5"/>
    <n v="3"/>
    <n v="9"/>
    <n v="0"/>
    <m/>
  </r>
  <r>
    <n v="16"/>
    <x v="0"/>
    <n v="6.6"/>
    <x v="2"/>
    <n v="8.9"/>
    <n v="2"/>
    <n v="3.44"/>
    <n v="1.7"/>
    <x v="0"/>
    <n v="10"/>
    <n v="9"/>
    <n v="3"/>
    <n v="0"/>
    <m/>
  </r>
  <r>
    <n v="19"/>
    <x v="1"/>
    <n v="3.6"/>
    <x v="2"/>
    <n v="5.6"/>
    <n v="1.7"/>
    <n v="3.57"/>
    <n v="1.5"/>
    <x v="0"/>
    <n v="10"/>
    <n v="4"/>
    <n v="3"/>
    <n v="0"/>
    <m/>
  </r>
  <r>
    <n v="16"/>
    <x v="1"/>
    <n v="3.2"/>
    <x v="2"/>
    <n v="4.5999999999999996"/>
    <n v="2.5"/>
    <n v="2.62"/>
    <n v="1.8"/>
    <x v="0"/>
    <n v="9"/>
    <n v="5"/>
    <n v="1"/>
    <n v="0"/>
    <m/>
  </r>
  <r>
    <n v="13"/>
    <x v="1"/>
    <n v="3.1"/>
    <x v="0"/>
    <n v="6.4"/>
    <n v="1.6"/>
    <n v="3.69"/>
    <n v="0.9"/>
    <x v="2"/>
    <n v="1"/>
    <n v="2"/>
    <n v="1"/>
    <n v="0"/>
    <m/>
  </r>
  <r>
    <n v="18"/>
    <x v="0"/>
    <n v="6.7"/>
    <x v="0"/>
    <n v="8.8000000000000007"/>
    <n v="1.9"/>
    <n v="2.5499999999999998"/>
    <n v="1"/>
    <x v="0"/>
    <n v="5"/>
    <n v="8"/>
    <n v="3"/>
    <n v="0"/>
    <m/>
  </r>
  <r>
    <n v="17"/>
    <x v="0"/>
    <n v="6.6"/>
    <x v="1"/>
    <n v="8.1999999999999993"/>
    <n v="0.7"/>
    <n v="2.88"/>
    <n v="0.8"/>
    <x v="0"/>
    <n v="1"/>
    <n v="7"/>
    <n v="7"/>
    <n v="0"/>
    <m/>
  </r>
  <r>
    <n v="14"/>
    <x v="1"/>
    <n v="7"/>
    <x v="0"/>
    <n v="4.5"/>
    <n v="1.6"/>
    <n v="2.83"/>
    <n v="0.4"/>
    <x v="2"/>
    <n v="8"/>
    <n v="1"/>
    <n v="7"/>
    <n v="0"/>
    <m/>
  </r>
  <r>
    <n v="16"/>
    <x v="1"/>
    <n v="4.8"/>
    <x v="2"/>
    <n v="5.0999999999999996"/>
    <n v="2.1"/>
    <n v="2.4900000000000002"/>
    <n v="1.6"/>
    <x v="0"/>
    <n v="4"/>
    <n v="9"/>
    <n v="1"/>
    <n v="0"/>
    <m/>
  </r>
  <r>
    <n v="13"/>
    <x v="1"/>
    <n v="5.8"/>
    <x v="0"/>
    <n v="6.3"/>
    <n v="1.1000000000000001"/>
    <n v="3.09"/>
    <n v="0.9"/>
    <x v="2"/>
    <n v="8"/>
    <n v="4"/>
    <n v="9"/>
    <n v="0"/>
    <m/>
  </r>
  <r>
    <n v="19"/>
    <x v="1"/>
    <n v="6"/>
    <x v="2"/>
    <n v="6.3"/>
    <n v="2.8"/>
    <n v="3.98"/>
    <n v="2"/>
    <x v="2"/>
    <n v="2"/>
    <n v="6"/>
    <n v="2"/>
    <n v="0"/>
    <m/>
  </r>
  <r>
    <n v="15"/>
    <x v="0"/>
    <n v="4"/>
    <x v="2"/>
    <n v="5.2"/>
    <n v="1.8"/>
    <n v="3.3"/>
    <n v="0.7"/>
    <x v="2"/>
    <n v="10"/>
    <n v="5"/>
    <n v="1"/>
    <n v="0"/>
    <m/>
  </r>
  <r>
    <n v="14"/>
    <x v="1"/>
    <n v="5.8"/>
    <x v="2"/>
    <n v="4.8"/>
    <n v="2.6"/>
    <n v="2.08"/>
    <n v="0.8"/>
    <x v="2"/>
    <n v="6"/>
    <n v="4"/>
    <n v="9"/>
    <n v="0"/>
    <m/>
  </r>
  <r>
    <n v="19"/>
    <x v="0"/>
    <n v="5.2"/>
    <x v="0"/>
    <n v="7.6"/>
    <n v="1.3"/>
    <n v="3.89"/>
    <n v="1.5"/>
    <x v="1"/>
    <n v="4"/>
    <n v="5"/>
    <n v="8"/>
    <n v="0"/>
    <m/>
  </r>
  <r>
    <n v="17"/>
    <x v="0"/>
    <n v="2.9"/>
    <x v="2"/>
    <n v="6.7"/>
    <n v="1.5"/>
    <n v="3.62"/>
    <n v="0.8"/>
    <x v="2"/>
    <n v="10"/>
    <n v="6"/>
    <n v="4"/>
    <n v="0"/>
    <m/>
  </r>
  <r>
    <n v="18"/>
    <x v="1"/>
    <n v="7.5"/>
    <x v="1"/>
    <n v="7.5"/>
    <n v="1.4"/>
    <n v="3.14"/>
    <n v="2"/>
    <x v="0"/>
    <n v="2"/>
    <n v="9"/>
    <n v="2"/>
    <n v="0"/>
    <m/>
  </r>
  <r>
    <n v="13"/>
    <x v="1"/>
    <n v="5.8"/>
    <x v="0"/>
    <n v="6.1"/>
    <n v="1.2"/>
    <n v="3.81"/>
    <n v="1.8"/>
    <x v="2"/>
    <n v="6"/>
    <n v="10"/>
    <n v="6"/>
    <n v="0"/>
    <m/>
  </r>
  <r>
    <n v="14"/>
    <x v="0"/>
    <n v="7.6"/>
    <x v="0"/>
    <n v="5.8"/>
    <n v="1.9"/>
    <n v="3.49"/>
    <n v="1.7"/>
    <x v="1"/>
    <n v="10"/>
    <n v="1"/>
    <n v="3"/>
    <n v="0"/>
    <m/>
  </r>
  <r>
    <n v="15"/>
    <x v="1"/>
    <n v="1.3"/>
    <x v="1"/>
    <n v="7.6"/>
    <n v="0.6"/>
    <n v="3.46"/>
    <n v="1.9"/>
    <x v="0"/>
    <n v="1"/>
    <n v="1"/>
    <n v="4"/>
    <n v="0"/>
    <m/>
  </r>
  <r>
    <n v="15"/>
    <x v="0"/>
    <n v="3.7"/>
    <x v="2"/>
    <n v="5.7"/>
    <n v="1.3"/>
    <n v="3.24"/>
    <n v="0.2"/>
    <x v="0"/>
    <n v="4"/>
    <n v="9"/>
    <n v="10"/>
    <n v="0"/>
    <m/>
  </r>
  <r>
    <n v="18"/>
    <x v="0"/>
    <n v="3.6"/>
    <x v="0"/>
    <n v="4.7"/>
    <n v="2.5"/>
    <n v="2.73"/>
    <n v="1.2"/>
    <x v="2"/>
    <n v="9"/>
    <n v="7"/>
    <n v="6"/>
    <n v="0"/>
    <m/>
  </r>
  <r>
    <n v="15"/>
    <x v="0"/>
    <n v="6.4"/>
    <x v="1"/>
    <n v="6.9"/>
    <n v="2.9"/>
    <n v="2.48"/>
    <n v="0.9"/>
    <x v="0"/>
    <n v="8"/>
    <n v="4"/>
    <n v="8"/>
    <n v="0"/>
    <m/>
  </r>
  <r>
    <n v="13"/>
    <x v="0"/>
    <n v="6"/>
    <x v="1"/>
    <n v="4.8"/>
    <n v="2.6"/>
    <n v="2.74"/>
    <n v="1.6"/>
    <x v="1"/>
    <n v="6"/>
    <n v="10"/>
    <n v="8"/>
    <n v="0"/>
    <m/>
  </r>
  <r>
    <n v="14"/>
    <x v="1"/>
    <n v="1.3"/>
    <x v="1"/>
    <n v="7.7"/>
    <n v="1.9"/>
    <n v="2.27"/>
    <n v="1.5"/>
    <x v="0"/>
    <n v="7"/>
    <n v="2"/>
    <n v="2"/>
    <n v="0"/>
    <m/>
  </r>
  <r>
    <n v="18"/>
    <x v="0"/>
    <n v="3.7"/>
    <x v="0"/>
    <n v="7"/>
    <n v="1.4"/>
    <n v="2.0499999999999998"/>
    <n v="0.4"/>
    <x v="2"/>
    <n v="10"/>
    <n v="9"/>
    <n v="5"/>
    <n v="0"/>
    <m/>
  </r>
  <r>
    <n v="18"/>
    <x v="1"/>
    <n v="8"/>
    <x v="1"/>
    <n v="4.3"/>
    <n v="0.8"/>
    <n v="3.44"/>
    <n v="0.8"/>
    <x v="2"/>
    <n v="3"/>
    <n v="4"/>
    <n v="4"/>
    <n v="0"/>
    <m/>
  </r>
  <r>
    <n v="19"/>
    <x v="1"/>
    <n v="4.0999999999999996"/>
    <x v="2"/>
    <n v="7.5"/>
    <n v="2.7"/>
    <n v="2.66"/>
    <n v="1.6"/>
    <x v="1"/>
    <n v="5"/>
    <n v="10"/>
    <n v="5"/>
    <n v="0"/>
    <m/>
  </r>
  <r>
    <n v="13"/>
    <x v="0"/>
    <n v="3.9"/>
    <x v="2"/>
    <n v="8.6999999999999993"/>
    <n v="1.5"/>
    <n v="2.71"/>
    <n v="0.7"/>
    <x v="0"/>
    <n v="7"/>
    <n v="1"/>
    <n v="4"/>
    <n v="0"/>
    <m/>
  </r>
  <r>
    <n v="15"/>
    <x v="1"/>
    <n v="6.4"/>
    <x v="0"/>
    <n v="5.9"/>
    <n v="1.6"/>
    <n v="3.97"/>
    <n v="1"/>
    <x v="1"/>
    <n v="10"/>
    <n v="2"/>
    <n v="6"/>
    <n v="0"/>
    <m/>
  </r>
  <r>
    <n v="19"/>
    <x v="1"/>
    <n v="1.3"/>
    <x v="1"/>
    <n v="6.5"/>
    <n v="2.1"/>
    <n v="3.68"/>
    <n v="1.1000000000000001"/>
    <x v="1"/>
    <n v="7"/>
    <n v="1"/>
    <n v="9"/>
    <n v="0"/>
    <m/>
  </r>
  <r>
    <n v="18"/>
    <x v="1"/>
    <n v="5"/>
    <x v="0"/>
    <n v="6.6"/>
    <n v="1.8"/>
    <n v="3.87"/>
    <n v="1.2"/>
    <x v="1"/>
    <n v="3"/>
    <n v="4"/>
    <n v="2"/>
    <n v="0"/>
    <m/>
  </r>
  <r>
    <n v="18"/>
    <x v="0"/>
    <n v="5.5"/>
    <x v="2"/>
    <n v="5.2"/>
    <n v="1.4"/>
    <n v="3.24"/>
    <n v="0.9"/>
    <x v="2"/>
    <n v="10"/>
    <n v="5"/>
    <n v="7"/>
    <n v="0"/>
    <m/>
  </r>
  <r>
    <n v="13"/>
    <x v="1"/>
    <n v="7.6"/>
    <x v="0"/>
    <n v="7.9"/>
    <n v="3"/>
    <n v="2.54"/>
    <n v="1.2"/>
    <x v="1"/>
    <n v="8"/>
    <n v="8"/>
    <n v="1"/>
    <n v="0"/>
    <m/>
  </r>
  <r>
    <n v="19"/>
    <x v="1"/>
    <n v="6.3"/>
    <x v="2"/>
    <n v="5.7"/>
    <n v="2.2999999999999998"/>
    <n v="2.16"/>
    <n v="1.9"/>
    <x v="1"/>
    <n v="6"/>
    <n v="3"/>
    <n v="6"/>
    <n v="0"/>
    <m/>
  </r>
  <r>
    <n v="18"/>
    <x v="1"/>
    <n v="2"/>
    <x v="0"/>
    <n v="5.9"/>
    <n v="2.9"/>
    <n v="3.52"/>
    <n v="1.1000000000000001"/>
    <x v="1"/>
    <n v="8"/>
    <n v="6"/>
    <n v="10"/>
    <n v="0"/>
    <m/>
  </r>
  <r>
    <n v="15"/>
    <x v="0"/>
    <n v="4"/>
    <x v="1"/>
    <n v="4.5"/>
    <n v="1.9"/>
    <n v="3.22"/>
    <n v="0.2"/>
    <x v="2"/>
    <n v="4"/>
    <n v="5"/>
    <n v="3"/>
    <n v="0"/>
    <m/>
  </r>
  <r>
    <n v="14"/>
    <x v="0"/>
    <n v="4.9000000000000004"/>
    <x v="0"/>
    <n v="5.5"/>
    <n v="1.6"/>
    <n v="2.85"/>
    <n v="0.4"/>
    <x v="0"/>
    <n v="8"/>
    <n v="1"/>
    <n v="8"/>
    <n v="0"/>
    <m/>
  </r>
  <r>
    <n v="14"/>
    <x v="1"/>
    <n v="6.9"/>
    <x v="1"/>
    <n v="8"/>
    <n v="1.6"/>
    <n v="2.64"/>
    <n v="0.1"/>
    <x v="2"/>
    <n v="3"/>
    <n v="3"/>
    <n v="3"/>
    <n v="0"/>
    <m/>
  </r>
  <r>
    <n v="15"/>
    <x v="0"/>
    <n v="5.4"/>
    <x v="1"/>
    <n v="4.2"/>
    <n v="1.8"/>
    <n v="2.15"/>
    <n v="0.3"/>
    <x v="2"/>
    <n v="1"/>
    <n v="10"/>
    <n v="5"/>
    <n v="0"/>
    <m/>
  </r>
  <r>
    <n v="13"/>
    <x v="1"/>
    <n v="3.8"/>
    <x v="2"/>
    <n v="8.9"/>
    <n v="2.5"/>
    <n v="2.29"/>
    <n v="0.6"/>
    <x v="1"/>
    <n v="9"/>
    <n v="9"/>
    <n v="7"/>
    <n v="0"/>
    <m/>
  </r>
  <r>
    <n v="15"/>
    <x v="0"/>
    <n v="7.8"/>
    <x v="2"/>
    <n v="6.8"/>
    <n v="0.6"/>
    <n v="3.2"/>
    <n v="1.7"/>
    <x v="2"/>
    <n v="1"/>
    <n v="7"/>
    <n v="5"/>
    <n v="0"/>
    <m/>
  </r>
  <r>
    <n v="15"/>
    <x v="0"/>
    <n v="3.5"/>
    <x v="2"/>
    <n v="8.8000000000000007"/>
    <n v="1.8"/>
    <n v="3.5"/>
    <n v="0.8"/>
    <x v="0"/>
    <n v="3"/>
    <n v="6"/>
    <n v="3"/>
    <n v="0"/>
    <m/>
  </r>
  <r>
    <n v="19"/>
    <x v="1"/>
    <n v="5.4"/>
    <x v="0"/>
    <n v="7.3"/>
    <n v="2"/>
    <n v="3.98"/>
    <n v="0.9"/>
    <x v="2"/>
    <n v="6"/>
    <n v="6"/>
    <n v="1"/>
    <n v="0"/>
    <m/>
  </r>
  <r>
    <n v="17"/>
    <x v="0"/>
    <n v="3.8"/>
    <x v="2"/>
    <n v="5.7"/>
    <n v="2"/>
    <n v="3.01"/>
    <n v="1"/>
    <x v="0"/>
    <n v="1"/>
    <n v="3"/>
    <n v="1"/>
    <n v="0"/>
    <m/>
  </r>
  <r>
    <n v="17"/>
    <x v="0"/>
    <n v="8"/>
    <x v="0"/>
    <n v="6.9"/>
    <n v="2.2000000000000002"/>
    <n v="2.36"/>
    <n v="1.6"/>
    <x v="0"/>
    <n v="4"/>
    <n v="2"/>
    <n v="8"/>
    <n v="0"/>
    <m/>
  </r>
  <r>
    <n v="14"/>
    <x v="1"/>
    <n v="3.7"/>
    <x v="1"/>
    <n v="5.7"/>
    <n v="1.7"/>
    <n v="2.88"/>
    <n v="0.2"/>
    <x v="0"/>
    <n v="9"/>
    <n v="10"/>
    <n v="3"/>
    <n v="0"/>
    <m/>
  </r>
  <r>
    <n v="19"/>
    <x v="1"/>
    <n v="5"/>
    <x v="0"/>
    <n v="6.3"/>
    <n v="2.9"/>
    <n v="2.04"/>
    <n v="0.5"/>
    <x v="2"/>
    <n v="5"/>
    <n v="2"/>
    <n v="2"/>
    <n v="0"/>
    <m/>
  </r>
  <r>
    <n v="19"/>
    <x v="1"/>
    <n v="4.2"/>
    <x v="0"/>
    <n v="7.1"/>
    <n v="2.5"/>
    <n v="3.91"/>
    <n v="1.5"/>
    <x v="1"/>
    <n v="6"/>
    <n v="8"/>
    <n v="9"/>
    <n v="0"/>
    <m/>
  </r>
  <r>
    <n v="16"/>
    <x v="0"/>
    <n v="4.5999999999999996"/>
    <x v="0"/>
    <n v="8.1999999999999993"/>
    <n v="1.5"/>
    <n v="2.13"/>
    <n v="1"/>
    <x v="0"/>
    <n v="3"/>
    <n v="2"/>
    <n v="2"/>
    <n v="0"/>
    <m/>
  </r>
  <r>
    <n v="18"/>
    <x v="0"/>
    <n v="5.5"/>
    <x v="0"/>
    <n v="5"/>
    <n v="0.9"/>
    <n v="2.93"/>
    <n v="1.1000000000000001"/>
    <x v="0"/>
    <n v="4"/>
    <n v="10"/>
    <n v="10"/>
    <n v="0"/>
    <m/>
  </r>
  <r>
    <n v="19"/>
    <x v="1"/>
    <n v="1.8"/>
    <x v="0"/>
    <n v="4.5"/>
    <n v="2.8"/>
    <n v="3.22"/>
    <n v="1.6"/>
    <x v="2"/>
    <n v="5"/>
    <n v="3"/>
    <n v="10"/>
    <n v="0"/>
    <m/>
  </r>
  <r>
    <n v="14"/>
    <x v="1"/>
    <n v="6.6"/>
    <x v="1"/>
    <n v="6.2"/>
    <n v="1.8"/>
    <n v="2.36"/>
    <n v="1.7"/>
    <x v="1"/>
    <n v="4"/>
    <n v="1"/>
    <n v="8"/>
    <n v="0"/>
    <m/>
  </r>
  <r>
    <n v="15"/>
    <x v="1"/>
    <n v="4.4000000000000004"/>
    <x v="1"/>
    <n v="5.3"/>
    <n v="0.9"/>
    <n v="3.75"/>
    <n v="0.5"/>
    <x v="1"/>
    <n v="10"/>
    <n v="5"/>
    <n v="5"/>
    <n v="0"/>
    <m/>
  </r>
  <r>
    <n v="14"/>
    <x v="1"/>
    <n v="4.7"/>
    <x v="1"/>
    <n v="4.4000000000000004"/>
    <n v="2.1"/>
    <n v="3.92"/>
    <n v="0.9"/>
    <x v="0"/>
    <n v="10"/>
    <n v="1"/>
    <n v="4"/>
    <n v="0"/>
    <m/>
  </r>
  <r>
    <n v="18"/>
    <x v="1"/>
    <n v="7.1"/>
    <x v="0"/>
    <n v="5.7"/>
    <n v="0.6"/>
    <n v="2.9"/>
    <n v="1.7"/>
    <x v="2"/>
    <n v="3"/>
    <n v="1"/>
    <n v="6"/>
    <n v="0"/>
    <m/>
  </r>
  <r>
    <n v="17"/>
    <x v="0"/>
    <n v="4"/>
    <x v="2"/>
    <n v="8.5"/>
    <n v="1"/>
    <n v="2.16"/>
    <n v="0.1"/>
    <x v="0"/>
    <n v="1"/>
    <n v="7"/>
    <n v="5"/>
    <n v="0"/>
    <m/>
  </r>
  <r>
    <n v="18"/>
    <x v="1"/>
    <n v="5.5"/>
    <x v="0"/>
    <n v="5.3"/>
    <n v="2.6"/>
    <n v="3.09"/>
    <n v="2"/>
    <x v="0"/>
    <n v="8"/>
    <n v="6"/>
    <n v="3"/>
    <n v="0"/>
    <m/>
  </r>
  <r>
    <n v="19"/>
    <x v="0"/>
    <n v="5.6"/>
    <x v="1"/>
    <n v="6.5"/>
    <n v="1.4"/>
    <n v="3.19"/>
    <n v="0"/>
    <x v="1"/>
    <n v="9"/>
    <n v="9"/>
    <n v="7"/>
    <n v="0"/>
    <m/>
  </r>
  <r>
    <n v="14"/>
    <x v="1"/>
    <n v="3.7"/>
    <x v="2"/>
    <n v="7.1"/>
    <n v="1.7"/>
    <n v="2.5"/>
    <n v="1.8"/>
    <x v="2"/>
    <n v="10"/>
    <n v="4"/>
    <n v="5"/>
    <n v="0"/>
    <m/>
  </r>
  <r>
    <n v="16"/>
    <x v="0"/>
    <n v="1.8"/>
    <x v="1"/>
    <n v="7.4"/>
    <n v="2.2999999999999998"/>
    <n v="3.76"/>
    <n v="0.8"/>
    <x v="0"/>
    <n v="9"/>
    <n v="5"/>
    <n v="8"/>
    <n v="0"/>
    <m/>
  </r>
  <r>
    <n v="16"/>
    <x v="1"/>
    <n v="7.6"/>
    <x v="1"/>
    <n v="4.2"/>
    <n v="2.8"/>
    <n v="3.87"/>
    <n v="0.7"/>
    <x v="1"/>
    <n v="10"/>
    <n v="2"/>
    <n v="9"/>
    <n v="0"/>
    <m/>
  </r>
  <r>
    <n v="18"/>
    <x v="0"/>
    <n v="5.7"/>
    <x v="1"/>
    <n v="8"/>
    <n v="2.5"/>
    <n v="3.4"/>
    <n v="0.1"/>
    <x v="0"/>
    <n v="5"/>
    <n v="2"/>
    <n v="1"/>
    <n v="0"/>
    <m/>
  </r>
  <r>
    <n v="14"/>
    <x v="1"/>
    <n v="6.1"/>
    <x v="0"/>
    <n v="7"/>
    <n v="2.7"/>
    <n v="3.97"/>
    <n v="1"/>
    <x v="2"/>
    <n v="1"/>
    <n v="8"/>
    <n v="8"/>
    <n v="0"/>
    <m/>
  </r>
  <r>
    <n v="13"/>
    <x v="1"/>
    <n v="6"/>
    <x v="0"/>
    <n v="7.2"/>
    <n v="0.6"/>
    <n v="2.11"/>
    <n v="1.1000000000000001"/>
    <x v="0"/>
    <n v="1"/>
    <n v="3"/>
    <n v="6"/>
    <n v="0"/>
    <m/>
  </r>
  <r>
    <n v="15"/>
    <x v="1"/>
    <n v="3.1"/>
    <x v="1"/>
    <n v="4.2"/>
    <n v="2.4"/>
    <n v="3.41"/>
    <n v="0.2"/>
    <x v="0"/>
    <n v="3"/>
    <n v="7"/>
    <n v="5"/>
    <n v="0"/>
    <m/>
  </r>
  <r>
    <n v="17"/>
    <x v="0"/>
    <n v="7.6"/>
    <x v="0"/>
    <n v="6"/>
    <n v="2"/>
    <n v="3.82"/>
    <n v="1.5"/>
    <x v="0"/>
    <n v="8"/>
    <n v="9"/>
    <n v="7"/>
    <n v="0"/>
    <m/>
  </r>
  <r>
    <n v="17"/>
    <x v="0"/>
    <n v="6"/>
    <x v="2"/>
    <n v="5.3"/>
    <n v="2.7"/>
    <n v="3.2"/>
    <n v="1.4"/>
    <x v="2"/>
    <n v="8"/>
    <n v="2"/>
    <n v="4"/>
    <n v="0"/>
    <m/>
  </r>
  <r>
    <n v="13"/>
    <x v="1"/>
    <n v="3.5"/>
    <x v="0"/>
    <n v="5.3"/>
    <n v="2.7"/>
    <n v="3.7"/>
    <n v="0.5"/>
    <x v="0"/>
    <n v="3"/>
    <n v="7"/>
    <n v="2"/>
    <n v="0"/>
    <m/>
  </r>
  <r>
    <n v="14"/>
    <x v="1"/>
    <n v="1.3"/>
    <x v="1"/>
    <n v="7.5"/>
    <n v="1.4"/>
    <n v="3.85"/>
    <n v="1.6"/>
    <x v="2"/>
    <n v="10"/>
    <n v="8"/>
    <n v="7"/>
    <n v="0"/>
    <m/>
  </r>
  <r>
    <n v="18"/>
    <x v="1"/>
    <n v="2.8"/>
    <x v="1"/>
    <n v="7"/>
    <n v="2.9"/>
    <n v="3.91"/>
    <n v="1.1000000000000001"/>
    <x v="2"/>
    <n v="9"/>
    <n v="9"/>
    <n v="1"/>
    <n v="0"/>
    <m/>
  </r>
  <r>
    <n v="14"/>
    <x v="0"/>
    <n v="3.9"/>
    <x v="2"/>
    <n v="4.8"/>
    <n v="0.8"/>
    <n v="3.32"/>
    <n v="0.3"/>
    <x v="1"/>
    <n v="5"/>
    <n v="2"/>
    <n v="5"/>
    <n v="0"/>
    <m/>
  </r>
  <r>
    <n v="19"/>
    <x v="0"/>
    <n v="3.9"/>
    <x v="2"/>
    <n v="4.8"/>
    <n v="2.8"/>
    <n v="3.98"/>
    <n v="1.9"/>
    <x v="2"/>
    <n v="7"/>
    <n v="5"/>
    <n v="3"/>
    <n v="0"/>
    <m/>
  </r>
  <r>
    <n v="14"/>
    <x v="0"/>
    <n v="7.4"/>
    <x v="0"/>
    <n v="8.9"/>
    <n v="2.4"/>
    <n v="2.29"/>
    <n v="1.1000000000000001"/>
    <x v="0"/>
    <n v="10"/>
    <n v="4"/>
    <n v="8"/>
    <n v="0"/>
    <m/>
  </r>
  <r>
    <n v="19"/>
    <x v="1"/>
    <n v="5.4"/>
    <x v="1"/>
    <n v="7.4"/>
    <n v="1.7"/>
    <n v="2.88"/>
    <n v="0.6"/>
    <x v="0"/>
    <n v="6"/>
    <n v="10"/>
    <n v="9"/>
    <n v="0"/>
    <m/>
  </r>
  <r>
    <n v="19"/>
    <x v="1"/>
    <n v="6.6"/>
    <x v="2"/>
    <n v="6.8"/>
    <n v="0.8"/>
    <n v="2.64"/>
    <n v="1.5"/>
    <x v="0"/>
    <n v="5"/>
    <n v="4"/>
    <n v="6"/>
    <n v="0"/>
    <m/>
  </r>
  <r>
    <n v="17"/>
    <x v="0"/>
    <n v="5.9"/>
    <x v="0"/>
    <n v="7.4"/>
    <n v="1.7"/>
    <n v="2.5"/>
    <n v="0.7"/>
    <x v="1"/>
    <n v="6"/>
    <n v="7"/>
    <n v="1"/>
    <n v="0"/>
    <m/>
  </r>
  <r>
    <n v="17"/>
    <x v="0"/>
    <n v="3.3"/>
    <x v="2"/>
    <n v="5.2"/>
    <n v="1.8"/>
    <n v="2.1"/>
    <n v="1.2"/>
    <x v="0"/>
    <n v="2"/>
    <n v="3"/>
    <n v="9"/>
    <n v="0"/>
    <m/>
  </r>
  <r>
    <n v="15"/>
    <x v="1"/>
    <n v="2.8"/>
    <x v="0"/>
    <n v="7.7"/>
    <n v="1"/>
    <n v="3.73"/>
    <n v="0.5"/>
    <x v="2"/>
    <n v="6"/>
    <n v="10"/>
    <n v="1"/>
    <n v="0"/>
    <m/>
  </r>
  <r>
    <n v="14"/>
    <x v="1"/>
    <n v="7.3"/>
    <x v="1"/>
    <n v="8.8000000000000007"/>
    <n v="2.5"/>
    <n v="2.12"/>
    <n v="0.5"/>
    <x v="1"/>
    <n v="10"/>
    <n v="10"/>
    <n v="1"/>
    <n v="0"/>
    <m/>
  </r>
  <r>
    <n v="18"/>
    <x v="0"/>
    <n v="2.8"/>
    <x v="0"/>
    <n v="6.9"/>
    <n v="2.2999999999999998"/>
    <n v="3.11"/>
    <n v="0.1"/>
    <x v="2"/>
    <n v="7"/>
    <n v="1"/>
    <n v="9"/>
    <n v="0"/>
    <m/>
  </r>
  <r>
    <n v="18"/>
    <x v="1"/>
    <n v="7.2"/>
    <x v="1"/>
    <n v="7.7"/>
    <n v="1.2"/>
    <n v="3.7"/>
    <n v="0.1"/>
    <x v="0"/>
    <n v="6"/>
    <n v="3"/>
    <n v="9"/>
    <n v="0"/>
    <m/>
  </r>
  <r>
    <n v="19"/>
    <x v="1"/>
    <n v="7.1"/>
    <x v="1"/>
    <n v="6.3"/>
    <n v="0.8"/>
    <n v="3.66"/>
    <n v="0.5"/>
    <x v="1"/>
    <n v="3"/>
    <n v="7"/>
    <n v="7"/>
    <n v="0"/>
    <m/>
  </r>
  <r>
    <n v="13"/>
    <x v="1"/>
    <n v="4.3"/>
    <x v="1"/>
    <n v="4.4000000000000004"/>
    <n v="0.9"/>
    <n v="2.35"/>
    <n v="1.5"/>
    <x v="1"/>
    <n v="3"/>
    <n v="1"/>
    <n v="7"/>
    <n v="0"/>
    <m/>
  </r>
  <r>
    <n v="19"/>
    <x v="0"/>
    <n v="1.6"/>
    <x v="2"/>
    <n v="4.4000000000000004"/>
    <n v="1.4"/>
    <n v="2.0299999999999998"/>
    <n v="1.1000000000000001"/>
    <x v="1"/>
    <n v="2"/>
    <n v="9"/>
    <n v="5"/>
    <n v="0"/>
    <m/>
  </r>
  <r>
    <n v="19"/>
    <x v="1"/>
    <n v="1.4"/>
    <x v="2"/>
    <n v="8"/>
    <n v="2.5"/>
    <n v="3.54"/>
    <n v="1.8"/>
    <x v="0"/>
    <n v="4"/>
    <n v="8"/>
    <n v="3"/>
    <n v="0"/>
    <m/>
  </r>
  <r>
    <n v="18"/>
    <x v="1"/>
    <n v="3.2"/>
    <x v="0"/>
    <n v="6.8"/>
    <n v="2.2999999999999998"/>
    <n v="3.16"/>
    <n v="1.8"/>
    <x v="0"/>
    <n v="4"/>
    <n v="8"/>
    <n v="5"/>
    <n v="0"/>
    <m/>
  </r>
  <r>
    <n v="17"/>
    <x v="0"/>
    <n v="1.5"/>
    <x v="2"/>
    <n v="8"/>
    <n v="0.5"/>
    <n v="3.01"/>
    <n v="0.4"/>
    <x v="2"/>
    <n v="10"/>
    <n v="2"/>
    <n v="3"/>
    <n v="0"/>
    <m/>
  </r>
  <r>
    <n v="18"/>
    <x v="0"/>
    <n v="7.5"/>
    <x v="1"/>
    <n v="5.0999999999999996"/>
    <n v="2.6"/>
    <n v="3.82"/>
    <n v="0.7"/>
    <x v="0"/>
    <n v="7"/>
    <n v="3"/>
    <n v="8"/>
    <n v="0"/>
    <m/>
  </r>
  <r>
    <n v="14"/>
    <x v="1"/>
    <n v="3.5"/>
    <x v="0"/>
    <n v="4.5999999999999996"/>
    <n v="0.7"/>
    <n v="2.74"/>
    <n v="1"/>
    <x v="0"/>
    <n v="2"/>
    <n v="7"/>
    <n v="8"/>
    <n v="0"/>
    <m/>
  </r>
  <r>
    <n v="17"/>
    <x v="0"/>
    <n v="4.4000000000000004"/>
    <x v="2"/>
    <n v="8.1999999999999993"/>
    <n v="2.7"/>
    <n v="3.13"/>
    <n v="0.3"/>
    <x v="2"/>
    <n v="3"/>
    <n v="1"/>
    <n v="2"/>
    <n v="0"/>
    <m/>
  </r>
  <r>
    <n v="17"/>
    <x v="0"/>
    <n v="4.5999999999999996"/>
    <x v="1"/>
    <n v="5.0999999999999996"/>
    <n v="2.5"/>
    <n v="2.13"/>
    <n v="1"/>
    <x v="2"/>
    <n v="2"/>
    <n v="5"/>
    <n v="6"/>
    <n v="0"/>
    <m/>
  </r>
  <r>
    <n v="13"/>
    <x v="0"/>
    <n v="5.9"/>
    <x v="1"/>
    <n v="6.6"/>
    <n v="2.6"/>
    <n v="3.58"/>
    <n v="1.6"/>
    <x v="2"/>
    <n v="7"/>
    <n v="7"/>
    <n v="10"/>
    <n v="0"/>
    <m/>
  </r>
  <r>
    <n v="16"/>
    <x v="1"/>
    <n v="7.8"/>
    <x v="1"/>
    <n v="4.7"/>
    <n v="1.1000000000000001"/>
    <n v="3.53"/>
    <n v="2"/>
    <x v="2"/>
    <n v="9"/>
    <n v="3"/>
    <n v="8"/>
    <n v="0"/>
    <m/>
  </r>
  <r>
    <n v="15"/>
    <x v="1"/>
    <n v="4.8"/>
    <x v="1"/>
    <n v="7.3"/>
    <n v="1.9"/>
    <n v="2.76"/>
    <n v="0.9"/>
    <x v="1"/>
    <n v="2"/>
    <n v="10"/>
    <n v="1"/>
    <n v="0"/>
    <m/>
  </r>
  <r>
    <n v="16"/>
    <x v="1"/>
    <n v="7.4"/>
    <x v="1"/>
    <n v="4.5999999999999996"/>
    <n v="1"/>
    <n v="2.23"/>
    <n v="1.1000000000000001"/>
    <x v="0"/>
    <n v="2"/>
    <n v="4"/>
    <n v="5"/>
    <n v="0"/>
    <m/>
  </r>
  <r>
    <n v="18"/>
    <x v="0"/>
    <n v="2.7"/>
    <x v="0"/>
    <n v="7.9"/>
    <n v="1.2"/>
    <n v="2.75"/>
    <n v="1.9"/>
    <x v="2"/>
    <n v="5"/>
    <n v="8"/>
    <n v="3"/>
    <n v="0"/>
    <m/>
  </r>
  <r>
    <n v="13"/>
    <x v="1"/>
    <n v="5.3"/>
    <x v="1"/>
    <n v="6.4"/>
    <n v="1.1000000000000001"/>
    <n v="3.32"/>
    <n v="1.9"/>
    <x v="2"/>
    <n v="8"/>
    <n v="5"/>
    <n v="10"/>
    <n v="0"/>
    <m/>
  </r>
  <r>
    <n v="16"/>
    <x v="1"/>
    <n v="3.6"/>
    <x v="2"/>
    <n v="4.4000000000000004"/>
    <n v="2.4"/>
    <n v="2.5299999999999998"/>
    <n v="0.7"/>
    <x v="2"/>
    <n v="1"/>
    <n v="7"/>
    <n v="5"/>
    <n v="0"/>
    <m/>
  </r>
  <r>
    <n v="18"/>
    <x v="0"/>
    <n v="2.5"/>
    <x v="2"/>
    <n v="5.7"/>
    <n v="2.1"/>
    <n v="3.33"/>
    <n v="0.6"/>
    <x v="0"/>
    <n v="8"/>
    <n v="4"/>
    <n v="6"/>
    <n v="0"/>
    <m/>
  </r>
  <r>
    <n v="15"/>
    <x v="0"/>
    <n v="4.5"/>
    <x v="2"/>
    <n v="7"/>
    <n v="1.5"/>
    <n v="3.16"/>
    <n v="1.7"/>
    <x v="2"/>
    <n v="4"/>
    <n v="7"/>
    <n v="10"/>
    <n v="0"/>
    <m/>
  </r>
  <r>
    <n v="18"/>
    <x v="1"/>
    <n v="1.9"/>
    <x v="2"/>
    <n v="5.0999999999999996"/>
    <n v="2.9"/>
    <n v="2.62"/>
    <n v="1"/>
    <x v="0"/>
    <n v="4"/>
    <n v="3"/>
    <n v="2"/>
    <n v="0"/>
    <m/>
  </r>
  <r>
    <n v="17"/>
    <x v="0"/>
    <n v="3.8"/>
    <x v="0"/>
    <n v="7.7"/>
    <n v="0.7"/>
    <n v="3.45"/>
    <n v="1"/>
    <x v="0"/>
    <n v="2"/>
    <n v="8"/>
    <n v="9"/>
    <n v="0"/>
    <m/>
  </r>
  <r>
    <n v="18"/>
    <x v="1"/>
    <n v="3.9"/>
    <x v="2"/>
    <n v="4"/>
    <n v="1.8"/>
    <n v="2.19"/>
    <n v="1.4"/>
    <x v="1"/>
    <n v="1"/>
    <n v="2"/>
    <n v="5"/>
    <n v="0"/>
    <m/>
  </r>
  <r>
    <n v="17"/>
    <x v="1"/>
    <n v="1.1000000000000001"/>
    <x v="2"/>
    <n v="8.6999999999999993"/>
    <n v="2.1"/>
    <n v="3.01"/>
    <n v="0.7"/>
    <x v="2"/>
    <n v="1"/>
    <n v="1"/>
    <n v="3"/>
    <n v="0"/>
    <m/>
  </r>
  <r>
    <n v="15"/>
    <x v="1"/>
    <n v="3.9"/>
    <x v="2"/>
    <n v="8.6999999999999993"/>
    <n v="1.1000000000000001"/>
    <n v="2.82"/>
    <n v="0.3"/>
    <x v="1"/>
    <n v="5"/>
    <n v="10"/>
    <n v="6"/>
    <n v="0"/>
    <m/>
  </r>
  <r>
    <n v="16"/>
    <x v="0"/>
    <n v="8"/>
    <x v="0"/>
    <n v="8.1"/>
    <n v="2.5"/>
    <n v="2.7"/>
    <n v="1.7"/>
    <x v="2"/>
    <n v="4"/>
    <n v="5"/>
    <n v="7"/>
    <n v="0"/>
    <m/>
  </r>
  <r>
    <n v="14"/>
    <x v="1"/>
    <n v="1.2"/>
    <x v="1"/>
    <n v="8.5"/>
    <n v="2.2999999999999998"/>
    <n v="3.91"/>
    <n v="1.8"/>
    <x v="1"/>
    <n v="1"/>
    <n v="8"/>
    <n v="1"/>
    <n v="0"/>
    <m/>
  </r>
  <r>
    <n v="15"/>
    <x v="0"/>
    <n v="2.2000000000000002"/>
    <x v="0"/>
    <n v="6.1"/>
    <n v="0.9"/>
    <n v="3.81"/>
    <n v="0.1"/>
    <x v="1"/>
    <n v="2"/>
    <n v="7"/>
    <n v="3"/>
    <n v="0"/>
    <m/>
  </r>
  <r>
    <n v="15"/>
    <x v="1"/>
    <n v="4.2"/>
    <x v="1"/>
    <n v="6.8"/>
    <n v="1.4"/>
    <n v="2.0099999999999998"/>
    <n v="1"/>
    <x v="0"/>
    <n v="6"/>
    <n v="6"/>
    <n v="4"/>
    <n v="0"/>
    <m/>
  </r>
  <r>
    <n v="19"/>
    <x v="0"/>
    <n v="6"/>
    <x v="2"/>
    <n v="5.6"/>
    <n v="1.1000000000000001"/>
    <n v="2.4300000000000002"/>
    <n v="1.7"/>
    <x v="2"/>
    <n v="1"/>
    <n v="3"/>
    <n v="3"/>
    <n v="0"/>
    <m/>
  </r>
  <r>
    <n v="19"/>
    <x v="0"/>
    <n v="5.4"/>
    <x v="0"/>
    <n v="4.9000000000000004"/>
    <n v="0.6"/>
    <n v="3.17"/>
    <n v="0"/>
    <x v="0"/>
    <n v="5"/>
    <n v="6"/>
    <n v="10"/>
    <n v="0"/>
    <m/>
  </r>
  <r>
    <n v="15"/>
    <x v="1"/>
    <n v="2.7"/>
    <x v="1"/>
    <n v="7.6"/>
    <n v="2.5"/>
    <n v="2.37"/>
    <n v="1.9"/>
    <x v="1"/>
    <n v="1"/>
    <n v="8"/>
    <n v="7"/>
    <n v="0"/>
    <m/>
  </r>
  <r>
    <n v="19"/>
    <x v="1"/>
    <n v="1.9"/>
    <x v="2"/>
    <n v="6.2"/>
    <n v="0.9"/>
    <n v="2.4700000000000002"/>
    <n v="1.4"/>
    <x v="0"/>
    <n v="5"/>
    <n v="6"/>
    <n v="7"/>
    <n v="0"/>
    <m/>
  </r>
  <r>
    <n v="14"/>
    <x v="0"/>
    <n v="1.5"/>
    <x v="2"/>
    <n v="6.8"/>
    <n v="0.8"/>
    <n v="3.14"/>
    <n v="0"/>
    <x v="2"/>
    <n v="4"/>
    <n v="5"/>
    <n v="8"/>
    <n v="0"/>
    <m/>
  </r>
  <r>
    <n v="17"/>
    <x v="1"/>
    <n v="2.6"/>
    <x v="1"/>
    <n v="4.8"/>
    <n v="0.7"/>
    <n v="2.52"/>
    <n v="1.8"/>
    <x v="2"/>
    <n v="9"/>
    <n v="6"/>
    <n v="6"/>
    <n v="0"/>
    <m/>
  </r>
  <r>
    <n v="16"/>
    <x v="0"/>
    <n v="1.2"/>
    <x v="0"/>
    <n v="7.3"/>
    <n v="1"/>
    <n v="2.36"/>
    <n v="1.1000000000000001"/>
    <x v="2"/>
    <n v="5"/>
    <n v="3"/>
    <n v="6"/>
    <n v="0"/>
    <m/>
  </r>
  <r>
    <n v="18"/>
    <x v="1"/>
    <n v="1.8"/>
    <x v="2"/>
    <n v="7.8"/>
    <n v="2"/>
    <n v="2.67"/>
    <n v="0.8"/>
    <x v="0"/>
    <n v="4"/>
    <n v="6"/>
    <n v="3"/>
    <n v="0"/>
    <m/>
  </r>
  <r>
    <n v="19"/>
    <x v="0"/>
    <n v="4.8"/>
    <x v="2"/>
    <n v="7.5"/>
    <n v="1"/>
    <n v="2.68"/>
    <n v="1.5"/>
    <x v="0"/>
    <n v="9"/>
    <n v="4"/>
    <n v="6"/>
    <n v="0"/>
    <m/>
  </r>
  <r>
    <n v="19"/>
    <x v="0"/>
    <n v="2.1"/>
    <x v="2"/>
    <n v="5.6"/>
    <n v="2.4"/>
    <n v="3.56"/>
    <n v="1"/>
    <x v="1"/>
    <n v="9"/>
    <n v="3"/>
    <n v="4"/>
    <n v="0"/>
    <m/>
  </r>
  <r>
    <n v="15"/>
    <x v="0"/>
    <n v="4.4000000000000004"/>
    <x v="0"/>
    <n v="6"/>
    <n v="0.5"/>
    <n v="3.33"/>
    <n v="0.7"/>
    <x v="2"/>
    <n v="1"/>
    <n v="6"/>
    <n v="10"/>
    <n v="0"/>
    <m/>
  </r>
  <r>
    <n v="14"/>
    <x v="0"/>
    <n v="2.8"/>
    <x v="2"/>
    <n v="4.3"/>
    <n v="3"/>
    <n v="2.14"/>
    <n v="1.9"/>
    <x v="2"/>
    <n v="9"/>
    <n v="3"/>
    <n v="7"/>
    <n v="0"/>
    <m/>
  </r>
  <r>
    <n v="15"/>
    <x v="0"/>
    <n v="3.5"/>
    <x v="1"/>
    <n v="4.5"/>
    <n v="2.7"/>
    <n v="2.4700000000000002"/>
    <n v="1.4"/>
    <x v="0"/>
    <n v="1"/>
    <n v="5"/>
    <n v="10"/>
    <n v="0"/>
    <m/>
  </r>
  <r>
    <n v="15"/>
    <x v="0"/>
    <n v="6.8"/>
    <x v="2"/>
    <n v="6.6"/>
    <n v="2.1"/>
    <n v="3.43"/>
    <n v="1.7"/>
    <x v="0"/>
    <n v="10"/>
    <n v="10"/>
    <n v="8"/>
    <n v="0"/>
    <m/>
  </r>
  <r>
    <n v="14"/>
    <x v="0"/>
    <n v="7"/>
    <x v="0"/>
    <n v="5.2"/>
    <n v="1.4"/>
    <n v="3.27"/>
    <n v="1.7"/>
    <x v="2"/>
    <n v="5"/>
    <n v="7"/>
    <n v="8"/>
    <n v="0"/>
    <m/>
  </r>
  <r>
    <n v="17"/>
    <x v="1"/>
    <n v="7.5"/>
    <x v="2"/>
    <n v="8.1"/>
    <n v="2.8"/>
    <n v="2.58"/>
    <n v="0.5"/>
    <x v="2"/>
    <n v="2"/>
    <n v="2"/>
    <n v="3"/>
    <n v="0"/>
    <m/>
  </r>
  <r>
    <n v="17"/>
    <x v="1"/>
    <n v="2.5"/>
    <x v="0"/>
    <n v="4.4000000000000004"/>
    <n v="2"/>
    <n v="3.29"/>
    <n v="0.7"/>
    <x v="0"/>
    <n v="4"/>
    <n v="6"/>
    <n v="5"/>
    <n v="0"/>
    <m/>
  </r>
  <r>
    <n v="15"/>
    <x v="0"/>
    <n v="6.5"/>
    <x v="1"/>
    <n v="5.4"/>
    <n v="2.1"/>
    <n v="3.44"/>
    <n v="1.8"/>
    <x v="0"/>
    <n v="7"/>
    <n v="3"/>
    <n v="6"/>
    <n v="0"/>
    <m/>
  </r>
  <r>
    <n v="13"/>
    <x v="0"/>
    <n v="7.7"/>
    <x v="0"/>
    <n v="4.4000000000000004"/>
    <n v="2"/>
    <n v="3.09"/>
    <n v="1"/>
    <x v="1"/>
    <n v="8"/>
    <n v="7"/>
    <n v="8"/>
    <n v="1"/>
    <m/>
  </r>
  <r>
    <n v="18"/>
    <x v="1"/>
    <n v="3.2"/>
    <x v="2"/>
    <n v="7.8"/>
    <n v="0.7"/>
    <n v="3.46"/>
    <n v="1.3"/>
    <x v="0"/>
    <n v="5"/>
    <n v="10"/>
    <n v="6"/>
    <n v="0"/>
    <m/>
  </r>
  <r>
    <n v="16"/>
    <x v="1"/>
    <n v="5.3"/>
    <x v="1"/>
    <n v="4.3"/>
    <n v="1.5"/>
    <n v="2.54"/>
    <n v="0.3"/>
    <x v="1"/>
    <n v="7"/>
    <n v="7"/>
    <n v="10"/>
    <n v="1"/>
    <m/>
  </r>
  <r>
    <n v="14"/>
    <x v="0"/>
    <n v="5"/>
    <x v="1"/>
    <n v="5.2"/>
    <n v="0.5"/>
    <n v="3.55"/>
    <n v="0.4"/>
    <x v="0"/>
    <n v="10"/>
    <n v="6"/>
    <n v="8"/>
    <n v="0"/>
    <m/>
  </r>
  <r>
    <n v="19"/>
    <x v="0"/>
    <n v="6.1"/>
    <x v="0"/>
    <n v="7.1"/>
    <n v="2.2999999999999998"/>
    <n v="3.22"/>
    <n v="0.5"/>
    <x v="0"/>
    <n v="4"/>
    <n v="3"/>
    <n v="7"/>
    <n v="0"/>
    <m/>
  </r>
  <r>
    <n v="17"/>
    <x v="0"/>
    <n v="4.2"/>
    <x v="1"/>
    <n v="7.3"/>
    <n v="2.6"/>
    <n v="3.2"/>
    <n v="0.2"/>
    <x v="1"/>
    <n v="7"/>
    <n v="1"/>
    <n v="3"/>
    <n v="0"/>
    <m/>
  </r>
  <r>
    <n v="15"/>
    <x v="0"/>
    <n v="4.7"/>
    <x v="0"/>
    <n v="8.1999999999999993"/>
    <n v="2.2999999999999998"/>
    <n v="3.35"/>
    <n v="0.6"/>
    <x v="0"/>
    <n v="6"/>
    <n v="2"/>
    <n v="5"/>
    <n v="0"/>
    <m/>
  </r>
  <r>
    <n v="18"/>
    <x v="0"/>
    <n v="1.6"/>
    <x v="1"/>
    <n v="5.8"/>
    <n v="0.6"/>
    <n v="3.63"/>
    <n v="1.1000000000000001"/>
    <x v="1"/>
    <n v="6"/>
    <n v="9"/>
    <n v="7"/>
    <n v="0"/>
    <m/>
  </r>
  <r>
    <n v="14"/>
    <x v="1"/>
    <n v="1.7"/>
    <x v="1"/>
    <n v="6.5"/>
    <n v="2.7"/>
    <n v="2.06"/>
    <n v="0.1"/>
    <x v="2"/>
    <n v="9"/>
    <n v="5"/>
    <n v="9"/>
    <n v="0"/>
    <m/>
  </r>
  <r>
    <n v="18"/>
    <x v="0"/>
    <n v="4.5999999999999996"/>
    <x v="0"/>
    <n v="4.0999999999999996"/>
    <n v="1.4"/>
    <n v="2.2799999999999998"/>
    <n v="0.4"/>
    <x v="2"/>
    <n v="4"/>
    <n v="10"/>
    <n v="10"/>
    <n v="0"/>
    <m/>
  </r>
  <r>
    <n v="13"/>
    <x v="1"/>
    <n v="2.5"/>
    <x v="1"/>
    <n v="6.8"/>
    <n v="2.8"/>
    <n v="2.77"/>
    <n v="0.5"/>
    <x v="0"/>
    <n v="2"/>
    <n v="6"/>
    <n v="10"/>
    <n v="0"/>
    <m/>
  </r>
  <r>
    <n v="16"/>
    <x v="1"/>
    <n v="4.2"/>
    <x v="1"/>
    <n v="6.3"/>
    <n v="1.2"/>
    <n v="3.72"/>
    <n v="1.9"/>
    <x v="0"/>
    <n v="5"/>
    <n v="3"/>
    <n v="7"/>
    <n v="0"/>
    <m/>
  </r>
  <r>
    <n v="19"/>
    <x v="1"/>
    <n v="1.2"/>
    <x v="1"/>
    <n v="4.8"/>
    <n v="1.7"/>
    <n v="2.16"/>
    <n v="0.6"/>
    <x v="2"/>
    <n v="10"/>
    <n v="10"/>
    <n v="10"/>
    <n v="0"/>
    <m/>
  </r>
  <r>
    <n v="15"/>
    <x v="0"/>
    <n v="2.7"/>
    <x v="0"/>
    <n v="7.2"/>
    <n v="2.9"/>
    <n v="3.27"/>
    <n v="0.8"/>
    <x v="2"/>
    <n v="5"/>
    <n v="2"/>
    <n v="9"/>
    <n v="0"/>
    <m/>
  </r>
  <r>
    <n v="13"/>
    <x v="0"/>
    <n v="1.5"/>
    <x v="2"/>
    <n v="5.2"/>
    <n v="0.8"/>
    <n v="2.16"/>
    <n v="0.9"/>
    <x v="2"/>
    <n v="10"/>
    <n v="6"/>
    <n v="8"/>
    <n v="0"/>
    <m/>
  </r>
  <r>
    <n v="15"/>
    <x v="0"/>
    <n v="3.2"/>
    <x v="0"/>
    <n v="5.6"/>
    <n v="0.7"/>
    <n v="3.1"/>
    <n v="1.5"/>
    <x v="1"/>
    <n v="6"/>
    <n v="3"/>
    <n v="1"/>
    <n v="0"/>
    <m/>
  </r>
  <r>
    <n v="19"/>
    <x v="1"/>
    <n v="7.3"/>
    <x v="2"/>
    <n v="7.4"/>
    <n v="1.5"/>
    <n v="2.84"/>
    <n v="1"/>
    <x v="2"/>
    <n v="9"/>
    <n v="8"/>
    <n v="5"/>
    <n v="0"/>
    <m/>
  </r>
  <r>
    <n v="16"/>
    <x v="0"/>
    <n v="2"/>
    <x v="0"/>
    <n v="8.1999999999999993"/>
    <n v="1"/>
    <n v="3.15"/>
    <n v="0.9"/>
    <x v="2"/>
    <n v="9"/>
    <n v="7"/>
    <n v="10"/>
    <n v="0"/>
    <m/>
  </r>
  <r>
    <n v="19"/>
    <x v="0"/>
    <n v="2.5"/>
    <x v="1"/>
    <n v="7.1"/>
    <n v="1.9"/>
    <n v="2.35"/>
    <n v="1.1000000000000001"/>
    <x v="0"/>
    <n v="4"/>
    <n v="4"/>
    <n v="8"/>
    <n v="0"/>
    <m/>
  </r>
  <r>
    <n v="16"/>
    <x v="1"/>
    <n v="7.7"/>
    <x v="0"/>
    <n v="4.7"/>
    <n v="2.9"/>
    <n v="2.17"/>
    <n v="1.2"/>
    <x v="2"/>
    <n v="5"/>
    <n v="7"/>
    <n v="6"/>
    <n v="0"/>
    <m/>
  </r>
  <r>
    <n v="19"/>
    <x v="1"/>
    <n v="3.9"/>
    <x v="2"/>
    <n v="7.9"/>
    <n v="2.1"/>
    <n v="3.52"/>
    <n v="0.6"/>
    <x v="1"/>
    <n v="3"/>
    <n v="2"/>
    <n v="4"/>
    <n v="0"/>
    <m/>
  </r>
  <r>
    <n v="16"/>
    <x v="1"/>
    <n v="3.5"/>
    <x v="1"/>
    <n v="6.1"/>
    <n v="2.7"/>
    <n v="3.83"/>
    <n v="0.1"/>
    <x v="2"/>
    <n v="4"/>
    <n v="5"/>
    <n v="10"/>
    <n v="0"/>
    <m/>
  </r>
  <r>
    <n v="17"/>
    <x v="0"/>
    <n v="4.9000000000000004"/>
    <x v="0"/>
    <n v="6.4"/>
    <n v="2.5"/>
    <n v="2.64"/>
    <n v="1.9"/>
    <x v="2"/>
    <n v="6"/>
    <n v="2"/>
    <n v="10"/>
    <n v="0"/>
    <m/>
  </r>
  <r>
    <n v="14"/>
    <x v="0"/>
    <n v="3.4"/>
    <x v="2"/>
    <n v="5.8"/>
    <n v="3"/>
    <n v="3.32"/>
    <n v="0.6"/>
    <x v="2"/>
    <n v="1"/>
    <n v="4"/>
    <n v="4"/>
    <n v="0"/>
    <m/>
  </r>
  <r>
    <n v="18"/>
    <x v="0"/>
    <n v="2.5"/>
    <x v="1"/>
    <n v="4.5999999999999996"/>
    <n v="2.2000000000000002"/>
    <n v="2.0499999999999998"/>
    <n v="0.7"/>
    <x v="2"/>
    <n v="9"/>
    <n v="5"/>
    <n v="10"/>
    <n v="0"/>
    <m/>
  </r>
  <r>
    <n v="16"/>
    <x v="0"/>
    <n v="4.8"/>
    <x v="2"/>
    <n v="5.4"/>
    <n v="0.9"/>
    <n v="2.06"/>
    <n v="1.9"/>
    <x v="0"/>
    <n v="8"/>
    <n v="3"/>
    <n v="2"/>
    <n v="0"/>
    <m/>
  </r>
  <r>
    <n v="19"/>
    <x v="0"/>
    <n v="7.4"/>
    <x v="1"/>
    <n v="6.1"/>
    <n v="1.1000000000000001"/>
    <n v="2.15"/>
    <n v="1.6"/>
    <x v="1"/>
    <n v="4"/>
    <n v="4"/>
    <n v="1"/>
    <n v="0"/>
    <m/>
  </r>
  <r>
    <n v="16"/>
    <x v="1"/>
    <n v="2.1"/>
    <x v="0"/>
    <n v="4.8"/>
    <n v="1.3"/>
    <n v="2.29"/>
    <n v="1.8"/>
    <x v="1"/>
    <n v="6"/>
    <n v="9"/>
    <n v="2"/>
    <n v="0"/>
    <m/>
  </r>
  <r>
    <n v="19"/>
    <x v="0"/>
    <n v="2.1"/>
    <x v="1"/>
    <n v="6.8"/>
    <n v="2.2000000000000002"/>
    <n v="2.33"/>
    <n v="1"/>
    <x v="2"/>
    <n v="7"/>
    <n v="6"/>
    <n v="7"/>
    <n v="0"/>
    <m/>
  </r>
  <r>
    <n v="16"/>
    <x v="0"/>
    <n v="1.8"/>
    <x v="0"/>
    <n v="4.9000000000000004"/>
    <n v="2.2999999999999998"/>
    <n v="2.67"/>
    <n v="1.4"/>
    <x v="2"/>
    <n v="3"/>
    <n v="8"/>
    <n v="6"/>
    <n v="0"/>
    <m/>
  </r>
  <r>
    <n v="18"/>
    <x v="0"/>
    <n v="6.8"/>
    <x v="2"/>
    <n v="5.4"/>
    <n v="0.9"/>
    <n v="2.64"/>
    <n v="0.3"/>
    <x v="1"/>
    <n v="9"/>
    <n v="1"/>
    <n v="8"/>
    <n v="0"/>
    <m/>
  </r>
  <r>
    <n v="18"/>
    <x v="0"/>
    <n v="7.9"/>
    <x v="0"/>
    <n v="4.0999999999999996"/>
    <n v="2.8"/>
    <n v="3.25"/>
    <n v="1.4"/>
    <x v="1"/>
    <n v="4"/>
    <n v="2"/>
    <n v="4"/>
    <n v="0"/>
    <m/>
  </r>
  <r>
    <n v="15"/>
    <x v="0"/>
    <n v="7.6"/>
    <x v="2"/>
    <n v="6"/>
    <n v="2.9"/>
    <n v="2.72"/>
    <n v="1.8"/>
    <x v="1"/>
    <n v="1"/>
    <n v="9"/>
    <n v="6"/>
    <n v="0"/>
    <m/>
  </r>
  <r>
    <n v="18"/>
    <x v="0"/>
    <n v="6.1"/>
    <x v="1"/>
    <n v="5.8"/>
    <n v="1.8"/>
    <n v="3.59"/>
    <n v="0.2"/>
    <x v="0"/>
    <n v="2"/>
    <n v="5"/>
    <n v="4"/>
    <n v="0"/>
    <m/>
  </r>
  <r>
    <n v="16"/>
    <x v="1"/>
    <n v="1.4"/>
    <x v="2"/>
    <n v="5.7"/>
    <n v="1.8"/>
    <n v="2"/>
    <n v="1.4"/>
    <x v="0"/>
    <n v="4"/>
    <n v="8"/>
    <n v="7"/>
    <n v="0"/>
    <m/>
  </r>
  <r>
    <n v="19"/>
    <x v="0"/>
    <n v="6.3"/>
    <x v="1"/>
    <n v="5.7"/>
    <n v="1.4"/>
    <n v="2.0299999999999998"/>
    <n v="1.1000000000000001"/>
    <x v="0"/>
    <n v="4"/>
    <n v="6"/>
    <n v="1"/>
    <n v="0"/>
    <m/>
  </r>
  <r>
    <n v="13"/>
    <x v="0"/>
    <n v="1.3"/>
    <x v="0"/>
    <n v="5.7"/>
    <n v="1.1000000000000001"/>
    <n v="3.74"/>
    <n v="1.3"/>
    <x v="0"/>
    <n v="9"/>
    <n v="5"/>
    <n v="10"/>
    <n v="0"/>
    <m/>
  </r>
  <r>
    <n v="17"/>
    <x v="0"/>
    <n v="5.0999999999999996"/>
    <x v="1"/>
    <n v="5.0999999999999996"/>
    <n v="2.9"/>
    <n v="3.99"/>
    <n v="0.6"/>
    <x v="2"/>
    <n v="4"/>
    <n v="2"/>
    <n v="9"/>
    <n v="0"/>
    <m/>
  </r>
  <r>
    <n v="19"/>
    <x v="1"/>
    <n v="4"/>
    <x v="0"/>
    <n v="8.1999999999999993"/>
    <n v="1.4"/>
    <n v="3.63"/>
    <n v="1.3"/>
    <x v="0"/>
    <n v="5"/>
    <n v="3"/>
    <n v="10"/>
    <n v="0"/>
    <m/>
  </r>
  <r>
    <n v="17"/>
    <x v="1"/>
    <n v="7.6"/>
    <x v="0"/>
    <n v="7.3"/>
    <n v="1.9"/>
    <n v="3.05"/>
    <n v="1.1000000000000001"/>
    <x v="2"/>
    <n v="10"/>
    <n v="8"/>
    <n v="1"/>
    <n v="0"/>
    <m/>
  </r>
  <r>
    <n v="19"/>
    <x v="0"/>
    <n v="3.8"/>
    <x v="1"/>
    <n v="7.4"/>
    <n v="2.6"/>
    <n v="2.25"/>
    <n v="0.5"/>
    <x v="0"/>
    <n v="7"/>
    <n v="4"/>
    <n v="8"/>
    <n v="0"/>
    <m/>
  </r>
  <r>
    <n v="17"/>
    <x v="0"/>
    <n v="5.2"/>
    <x v="0"/>
    <n v="4.7"/>
    <n v="2.4"/>
    <n v="2.77"/>
    <n v="1.3"/>
    <x v="1"/>
    <n v="9"/>
    <n v="6"/>
    <n v="9"/>
    <n v="0"/>
    <m/>
  </r>
  <r>
    <n v="13"/>
    <x v="0"/>
    <n v="5"/>
    <x v="2"/>
    <n v="8.6"/>
    <n v="0.7"/>
    <n v="2.99"/>
    <n v="1.5"/>
    <x v="0"/>
    <n v="3"/>
    <n v="8"/>
    <n v="3"/>
    <n v="0"/>
    <m/>
  </r>
  <r>
    <n v="19"/>
    <x v="1"/>
    <n v="7.4"/>
    <x v="2"/>
    <n v="8.3000000000000007"/>
    <n v="1.4"/>
    <n v="3.64"/>
    <n v="0.4"/>
    <x v="0"/>
    <n v="6"/>
    <n v="9"/>
    <n v="6"/>
    <n v="0"/>
    <m/>
  </r>
  <r>
    <n v="16"/>
    <x v="0"/>
    <n v="6.1"/>
    <x v="1"/>
    <n v="6.8"/>
    <n v="0.8"/>
    <n v="2.61"/>
    <n v="0.9"/>
    <x v="0"/>
    <n v="10"/>
    <n v="10"/>
    <n v="4"/>
    <n v="0"/>
    <m/>
  </r>
  <r>
    <n v="13"/>
    <x v="1"/>
    <n v="7.4"/>
    <x v="2"/>
    <n v="6.7"/>
    <n v="2"/>
    <n v="2.42"/>
    <n v="1.5"/>
    <x v="0"/>
    <n v="10"/>
    <n v="1"/>
    <n v="1"/>
    <n v="0"/>
    <m/>
  </r>
  <r>
    <n v="16"/>
    <x v="0"/>
    <n v="3.5"/>
    <x v="2"/>
    <n v="4.4000000000000004"/>
    <n v="1.5"/>
    <n v="2.7"/>
    <n v="0.8"/>
    <x v="1"/>
    <n v="2"/>
    <n v="10"/>
    <n v="8"/>
    <n v="0"/>
    <m/>
  </r>
  <r>
    <n v="14"/>
    <x v="0"/>
    <n v="5.0999999999999996"/>
    <x v="0"/>
    <n v="6.3"/>
    <n v="1.6"/>
    <n v="2.7"/>
    <n v="0.1"/>
    <x v="2"/>
    <n v="7"/>
    <n v="2"/>
    <n v="7"/>
    <n v="0"/>
    <m/>
  </r>
  <r>
    <n v="17"/>
    <x v="0"/>
    <n v="4.8"/>
    <x v="1"/>
    <n v="6"/>
    <n v="2.1"/>
    <n v="2.39"/>
    <n v="1.8"/>
    <x v="1"/>
    <n v="5"/>
    <n v="8"/>
    <n v="7"/>
    <n v="0"/>
    <m/>
  </r>
  <r>
    <n v="14"/>
    <x v="0"/>
    <n v="7.5"/>
    <x v="2"/>
    <n v="7.6"/>
    <n v="2.8"/>
    <n v="3.1"/>
    <n v="0.7"/>
    <x v="2"/>
    <n v="3"/>
    <n v="1"/>
    <n v="2"/>
    <n v="0"/>
    <m/>
  </r>
  <r>
    <n v="19"/>
    <x v="0"/>
    <n v="4.7"/>
    <x v="2"/>
    <n v="8.6999999999999993"/>
    <n v="2"/>
    <n v="3.23"/>
    <n v="1.7"/>
    <x v="0"/>
    <n v="4"/>
    <n v="10"/>
    <n v="3"/>
    <n v="0"/>
    <m/>
  </r>
  <r>
    <n v="19"/>
    <x v="0"/>
    <n v="3.3"/>
    <x v="1"/>
    <n v="8.5"/>
    <n v="1.2"/>
    <n v="3.29"/>
    <n v="0.5"/>
    <x v="2"/>
    <n v="6"/>
    <n v="2"/>
    <n v="9"/>
    <n v="0"/>
    <m/>
  </r>
  <r>
    <n v="16"/>
    <x v="1"/>
    <n v="6.9"/>
    <x v="0"/>
    <n v="5.8"/>
    <n v="0.6"/>
    <n v="3.65"/>
    <n v="0.5"/>
    <x v="1"/>
    <n v="10"/>
    <n v="8"/>
    <n v="10"/>
    <n v="1"/>
    <m/>
  </r>
  <r>
    <n v="15"/>
    <x v="0"/>
    <n v="5.4"/>
    <x v="0"/>
    <n v="4.2"/>
    <n v="1.5"/>
    <n v="2.72"/>
    <n v="0.4"/>
    <x v="1"/>
    <n v="1"/>
    <n v="6"/>
    <n v="5"/>
    <n v="0"/>
    <m/>
  </r>
  <r>
    <n v="13"/>
    <x v="1"/>
    <n v="5.2"/>
    <x v="2"/>
    <n v="7.7"/>
    <n v="2.7"/>
    <n v="2.84"/>
    <n v="0.8"/>
    <x v="1"/>
    <n v="2"/>
    <n v="5"/>
    <n v="5"/>
    <n v="0"/>
    <m/>
  </r>
  <r>
    <n v="15"/>
    <x v="1"/>
    <n v="3.3"/>
    <x v="0"/>
    <n v="6.5"/>
    <n v="1.3"/>
    <n v="2.44"/>
    <n v="0.3"/>
    <x v="2"/>
    <n v="7"/>
    <n v="6"/>
    <n v="7"/>
    <n v="0"/>
    <m/>
  </r>
  <r>
    <n v="15"/>
    <x v="1"/>
    <n v="7.3"/>
    <x v="2"/>
    <n v="7.6"/>
    <n v="1.9"/>
    <n v="2.31"/>
    <n v="0.8"/>
    <x v="2"/>
    <n v="8"/>
    <n v="7"/>
    <n v="5"/>
    <n v="0"/>
    <m/>
  </r>
  <r>
    <n v="17"/>
    <x v="0"/>
    <n v="7.6"/>
    <x v="2"/>
    <n v="4.9000000000000004"/>
    <n v="0.6"/>
    <n v="2.56"/>
    <n v="0.8"/>
    <x v="0"/>
    <n v="4"/>
    <n v="1"/>
    <n v="9"/>
    <n v="0"/>
    <m/>
  </r>
  <r>
    <n v="17"/>
    <x v="0"/>
    <n v="1.7"/>
    <x v="2"/>
    <n v="7"/>
    <n v="0.8"/>
    <n v="3.39"/>
    <n v="0.9"/>
    <x v="1"/>
    <n v="7"/>
    <n v="7"/>
    <n v="10"/>
    <n v="0"/>
    <m/>
  </r>
  <r>
    <n v="18"/>
    <x v="0"/>
    <n v="1.5"/>
    <x v="2"/>
    <n v="5.6"/>
    <n v="2.9"/>
    <n v="2.57"/>
    <n v="0.6"/>
    <x v="1"/>
    <n v="5"/>
    <n v="8"/>
    <n v="4"/>
    <n v="0"/>
    <m/>
  </r>
  <r>
    <n v="17"/>
    <x v="0"/>
    <n v="7.3"/>
    <x v="2"/>
    <n v="8.5"/>
    <n v="1.5"/>
    <n v="3.54"/>
    <n v="1.2"/>
    <x v="0"/>
    <n v="3"/>
    <n v="3"/>
    <n v="7"/>
    <n v="0"/>
    <m/>
  </r>
  <r>
    <n v="14"/>
    <x v="0"/>
    <n v="2.8"/>
    <x v="2"/>
    <n v="6.2"/>
    <n v="1.2"/>
    <n v="3.21"/>
    <n v="1"/>
    <x v="0"/>
    <n v="3"/>
    <n v="10"/>
    <n v="6"/>
    <n v="0"/>
    <m/>
  </r>
  <r>
    <n v="15"/>
    <x v="0"/>
    <n v="1.2"/>
    <x v="2"/>
    <n v="7.4"/>
    <n v="2.7"/>
    <n v="2.92"/>
    <n v="1.4"/>
    <x v="0"/>
    <n v="3"/>
    <n v="7"/>
    <n v="4"/>
    <n v="0"/>
    <m/>
  </r>
  <r>
    <n v="16"/>
    <x v="1"/>
    <n v="2.5"/>
    <x v="1"/>
    <n v="8.9"/>
    <n v="1.2"/>
    <n v="3.33"/>
    <n v="1.5"/>
    <x v="1"/>
    <n v="4"/>
    <n v="4"/>
    <n v="10"/>
    <n v="0"/>
    <m/>
  </r>
  <r>
    <n v="17"/>
    <x v="0"/>
    <n v="4.8"/>
    <x v="1"/>
    <n v="5.6"/>
    <n v="1.6"/>
    <n v="2"/>
    <n v="1.3"/>
    <x v="0"/>
    <n v="3"/>
    <n v="8"/>
    <n v="4"/>
    <n v="0"/>
    <m/>
  </r>
  <r>
    <n v="18"/>
    <x v="1"/>
    <n v="6.4"/>
    <x v="2"/>
    <n v="4.2"/>
    <n v="1.1000000000000001"/>
    <n v="2.68"/>
    <n v="0.3"/>
    <x v="1"/>
    <n v="10"/>
    <n v="9"/>
    <n v="4"/>
    <n v="1"/>
    <m/>
  </r>
  <r>
    <n v="16"/>
    <x v="1"/>
    <n v="6.6"/>
    <x v="0"/>
    <n v="6.1"/>
    <n v="1.7"/>
    <n v="2.67"/>
    <n v="1.8"/>
    <x v="0"/>
    <n v="10"/>
    <n v="8"/>
    <n v="2"/>
    <n v="0"/>
    <m/>
  </r>
  <r>
    <n v="14"/>
    <x v="1"/>
    <n v="3.5"/>
    <x v="2"/>
    <n v="5.7"/>
    <n v="2.4"/>
    <n v="3.46"/>
    <n v="0.9"/>
    <x v="0"/>
    <n v="8"/>
    <n v="4"/>
    <n v="10"/>
    <n v="0"/>
    <m/>
  </r>
  <r>
    <n v="14"/>
    <x v="1"/>
    <n v="2.4"/>
    <x v="1"/>
    <n v="6.3"/>
    <n v="2.8"/>
    <n v="2.41"/>
    <n v="0.7"/>
    <x v="0"/>
    <n v="9"/>
    <n v="5"/>
    <n v="2"/>
    <n v="0"/>
    <m/>
  </r>
  <r>
    <n v="13"/>
    <x v="0"/>
    <n v="5.9"/>
    <x v="0"/>
    <n v="4.3"/>
    <n v="0.8"/>
    <n v="3.41"/>
    <n v="1.1000000000000001"/>
    <x v="2"/>
    <n v="4"/>
    <n v="3"/>
    <n v="2"/>
    <n v="0"/>
    <m/>
  </r>
  <r>
    <n v="19"/>
    <x v="1"/>
    <n v="7.4"/>
    <x v="0"/>
    <n v="5"/>
    <n v="2"/>
    <n v="2.68"/>
    <n v="1.2"/>
    <x v="0"/>
    <n v="1"/>
    <n v="6"/>
    <n v="8"/>
    <n v="0"/>
    <m/>
  </r>
  <r>
    <n v="15"/>
    <x v="1"/>
    <n v="4.5999999999999996"/>
    <x v="1"/>
    <n v="5.3"/>
    <n v="3"/>
    <n v="3.25"/>
    <n v="0.2"/>
    <x v="0"/>
    <n v="1"/>
    <n v="8"/>
    <n v="7"/>
    <n v="0"/>
    <m/>
  </r>
  <r>
    <n v="17"/>
    <x v="0"/>
    <n v="7.3"/>
    <x v="0"/>
    <n v="5.8"/>
    <n v="2.9"/>
    <n v="3.93"/>
    <n v="0.9"/>
    <x v="2"/>
    <n v="6"/>
    <n v="2"/>
    <n v="9"/>
    <n v="0"/>
    <m/>
  </r>
  <r>
    <n v="17"/>
    <x v="1"/>
    <n v="2.9"/>
    <x v="1"/>
    <n v="4.5"/>
    <n v="0.9"/>
    <n v="3.71"/>
    <n v="0.1"/>
    <x v="0"/>
    <n v="1"/>
    <n v="6"/>
    <n v="4"/>
    <n v="0"/>
    <m/>
  </r>
  <r>
    <n v="19"/>
    <x v="0"/>
    <n v="5.3"/>
    <x v="1"/>
    <n v="8.4"/>
    <n v="0.6"/>
    <n v="3.08"/>
    <n v="0.4"/>
    <x v="2"/>
    <n v="9"/>
    <n v="4"/>
    <n v="6"/>
    <n v="0"/>
    <m/>
  </r>
  <r>
    <n v="17"/>
    <x v="1"/>
    <n v="7.2"/>
    <x v="1"/>
    <n v="8.1999999999999993"/>
    <n v="2.9"/>
    <n v="3.69"/>
    <n v="1"/>
    <x v="1"/>
    <n v="6"/>
    <n v="2"/>
    <n v="5"/>
    <n v="0"/>
    <m/>
  </r>
  <r>
    <n v="15"/>
    <x v="1"/>
    <n v="2.6"/>
    <x v="2"/>
    <n v="7.9"/>
    <n v="1.8"/>
    <n v="3.91"/>
    <n v="0.5"/>
    <x v="2"/>
    <n v="4"/>
    <n v="5"/>
    <n v="6"/>
    <n v="0"/>
    <m/>
  </r>
  <r>
    <n v="15"/>
    <x v="0"/>
    <n v="3.6"/>
    <x v="0"/>
    <n v="4.8"/>
    <n v="1"/>
    <n v="3.71"/>
    <n v="1.1000000000000001"/>
    <x v="2"/>
    <n v="5"/>
    <n v="7"/>
    <n v="4"/>
    <n v="0"/>
    <m/>
  </r>
  <r>
    <n v="19"/>
    <x v="0"/>
    <n v="3.6"/>
    <x v="0"/>
    <n v="6.5"/>
    <n v="1.1000000000000001"/>
    <n v="3.65"/>
    <n v="1.1000000000000001"/>
    <x v="0"/>
    <n v="5"/>
    <n v="9"/>
    <n v="10"/>
    <n v="0"/>
    <m/>
  </r>
  <r>
    <n v="15"/>
    <x v="1"/>
    <n v="1.8"/>
    <x v="0"/>
    <n v="5.5"/>
    <n v="1.6"/>
    <n v="3.29"/>
    <n v="1.3"/>
    <x v="2"/>
    <n v="6"/>
    <n v="5"/>
    <n v="9"/>
    <n v="0"/>
    <m/>
  </r>
  <r>
    <n v="14"/>
    <x v="1"/>
    <n v="1.8"/>
    <x v="0"/>
    <n v="7.6"/>
    <n v="1.2"/>
    <n v="2.84"/>
    <n v="1.1000000000000001"/>
    <x v="1"/>
    <n v="10"/>
    <n v="1"/>
    <n v="3"/>
    <n v="0"/>
    <m/>
  </r>
  <r>
    <n v="15"/>
    <x v="1"/>
    <n v="7.4"/>
    <x v="2"/>
    <n v="8.4"/>
    <n v="1.9"/>
    <n v="3.73"/>
    <n v="0.8"/>
    <x v="1"/>
    <n v="9"/>
    <n v="9"/>
    <n v="4"/>
    <n v="0"/>
    <m/>
  </r>
  <r>
    <n v="15"/>
    <x v="0"/>
    <n v="4.8"/>
    <x v="2"/>
    <n v="4.3"/>
    <n v="2.2000000000000002"/>
    <n v="2.5"/>
    <n v="0"/>
    <x v="2"/>
    <n v="4"/>
    <n v="1"/>
    <n v="4"/>
    <n v="0"/>
    <m/>
  </r>
  <r>
    <n v="18"/>
    <x v="0"/>
    <n v="2.4"/>
    <x v="2"/>
    <n v="6.8"/>
    <n v="1"/>
    <n v="2.86"/>
    <n v="1.5"/>
    <x v="1"/>
    <n v="9"/>
    <n v="10"/>
    <n v="8"/>
    <n v="0"/>
    <m/>
  </r>
  <r>
    <n v="15"/>
    <x v="0"/>
    <n v="5.4"/>
    <x v="1"/>
    <n v="5.2"/>
    <n v="0.6"/>
    <n v="3.65"/>
    <n v="1.5"/>
    <x v="0"/>
    <n v="7"/>
    <n v="9"/>
    <n v="10"/>
    <n v="1"/>
    <m/>
  </r>
  <r>
    <n v="17"/>
    <x v="1"/>
    <n v="3.5"/>
    <x v="2"/>
    <n v="8.5"/>
    <n v="2.2000000000000002"/>
    <n v="2.11"/>
    <n v="1.3"/>
    <x v="2"/>
    <n v="8"/>
    <n v="8"/>
    <n v="2"/>
    <n v="0"/>
    <m/>
  </r>
  <r>
    <n v="18"/>
    <x v="1"/>
    <n v="3"/>
    <x v="0"/>
    <n v="5"/>
    <n v="2"/>
    <n v="2.4500000000000002"/>
    <n v="1.2"/>
    <x v="2"/>
    <n v="1"/>
    <n v="10"/>
    <n v="7"/>
    <n v="0"/>
    <m/>
  </r>
  <r>
    <n v="13"/>
    <x v="1"/>
    <n v="3.3"/>
    <x v="2"/>
    <n v="7.4"/>
    <n v="0.9"/>
    <n v="2.5299999999999998"/>
    <n v="0.2"/>
    <x v="2"/>
    <n v="4"/>
    <n v="10"/>
    <n v="6"/>
    <n v="0"/>
    <m/>
  </r>
  <r>
    <n v="19"/>
    <x v="0"/>
    <n v="5.5"/>
    <x v="1"/>
    <n v="5.0999999999999996"/>
    <n v="2.7"/>
    <n v="2.56"/>
    <n v="1.4"/>
    <x v="0"/>
    <n v="2"/>
    <n v="3"/>
    <n v="7"/>
    <n v="0"/>
    <m/>
  </r>
  <r>
    <n v="15"/>
    <x v="0"/>
    <n v="3.8"/>
    <x v="2"/>
    <n v="8.3000000000000007"/>
    <n v="2.6"/>
    <n v="3.19"/>
    <n v="2"/>
    <x v="2"/>
    <n v="1"/>
    <n v="2"/>
    <n v="2"/>
    <n v="0"/>
    <m/>
  </r>
  <r>
    <n v="17"/>
    <x v="0"/>
    <n v="5.7"/>
    <x v="1"/>
    <n v="8.6999999999999993"/>
    <n v="2"/>
    <n v="3.14"/>
    <n v="1.7"/>
    <x v="0"/>
    <n v="1"/>
    <n v="9"/>
    <n v="8"/>
    <n v="0"/>
    <m/>
  </r>
  <r>
    <n v="13"/>
    <x v="1"/>
    <n v="4.7"/>
    <x v="1"/>
    <n v="8"/>
    <n v="1.1000000000000001"/>
    <n v="2.37"/>
    <n v="0.2"/>
    <x v="0"/>
    <n v="5"/>
    <n v="10"/>
    <n v="6"/>
    <n v="0"/>
    <m/>
  </r>
  <r>
    <n v="17"/>
    <x v="1"/>
    <n v="4"/>
    <x v="0"/>
    <n v="6.7"/>
    <n v="0.6"/>
    <n v="2.5099999999999998"/>
    <n v="1.5"/>
    <x v="1"/>
    <n v="9"/>
    <n v="8"/>
    <n v="5"/>
    <n v="0"/>
    <m/>
  </r>
  <r>
    <n v="16"/>
    <x v="0"/>
    <n v="5.3"/>
    <x v="1"/>
    <n v="6.8"/>
    <n v="0.7"/>
    <n v="3.9"/>
    <n v="1.5"/>
    <x v="0"/>
    <n v="5"/>
    <n v="8"/>
    <n v="3"/>
    <n v="0"/>
    <m/>
  </r>
  <r>
    <n v="17"/>
    <x v="0"/>
    <n v="3.8"/>
    <x v="0"/>
    <n v="4.7"/>
    <n v="1.2"/>
    <n v="3.7"/>
    <n v="1.4"/>
    <x v="1"/>
    <n v="2"/>
    <n v="2"/>
    <n v="5"/>
    <n v="0"/>
    <m/>
  </r>
  <r>
    <n v="16"/>
    <x v="1"/>
    <n v="6"/>
    <x v="2"/>
    <n v="4.0999999999999996"/>
    <n v="2.4"/>
    <n v="2.61"/>
    <n v="1.1000000000000001"/>
    <x v="1"/>
    <n v="1"/>
    <n v="6"/>
    <n v="3"/>
    <n v="0"/>
    <m/>
  </r>
  <r>
    <n v="15"/>
    <x v="0"/>
    <n v="2.2000000000000002"/>
    <x v="2"/>
    <n v="4.5"/>
    <n v="1.3"/>
    <n v="2.63"/>
    <n v="1.7"/>
    <x v="0"/>
    <n v="10"/>
    <n v="2"/>
    <n v="6"/>
    <n v="0"/>
    <m/>
  </r>
  <r>
    <n v="18"/>
    <x v="0"/>
    <n v="4.3"/>
    <x v="1"/>
    <n v="8.4"/>
    <n v="2.1"/>
    <n v="2.69"/>
    <n v="0.2"/>
    <x v="0"/>
    <n v="1"/>
    <n v="10"/>
    <n v="8"/>
    <n v="0"/>
    <m/>
  </r>
  <r>
    <n v="19"/>
    <x v="1"/>
    <n v="7.5"/>
    <x v="1"/>
    <n v="4.5"/>
    <n v="2.7"/>
    <n v="2.41"/>
    <n v="1"/>
    <x v="1"/>
    <n v="3"/>
    <n v="2"/>
    <n v="6"/>
    <n v="0"/>
    <m/>
  </r>
  <r>
    <n v="14"/>
    <x v="0"/>
    <n v="5.3"/>
    <x v="0"/>
    <n v="6.8"/>
    <n v="2.9"/>
    <n v="2.1800000000000002"/>
    <n v="0.8"/>
    <x v="2"/>
    <n v="10"/>
    <n v="1"/>
    <n v="6"/>
    <n v="0"/>
    <m/>
  </r>
  <r>
    <n v="14"/>
    <x v="1"/>
    <n v="7"/>
    <x v="0"/>
    <n v="6.9"/>
    <n v="2.1"/>
    <n v="3.42"/>
    <n v="1.1000000000000001"/>
    <x v="1"/>
    <n v="10"/>
    <n v="3"/>
    <n v="6"/>
    <n v="0"/>
    <m/>
  </r>
  <r>
    <n v="16"/>
    <x v="1"/>
    <n v="2.1"/>
    <x v="2"/>
    <n v="4.5999999999999996"/>
    <n v="2"/>
    <n v="2.5499999999999998"/>
    <n v="1.8"/>
    <x v="1"/>
    <n v="5"/>
    <n v="4"/>
    <n v="4"/>
    <n v="0"/>
    <m/>
  </r>
  <r>
    <n v="18"/>
    <x v="1"/>
    <n v="7.3"/>
    <x v="2"/>
    <n v="7.3"/>
    <n v="2.8"/>
    <n v="3.3"/>
    <n v="0.4"/>
    <x v="0"/>
    <n v="1"/>
    <n v="8"/>
    <n v="1"/>
    <n v="0"/>
    <m/>
  </r>
  <r>
    <n v="17"/>
    <x v="1"/>
    <n v="2.6"/>
    <x v="0"/>
    <n v="6.5"/>
    <n v="1.5"/>
    <n v="3.8"/>
    <n v="0.2"/>
    <x v="1"/>
    <n v="8"/>
    <n v="6"/>
    <n v="1"/>
    <n v="0"/>
    <m/>
  </r>
  <r>
    <n v="17"/>
    <x v="0"/>
    <n v="5.4"/>
    <x v="2"/>
    <n v="4.9000000000000004"/>
    <n v="1.5"/>
    <n v="3.4"/>
    <n v="0"/>
    <x v="2"/>
    <n v="2"/>
    <n v="2"/>
    <n v="1"/>
    <n v="0"/>
    <m/>
  </r>
  <r>
    <n v="15"/>
    <x v="0"/>
    <n v="6.9"/>
    <x v="0"/>
    <n v="6.2"/>
    <n v="0.6"/>
    <n v="2.37"/>
    <n v="0.2"/>
    <x v="0"/>
    <n v="3"/>
    <n v="1"/>
    <n v="4"/>
    <n v="0"/>
    <m/>
  </r>
  <r>
    <n v="19"/>
    <x v="1"/>
    <n v="3"/>
    <x v="0"/>
    <n v="5.5"/>
    <n v="2.1"/>
    <n v="3.08"/>
    <n v="0.7"/>
    <x v="0"/>
    <n v="9"/>
    <n v="3"/>
    <n v="5"/>
    <n v="0"/>
    <m/>
  </r>
  <r>
    <n v="18"/>
    <x v="0"/>
    <n v="1.3"/>
    <x v="0"/>
    <n v="4.5"/>
    <n v="2.2999999999999998"/>
    <n v="2.2799999999999998"/>
    <n v="1"/>
    <x v="0"/>
    <n v="2"/>
    <n v="7"/>
    <n v="8"/>
    <n v="0"/>
    <m/>
  </r>
  <r>
    <n v="15"/>
    <x v="0"/>
    <n v="6.2"/>
    <x v="2"/>
    <n v="6.4"/>
    <n v="1.4"/>
    <n v="3.34"/>
    <n v="0.9"/>
    <x v="1"/>
    <n v="8"/>
    <n v="9"/>
    <n v="9"/>
    <n v="0"/>
    <m/>
  </r>
  <r>
    <n v="15"/>
    <x v="0"/>
    <n v="3.6"/>
    <x v="0"/>
    <n v="5.5"/>
    <n v="1.2"/>
    <n v="2.4900000000000002"/>
    <n v="1.9"/>
    <x v="0"/>
    <n v="1"/>
    <n v="4"/>
    <n v="9"/>
    <n v="0"/>
    <m/>
  </r>
  <r>
    <n v="18"/>
    <x v="1"/>
    <n v="6.5"/>
    <x v="2"/>
    <n v="6.7"/>
    <n v="2.5"/>
    <n v="2.98"/>
    <n v="0.1"/>
    <x v="1"/>
    <n v="9"/>
    <n v="7"/>
    <n v="7"/>
    <n v="0"/>
    <m/>
  </r>
  <r>
    <n v="17"/>
    <x v="1"/>
    <n v="5.3"/>
    <x v="0"/>
    <n v="6.6"/>
    <n v="0.6"/>
    <n v="3.04"/>
    <n v="0.1"/>
    <x v="1"/>
    <n v="3"/>
    <n v="7"/>
    <n v="1"/>
    <n v="0"/>
    <m/>
  </r>
  <r>
    <n v="16"/>
    <x v="0"/>
    <n v="4.5999999999999996"/>
    <x v="2"/>
    <n v="5.3"/>
    <n v="1.3"/>
    <n v="3.76"/>
    <n v="0.5"/>
    <x v="2"/>
    <n v="3"/>
    <n v="8"/>
    <n v="8"/>
    <n v="0"/>
    <m/>
  </r>
  <r>
    <n v="18"/>
    <x v="0"/>
    <n v="7.7"/>
    <x v="2"/>
    <n v="6.6"/>
    <n v="1.6"/>
    <n v="4"/>
    <n v="1.9"/>
    <x v="1"/>
    <n v="3"/>
    <n v="3"/>
    <n v="9"/>
    <n v="0"/>
    <m/>
  </r>
  <r>
    <n v="19"/>
    <x v="0"/>
    <n v="7.1"/>
    <x v="1"/>
    <n v="8.4"/>
    <n v="1.8"/>
    <n v="2.93"/>
    <n v="1.3"/>
    <x v="2"/>
    <n v="1"/>
    <n v="6"/>
    <n v="8"/>
    <n v="0"/>
    <m/>
  </r>
  <r>
    <n v="16"/>
    <x v="0"/>
    <n v="3.9"/>
    <x v="1"/>
    <n v="7.5"/>
    <n v="2.1"/>
    <n v="3.24"/>
    <n v="0.9"/>
    <x v="0"/>
    <n v="4"/>
    <n v="3"/>
    <n v="2"/>
    <n v="0"/>
    <m/>
  </r>
  <r>
    <n v="19"/>
    <x v="1"/>
    <n v="7.5"/>
    <x v="1"/>
    <n v="8.6"/>
    <n v="0.9"/>
    <n v="2.25"/>
    <n v="1.6"/>
    <x v="1"/>
    <n v="9"/>
    <n v="8"/>
    <n v="4"/>
    <n v="0"/>
    <m/>
  </r>
  <r>
    <n v="18"/>
    <x v="0"/>
    <n v="5.8"/>
    <x v="1"/>
    <n v="7.5"/>
    <n v="2.2000000000000002"/>
    <n v="3.65"/>
    <n v="1.4"/>
    <x v="2"/>
    <n v="4"/>
    <n v="4"/>
    <n v="8"/>
    <n v="0"/>
    <m/>
  </r>
  <r>
    <n v="17"/>
    <x v="1"/>
    <n v="7.6"/>
    <x v="0"/>
    <n v="7.3"/>
    <n v="2.9"/>
    <n v="2.99"/>
    <n v="1.2"/>
    <x v="1"/>
    <n v="4"/>
    <n v="8"/>
    <n v="10"/>
    <n v="0"/>
    <m/>
  </r>
  <r>
    <n v="19"/>
    <x v="1"/>
    <n v="4.4000000000000004"/>
    <x v="0"/>
    <n v="7.4"/>
    <n v="2.8"/>
    <n v="3.28"/>
    <n v="1.5"/>
    <x v="2"/>
    <n v="7"/>
    <n v="5"/>
    <n v="4"/>
    <n v="0"/>
    <m/>
  </r>
  <r>
    <n v="19"/>
    <x v="0"/>
    <n v="4.5999999999999996"/>
    <x v="2"/>
    <n v="4.5999999999999996"/>
    <n v="2.5"/>
    <n v="2.4"/>
    <n v="1"/>
    <x v="1"/>
    <n v="10"/>
    <n v="10"/>
    <n v="8"/>
    <n v="0"/>
    <m/>
  </r>
  <r>
    <n v="18"/>
    <x v="1"/>
    <n v="7"/>
    <x v="2"/>
    <n v="8.9"/>
    <n v="0.7"/>
    <n v="2.79"/>
    <n v="0.4"/>
    <x v="2"/>
    <n v="2"/>
    <n v="10"/>
    <n v="8"/>
    <n v="0"/>
    <m/>
  </r>
  <r>
    <n v="16"/>
    <x v="1"/>
    <n v="3.6"/>
    <x v="1"/>
    <n v="8.8000000000000007"/>
    <n v="1.2"/>
    <n v="2.3199999999999998"/>
    <n v="0.5"/>
    <x v="0"/>
    <n v="2"/>
    <n v="4"/>
    <n v="5"/>
    <n v="0"/>
    <m/>
  </r>
  <r>
    <n v="15"/>
    <x v="1"/>
    <n v="3"/>
    <x v="1"/>
    <n v="6.6"/>
    <n v="0.9"/>
    <n v="2.69"/>
    <n v="1.8"/>
    <x v="2"/>
    <n v="1"/>
    <n v="2"/>
    <n v="2"/>
    <n v="0"/>
    <m/>
  </r>
  <r>
    <n v="19"/>
    <x v="1"/>
    <n v="7.2"/>
    <x v="0"/>
    <n v="6.4"/>
    <n v="2.9"/>
    <n v="3.82"/>
    <n v="1"/>
    <x v="2"/>
    <n v="5"/>
    <n v="4"/>
    <n v="5"/>
    <n v="0"/>
    <m/>
  </r>
  <r>
    <n v="15"/>
    <x v="1"/>
    <n v="5.6"/>
    <x v="2"/>
    <n v="5.9"/>
    <n v="2"/>
    <n v="2.97"/>
    <n v="0.6"/>
    <x v="0"/>
    <n v="9"/>
    <n v="3"/>
    <n v="3"/>
    <n v="0"/>
    <m/>
  </r>
  <r>
    <n v="14"/>
    <x v="1"/>
    <n v="2"/>
    <x v="0"/>
    <n v="4.7"/>
    <n v="1.1000000000000001"/>
    <n v="2.5099999999999998"/>
    <n v="0"/>
    <x v="1"/>
    <n v="2"/>
    <n v="9"/>
    <n v="4"/>
    <n v="0"/>
    <m/>
  </r>
  <r>
    <n v="14"/>
    <x v="1"/>
    <n v="4.4000000000000004"/>
    <x v="1"/>
    <n v="5.0999999999999996"/>
    <n v="2.8"/>
    <n v="2.2200000000000002"/>
    <n v="0.5"/>
    <x v="1"/>
    <n v="5"/>
    <n v="4"/>
    <n v="1"/>
    <n v="0"/>
    <m/>
  </r>
  <r>
    <n v="13"/>
    <x v="0"/>
    <n v="3.5"/>
    <x v="1"/>
    <n v="5.8"/>
    <n v="1.2"/>
    <n v="2.44"/>
    <n v="1.5"/>
    <x v="2"/>
    <n v="4"/>
    <n v="1"/>
    <n v="8"/>
    <n v="0"/>
    <m/>
  </r>
  <r>
    <n v="13"/>
    <x v="0"/>
    <n v="6.5"/>
    <x v="0"/>
    <n v="6.5"/>
    <n v="1.5"/>
    <n v="2.0499999999999998"/>
    <n v="0.5"/>
    <x v="0"/>
    <n v="3"/>
    <n v="9"/>
    <n v="4"/>
    <n v="0"/>
    <m/>
  </r>
  <r>
    <n v="14"/>
    <x v="0"/>
    <n v="4.4000000000000004"/>
    <x v="0"/>
    <n v="8.8000000000000007"/>
    <n v="2.2999999999999998"/>
    <n v="2.73"/>
    <n v="0.3"/>
    <x v="2"/>
    <n v="9"/>
    <n v="2"/>
    <n v="2"/>
    <n v="0"/>
    <m/>
  </r>
  <r>
    <n v="17"/>
    <x v="1"/>
    <n v="3.1"/>
    <x v="1"/>
    <n v="4.2"/>
    <n v="0.8"/>
    <n v="2.2799999999999998"/>
    <n v="1.6"/>
    <x v="2"/>
    <n v="4"/>
    <n v="9"/>
    <n v="6"/>
    <n v="0"/>
    <m/>
  </r>
  <r>
    <n v="15"/>
    <x v="0"/>
    <n v="7.8"/>
    <x v="2"/>
    <n v="4.2"/>
    <n v="2.1"/>
    <n v="3.42"/>
    <n v="0"/>
    <x v="0"/>
    <n v="10"/>
    <n v="7"/>
    <n v="9"/>
    <n v="1"/>
    <m/>
  </r>
  <r>
    <n v="19"/>
    <x v="1"/>
    <n v="2.1"/>
    <x v="2"/>
    <n v="4.4000000000000004"/>
    <n v="2.2000000000000002"/>
    <n v="2.4700000000000002"/>
    <n v="0.7"/>
    <x v="1"/>
    <n v="9"/>
    <n v="5"/>
    <n v="6"/>
    <n v="0"/>
    <m/>
  </r>
  <r>
    <n v="14"/>
    <x v="1"/>
    <n v="5.5"/>
    <x v="2"/>
    <n v="5.7"/>
    <n v="2.2999999999999998"/>
    <n v="3.05"/>
    <n v="1.3"/>
    <x v="2"/>
    <n v="7"/>
    <n v="8"/>
    <n v="5"/>
    <n v="1"/>
    <m/>
  </r>
  <r>
    <n v="15"/>
    <x v="1"/>
    <n v="5.7"/>
    <x v="0"/>
    <n v="7.2"/>
    <n v="2.4"/>
    <n v="2.1800000000000002"/>
    <n v="1.6"/>
    <x v="2"/>
    <n v="5"/>
    <n v="1"/>
    <n v="7"/>
    <n v="0"/>
    <m/>
  </r>
  <r>
    <n v="15"/>
    <x v="1"/>
    <n v="5"/>
    <x v="1"/>
    <n v="6.3"/>
    <n v="1.5"/>
    <n v="2.67"/>
    <n v="1.1000000000000001"/>
    <x v="1"/>
    <n v="6"/>
    <n v="2"/>
    <n v="5"/>
    <n v="0"/>
    <m/>
  </r>
  <r>
    <n v="16"/>
    <x v="1"/>
    <n v="7.5"/>
    <x v="2"/>
    <n v="4"/>
    <n v="0.5"/>
    <n v="3.72"/>
    <n v="1.1000000000000001"/>
    <x v="2"/>
    <n v="4"/>
    <n v="5"/>
    <n v="7"/>
    <n v="0"/>
    <m/>
  </r>
  <r>
    <n v="17"/>
    <x v="0"/>
    <n v="2.2000000000000002"/>
    <x v="1"/>
    <n v="7.1"/>
    <n v="1.1000000000000001"/>
    <n v="2.5"/>
    <n v="1.5"/>
    <x v="0"/>
    <n v="2"/>
    <n v="1"/>
    <n v="2"/>
    <n v="0"/>
    <m/>
  </r>
  <r>
    <n v="15"/>
    <x v="1"/>
    <n v="7.3"/>
    <x v="0"/>
    <n v="4.0999999999999996"/>
    <n v="2.1"/>
    <n v="2.87"/>
    <n v="0.4"/>
    <x v="0"/>
    <n v="10"/>
    <n v="10"/>
    <n v="1"/>
    <n v="1"/>
    <m/>
  </r>
  <r>
    <n v="17"/>
    <x v="0"/>
    <n v="2.7"/>
    <x v="0"/>
    <n v="7.5"/>
    <n v="1.5"/>
    <n v="3.23"/>
    <n v="1.4"/>
    <x v="0"/>
    <n v="5"/>
    <n v="7"/>
    <n v="3"/>
    <n v="0"/>
    <m/>
  </r>
  <r>
    <n v="18"/>
    <x v="0"/>
    <n v="1.6"/>
    <x v="0"/>
    <n v="8.6"/>
    <n v="2.6"/>
    <n v="3.53"/>
    <n v="0.1"/>
    <x v="2"/>
    <n v="8"/>
    <n v="8"/>
    <n v="10"/>
    <n v="0"/>
    <m/>
  </r>
  <r>
    <n v="14"/>
    <x v="0"/>
    <n v="4"/>
    <x v="1"/>
    <n v="4.9000000000000004"/>
    <n v="2.7"/>
    <n v="2.2999999999999998"/>
    <n v="0.5"/>
    <x v="1"/>
    <n v="7"/>
    <n v="8"/>
    <n v="6"/>
    <n v="0"/>
    <m/>
  </r>
  <r>
    <n v="18"/>
    <x v="1"/>
    <n v="6.3"/>
    <x v="2"/>
    <n v="4.7"/>
    <n v="2.4"/>
    <n v="2.2999999999999998"/>
    <n v="0.9"/>
    <x v="2"/>
    <n v="6"/>
    <n v="1"/>
    <n v="6"/>
    <n v="0"/>
    <m/>
  </r>
  <r>
    <n v="16"/>
    <x v="1"/>
    <n v="6.8"/>
    <x v="1"/>
    <n v="7.1"/>
    <n v="2.9"/>
    <n v="3.26"/>
    <n v="0.6"/>
    <x v="0"/>
    <n v="6"/>
    <n v="10"/>
    <n v="4"/>
    <n v="0"/>
    <m/>
  </r>
  <r>
    <n v="18"/>
    <x v="1"/>
    <n v="6.6"/>
    <x v="2"/>
    <n v="8.1"/>
    <n v="2"/>
    <n v="3.59"/>
    <n v="1.6"/>
    <x v="0"/>
    <n v="9"/>
    <n v="4"/>
    <n v="3"/>
    <n v="0"/>
    <m/>
  </r>
  <r>
    <n v="13"/>
    <x v="0"/>
    <n v="4"/>
    <x v="0"/>
    <n v="4.2"/>
    <n v="0.9"/>
    <n v="2.75"/>
    <n v="1"/>
    <x v="1"/>
    <n v="5"/>
    <n v="4"/>
    <n v="8"/>
    <n v="0"/>
    <m/>
  </r>
  <r>
    <n v="13"/>
    <x v="0"/>
    <n v="1.6"/>
    <x v="1"/>
    <n v="5"/>
    <n v="2.7"/>
    <n v="2.31"/>
    <n v="1.9"/>
    <x v="0"/>
    <n v="8"/>
    <n v="9"/>
    <n v="5"/>
    <n v="0"/>
    <m/>
  </r>
  <r>
    <n v="18"/>
    <x v="0"/>
    <n v="5.3"/>
    <x v="2"/>
    <n v="8.1999999999999993"/>
    <n v="1.9"/>
    <n v="3.87"/>
    <n v="1.9"/>
    <x v="0"/>
    <n v="2"/>
    <n v="9"/>
    <n v="8"/>
    <n v="0"/>
    <m/>
  </r>
  <r>
    <n v="19"/>
    <x v="1"/>
    <n v="7.4"/>
    <x v="2"/>
    <n v="4.4000000000000004"/>
    <n v="1.4"/>
    <n v="3.78"/>
    <n v="1.1000000000000001"/>
    <x v="0"/>
    <n v="9"/>
    <n v="7"/>
    <n v="5"/>
    <n v="1"/>
    <m/>
  </r>
  <r>
    <n v="18"/>
    <x v="1"/>
    <n v="2.2999999999999998"/>
    <x v="0"/>
    <n v="8.6999999999999993"/>
    <n v="0.6"/>
    <n v="2.76"/>
    <n v="1.9"/>
    <x v="1"/>
    <n v="4"/>
    <n v="8"/>
    <n v="7"/>
    <n v="0"/>
    <m/>
  </r>
  <r>
    <n v="16"/>
    <x v="0"/>
    <n v="7.6"/>
    <x v="2"/>
    <n v="6.1"/>
    <n v="0.8"/>
    <n v="3.09"/>
    <n v="1.3"/>
    <x v="0"/>
    <n v="8"/>
    <n v="4"/>
    <n v="4"/>
    <n v="0"/>
    <m/>
  </r>
  <r>
    <n v="16"/>
    <x v="1"/>
    <n v="7.6"/>
    <x v="1"/>
    <n v="7.6"/>
    <n v="2.4"/>
    <n v="2.2400000000000002"/>
    <n v="1.1000000000000001"/>
    <x v="2"/>
    <n v="1"/>
    <n v="5"/>
    <n v="5"/>
    <n v="0"/>
    <m/>
  </r>
  <r>
    <n v="17"/>
    <x v="1"/>
    <n v="3.4"/>
    <x v="2"/>
    <n v="4.7"/>
    <n v="0.5"/>
    <n v="2.91"/>
    <n v="2"/>
    <x v="1"/>
    <n v="2"/>
    <n v="8"/>
    <n v="1"/>
    <n v="0"/>
    <m/>
  </r>
  <r>
    <n v="18"/>
    <x v="1"/>
    <n v="2.2999999999999998"/>
    <x v="0"/>
    <n v="4.2"/>
    <n v="0.9"/>
    <n v="3.84"/>
    <n v="1.3"/>
    <x v="1"/>
    <n v="6"/>
    <n v="6"/>
    <n v="10"/>
    <n v="0"/>
    <m/>
  </r>
  <r>
    <n v="18"/>
    <x v="0"/>
    <n v="5"/>
    <x v="0"/>
    <n v="4.3"/>
    <n v="1.1000000000000001"/>
    <n v="2.2200000000000002"/>
    <n v="0.1"/>
    <x v="1"/>
    <n v="7"/>
    <n v="2"/>
    <n v="2"/>
    <n v="0"/>
    <m/>
  </r>
  <r>
    <n v="15"/>
    <x v="0"/>
    <n v="3.8"/>
    <x v="1"/>
    <n v="7.1"/>
    <n v="0.5"/>
    <n v="3.08"/>
    <n v="0.2"/>
    <x v="2"/>
    <n v="2"/>
    <n v="9"/>
    <n v="7"/>
    <n v="0"/>
    <m/>
  </r>
  <r>
    <n v="16"/>
    <x v="0"/>
    <n v="3.7"/>
    <x v="0"/>
    <n v="7.6"/>
    <n v="1.2"/>
    <n v="3.2"/>
    <n v="1"/>
    <x v="2"/>
    <n v="4"/>
    <n v="8"/>
    <n v="6"/>
    <n v="0"/>
    <m/>
  </r>
  <r>
    <n v="13"/>
    <x v="0"/>
    <n v="1.4"/>
    <x v="2"/>
    <n v="8.6"/>
    <n v="2.4"/>
    <n v="3.31"/>
    <n v="0.7"/>
    <x v="0"/>
    <n v="2"/>
    <n v="6"/>
    <n v="2"/>
    <n v="0"/>
    <m/>
  </r>
  <r>
    <n v="18"/>
    <x v="0"/>
    <n v="1.8"/>
    <x v="2"/>
    <n v="4.9000000000000004"/>
    <n v="2.7"/>
    <n v="2.12"/>
    <n v="0.2"/>
    <x v="0"/>
    <n v="1"/>
    <n v="3"/>
    <n v="8"/>
    <n v="0"/>
    <m/>
  </r>
  <r>
    <n v="19"/>
    <x v="0"/>
    <n v="1.5"/>
    <x v="1"/>
    <n v="5.8"/>
    <n v="1.1000000000000001"/>
    <n v="3.29"/>
    <n v="1.7"/>
    <x v="1"/>
    <n v="6"/>
    <n v="4"/>
    <n v="2"/>
    <n v="0"/>
    <m/>
  </r>
  <r>
    <n v="18"/>
    <x v="1"/>
    <n v="5.5"/>
    <x v="2"/>
    <n v="5.5"/>
    <n v="1.8"/>
    <n v="2.2400000000000002"/>
    <n v="0"/>
    <x v="1"/>
    <n v="3"/>
    <n v="4"/>
    <n v="10"/>
    <n v="0"/>
    <m/>
  </r>
  <r>
    <n v="15"/>
    <x v="0"/>
    <n v="4.9000000000000004"/>
    <x v="2"/>
    <n v="5.2"/>
    <n v="0.7"/>
    <n v="2.5499999999999998"/>
    <n v="0.1"/>
    <x v="0"/>
    <n v="10"/>
    <n v="6"/>
    <n v="4"/>
    <n v="0"/>
    <m/>
  </r>
  <r>
    <n v="14"/>
    <x v="1"/>
    <n v="7.2"/>
    <x v="2"/>
    <n v="7"/>
    <n v="2.2999999999999998"/>
    <n v="3.74"/>
    <n v="0.7"/>
    <x v="0"/>
    <n v="8"/>
    <n v="4"/>
    <n v="7"/>
    <n v="0"/>
    <m/>
  </r>
  <r>
    <n v="16"/>
    <x v="1"/>
    <n v="6.8"/>
    <x v="0"/>
    <n v="7.2"/>
    <n v="1.1000000000000001"/>
    <n v="2.29"/>
    <n v="1.9"/>
    <x v="0"/>
    <n v="8"/>
    <n v="5"/>
    <n v="9"/>
    <n v="0"/>
    <m/>
  </r>
  <r>
    <n v="13"/>
    <x v="1"/>
    <n v="2.2000000000000002"/>
    <x v="2"/>
    <n v="7.7"/>
    <n v="2.1"/>
    <n v="2.33"/>
    <n v="1.7"/>
    <x v="0"/>
    <n v="2"/>
    <n v="8"/>
    <n v="7"/>
    <n v="0"/>
    <m/>
  </r>
  <r>
    <n v="16"/>
    <x v="1"/>
    <n v="5.9"/>
    <x v="1"/>
    <n v="7"/>
    <n v="0.8"/>
    <n v="2.29"/>
    <n v="1.6"/>
    <x v="0"/>
    <n v="6"/>
    <n v="8"/>
    <n v="1"/>
    <n v="0"/>
    <m/>
  </r>
  <r>
    <n v="15"/>
    <x v="1"/>
    <n v="2.2000000000000002"/>
    <x v="0"/>
    <n v="7.5"/>
    <n v="1.4"/>
    <n v="3.19"/>
    <n v="1.8"/>
    <x v="0"/>
    <n v="6"/>
    <n v="1"/>
    <n v="7"/>
    <n v="0"/>
    <m/>
  </r>
  <r>
    <n v="19"/>
    <x v="1"/>
    <n v="2.4"/>
    <x v="0"/>
    <n v="4.2"/>
    <n v="1.2"/>
    <n v="3.87"/>
    <n v="1.3"/>
    <x v="0"/>
    <n v="1"/>
    <n v="9"/>
    <n v="5"/>
    <n v="0"/>
    <m/>
  </r>
  <r>
    <n v="15"/>
    <x v="0"/>
    <n v="4.0999999999999996"/>
    <x v="0"/>
    <n v="7.6"/>
    <n v="1"/>
    <n v="2.17"/>
    <n v="1.1000000000000001"/>
    <x v="0"/>
    <n v="4"/>
    <n v="5"/>
    <n v="1"/>
    <n v="0"/>
    <m/>
  </r>
  <r>
    <n v="18"/>
    <x v="1"/>
    <n v="4.5"/>
    <x v="0"/>
    <n v="7"/>
    <n v="2.7"/>
    <n v="2.89"/>
    <n v="1.8"/>
    <x v="1"/>
    <n v="1"/>
    <n v="1"/>
    <n v="2"/>
    <n v="0"/>
    <m/>
  </r>
  <r>
    <n v="14"/>
    <x v="1"/>
    <n v="4.5999999999999996"/>
    <x v="0"/>
    <n v="5.9"/>
    <n v="1.4"/>
    <n v="2.15"/>
    <n v="0.3"/>
    <x v="1"/>
    <n v="3"/>
    <n v="10"/>
    <n v="2"/>
    <n v="0"/>
    <m/>
  </r>
  <r>
    <n v="17"/>
    <x v="1"/>
    <n v="4.5"/>
    <x v="2"/>
    <n v="6.1"/>
    <n v="2.8"/>
    <n v="3.38"/>
    <n v="1.2"/>
    <x v="0"/>
    <n v="10"/>
    <n v="4"/>
    <n v="2"/>
    <n v="0"/>
    <m/>
  </r>
  <r>
    <n v="13"/>
    <x v="0"/>
    <n v="5"/>
    <x v="0"/>
    <n v="5.2"/>
    <n v="2.6"/>
    <n v="2.04"/>
    <n v="1.7"/>
    <x v="2"/>
    <n v="4"/>
    <n v="4"/>
    <n v="5"/>
    <n v="0"/>
    <m/>
  </r>
  <r>
    <n v="19"/>
    <x v="1"/>
    <n v="4.0999999999999996"/>
    <x v="2"/>
    <n v="6.4"/>
    <n v="1.4"/>
    <n v="2.2599999999999998"/>
    <n v="1.6"/>
    <x v="1"/>
    <n v="2"/>
    <n v="3"/>
    <n v="6"/>
    <n v="0"/>
    <m/>
  </r>
  <r>
    <n v="18"/>
    <x v="0"/>
    <n v="7.5"/>
    <x v="1"/>
    <n v="7.6"/>
    <n v="1.8"/>
    <n v="3.19"/>
    <n v="1.7"/>
    <x v="1"/>
    <n v="2"/>
    <n v="6"/>
    <n v="6"/>
    <n v="0"/>
    <m/>
  </r>
  <r>
    <n v="18"/>
    <x v="0"/>
    <n v="4.2"/>
    <x v="0"/>
    <n v="5.5"/>
    <n v="1.8"/>
    <n v="3.83"/>
    <n v="1.9"/>
    <x v="0"/>
    <n v="3"/>
    <n v="8"/>
    <n v="8"/>
    <n v="0"/>
    <m/>
  </r>
  <r>
    <n v="14"/>
    <x v="1"/>
    <n v="7.2"/>
    <x v="2"/>
    <n v="5"/>
    <n v="2.9"/>
    <n v="3.76"/>
    <n v="0.4"/>
    <x v="2"/>
    <n v="7"/>
    <n v="4"/>
    <n v="2"/>
    <n v="0"/>
    <m/>
  </r>
  <r>
    <n v="13"/>
    <x v="0"/>
    <n v="4.8"/>
    <x v="0"/>
    <n v="6"/>
    <n v="0.6"/>
    <n v="2.41"/>
    <n v="0"/>
    <x v="1"/>
    <n v="3"/>
    <n v="6"/>
    <n v="9"/>
    <n v="0"/>
    <m/>
  </r>
  <r>
    <n v="17"/>
    <x v="1"/>
    <n v="7.3"/>
    <x v="0"/>
    <n v="6.7"/>
    <n v="1"/>
    <n v="3.41"/>
    <n v="1.7"/>
    <x v="2"/>
    <n v="6"/>
    <n v="5"/>
    <n v="2"/>
    <n v="0"/>
    <m/>
  </r>
  <r>
    <n v="13"/>
    <x v="0"/>
    <n v="3.9"/>
    <x v="2"/>
    <n v="4.5"/>
    <n v="1.6"/>
    <n v="2.02"/>
    <n v="0.6"/>
    <x v="1"/>
    <n v="6"/>
    <n v="6"/>
    <n v="5"/>
    <n v="0"/>
    <m/>
  </r>
  <r>
    <n v="15"/>
    <x v="1"/>
    <n v="5.5"/>
    <x v="2"/>
    <n v="4"/>
    <n v="2.4"/>
    <n v="3.01"/>
    <n v="0.9"/>
    <x v="0"/>
    <n v="10"/>
    <n v="3"/>
    <n v="2"/>
    <n v="0"/>
    <m/>
  </r>
  <r>
    <n v="15"/>
    <x v="0"/>
    <n v="7.5"/>
    <x v="2"/>
    <n v="6.3"/>
    <n v="2.8"/>
    <n v="3.04"/>
    <n v="1.8"/>
    <x v="0"/>
    <n v="1"/>
    <n v="5"/>
    <n v="8"/>
    <n v="0"/>
    <m/>
  </r>
  <r>
    <n v="17"/>
    <x v="0"/>
    <n v="1.8"/>
    <x v="0"/>
    <n v="6.9"/>
    <n v="2.7"/>
    <n v="2.5299999999999998"/>
    <n v="1.7"/>
    <x v="1"/>
    <n v="2"/>
    <n v="2"/>
    <n v="7"/>
    <n v="0"/>
    <m/>
  </r>
  <r>
    <n v="16"/>
    <x v="0"/>
    <n v="2.6"/>
    <x v="0"/>
    <n v="5.0999999999999996"/>
    <n v="0.9"/>
    <n v="2.57"/>
    <n v="1.4"/>
    <x v="2"/>
    <n v="8"/>
    <n v="5"/>
    <n v="8"/>
    <n v="0"/>
    <m/>
  </r>
  <r>
    <n v="17"/>
    <x v="1"/>
    <n v="5.5"/>
    <x v="2"/>
    <n v="6"/>
    <n v="2.8"/>
    <n v="3.4"/>
    <n v="0"/>
    <x v="2"/>
    <n v="2"/>
    <n v="3"/>
    <n v="8"/>
    <n v="0"/>
    <m/>
  </r>
  <r>
    <n v="15"/>
    <x v="1"/>
    <n v="3.6"/>
    <x v="1"/>
    <n v="7.1"/>
    <n v="0.9"/>
    <n v="2.84"/>
    <n v="0.3"/>
    <x v="0"/>
    <n v="1"/>
    <n v="9"/>
    <n v="4"/>
    <n v="0"/>
    <m/>
  </r>
  <r>
    <n v="19"/>
    <x v="1"/>
    <n v="7.6"/>
    <x v="2"/>
    <n v="5.4"/>
    <n v="1.9"/>
    <n v="2.56"/>
    <n v="1.4"/>
    <x v="0"/>
    <n v="2"/>
    <n v="7"/>
    <n v="9"/>
    <n v="0"/>
    <m/>
  </r>
  <r>
    <n v="13"/>
    <x v="0"/>
    <n v="7.9"/>
    <x v="0"/>
    <n v="7.1"/>
    <n v="0.7"/>
    <n v="2.8"/>
    <n v="0.3"/>
    <x v="2"/>
    <n v="6"/>
    <n v="8"/>
    <n v="8"/>
    <n v="0"/>
    <m/>
  </r>
  <r>
    <n v="15"/>
    <x v="0"/>
    <n v="2.6"/>
    <x v="2"/>
    <n v="6.8"/>
    <n v="1.7"/>
    <n v="2.06"/>
    <n v="0.4"/>
    <x v="2"/>
    <n v="8"/>
    <n v="6"/>
    <n v="6"/>
    <n v="0"/>
    <m/>
  </r>
  <r>
    <n v="19"/>
    <x v="0"/>
    <n v="5.7"/>
    <x v="1"/>
    <n v="6.4"/>
    <n v="0.9"/>
    <n v="3.57"/>
    <n v="1.5"/>
    <x v="1"/>
    <n v="3"/>
    <n v="7"/>
    <n v="2"/>
    <n v="0"/>
    <m/>
  </r>
  <r>
    <n v="13"/>
    <x v="1"/>
    <n v="7.1"/>
    <x v="0"/>
    <n v="5.7"/>
    <n v="1.2"/>
    <n v="3.83"/>
    <n v="2"/>
    <x v="2"/>
    <n v="2"/>
    <n v="8"/>
    <n v="7"/>
    <n v="0"/>
    <m/>
  </r>
  <r>
    <n v="13"/>
    <x v="1"/>
    <n v="1.3"/>
    <x v="1"/>
    <n v="8.6999999999999993"/>
    <n v="0.9"/>
    <n v="4"/>
    <n v="0.1"/>
    <x v="0"/>
    <n v="10"/>
    <n v="9"/>
    <n v="9"/>
    <n v="0"/>
    <m/>
  </r>
  <r>
    <n v="13"/>
    <x v="1"/>
    <n v="1.1000000000000001"/>
    <x v="2"/>
    <n v="6.7"/>
    <n v="2"/>
    <n v="3.63"/>
    <n v="0.2"/>
    <x v="2"/>
    <n v="3"/>
    <n v="10"/>
    <n v="5"/>
    <n v="0"/>
    <m/>
  </r>
  <r>
    <n v="13"/>
    <x v="1"/>
    <n v="3.3"/>
    <x v="1"/>
    <n v="9"/>
    <n v="0.7"/>
    <n v="2.4900000000000002"/>
    <n v="0.6"/>
    <x v="2"/>
    <n v="3"/>
    <n v="6"/>
    <n v="4"/>
    <n v="0"/>
    <m/>
  </r>
  <r>
    <n v="16"/>
    <x v="0"/>
    <n v="7.4"/>
    <x v="2"/>
    <n v="7.2"/>
    <n v="1.8"/>
    <n v="2.11"/>
    <n v="1.4"/>
    <x v="2"/>
    <n v="3"/>
    <n v="7"/>
    <n v="3"/>
    <n v="0"/>
    <m/>
  </r>
  <r>
    <n v="13"/>
    <x v="0"/>
    <n v="5.8"/>
    <x v="1"/>
    <n v="8.3000000000000007"/>
    <n v="2.8"/>
    <n v="2.63"/>
    <n v="0.6"/>
    <x v="1"/>
    <n v="5"/>
    <n v="3"/>
    <n v="7"/>
    <n v="0"/>
    <m/>
  </r>
  <r>
    <n v="18"/>
    <x v="1"/>
    <n v="4.5999999999999996"/>
    <x v="1"/>
    <n v="6.8"/>
    <n v="1.5"/>
    <n v="2.4"/>
    <n v="1.4"/>
    <x v="2"/>
    <n v="5"/>
    <n v="10"/>
    <n v="2"/>
    <n v="0"/>
    <m/>
  </r>
  <r>
    <n v="18"/>
    <x v="1"/>
    <n v="2.5"/>
    <x v="1"/>
    <n v="7.1"/>
    <n v="1.6"/>
    <n v="3.97"/>
    <n v="0.7"/>
    <x v="2"/>
    <n v="10"/>
    <n v="7"/>
    <n v="3"/>
    <n v="0"/>
    <m/>
  </r>
  <r>
    <n v="18"/>
    <x v="0"/>
    <n v="4"/>
    <x v="2"/>
    <n v="8"/>
    <n v="2"/>
    <n v="3.04"/>
    <n v="1.4"/>
    <x v="1"/>
    <n v="3"/>
    <n v="1"/>
    <n v="8"/>
    <n v="0"/>
    <m/>
  </r>
  <r>
    <n v="17"/>
    <x v="1"/>
    <n v="6.6"/>
    <x v="2"/>
    <n v="8"/>
    <n v="1.9"/>
    <n v="2.86"/>
    <n v="0.4"/>
    <x v="2"/>
    <n v="4"/>
    <n v="8"/>
    <n v="5"/>
    <n v="0"/>
    <m/>
  </r>
  <r>
    <n v="14"/>
    <x v="1"/>
    <n v="2.9"/>
    <x v="1"/>
    <n v="5.8"/>
    <n v="1.6"/>
    <n v="3.34"/>
    <n v="1.1000000000000001"/>
    <x v="2"/>
    <n v="6"/>
    <n v="10"/>
    <n v="3"/>
    <n v="0"/>
    <m/>
  </r>
  <r>
    <n v="14"/>
    <x v="0"/>
    <n v="7.2"/>
    <x v="1"/>
    <n v="5.7"/>
    <n v="2.7"/>
    <n v="2.76"/>
    <n v="0.4"/>
    <x v="0"/>
    <n v="7"/>
    <n v="3"/>
    <n v="7"/>
    <n v="0"/>
    <m/>
  </r>
  <r>
    <n v="13"/>
    <x v="1"/>
    <n v="2.9"/>
    <x v="0"/>
    <n v="5.3"/>
    <n v="1"/>
    <n v="3.89"/>
    <n v="1.7"/>
    <x v="1"/>
    <n v="9"/>
    <n v="2"/>
    <n v="4"/>
    <n v="0"/>
    <m/>
  </r>
  <r>
    <n v="15"/>
    <x v="1"/>
    <n v="7.3"/>
    <x v="2"/>
    <n v="5.7"/>
    <n v="2.9"/>
    <n v="3.48"/>
    <n v="1.8"/>
    <x v="2"/>
    <n v="2"/>
    <n v="7"/>
    <n v="8"/>
    <n v="0"/>
    <m/>
  </r>
  <r>
    <n v="16"/>
    <x v="1"/>
    <n v="3.7"/>
    <x v="1"/>
    <n v="9"/>
    <n v="1.5"/>
    <n v="3.37"/>
    <n v="1.9"/>
    <x v="0"/>
    <n v="4"/>
    <n v="3"/>
    <n v="1"/>
    <n v="0"/>
    <m/>
  </r>
  <r>
    <n v="16"/>
    <x v="0"/>
    <n v="7"/>
    <x v="0"/>
    <n v="4.8"/>
    <n v="1.7"/>
    <n v="2.9"/>
    <n v="0.3"/>
    <x v="0"/>
    <n v="4"/>
    <n v="1"/>
    <n v="8"/>
    <n v="0"/>
    <m/>
  </r>
  <r>
    <n v="15"/>
    <x v="0"/>
    <n v="4"/>
    <x v="1"/>
    <n v="8.4"/>
    <n v="2.2999999999999998"/>
    <n v="2.52"/>
    <n v="0.9"/>
    <x v="0"/>
    <n v="4"/>
    <n v="5"/>
    <n v="3"/>
    <n v="0"/>
    <m/>
  </r>
  <r>
    <n v="16"/>
    <x v="0"/>
    <n v="2.7"/>
    <x v="2"/>
    <n v="7.5"/>
    <n v="2.8"/>
    <n v="3.53"/>
    <n v="0.9"/>
    <x v="2"/>
    <n v="3"/>
    <n v="1"/>
    <n v="5"/>
    <n v="0"/>
    <m/>
  </r>
  <r>
    <n v="15"/>
    <x v="0"/>
    <n v="7.2"/>
    <x v="2"/>
    <n v="5.7"/>
    <n v="0.7"/>
    <n v="3.89"/>
    <n v="1"/>
    <x v="2"/>
    <n v="1"/>
    <n v="3"/>
    <n v="6"/>
    <n v="0"/>
    <m/>
  </r>
  <r>
    <n v="18"/>
    <x v="0"/>
    <n v="7.9"/>
    <x v="2"/>
    <n v="7"/>
    <n v="2.7"/>
    <n v="3.9"/>
    <n v="1"/>
    <x v="2"/>
    <n v="1"/>
    <n v="2"/>
    <n v="10"/>
    <n v="0"/>
    <m/>
  </r>
  <r>
    <n v="14"/>
    <x v="1"/>
    <n v="5.0999999999999996"/>
    <x v="0"/>
    <n v="5.3"/>
    <n v="2.2999999999999998"/>
    <n v="2.31"/>
    <n v="0.2"/>
    <x v="1"/>
    <n v="3"/>
    <n v="3"/>
    <n v="6"/>
    <n v="0"/>
    <m/>
  </r>
  <r>
    <n v="15"/>
    <x v="1"/>
    <n v="6.4"/>
    <x v="2"/>
    <n v="7.7"/>
    <n v="0.7"/>
    <n v="3.86"/>
    <n v="1.5"/>
    <x v="1"/>
    <n v="10"/>
    <n v="2"/>
    <n v="7"/>
    <n v="0"/>
    <m/>
  </r>
  <r>
    <n v="16"/>
    <x v="1"/>
    <n v="4.4000000000000004"/>
    <x v="2"/>
    <n v="4.2"/>
    <n v="2"/>
    <n v="3.89"/>
    <n v="1.1000000000000001"/>
    <x v="2"/>
    <n v="2"/>
    <n v="9"/>
    <n v="8"/>
    <n v="0"/>
    <m/>
  </r>
  <r>
    <n v="16"/>
    <x v="0"/>
    <n v="7"/>
    <x v="1"/>
    <n v="7.4"/>
    <n v="2.6"/>
    <n v="2.92"/>
    <n v="1"/>
    <x v="2"/>
    <n v="10"/>
    <n v="6"/>
    <n v="3"/>
    <n v="0"/>
    <m/>
  </r>
  <r>
    <n v="17"/>
    <x v="1"/>
    <n v="7.8"/>
    <x v="1"/>
    <n v="5.7"/>
    <n v="1.2"/>
    <n v="3.72"/>
    <n v="1.2"/>
    <x v="1"/>
    <n v="10"/>
    <n v="2"/>
    <n v="6"/>
    <n v="0"/>
    <m/>
  </r>
  <r>
    <n v="14"/>
    <x v="1"/>
    <n v="5"/>
    <x v="0"/>
    <n v="6.2"/>
    <n v="1"/>
    <n v="2"/>
    <n v="1.5"/>
    <x v="0"/>
    <n v="5"/>
    <n v="6"/>
    <n v="1"/>
    <n v="0"/>
    <m/>
  </r>
  <r>
    <n v="17"/>
    <x v="0"/>
    <n v="6.6"/>
    <x v="1"/>
    <n v="5.3"/>
    <n v="1.1000000000000001"/>
    <n v="3.5"/>
    <n v="1.7"/>
    <x v="2"/>
    <n v="1"/>
    <n v="10"/>
    <n v="7"/>
    <n v="0"/>
    <m/>
  </r>
  <r>
    <n v="18"/>
    <x v="0"/>
    <n v="2.6"/>
    <x v="2"/>
    <n v="8.6"/>
    <n v="2.7"/>
    <n v="3.28"/>
    <n v="0.8"/>
    <x v="1"/>
    <n v="5"/>
    <n v="4"/>
    <n v="6"/>
    <n v="0"/>
    <m/>
  </r>
  <r>
    <n v="13"/>
    <x v="1"/>
    <n v="5.8"/>
    <x v="0"/>
    <n v="4.4000000000000004"/>
    <n v="1.8"/>
    <n v="3.8"/>
    <n v="1"/>
    <x v="1"/>
    <n v="2"/>
    <n v="2"/>
    <n v="1"/>
    <n v="0"/>
    <m/>
  </r>
  <r>
    <n v="14"/>
    <x v="1"/>
    <n v="5.6"/>
    <x v="1"/>
    <n v="6.8"/>
    <n v="2.2999999999999998"/>
    <n v="2.66"/>
    <n v="1.1000000000000001"/>
    <x v="1"/>
    <n v="7"/>
    <n v="6"/>
    <n v="2"/>
    <n v="0"/>
    <m/>
  </r>
  <r>
    <n v="18"/>
    <x v="0"/>
    <n v="4.5999999999999996"/>
    <x v="2"/>
    <n v="4.3"/>
    <n v="2.9"/>
    <n v="2.95"/>
    <n v="0.6"/>
    <x v="2"/>
    <n v="7"/>
    <n v="9"/>
    <n v="8"/>
    <n v="0"/>
    <m/>
  </r>
  <r>
    <n v="19"/>
    <x v="0"/>
    <n v="1.4"/>
    <x v="2"/>
    <n v="4.7"/>
    <n v="0.5"/>
    <n v="3.57"/>
    <n v="1.7"/>
    <x v="1"/>
    <n v="1"/>
    <n v="5"/>
    <n v="6"/>
    <n v="0"/>
    <m/>
  </r>
  <r>
    <n v="13"/>
    <x v="1"/>
    <n v="2.9"/>
    <x v="2"/>
    <n v="8.1999999999999993"/>
    <n v="2.2999999999999998"/>
    <n v="2.48"/>
    <n v="0.9"/>
    <x v="0"/>
    <n v="5"/>
    <n v="8"/>
    <n v="9"/>
    <n v="0"/>
    <m/>
  </r>
  <r>
    <n v="16"/>
    <x v="1"/>
    <n v="7.9"/>
    <x v="0"/>
    <n v="6.3"/>
    <n v="2.7"/>
    <n v="2.88"/>
    <n v="0.2"/>
    <x v="1"/>
    <n v="2"/>
    <n v="7"/>
    <n v="5"/>
    <n v="0"/>
    <m/>
  </r>
  <r>
    <n v="13"/>
    <x v="0"/>
    <n v="3.5"/>
    <x v="2"/>
    <n v="6.8"/>
    <n v="2.2999999999999998"/>
    <n v="2.2799999999999998"/>
    <n v="1"/>
    <x v="0"/>
    <n v="7"/>
    <n v="2"/>
    <n v="6"/>
    <n v="0"/>
    <m/>
  </r>
  <r>
    <n v="14"/>
    <x v="1"/>
    <n v="3.8"/>
    <x v="0"/>
    <n v="7.9"/>
    <n v="1.2"/>
    <n v="3.24"/>
    <n v="1.6"/>
    <x v="1"/>
    <n v="6"/>
    <n v="10"/>
    <n v="5"/>
    <n v="0"/>
    <m/>
  </r>
  <r>
    <n v="19"/>
    <x v="0"/>
    <n v="2.9"/>
    <x v="0"/>
    <n v="8.6999999999999993"/>
    <n v="0.9"/>
    <n v="2.99"/>
    <n v="0.8"/>
    <x v="2"/>
    <n v="7"/>
    <n v="8"/>
    <n v="2"/>
    <n v="0"/>
    <m/>
  </r>
  <r>
    <n v="17"/>
    <x v="0"/>
    <n v="3.5"/>
    <x v="2"/>
    <n v="4.5999999999999996"/>
    <n v="0.7"/>
    <n v="3.9"/>
    <n v="0.6"/>
    <x v="1"/>
    <n v="7"/>
    <n v="3"/>
    <n v="1"/>
    <n v="0"/>
    <m/>
  </r>
  <r>
    <n v="16"/>
    <x v="0"/>
    <n v="4.8"/>
    <x v="0"/>
    <n v="8.6"/>
    <n v="1.8"/>
    <n v="2.44"/>
    <n v="1.7"/>
    <x v="1"/>
    <n v="8"/>
    <n v="7"/>
    <n v="3"/>
    <n v="0"/>
    <m/>
  </r>
  <r>
    <n v="13"/>
    <x v="0"/>
    <n v="5.8"/>
    <x v="1"/>
    <n v="7.2"/>
    <n v="1.1000000000000001"/>
    <n v="2.69"/>
    <n v="0.4"/>
    <x v="0"/>
    <n v="7"/>
    <n v="3"/>
    <n v="7"/>
    <n v="0"/>
    <m/>
  </r>
  <r>
    <n v="16"/>
    <x v="1"/>
    <n v="6.1"/>
    <x v="2"/>
    <n v="7.5"/>
    <n v="2.5"/>
    <n v="3.14"/>
    <n v="0.5"/>
    <x v="0"/>
    <n v="9"/>
    <n v="6"/>
    <n v="10"/>
    <n v="0"/>
    <m/>
  </r>
  <r>
    <n v="14"/>
    <x v="1"/>
    <n v="4.3"/>
    <x v="2"/>
    <n v="7.8"/>
    <n v="0.5"/>
    <n v="3.92"/>
    <n v="0.7"/>
    <x v="1"/>
    <n v="3"/>
    <n v="4"/>
    <n v="8"/>
    <n v="0"/>
    <m/>
  </r>
  <r>
    <n v="15"/>
    <x v="1"/>
    <n v="7.8"/>
    <x v="0"/>
    <n v="4.5999999999999996"/>
    <n v="3"/>
    <n v="2.44"/>
    <n v="1.4"/>
    <x v="2"/>
    <n v="8"/>
    <n v="10"/>
    <n v="6"/>
    <n v="1"/>
    <m/>
  </r>
  <r>
    <n v="15"/>
    <x v="1"/>
    <n v="5.2"/>
    <x v="1"/>
    <n v="7.5"/>
    <n v="1.1000000000000001"/>
    <n v="3.61"/>
    <n v="0.1"/>
    <x v="0"/>
    <n v="4"/>
    <n v="6"/>
    <n v="7"/>
    <n v="0"/>
    <m/>
  </r>
  <r>
    <n v="17"/>
    <x v="0"/>
    <n v="3.5"/>
    <x v="0"/>
    <n v="4.3"/>
    <n v="2.2000000000000002"/>
    <n v="3.19"/>
    <n v="1"/>
    <x v="1"/>
    <n v="4"/>
    <n v="5"/>
    <n v="9"/>
    <n v="0"/>
    <m/>
  </r>
  <r>
    <n v="16"/>
    <x v="1"/>
    <n v="6.5"/>
    <x v="1"/>
    <n v="4.5999999999999996"/>
    <n v="1.8"/>
    <n v="2.2000000000000002"/>
    <n v="1.2"/>
    <x v="0"/>
    <n v="7"/>
    <n v="4"/>
    <n v="4"/>
    <n v="0"/>
    <m/>
  </r>
  <r>
    <n v="17"/>
    <x v="0"/>
    <n v="4.7"/>
    <x v="1"/>
    <n v="7.2"/>
    <n v="2.7"/>
    <n v="2.06"/>
    <n v="1.4"/>
    <x v="0"/>
    <n v="3"/>
    <n v="1"/>
    <n v="4"/>
    <n v="0"/>
    <m/>
  </r>
  <r>
    <n v="13"/>
    <x v="0"/>
    <n v="2.5"/>
    <x v="0"/>
    <n v="6.3"/>
    <n v="1.8"/>
    <n v="2.2000000000000002"/>
    <n v="0.1"/>
    <x v="1"/>
    <n v="9"/>
    <n v="3"/>
    <n v="9"/>
    <n v="0"/>
    <m/>
  </r>
  <r>
    <n v="19"/>
    <x v="1"/>
    <n v="5.5"/>
    <x v="1"/>
    <n v="7.4"/>
    <n v="2"/>
    <n v="2.8"/>
    <n v="1.8"/>
    <x v="1"/>
    <n v="9"/>
    <n v="8"/>
    <n v="10"/>
    <n v="0"/>
    <m/>
  </r>
  <r>
    <n v="15"/>
    <x v="1"/>
    <n v="3.5"/>
    <x v="0"/>
    <n v="8"/>
    <n v="1.9"/>
    <n v="3.45"/>
    <n v="1.5"/>
    <x v="1"/>
    <n v="10"/>
    <n v="4"/>
    <n v="1"/>
    <n v="0"/>
    <m/>
  </r>
  <r>
    <n v="14"/>
    <x v="1"/>
    <n v="4.5999999999999996"/>
    <x v="1"/>
    <n v="7"/>
    <n v="1.6"/>
    <n v="2.74"/>
    <n v="0.9"/>
    <x v="0"/>
    <n v="3"/>
    <n v="2"/>
    <n v="9"/>
    <n v="0"/>
    <m/>
  </r>
  <r>
    <n v="13"/>
    <x v="1"/>
    <n v="3.5"/>
    <x v="0"/>
    <n v="6.9"/>
    <n v="1.6"/>
    <n v="2.08"/>
    <n v="0.7"/>
    <x v="0"/>
    <n v="9"/>
    <n v="9"/>
    <n v="9"/>
    <n v="0"/>
    <m/>
  </r>
  <r>
    <n v="19"/>
    <x v="0"/>
    <n v="1.6"/>
    <x v="1"/>
    <n v="8.6"/>
    <n v="1.4"/>
    <n v="2.69"/>
    <n v="1.6"/>
    <x v="2"/>
    <n v="4"/>
    <n v="3"/>
    <n v="4"/>
    <n v="0"/>
    <m/>
  </r>
  <r>
    <n v="13"/>
    <x v="1"/>
    <n v="3.2"/>
    <x v="2"/>
    <n v="5.9"/>
    <n v="0.7"/>
    <n v="3.98"/>
    <n v="0.8"/>
    <x v="0"/>
    <n v="6"/>
    <n v="8"/>
    <n v="1"/>
    <n v="0"/>
    <m/>
  </r>
  <r>
    <n v="19"/>
    <x v="1"/>
    <n v="1.7"/>
    <x v="2"/>
    <n v="7"/>
    <n v="2.7"/>
    <n v="2.0699999999999998"/>
    <n v="0.5"/>
    <x v="1"/>
    <n v="6"/>
    <n v="4"/>
    <n v="10"/>
    <n v="0"/>
    <m/>
  </r>
  <r>
    <n v="14"/>
    <x v="0"/>
    <n v="6.4"/>
    <x v="0"/>
    <n v="4.3"/>
    <n v="2.2999999999999998"/>
    <n v="3.99"/>
    <n v="1.1000000000000001"/>
    <x v="0"/>
    <n v="7"/>
    <n v="4"/>
    <n v="3"/>
    <n v="0"/>
    <m/>
  </r>
  <r>
    <n v="13"/>
    <x v="1"/>
    <n v="3.3"/>
    <x v="1"/>
    <n v="6.4"/>
    <n v="1"/>
    <n v="2.4900000000000002"/>
    <n v="1"/>
    <x v="0"/>
    <n v="9"/>
    <n v="2"/>
    <n v="4"/>
    <n v="0"/>
    <m/>
  </r>
  <r>
    <n v="18"/>
    <x v="0"/>
    <n v="1.2"/>
    <x v="2"/>
    <n v="6.8"/>
    <n v="2.6"/>
    <n v="2.85"/>
    <n v="1.8"/>
    <x v="2"/>
    <n v="4"/>
    <n v="3"/>
    <n v="9"/>
    <n v="0"/>
    <m/>
  </r>
  <r>
    <n v="13"/>
    <x v="1"/>
    <n v="2.5"/>
    <x v="2"/>
    <n v="7.8"/>
    <n v="1.4"/>
    <n v="3.43"/>
    <n v="0.9"/>
    <x v="2"/>
    <n v="1"/>
    <n v="4"/>
    <n v="6"/>
    <n v="0"/>
    <m/>
  </r>
  <r>
    <n v="16"/>
    <x v="0"/>
    <n v="2.2000000000000002"/>
    <x v="1"/>
    <n v="5.0999999999999996"/>
    <n v="2.2999999999999998"/>
    <n v="3.6"/>
    <n v="1"/>
    <x v="1"/>
    <n v="4"/>
    <n v="7"/>
    <n v="6"/>
    <n v="0"/>
    <m/>
  </r>
  <r>
    <n v="18"/>
    <x v="1"/>
    <n v="5.2"/>
    <x v="2"/>
    <n v="7.1"/>
    <n v="1.9"/>
    <n v="2.87"/>
    <n v="1.7"/>
    <x v="2"/>
    <n v="5"/>
    <n v="8"/>
    <n v="6"/>
    <n v="0"/>
    <m/>
  </r>
  <r>
    <n v="16"/>
    <x v="0"/>
    <n v="7.9"/>
    <x v="0"/>
    <n v="8.6999999999999993"/>
    <n v="2.5"/>
    <n v="2.29"/>
    <n v="0.7"/>
    <x v="1"/>
    <n v="7"/>
    <n v="7"/>
    <n v="4"/>
    <n v="0"/>
    <m/>
  </r>
  <r>
    <n v="18"/>
    <x v="0"/>
    <n v="5.6"/>
    <x v="2"/>
    <n v="8"/>
    <n v="2.4"/>
    <n v="2.95"/>
    <n v="0"/>
    <x v="0"/>
    <n v="2"/>
    <n v="10"/>
    <n v="3"/>
    <n v="0"/>
    <m/>
  </r>
  <r>
    <n v="16"/>
    <x v="0"/>
    <n v="3.9"/>
    <x v="1"/>
    <n v="4.2"/>
    <n v="2.1"/>
    <n v="2.2799999999999998"/>
    <n v="1.1000000000000001"/>
    <x v="2"/>
    <n v="6"/>
    <n v="5"/>
    <n v="7"/>
    <n v="0"/>
    <m/>
  </r>
  <r>
    <n v="18"/>
    <x v="1"/>
    <n v="1.8"/>
    <x v="1"/>
    <n v="6.1"/>
    <n v="2.7"/>
    <n v="2.86"/>
    <n v="1.1000000000000001"/>
    <x v="0"/>
    <n v="4"/>
    <n v="2"/>
    <n v="4"/>
    <n v="0"/>
    <m/>
  </r>
  <r>
    <n v="18"/>
    <x v="1"/>
    <n v="5.8"/>
    <x v="2"/>
    <n v="5.0999999999999996"/>
    <n v="1.2"/>
    <n v="3.24"/>
    <n v="0.4"/>
    <x v="1"/>
    <n v="5"/>
    <n v="9"/>
    <n v="2"/>
    <n v="0"/>
    <m/>
  </r>
  <r>
    <n v="18"/>
    <x v="1"/>
    <n v="2.2000000000000002"/>
    <x v="0"/>
    <n v="4.4000000000000004"/>
    <n v="1.7"/>
    <n v="2.86"/>
    <n v="1.1000000000000001"/>
    <x v="1"/>
    <n v="8"/>
    <n v="9"/>
    <n v="7"/>
    <n v="0"/>
    <m/>
  </r>
  <r>
    <n v="17"/>
    <x v="0"/>
    <n v="6.9"/>
    <x v="2"/>
    <n v="4.5999999999999996"/>
    <n v="2.5"/>
    <n v="2.04"/>
    <n v="0.8"/>
    <x v="1"/>
    <n v="10"/>
    <n v="9"/>
    <n v="2"/>
    <n v="1"/>
    <m/>
  </r>
  <r>
    <n v="14"/>
    <x v="1"/>
    <n v="5.7"/>
    <x v="0"/>
    <n v="6.7"/>
    <n v="2.6"/>
    <n v="2.35"/>
    <n v="1.8"/>
    <x v="1"/>
    <n v="10"/>
    <n v="10"/>
    <n v="7"/>
    <n v="0"/>
    <m/>
  </r>
  <r>
    <n v="17"/>
    <x v="0"/>
    <n v="7.5"/>
    <x v="1"/>
    <n v="5.6"/>
    <n v="2.2999999999999998"/>
    <n v="2.37"/>
    <n v="0"/>
    <x v="1"/>
    <n v="3"/>
    <n v="10"/>
    <n v="8"/>
    <n v="0"/>
    <m/>
  </r>
  <r>
    <n v="13"/>
    <x v="0"/>
    <n v="5.2"/>
    <x v="2"/>
    <n v="6.4"/>
    <n v="2.5"/>
    <n v="3.13"/>
    <n v="0.3"/>
    <x v="2"/>
    <n v="8"/>
    <n v="6"/>
    <n v="7"/>
    <n v="0"/>
    <m/>
  </r>
  <r>
    <n v="16"/>
    <x v="0"/>
    <n v="7.2"/>
    <x v="2"/>
    <n v="6.9"/>
    <n v="2.1"/>
    <n v="2.3199999999999998"/>
    <n v="1.1000000000000001"/>
    <x v="0"/>
    <n v="3"/>
    <n v="4"/>
    <n v="10"/>
    <n v="0"/>
    <m/>
  </r>
  <r>
    <n v="19"/>
    <x v="0"/>
    <n v="2"/>
    <x v="1"/>
    <n v="4.3"/>
    <n v="0.8"/>
    <n v="3.4"/>
    <n v="0.7"/>
    <x v="0"/>
    <n v="8"/>
    <n v="1"/>
    <n v="1"/>
    <n v="0"/>
    <m/>
  </r>
  <r>
    <n v="13"/>
    <x v="1"/>
    <n v="4.7"/>
    <x v="2"/>
    <n v="6.8"/>
    <n v="1.4"/>
    <n v="3.91"/>
    <n v="0.8"/>
    <x v="1"/>
    <n v="10"/>
    <n v="6"/>
    <n v="9"/>
    <n v="0"/>
    <m/>
  </r>
  <r>
    <n v="14"/>
    <x v="0"/>
    <n v="5.6"/>
    <x v="2"/>
    <n v="4.5"/>
    <n v="1.4"/>
    <n v="2.44"/>
    <n v="1.2"/>
    <x v="0"/>
    <n v="5"/>
    <n v="10"/>
    <n v="9"/>
    <n v="0"/>
    <m/>
  </r>
  <r>
    <n v="18"/>
    <x v="1"/>
    <n v="4.5"/>
    <x v="0"/>
    <n v="4"/>
    <n v="2.9"/>
    <n v="3.15"/>
    <n v="1.9"/>
    <x v="2"/>
    <n v="8"/>
    <n v="6"/>
    <n v="5"/>
    <n v="0"/>
    <m/>
  </r>
  <r>
    <n v="15"/>
    <x v="1"/>
    <n v="1.1000000000000001"/>
    <x v="0"/>
    <n v="9"/>
    <n v="1.2"/>
    <n v="2.9"/>
    <n v="1.8"/>
    <x v="2"/>
    <n v="5"/>
    <n v="10"/>
    <n v="2"/>
    <n v="0"/>
    <m/>
  </r>
  <r>
    <n v="18"/>
    <x v="1"/>
    <n v="5.3"/>
    <x v="2"/>
    <n v="4.5999999999999996"/>
    <n v="1.5"/>
    <n v="2.54"/>
    <n v="0.6"/>
    <x v="2"/>
    <n v="4"/>
    <n v="3"/>
    <n v="4"/>
    <n v="0"/>
    <m/>
  </r>
  <r>
    <n v="14"/>
    <x v="1"/>
    <n v="3.5"/>
    <x v="2"/>
    <n v="5.3"/>
    <n v="2.5"/>
    <n v="2.29"/>
    <n v="0.7"/>
    <x v="0"/>
    <n v="1"/>
    <n v="10"/>
    <n v="3"/>
    <n v="0"/>
    <m/>
  </r>
  <r>
    <n v="15"/>
    <x v="0"/>
    <n v="6.5"/>
    <x v="2"/>
    <n v="6.2"/>
    <n v="1.2"/>
    <n v="3.19"/>
    <n v="0"/>
    <x v="2"/>
    <n v="6"/>
    <n v="5"/>
    <n v="2"/>
    <n v="0"/>
    <m/>
  </r>
  <r>
    <n v="14"/>
    <x v="0"/>
    <n v="7"/>
    <x v="2"/>
    <n v="6.7"/>
    <n v="1.9"/>
    <n v="2.48"/>
    <n v="1.3"/>
    <x v="0"/>
    <n v="7"/>
    <n v="1"/>
    <n v="5"/>
    <n v="0"/>
    <m/>
  </r>
  <r>
    <n v="14"/>
    <x v="1"/>
    <n v="4"/>
    <x v="1"/>
    <n v="4.0999999999999996"/>
    <n v="0.9"/>
    <n v="2.99"/>
    <n v="1.9"/>
    <x v="0"/>
    <n v="2"/>
    <n v="9"/>
    <n v="10"/>
    <n v="0"/>
    <m/>
  </r>
  <r>
    <n v="15"/>
    <x v="1"/>
    <n v="1.7"/>
    <x v="0"/>
    <n v="5.3"/>
    <n v="1.5"/>
    <n v="3.6"/>
    <n v="1.5"/>
    <x v="1"/>
    <n v="6"/>
    <n v="4"/>
    <n v="3"/>
    <n v="0"/>
    <m/>
  </r>
  <r>
    <n v="14"/>
    <x v="1"/>
    <n v="7.8"/>
    <x v="1"/>
    <n v="4.7"/>
    <n v="2.2000000000000002"/>
    <n v="3.53"/>
    <n v="0.6"/>
    <x v="0"/>
    <n v="5"/>
    <n v="8"/>
    <n v="2"/>
    <n v="0"/>
    <m/>
  </r>
  <r>
    <n v="15"/>
    <x v="1"/>
    <n v="5.2"/>
    <x v="0"/>
    <n v="6.7"/>
    <n v="3"/>
    <n v="3.18"/>
    <n v="0.6"/>
    <x v="0"/>
    <n v="9"/>
    <n v="7"/>
    <n v="9"/>
    <n v="0"/>
    <m/>
  </r>
  <r>
    <n v="19"/>
    <x v="1"/>
    <n v="7.9"/>
    <x v="1"/>
    <n v="5.8"/>
    <n v="2.1"/>
    <n v="3.91"/>
    <n v="1.4"/>
    <x v="1"/>
    <n v="7"/>
    <n v="1"/>
    <n v="10"/>
    <n v="0"/>
    <m/>
  </r>
  <r>
    <n v="17"/>
    <x v="0"/>
    <n v="5.9"/>
    <x v="2"/>
    <n v="6.6"/>
    <n v="1.3"/>
    <n v="2.11"/>
    <n v="1.4"/>
    <x v="0"/>
    <n v="10"/>
    <n v="4"/>
    <n v="9"/>
    <n v="0"/>
    <m/>
  </r>
  <r>
    <n v="13"/>
    <x v="1"/>
    <n v="2.6"/>
    <x v="1"/>
    <n v="8.5"/>
    <n v="1.9"/>
    <n v="3.06"/>
    <n v="1.9"/>
    <x v="1"/>
    <n v="5"/>
    <n v="7"/>
    <n v="6"/>
    <n v="0"/>
    <m/>
  </r>
  <r>
    <n v="18"/>
    <x v="1"/>
    <n v="6.3"/>
    <x v="1"/>
    <n v="4.8"/>
    <n v="1.2"/>
    <n v="2.91"/>
    <n v="1.3"/>
    <x v="2"/>
    <n v="9"/>
    <n v="10"/>
    <n v="3"/>
    <n v="1"/>
    <m/>
  </r>
  <r>
    <n v="19"/>
    <x v="1"/>
    <n v="4.5"/>
    <x v="1"/>
    <n v="8.4"/>
    <n v="2.1"/>
    <n v="2.62"/>
    <n v="2"/>
    <x v="0"/>
    <n v="5"/>
    <n v="10"/>
    <n v="5"/>
    <n v="0"/>
    <m/>
  </r>
  <r>
    <n v="19"/>
    <x v="0"/>
    <n v="5.3"/>
    <x v="0"/>
    <n v="4.7"/>
    <n v="2.8"/>
    <n v="2.82"/>
    <n v="0.3"/>
    <x v="1"/>
    <n v="1"/>
    <n v="9"/>
    <n v="6"/>
    <n v="0"/>
    <m/>
  </r>
  <r>
    <n v="13"/>
    <x v="1"/>
    <n v="5.2"/>
    <x v="2"/>
    <n v="7.4"/>
    <n v="2.5"/>
    <n v="3.93"/>
    <n v="0.8"/>
    <x v="0"/>
    <n v="4"/>
    <n v="4"/>
    <n v="8"/>
    <n v="0"/>
    <m/>
  </r>
  <r>
    <n v="15"/>
    <x v="0"/>
    <n v="3.3"/>
    <x v="2"/>
    <n v="6.1"/>
    <n v="1.2"/>
    <n v="2.56"/>
    <n v="1.4"/>
    <x v="0"/>
    <n v="8"/>
    <n v="6"/>
    <n v="3"/>
    <n v="0"/>
    <m/>
  </r>
  <r>
    <n v="14"/>
    <x v="1"/>
    <n v="1.1000000000000001"/>
    <x v="2"/>
    <n v="5.4"/>
    <n v="1.6"/>
    <n v="3.34"/>
    <n v="1.5"/>
    <x v="2"/>
    <n v="4"/>
    <n v="5"/>
    <n v="8"/>
    <n v="0"/>
    <m/>
  </r>
  <r>
    <n v="17"/>
    <x v="1"/>
    <n v="5"/>
    <x v="0"/>
    <n v="7.3"/>
    <n v="1.2"/>
    <n v="3.39"/>
    <n v="0.7"/>
    <x v="2"/>
    <n v="9"/>
    <n v="10"/>
    <n v="8"/>
    <n v="0"/>
    <m/>
  </r>
  <r>
    <n v="15"/>
    <x v="1"/>
    <n v="7.4"/>
    <x v="1"/>
    <n v="8.6"/>
    <n v="1.4"/>
    <n v="2.19"/>
    <n v="1.8"/>
    <x v="0"/>
    <n v="10"/>
    <n v="10"/>
    <n v="1"/>
    <n v="0"/>
    <m/>
  </r>
  <r>
    <n v="15"/>
    <x v="1"/>
    <n v="7.4"/>
    <x v="1"/>
    <n v="8.9"/>
    <n v="2.9"/>
    <n v="3.39"/>
    <n v="1.1000000000000001"/>
    <x v="1"/>
    <n v="4"/>
    <n v="9"/>
    <n v="1"/>
    <n v="0"/>
    <m/>
  </r>
  <r>
    <n v="17"/>
    <x v="0"/>
    <n v="6.6"/>
    <x v="1"/>
    <n v="5.2"/>
    <n v="2.2000000000000002"/>
    <n v="2.98"/>
    <n v="0.8"/>
    <x v="1"/>
    <n v="6"/>
    <n v="8"/>
    <n v="7"/>
    <n v="0"/>
    <m/>
  </r>
  <r>
    <n v="13"/>
    <x v="1"/>
    <n v="7.1"/>
    <x v="2"/>
    <n v="7.2"/>
    <n v="1.1000000000000001"/>
    <n v="3.69"/>
    <n v="1"/>
    <x v="0"/>
    <n v="4"/>
    <n v="6"/>
    <n v="3"/>
    <n v="0"/>
    <m/>
  </r>
  <r>
    <n v="15"/>
    <x v="1"/>
    <n v="1.1000000000000001"/>
    <x v="1"/>
    <n v="8.6"/>
    <n v="2.2999999999999998"/>
    <n v="3.68"/>
    <n v="0.5"/>
    <x v="0"/>
    <n v="1"/>
    <n v="2"/>
    <n v="7"/>
    <n v="0"/>
    <m/>
  </r>
  <r>
    <n v="13"/>
    <x v="1"/>
    <n v="3.6"/>
    <x v="1"/>
    <n v="8.6999999999999993"/>
    <n v="0.8"/>
    <n v="2.41"/>
    <n v="1.3"/>
    <x v="0"/>
    <n v="4"/>
    <n v="6"/>
    <n v="8"/>
    <n v="0"/>
    <m/>
  </r>
  <r>
    <n v="16"/>
    <x v="0"/>
    <n v="5.0999999999999996"/>
    <x v="1"/>
    <n v="4.5999999999999996"/>
    <n v="1.1000000000000001"/>
    <n v="2.75"/>
    <n v="1.5"/>
    <x v="2"/>
    <n v="6"/>
    <n v="3"/>
    <n v="6"/>
    <n v="0"/>
    <m/>
  </r>
  <r>
    <n v="19"/>
    <x v="1"/>
    <n v="7.3"/>
    <x v="0"/>
    <n v="7.8"/>
    <n v="1"/>
    <n v="2.91"/>
    <n v="0.8"/>
    <x v="2"/>
    <n v="9"/>
    <n v="7"/>
    <n v="5"/>
    <n v="0"/>
    <m/>
  </r>
  <r>
    <n v="13"/>
    <x v="1"/>
    <n v="7.7"/>
    <x v="2"/>
    <n v="7.5"/>
    <n v="1.4"/>
    <n v="2.2400000000000002"/>
    <n v="0.1"/>
    <x v="0"/>
    <n v="5"/>
    <n v="3"/>
    <n v="3"/>
    <n v="0"/>
    <m/>
  </r>
  <r>
    <n v="13"/>
    <x v="1"/>
    <n v="7.9"/>
    <x v="1"/>
    <n v="4.0999999999999996"/>
    <n v="1.6"/>
    <n v="2.74"/>
    <n v="0.9"/>
    <x v="2"/>
    <n v="9"/>
    <n v="3"/>
    <n v="5"/>
    <n v="0"/>
    <m/>
  </r>
  <r>
    <n v="16"/>
    <x v="1"/>
    <n v="5.5"/>
    <x v="2"/>
    <n v="5.8"/>
    <n v="2.5"/>
    <n v="2.34"/>
    <n v="1"/>
    <x v="0"/>
    <n v="5"/>
    <n v="2"/>
    <n v="8"/>
    <n v="0"/>
    <m/>
  </r>
  <r>
    <n v="19"/>
    <x v="0"/>
    <n v="4"/>
    <x v="0"/>
    <n v="7.8"/>
    <n v="0.6"/>
    <n v="3.61"/>
    <n v="1.7"/>
    <x v="1"/>
    <n v="2"/>
    <n v="7"/>
    <n v="9"/>
    <n v="0"/>
    <m/>
  </r>
  <r>
    <n v="15"/>
    <x v="1"/>
    <n v="7.9"/>
    <x v="1"/>
    <n v="4.7"/>
    <n v="1.5"/>
    <n v="3.3"/>
    <n v="0"/>
    <x v="0"/>
    <n v="5"/>
    <n v="8"/>
    <n v="5"/>
    <n v="0"/>
    <m/>
  </r>
  <r>
    <n v="18"/>
    <x v="1"/>
    <n v="5.5"/>
    <x v="2"/>
    <n v="8.1999999999999993"/>
    <n v="0.5"/>
    <n v="3.15"/>
    <n v="1.2"/>
    <x v="2"/>
    <n v="8"/>
    <n v="7"/>
    <n v="7"/>
    <n v="0"/>
    <m/>
  </r>
  <r>
    <n v="17"/>
    <x v="1"/>
    <n v="7.6"/>
    <x v="2"/>
    <n v="7.1"/>
    <n v="1.1000000000000001"/>
    <n v="2.0699999999999998"/>
    <n v="1.9"/>
    <x v="1"/>
    <n v="3"/>
    <n v="2"/>
    <n v="6"/>
    <n v="0"/>
    <m/>
  </r>
  <r>
    <n v="13"/>
    <x v="0"/>
    <n v="1.3"/>
    <x v="1"/>
    <n v="4.4000000000000004"/>
    <n v="0.9"/>
    <n v="2.99"/>
    <n v="0"/>
    <x v="1"/>
    <n v="8"/>
    <n v="2"/>
    <n v="5"/>
    <n v="0"/>
    <m/>
  </r>
  <r>
    <n v="16"/>
    <x v="0"/>
    <n v="7.3"/>
    <x v="1"/>
    <n v="7"/>
    <n v="2.2000000000000002"/>
    <n v="2.0699999999999998"/>
    <n v="1"/>
    <x v="2"/>
    <n v="3"/>
    <n v="7"/>
    <n v="1"/>
    <n v="0"/>
    <m/>
  </r>
  <r>
    <n v="18"/>
    <x v="0"/>
    <n v="4.3"/>
    <x v="0"/>
    <n v="6.7"/>
    <n v="2.5"/>
    <n v="3.19"/>
    <n v="1"/>
    <x v="1"/>
    <n v="5"/>
    <n v="5"/>
    <n v="5"/>
    <n v="0"/>
    <m/>
  </r>
  <r>
    <n v="16"/>
    <x v="0"/>
    <n v="7.1"/>
    <x v="1"/>
    <n v="7.7"/>
    <n v="1.9"/>
    <n v="2.2400000000000002"/>
    <n v="0.6"/>
    <x v="1"/>
    <n v="8"/>
    <n v="10"/>
    <n v="5"/>
    <n v="0"/>
    <m/>
  </r>
  <r>
    <n v="14"/>
    <x v="1"/>
    <n v="5.7"/>
    <x v="1"/>
    <n v="6.4"/>
    <n v="1.9"/>
    <n v="3.3"/>
    <n v="1.3"/>
    <x v="1"/>
    <n v="6"/>
    <n v="8"/>
    <n v="5"/>
    <n v="0"/>
    <m/>
  </r>
  <r>
    <n v="18"/>
    <x v="1"/>
    <n v="5.2"/>
    <x v="2"/>
    <n v="7.3"/>
    <n v="1.7"/>
    <n v="3.33"/>
    <n v="0.9"/>
    <x v="0"/>
    <n v="7"/>
    <n v="4"/>
    <n v="9"/>
    <n v="0"/>
    <m/>
  </r>
  <r>
    <n v="17"/>
    <x v="0"/>
    <n v="3.1"/>
    <x v="1"/>
    <n v="7.7"/>
    <n v="2.2000000000000002"/>
    <n v="3.72"/>
    <n v="1.4"/>
    <x v="2"/>
    <n v="1"/>
    <n v="5"/>
    <n v="8"/>
    <n v="0"/>
    <m/>
  </r>
  <r>
    <n v="13"/>
    <x v="0"/>
    <n v="3"/>
    <x v="2"/>
    <n v="6.2"/>
    <n v="0.8"/>
    <n v="3.96"/>
    <n v="1.1000000000000001"/>
    <x v="0"/>
    <n v="9"/>
    <n v="10"/>
    <n v="3"/>
    <n v="0"/>
    <m/>
  </r>
  <r>
    <n v="17"/>
    <x v="1"/>
    <n v="6"/>
    <x v="2"/>
    <n v="4.2"/>
    <n v="2.2000000000000002"/>
    <n v="2.27"/>
    <n v="0.5"/>
    <x v="2"/>
    <n v="1"/>
    <n v="4"/>
    <n v="5"/>
    <n v="0"/>
    <m/>
  </r>
  <r>
    <n v="13"/>
    <x v="0"/>
    <n v="5.9"/>
    <x v="0"/>
    <n v="8.6"/>
    <n v="1.9"/>
    <n v="3.88"/>
    <n v="0.2"/>
    <x v="2"/>
    <n v="1"/>
    <n v="6"/>
    <n v="9"/>
    <n v="0"/>
    <m/>
  </r>
  <r>
    <n v="15"/>
    <x v="0"/>
    <n v="5.0999999999999996"/>
    <x v="1"/>
    <n v="5.5"/>
    <n v="0.7"/>
    <n v="2.13"/>
    <n v="0.5"/>
    <x v="2"/>
    <n v="6"/>
    <n v="10"/>
    <n v="8"/>
    <n v="0"/>
    <m/>
  </r>
  <r>
    <n v="19"/>
    <x v="1"/>
    <n v="3.5"/>
    <x v="0"/>
    <n v="4.9000000000000004"/>
    <n v="0.5"/>
    <n v="3.68"/>
    <n v="1.7"/>
    <x v="1"/>
    <n v="8"/>
    <n v="4"/>
    <n v="3"/>
    <n v="0"/>
    <m/>
  </r>
  <r>
    <n v="16"/>
    <x v="0"/>
    <n v="5.3"/>
    <x v="1"/>
    <n v="5.3"/>
    <n v="2.4"/>
    <n v="3.01"/>
    <n v="1.6"/>
    <x v="2"/>
    <n v="2"/>
    <n v="9"/>
    <n v="1"/>
    <n v="0"/>
    <m/>
  </r>
  <r>
    <n v="13"/>
    <x v="1"/>
    <n v="4.0999999999999996"/>
    <x v="0"/>
    <n v="7.5"/>
    <n v="1.7"/>
    <n v="3.12"/>
    <n v="2"/>
    <x v="2"/>
    <n v="1"/>
    <n v="4"/>
    <n v="9"/>
    <n v="0"/>
    <m/>
  </r>
  <r>
    <n v="18"/>
    <x v="0"/>
    <n v="4.0999999999999996"/>
    <x v="0"/>
    <n v="6.7"/>
    <n v="2.1"/>
    <n v="2.5"/>
    <n v="0.1"/>
    <x v="2"/>
    <n v="8"/>
    <n v="1"/>
    <n v="5"/>
    <n v="0"/>
    <m/>
  </r>
  <r>
    <n v="15"/>
    <x v="0"/>
    <n v="6.3"/>
    <x v="1"/>
    <n v="6.8"/>
    <n v="1.8"/>
    <n v="2.59"/>
    <n v="1.9"/>
    <x v="1"/>
    <n v="10"/>
    <n v="5"/>
    <n v="5"/>
    <n v="0"/>
    <m/>
  </r>
  <r>
    <n v="19"/>
    <x v="1"/>
    <n v="6.6"/>
    <x v="2"/>
    <n v="9"/>
    <n v="2.9"/>
    <n v="2.4700000000000002"/>
    <n v="1.7"/>
    <x v="2"/>
    <n v="3"/>
    <n v="7"/>
    <n v="9"/>
    <n v="0"/>
    <m/>
  </r>
  <r>
    <n v="19"/>
    <x v="0"/>
    <n v="1.4"/>
    <x v="2"/>
    <n v="4.5"/>
    <n v="2.2999999999999998"/>
    <n v="3.9"/>
    <n v="0"/>
    <x v="2"/>
    <n v="2"/>
    <n v="8"/>
    <n v="10"/>
    <n v="0"/>
    <m/>
  </r>
  <r>
    <n v="19"/>
    <x v="0"/>
    <n v="2.4"/>
    <x v="1"/>
    <n v="9"/>
    <n v="2.4"/>
    <n v="3.13"/>
    <n v="0.5"/>
    <x v="1"/>
    <n v="5"/>
    <n v="3"/>
    <n v="3"/>
    <n v="0"/>
    <m/>
  </r>
  <r>
    <n v="18"/>
    <x v="0"/>
    <n v="1.6"/>
    <x v="2"/>
    <n v="5.4"/>
    <n v="2"/>
    <n v="3.2"/>
    <n v="1.8"/>
    <x v="0"/>
    <n v="8"/>
    <n v="8"/>
    <n v="3"/>
    <n v="0"/>
    <m/>
  </r>
  <r>
    <n v="18"/>
    <x v="0"/>
    <n v="2"/>
    <x v="0"/>
    <n v="8.9"/>
    <n v="0.8"/>
    <n v="2.96"/>
    <n v="0.5"/>
    <x v="2"/>
    <n v="6"/>
    <n v="2"/>
    <n v="2"/>
    <n v="0"/>
    <m/>
  </r>
  <r>
    <n v="17"/>
    <x v="1"/>
    <n v="7.4"/>
    <x v="0"/>
    <n v="7.4"/>
    <n v="2"/>
    <n v="3.76"/>
    <n v="1.7"/>
    <x v="1"/>
    <n v="10"/>
    <n v="1"/>
    <n v="4"/>
    <n v="0"/>
    <m/>
  </r>
  <r>
    <n v="14"/>
    <x v="1"/>
    <n v="1.6"/>
    <x v="1"/>
    <n v="4.8"/>
    <n v="2.4"/>
    <n v="2.97"/>
    <n v="1.9"/>
    <x v="0"/>
    <n v="9"/>
    <n v="9"/>
    <n v="10"/>
    <n v="0"/>
    <m/>
  </r>
  <r>
    <n v="17"/>
    <x v="1"/>
    <n v="3.8"/>
    <x v="0"/>
    <n v="8.4"/>
    <n v="0.9"/>
    <n v="3.6"/>
    <n v="1.9"/>
    <x v="1"/>
    <n v="1"/>
    <n v="2"/>
    <n v="2"/>
    <n v="0"/>
    <m/>
  </r>
  <r>
    <n v="19"/>
    <x v="0"/>
    <n v="8"/>
    <x v="1"/>
    <n v="4.7"/>
    <n v="0.5"/>
    <n v="2.1800000000000002"/>
    <n v="0.6"/>
    <x v="2"/>
    <n v="8"/>
    <n v="8"/>
    <n v="6"/>
    <n v="1"/>
    <m/>
  </r>
  <r>
    <n v="13"/>
    <x v="0"/>
    <n v="7.8"/>
    <x v="1"/>
    <n v="5.9"/>
    <n v="1.5"/>
    <n v="3.31"/>
    <n v="1.9"/>
    <x v="1"/>
    <n v="10"/>
    <n v="1"/>
    <n v="10"/>
    <n v="0"/>
    <m/>
  </r>
  <r>
    <n v="13"/>
    <x v="1"/>
    <n v="7.2"/>
    <x v="0"/>
    <n v="8.1"/>
    <n v="2.1"/>
    <n v="2.52"/>
    <n v="0.4"/>
    <x v="2"/>
    <n v="3"/>
    <n v="3"/>
    <n v="7"/>
    <n v="0"/>
    <m/>
  </r>
  <r>
    <n v="17"/>
    <x v="0"/>
    <n v="2"/>
    <x v="2"/>
    <n v="4.5"/>
    <n v="1.7"/>
    <n v="2.65"/>
    <n v="0"/>
    <x v="2"/>
    <n v="9"/>
    <n v="4"/>
    <n v="2"/>
    <n v="0"/>
    <m/>
  </r>
  <r>
    <n v="18"/>
    <x v="1"/>
    <n v="6.8"/>
    <x v="0"/>
    <n v="6.6"/>
    <n v="2"/>
    <n v="2.76"/>
    <n v="1"/>
    <x v="0"/>
    <n v="3"/>
    <n v="4"/>
    <n v="4"/>
    <n v="0"/>
    <m/>
  </r>
  <r>
    <n v="16"/>
    <x v="0"/>
    <n v="2.2999999999999998"/>
    <x v="2"/>
    <n v="8"/>
    <n v="1.9"/>
    <n v="2.12"/>
    <n v="0.4"/>
    <x v="1"/>
    <n v="7"/>
    <n v="4"/>
    <n v="4"/>
    <n v="0"/>
    <m/>
  </r>
  <r>
    <n v="14"/>
    <x v="1"/>
    <n v="1.7"/>
    <x v="2"/>
    <n v="8.6999999999999993"/>
    <n v="0.7"/>
    <n v="3.98"/>
    <n v="0.8"/>
    <x v="1"/>
    <n v="1"/>
    <n v="1"/>
    <n v="1"/>
    <n v="0"/>
    <m/>
  </r>
  <r>
    <n v="15"/>
    <x v="0"/>
    <n v="3.9"/>
    <x v="2"/>
    <n v="8.5"/>
    <n v="2.1"/>
    <n v="3.19"/>
    <n v="0.6"/>
    <x v="1"/>
    <n v="7"/>
    <n v="9"/>
    <n v="9"/>
    <n v="0"/>
    <m/>
  </r>
  <r>
    <n v="16"/>
    <x v="1"/>
    <n v="4.7"/>
    <x v="1"/>
    <n v="6.5"/>
    <n v="1"/>
    <n v="2.91"/>
    <n v="0.9"/>
    <x v="2"/>
    <n v="5"/>
    <n v="7"/>
    <n v="3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99274-2315-4C06-A9F8-18301467565B}" name="PivotTable28" cacheId="5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E5" firstHeaderRow="0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aily_social_media_hours" fld="2" baseField="0" baseItem="0" numFmtId="170"/>
    <dataField name="Sum of screen_time_before_sleep" fld="5" baseField="0" baseItem="0" numFmtId="170"/>
    <dataField name="Sum of addiction_level" fld="11" baseField="0" baseItem="0" numFmtId="169"/>
    <dataField name="Sum of depression_label" fld="12" baseField="0" baseItem="0" numFmtId="37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7B0AE-E9B0-4947-8A2F-499EFDA0E9E4}" name="PivotTable35" cacheId="6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C9" firstHeaderRow="1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1"/>
  </rowFields>
  <rowItems count="6">
    <i>
      <x/>
      <x/>
    </i>
    <i r="1">
      <x v="1"/>
    </i>
    <i>
      <x v="1"/>
      <x/>
    </i>
    <i r="1">
      <x v="1"/>
    </i>
    <i>
      <x v="2"/>
      <x/>
    </i>
    <i r="1">
      <x v="1"/>
    </i>
  </rowItems>
  <colItems count="1">
    <i/>
  </colItems>
  <dataFields count="1">
    <dataField name="Count of platform_usage" fld="3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9696A-72CD-45BC-80C1-8479AF9ED657}" name="PivotTable48" cacheId="9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3:E9" firstHeaderRow="0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8"/>
  </rowFields>
  <rowItems count="6">
    <i>
      <x/>
      <x/>
    </i>
    <i r="1">
      <x v="1"/>
    </i>
    <i r="1">
      <x v="2"/>
    </i>
    <i>
      <x v="1"/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gender" fld="1" subtotal="count" baseField="0" baseItem="0"/>
    <dataField name="Sum of academic_performance" fld="6" baseField="0" baseItem="0" numFmtId="2"/>
    <dataField name="Sum of sleep_hours" fld="4" baseField="0" baseItem="0" numFmtId="17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3DFF-895F-4927-8081-B851159293B6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DC6C-C82F-4A91-B5AC-AF85F05AC6F0}">
  <dimension ref="A3:E5"/>
  <sheetViews>
    <sheetView workbookViewId="0">
      <selection activeCell="D18" sqref="D18"/>
    </sheetView>
  </sheetViews>
  <sheetFormatPr defaultRowHeight="15" x14ac:dyDescent="0.25"/>
  <cols>
    <col min="1" max="1" width="9.5703125" bestFit="1" customWidth="1"/>
    <col min="2" max="2" width="31.140625" bestFit="1" customWidth="1"/>
    <col min="3" max="3" width="32.140625" bestFit="1" customWidth="1"/>
    <col min="4" max="4" width="21.7109375" bestFit="1" customWidth="1"/>
    <col min="5" max="5" width="23.28515625" bestFit="1" customWidth="1"/>
  </cols>
  <sheetData>
    <row r="3" spans="1:5" x14ac:dyDescent="0.25">
      <c r="A3" s="41" t="s">
        <v>1</v>
      </c>
      <c r="B3" t="s">
        <v>24</v>
      </c>
      <c r="C3" t="s">
        <v>27</v>
      </c>
      <c r="D3" t="s">
        <v>28</v>
      </c>
      <c r="E3" t="s">
        <v>29</v>
      </c>
    </row>
    <row r="4" spans="1:5" x14ac:dyDescent="0.25">
      <c r="A4" t="s">
        <v>16</v>
      </c>
      <c r="B4" s="14">
        <v>2640.0999999999981</v>
      </c>
      <c r="C4" s="14">
        <v>1029.5999999999997</v>
      </c>
      <c r="D4" s="12">
        <v>3209</v>
      </c>
      <c r="E4" s="10">
        <v>203</v>
      </c>
    </row>
    <row r="5" spans="1:5" x14ac:dyDescent="0.25">
      <c r="A5" t="s">
        <v>13</v>
      </c>
      <c r="B5" s="14">
        <v>2803.9000000000033</v>
      </c>
      <c r="C5" s="14">
        <v>1058.8000000000002</v>
      </c>
      <c r="D5" s="12">
        <v>3469</v>
      </c>
      <c r="E5" s="10">
        <v>251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55C0-6524-4CED-AFA9-CB3E0184EDDC}">
  <dimension ref="A3:C9"/>
  <sheetViews>
    <sheetView workbookViewId="0">
      <selection activeCell="G22" sqref="G22"/>
    </sheetView>
  </sheetViews>
  <sheetFormatPr defaultRowHeight="15" x14ac:dyDescent="0.25"/>
  <cols>
    <col min="1" max="1" width="17.28515625" bestFit="1" customWidth="1"/>
    <col min="2" max="2" width="9.5703125" bestFit="1" customWidth="1"/>
    <col min="3" max="3" width="23.28515625" bestFit="1" customWidth="1"/>
  </cols>
  <sheetData>
    <row r="3" spans="1:3" x14ac:dyDescent="0.25">
      <c r="A3" s="41" t="s">
        <v>3</v>
      </c>
      <c r="B3" s="41" t="s">
        <v>1</v>
      </c>
      <c r="C3" t="s">
        <v>30</v>
      </c>
    </row>
    <row r="4" spans="1:3" x14ac:dyDescent="0.25">
      <c r="A4" t="s">
        <v>20</v>
      </c>
      <c r="B4" t="s">
        <v>16</v>
      </c>
      <c r="C4" s="42">
        <v>189</v>
      </c>
    </row>
    <row r="5" spans="1:3" x14ac:dyDescent="0.25">
      <c r="A5" t="s">
        <v>20</v>
      </c>
      <c r="B5" t="s">
        <v>13</v>
      </c>
      <c r="C5" s="42">
        <v>202</v>
      </c>
    </row>
    <row r="6" spans="1:3" x14ac:dyDescent="0.25">
      <c r="A6" t="s">
        <v>14</v>
      </c>
      <c r="B6" t="s">
        <v>16</v>
      </c>
      <c r="C6" s="42">
        <v>203</v>
      </c>
    </row>
    <row r="7" spans="1:3" x14ac:dyDescent="0.25">
      <c r="A7" t="s">
        <v>14</v>
      </c>
      <c r="B7" t="s">
        <v>13</v>
      </c>
      <c r="C7" s="42">
        <v>208</v>
      </c>
    </row>
    <row r="8" spans="1:3" x14ac:dyDescent="0.25">
      <c r="A8" t="s">
        <v>17</v>
      </c>
      <c r="B8" t="s">
        <v>16</v>
      </c>
      <c r="C8" s="42">
        <v>193</v>
      </c>
    </row>
    <row r="9" spans="1:3" x14ac:dyDescent="0.25">
      <c r="A9" t="s">
        <v>17</v>
      </c>
      <c r="B9" t="s">
        <v>13</v>
      </c>
      <c r="C9" s="42">
        <v>205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C39D-AE48-4154-8A41-AE9550C6DAF9}">
  <dimension ref="A3:E9"/>
  <sheetViews>
    <sheetView workbookViewId="0">
      <selection activeCell="F27" sqref="F27"/>
    </sheetView>
  </sheetViews>
  <sheetFormatPr defaultRowHeight="15" x14ac:dyDescent="0.25"/>
  <cols>
    <col min="1" max="1" width="9.5703125" bestFit="1" customWidth="1"/>
    <col min="2" max="2" width="24.85546875" bestFit="1" customWidth="1"/>
    <col min="3" max="3" width="15.42578125" bestFit="1" customWidth="1"/>
    <col min="4" max="4" width="28.85546875" bestFit="1" customWidth="1"/>
    <col min="5" max="5" width="18.7109375" bestFit="1" customWidth="1"/>
  </cols>
  <sheetData>
    <row r="3" spans="1:5" x14ac:dyDescent="0.25">
      <c r="A3" s="41" t="s">
        <v>1</v>
      </c>
      <c r="B3" s="41" t="s">
        <v>8</v>
      </c>
      <c r="C3" t="s">
        <v>23</v>
      </c>
      <c r="D3" t="s">
        <v>25</v>
      </c>
      <c r="E3" t="s">
        <v>26</v>
      </c>
    </row>
    <row r="4" spans="1:5" x14ac:dyDescent="0.25">
      <c r="A4" t="s">
        <v>16</v>
      </c>
      <c r="B4" t="s">
        <v>18</v>
      </c>
      <c r="C4" s="42">
        <v>192</v>
      </c>
      <c r="D4" s="43">
        <v>576.57000000000039</v>
      </c>
      <c r="E4" s="14">
        <v>1253.5000000000009</v>
      </c>
    </row>
    <row r="5" spans="1:5" x14ac:dyDescent="0.25">
      <c r="A5" t="s">
        <v>16</v>
      </c>
      <c r="B5" t="s">
        <v>15</v>
      </c>
      <c r="C5" s="42">
        <v>196</v>
      </c>
      <c r="D5" s="43">
        <v>585.25999999999988</v>
      </c>
      <c r="E5" s="14">
        <v>1271.3999999999999</v>
      </c>
    </row>
    <row r="6" spans="1:5" x14ac:dyDescent="0.25">
      <c r="A6" t="s">
        <v>16</v>
      </c>
      <c r="B6" t="s">
        <v>19</v>
      </c>
      <c r="C6" s="42">
        <v>197</v>
      </c>
      <c r="D6" s="43">
        <v>593.49</v>
      </c>
      <c r="E6" s="14">
        <v>1275.4999999999995</v>
      </c>
    </row>
    <row r="7" spans="1:5" x14ac:dyDescent="0.25">
      <c r="A7" t="s">
        <v>13</v>
      </c>
      <c r="B7" t="s">
        <v>18</v>
      </c>
      <c r="C7" s="42">
        <v>177</v>
      </c>
      <c r="D7" s="43">
        <v>523.94999999999982</v>
      </c>
      <c r="E7" s="14">
        <v>1138.9999999999998</v>
      </c>
    </row>
    <row r="8" spans="1:5" x14ac:dyDescent="0.25">
      <c r="A8" t="s">
        <v>13</v>
      </c>
      <c r="B8" t="s">
        <v>15</v>
      </c>
      <c r="C8" s="42">
        <v>219</v>
      </c>
      <c r="D8" s="43">
        <v>655.33999999999969</v>
      </c>
      <c r="E8" s="14">
        <v>1410.2000000000005</v>
      </c>
    </row>
    <row r="9" spans="1:5" x14ac:dyDescent="0.25">
      <c r="A9" t="s">
        <v>13</v>
      </c>
      <c r="B9" t="s">
        <v>19</v>
      </c>
      <c r="C9" s="42">
        <v>219</v>
      </c>
      <c r="D9" s="43">
        <v>653.85</v>
      </c>
      <c r="E9" s="14">
        <v>1389.6999999999994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60F9-E202-4FD2-AD42-07519F41D1E1}">
  <dimension ref="A1:AB9700"/>
  <sheetViews>
    <sheetView tabSelected="1" zoomScale="55" zoomScaleNormal="55" workbookViewId="0">
      <pane ySplit="1" topLeftCell="A14" activePane="bottomLeft" state="frozen"/>
      <selection pane="bottomLeft" activeCell="AB41" sqref="AB41"/>
    </sheetView>
  </sheetViews>
  <sheetFormatPr defaultRowHeight="15" x14ac:dyDescent="0.25"/>
  <cols>
    <col min="3" max="3" width="22.7109375" style="33" customWidth="1"/>
    <col min="4" max="4" width="14" customWidth="1"/>
    <col min="5" max="5" width="11.140625" style="30" customWidth="1"/>
    <col min="6" max="6" width="22.7109375" style="14" customWidth="1"/>
    <col min="7" max="7" width="21" style="28" customWidth="1"/>
    <col min="8" max="8" width="14.7109375" style="14" customWidth="1"/>
    <col min="9" max="9" width="20.42578125" customWidth="1"/>
    <col min="10" max="10" width="10.42578125" style="12" customWidth="1"/>
    <col min="11" max="11" width="11.7109375" style="12" customWidth="1"/>
    <col min="12" max="12" width="13.28515625" style="12" customWidth="1"/>
    <col min="13" max="13" width="15.140625" style="10" customWidth="1"/>
    <col min="14" max="14" width="12" bestFit="1" customWidth="1"/>
    <col min="16" max="16" width="11.42578125" bestFit="1" customWidth="1"/>
    <col min="18" max="18" width="15.140625" style="21" customWidth="1"/>
    <col min="21" max="21" width="15.140625" style="18" customWidth="1"/>
    <col min="23" max="23" width="15.140625" style="24" customWidth="1"/>
    <col min="25" max="25" width="15.140625" style="27" customWidth="1"/>
  </cols>
  <sheetData>
    <row r="1" spans="1:25" ht="27" customHeight="1" x14ac:dyDescent="0.25">
      <c r="A1" s="34" t="s">
        <v>0</v>
      </c>
      <c r="B1" s="35" t="s">
        <v>1</v>
      </c>
      <c r="C1" s="36" t="s">
        <v>2</v>
      </c>
      <c r="D1" s="35" t="s">
        <v>3</v>
      </c>
      <c r="E1" s="37" t="s">
        <v>4</v>
      </c>
      <c r="F1" s="36" t="s">
        <v>5</v>
      </c>
      <c r="G1" s="38" t="s">
        <v>6</v>
      </c>
      <c r="H1" s="36" t="s">
        <v>7</v>
      </c>
      <c r="I1" s="35" t="s">
        <v>8</v>
      </c>
      <c r="J1" s="39" t="s">
        <v>9</v>
      </c>
      <c r="K1" s="39" t="s">
        <v>10</v>
      </c>
      <c r="L1" s="39" t="s">
        <v>11</v>
      </c>
      <c r="M1" s="40" t="s">
        <v>12</v>
      </c>
      <c r="N1" s="1" t="s">
        <v>21</v>
      </c>
      <c r="P1" s="1" t="s">
        <v>22</v>
      </c>
      <c r="R1" s="19" t="s">
        <v>12</v>
      </c>
      <c r="U1" s="16" t="s">
        <v>12</v>
      </c>
      <c r="W1" s="22" t="s">
        <v>12</v>
      </c>
      <c r="Y1" s="25" t="s">
        <v>12</v>
      </c>
    </row>
    <row r="2" spans="1:25" x14ac:dyDescent="0.25">
      <c r="A2" s="7">
        <v>14</v>
      </c>
      <c r="B2" s="6" t="s">
        <v>13</v>
      </c>
      <c r="C2" s="32">
        <v>7.9</v>
      </c>
      <c r="D2" s="6" t="s">
        <v>14</v>
      </c>
      <c r="E2" s="29">
        <v>7.4</v>
      </c>
      <c r="F2" s="13">
        <v>2.9</v>
      </c>
      <c r="G2" s="31">
        <v>3.01</v>
      </c>
      <c r="H2" s="13">
        <v>1.5</v>
      </c>
      <c r="I2" s="6" t="s">
        <v>15</v>
      </c>
      <c r="J2" s="11">
        <v>2</v>
      </c>
      <c r="K2" s="11">
        <v>2</v>
      </c>
      <c r="L2" s="11">
        <v>1</v>
      </c>
      <c r="M2" s="15">
        <v>1</v>
      </c>
      <c r="N2" s="3">
        <f ca="1">TODAY()</f>
        <v>46177</v>
      </c>
      <c r="P2" s="8">
        <v>0.51388888888888884</v>
      </c>
      <c r="R2" s="20">
        <v>1</v>
      </c>
      <c r="U2" s="17">
        <v>1</v>
      </c>
      <c r="W2" s="23">
        <v>1</v>
      </c>
      <c r="Y2" s="26">
        <v>1</v>
      </c>
    </row>
    <row r="3" spans="1:25" x14ac:dyDescent="0.25">
      <c r="A3" s="7">
        <v>19</v>
      </c>
      <c r="B3" s="6" t="s">
        <v>16</v>
      </c>
      <c r="C3" s="32">
        <v>1.9</v>
      </c>
      <c r="D3" s="6" t="s">
        <v>17</v>
      </c>
      <c r="E3" s="29">
        <v>8</v>
      </c>
      <c r="F3" s="13">
        <v>2.9</v>
      </c>
      <c r="G3" s="31">
        <v>3.22</v>
      </c>
      <c r="H3" s="13">
        <v>0.8</v>
      </c>
      <c r="I3" s="6" t="s">
        <v>18</v>
      </c>
      <c r="J3" s="11">
        <v>8</v>
      </c>
      <c r="K3" s="11">
        <v>1</v>
      </c>
      <c r="L3" s="11">
        <v>10</v>
      </c>
      <c r="M3" s="15">
        <v>1</v>
      </c>
      <c r="N3" s="4">
        <f ca="1">TODAY()+1</f>
        <v>46178</v>
      </c>
      <c r="P3" s="9">
        <v>0.33333333333333331</v>
      </c>
      <c r="R3" s="20">
        <v>1</v>
      </c>
      <c r="U3" s="17">
        <v>1</v>
      </c>
      <c r="W3" s="23">
        <v>1</v>
      </c>
      <c r="Y3" s="26">
        <v>1</v>
      </c>
    </row>
    <row r="4" spans="1:25" x14ac:dyDescent="0.25">
      <c r="A4" s="7">
        <v>17</v>
      </c>
      <c r="B4" s="6" t="s">
        <v>16</v>
      </c>
      <c r="C4" s="32">
        <v>1.3</v>
      </c>
      <c r="D4" s="6" t="s">
        <v>14</v>
      </c>
      <c r="E4" s="29">
        <v>7.6</v>
      </c>
      <c r="F4" s="13">
        <v>0.5</v>
      </c>
      <c r="G4" s="31">
        <v>3.92</v>
      </c>
      <c r="H4" s="13">
        <v>0</v>
      </c>
      <c r="I4" s="6" t="s">
        <v>18</v>
      </c>
      <c r="J4" s="11">
        <v>2</v>
      </c>
      <c r="K4" s="11">
        <v>4</v>
      </c>
      <c r="L4" s="11">
        <v>2</v>
      </c>
      <c r="M4" s="15">
        <v>1</v>
      </c>
      <c r="N4" s="5">
        <f ca="1">TODAY()+2</f>
        <v>46179</v>
      </c>
      <c r="R4" s="20">
        <v>1</v>
      </c>
      <c r="U4" s="17">
        <v>1</v>
      </c>
      <c r="W4" s="23">
        <v>1</v>
      </c>
      <c r="Y4" s="26">
        <v>1</v>
      </c>
    </row>
    <row r="5" spans="1:25" x14ac:dyDescent="0.25">
      <c r="A5" s="7">
        <v>15</v>
      </c>
      <c r="B5" s="6" t="s">
        <v>13</v>
      </c>
      <c r="C5" s="32">
        <v>7.4</v>
      </c>
      <c r="D5" s="6" t="s">
        <v>17</v>
      </c>
      <c r="E5" s="29">
        <v>6.9</v>
      </c>
      <c r="F5" s="13">
        <v>1.6</v>
      </c>
      <c r="G5" s="31">
        <v>3.48</v>
      </c>
      <c r="H5" s="13">
        <v>0.8</v>
      </c>
      <c r="I5" s="6" t="s">
        <v>19</v>
      </c>
      <c r="J5" s="11">
        <v>1</v>
      </c>
      <c r="K5" s="11">
        <v>7</v>
      </c>
      <c r="L5" s="11">
        <v>9</v>
      </c>
      <c r="M5" s="15">
        <v>1</v>
      </c>
      <c r="N5" s="2">
        <f ca="1">TODAY()+3</f>
        <v>46180</v>
      </c>
      <c r="R5" s="20">
        <v>1</v>
      </c>
      <c r="U5" s="17">
        <v>1</v>
      </c>
      <c r="W5" s="23">
        <v>1</v>
      </c>
      <c r="Y5" s="26">
        <v>1</v>
      </c>
    </row>
    <row r="6" spans="1:25" x14ac:dyDescent="0.25">
      <c r="A6" s="7">
        <v>15</v>
      </c>
      <c r="B6" s="6" t="s">
        <v>16</v>
      </c>
      <c r="C6" s="32">
        <v>4.7</v>
      </c>
      <c r="D6" s="6" t="s">
        <v>20</v>
      </c>
      <c r="E6" s="29">
        <v>4.9000000000000004</v>
      </c>
      <c r="F6" s="13">
        <v>3</v>
      </c>
      <c r="G6" s="31">
        <v>2.37</v>
      </c>
      <c r="H6" s="13">
        <v>1.4</v>
      </c>
      <c r="I6" s="6" t="s">
        <v>19</v>
      </c>
      <c r="J6" s="11">
        <v>3</v>
      </c>
      <c r="K6" s="11">
        <v>5</v>
      </c>
      <c r="L6" s="11">
        <v>2</v>
      </c>
      <c r="M6" s="15">
        <v>1</v>
      </c>
      <c r="R6" s="20">
        <v>1</v>
      </c>
      <c r="U6" s="17">
        <v>1</v>
      </c>
      <c r="W6" s="23">
        <v>1</v>
      </c>
      <c r="Y6" s="26">
        <v>1</v>
      </c>
    </row>
    <row r="7" spans="1:25" x14ac:dyDescent="0.25">
      <c r="A7" s="7">
        <v>19</v>
      </c>
      <c r="B7" s="6" t="s">
        <v>16</v>
      </c>
      <c r="C7" s="32">
        <v>7.4</v>
      </c>
      <c r="D7" s="6" t="s">
        <v>20</v>
      </c>
      <c r="E7" s="29">
        <v>4.4000000000000004</v>
      </c>
      <c r="F7" s="13">
        <v>2.4</v>
      </c>
      <c r="G7" s="31">
        <v>2.63</v>
      </c>
      <c r="H7" s="13">
        <v>0.6</v>
      </c>
      <c r="I7" s="6" t="s">
        <v>18</v>
      </c>
      <c r="J7" s="11">
        <v>3</v>
      </c>
      <c r="K7" s="11">
        <v>5</v>
      </c>
      <c r="L7" s="11">
        <v>7</v>
      </c>
      <c r="M7" s="15">
        <v>1</v>
      </c>
      <c r="R7" s="20">
        <v>1</v>
      </c>
      <c r="U7" s="17">
        <v>1</v>
      </c>
      <c r="W7" s="23">
        <v>1</v>
      </c>
      <c r="Y7" s="26">
        <v>1</v>
      </c>
    </row>
    <row r="8" spans="1:25" x14ac:dyDescent="0.25">
      <c r="A8" s="7">
        <v>18</v>
      </c>
      <c r="B8" s="6" t="s">
        <v>16</v>
      </c>
      <c r="C8" s="32">
        <v>2.5</v>
      </c>
      <c r="D8" s="6" t="s">
        <v>14</v>
      </c>
      <c r="E8" s="29">
        <v>6.4</v>
      </c>
      <c r="F8" s="13">
        <v>2.4</v>
      </c>
      <c r="G8" s="31">
        <v>2.63</v>
      </c>
      <c r="H8" s="13">
        <v>0.7</v>
      </c>
      <c r="I8" s="6" t="s">
        <v>15</v>
      </c>
      <c r="J8" s="11">
        <v>2</v>
      </c>
      <c r="K8" s="11">
        <v>2</v>
      </c>
      <c r="L8" s="11">
        <v>5</v>
      </c>
      <c r="M8" s="15">
        <v>1</v>
      </c>
      <c r="R8" s="20">
        <v>1</v>
      </c>
      <c r="U8" s="17">
        <v>1</v>
      </c>
      <c r="W8" s="23">
        <v>1</v>
      </c>
      <c r="Y8" s="26">
        <v>1</v>
      </c>
    </row>
    <row r="9" spans="1:25" x14ac:dyDescent="0.25">
      <c r="A9" s="7">
        <v>16</v>
      </c>
      <c r="B9" s="6" t="s">
        <v>13</v>
      </c>
      <c r="C9" s="32">
        <v>4</v>
      </c>
      <c r="D9" s="6" t="s">
        <v>20</v>
      </c>
      <c r="E9" s="29">
        <v>4.2</v>
      </c>
      <c r="F9" s="13">
        <v>0.5</v>
      </c>
      <c r="G9" s="31">
        <v>2.4</v>
      </c>
      <c r="H9" s="13">
        <v>1.3</v>
      </c>
      <c r="I9" s="6" t="s">
        <v>15</v>
      </c>
      <c r="J9" s="11">
        <v>6</v>
      </c>
      <c r="K9" s="11">
        <v>10</v>
      </c>
      <c r="L9" s="11">
        <v>5</v>
      </c>
      <c r="M9" s="15">
        <v>1</v>
      </c>
      <c r="R9" s="20">
        <v>1</v>
      </c>
      <c r="U9" s="17">
        <v>1</v>
      </c>
      <c r="W9" s="23">
        <v>1</v>
      </c>
      <c r="Y9" s="26">
        <v>1</v>
      </c>
    </row>
    <row r="10" spans="1:25" x14ac:dyDescent="0.25">
      <c r="A10" s="7">
        <v>19</v>
      </c>
      <c r="B10" s="6" t="s">
        <v>16</v>
      </c>
      <c r="C10" s="32">
        <v>3.3</v>
      </c>
      <c r="D10" s="6" t="s">
        <v>17</v>
      </c>
      <c r="E10" s="29">
        <v>5</v>
      </c>
      <c r="F10" s="13">
        <v>2.1</v>
      </c>
      <c r="G10" s="31">
        <v>2.04</v>
      </c>
      <c r="H10" s="13">
        <v>0.9</v>
      </c>
      <c r="I10" s="6" t="s">
        <v>18</v>
      </c>
      <c r="J10" s="11">
        <v>1</v>
      </c>
      <c r="K10" s="11">
        <v>10</v>
      </c>
      <c r="L10" s="11">
        <v>9</v>
      </c>
      <c r="M10" s="15">
        <v>1</v>
      </c>
      <c r="R10" s="20">
        <v>1</v>
      </c>
      <c r="U10" s="17">
        <v>1</v>
      </c>
      <c r="W10" s="23">
        <v>1</v>
      </c>
      <c r="Y10" s="26">
        <v>1</v>
      </c>
    </row>
    <row r="11" spans="1:25" x14ac:dyDescent="0.25">
      <c r="A11" s="7">
        <v>15</v>
      </c>
      <c r="B11" s="6" t="s">
        <v>13</v>
      </c>
      <c r="C11" s="32">
        <v>1.9</v>
      </c>
      <c r="D11" s="6" t="s">
        <v>17</v>
      </c>
      <c r="E11" s="29">
        <v>4.9000000000000004</v>
      </c>
      <c r="F11" s="13">
        <v>1.5</v>
      </c>
      <c r="G11" s="31">
        <v>3.77</v>
      </c>
      <c r="H11" s="13">
        <v>1.1000000000000001</v>
      </c>
      <c r="I11" s="6" t="s">
        <v>18</v>
      </c>
      <c r="J11" s="11">
        <v>1</v>
      </c>
      <c r="K11" s="11">
        <v>1</v>
      </c>
      <c r="L11" s="11">
        <v>4</v>
      </c>
      <c r="M11" s="15">
        <v>1</v>
      </c>
      <c r="R11" s="20">
        <v>1</v>
      </c>
      <c r="U11" s="17">
        <v>1</v>
      </c>
      <c r="W11" s="23">
        <v>1</v>
      </c>
      <c r="Y11" s="26">
        <v>1</v>
      </c>
    </row>
    <row r="12" spans="1:25" x14ac:dyDescent="0.25">
      <c r="A12" s="7">
        <v>16</v>
      </c>
      <c r="B12" s="6" t="s">
        <v>13</v>
      </c>
      <c r="C12" s="32">
        <v>7.2</v>
      </c>
      <c r="D12" s="6" t="s">
        <v>20</v>
      </c>
      <c r="E12" s="29">
        <v>5.8</v>
      </c>
      <c r="F12" s="13">
        <v>2.9</v>
      </c>
      <c r="G12" s="31">
        <v>3.16</v>
      </c>
      <c r="H12" s="13">
        <v>1.2</v>
      </c>
      <c r="I12" s="6" t="s">
        <v>19</v>
      </c>
      <c r="J12" s="11">
        <v>5</v>
      </c>
      <c r="K12" s="11">
        <v>8</v>
      </c>
      <c r="L12" s="11">
        <v>9</v>
      </c>
      <c r="M12" s="15">
        <v>1</v>
      </c>
      <c r="R12" s="20">
        <v>1</v>
      </c>
      <c r="U12" s="17">
        <v>1</v>
      </c>
      <c r="W12" s="23">
        <v>1</v>
      </c>
      <c r="Y12" s="26">
        <v>1</v>
      </c>
    </row>
    <row r="13" spans="1:25" x14ac:dyDescent="0.25">
      <c r="A13" s="7">
        <v>13</v>
      </c>
      <c r="B13" s="6" t="s">
        <v>13</v>
      </c>
      <c r="C13" s="32">
        <v>4.9000000000000004</v>
      </c>
      <c r="D13" s="6" t="s">
        <v>14</v>
      </c>
      <c r="E13" s="29">
        <v>4.7</v>
      </c>
      <c r="F13" s="13">
        <v>2.5</v>
      </c>
      <c r="G13" s="31">
        <v>3.92</v>
      </c>
      <c r="H13" s="13">
        <v>1.2</v>
      </c>
      <c r="I13" s="6" t="s">
        <v>15</v>
      </c>
      <c r="J13" s="11">
        <v>1</v>
      </c>
      <c r="K13" s="11">
        <v>10</v>
      </c>
      <c r="L13" s="11">
        <v>8</v>
      </c>
      <c r="M13" s="15">
        <v>-1</v>
      </c>
      <c r="R13" s="20">
        <v>-1</v>
      </c>
      <c r="U13" s="17">
        <v>-1</v>
      </c>
      <c r="W13" s="23">
        <v>-1</v>
      </c>
      <c r="Y13" s="26">
        <v>-1</v>
      </c>
    </row>
    <row r="14" spans="1:25" x14ac:dyDescent="0.25">
      <c r="A14" s="7">
        <v>16</v>
      </c>
      <c r="B14" s="6" t="s">
        <v>13</v>
      </c>
      <c r="C14" s="32">
        <v>6.2</v>
      </c>
      <c r="D14" s="6" t="s">
        <v>20</v>
      </c>
      <c r="E14" s="29">
        <v>7.2</v>
      </c>
      <c r="F14" s="13">
        <v>2.6</v>
      </c>
      <c r="G14" s="31">
        <v>2.02</v>
      </c>
      <c r="H14" s="13">
        <v>1.7</v>
      </c>
      <c r="I14" s="6" t="s">
        <v>19</v>
      </c>
      <c r="J14" s="11">
        <v>5</v>
      </c>
      <c r="K14" s="11">
        <v>7</v>
      </c>
      <c r="L14" s="11">
        <v>6</v>
      </c>
      <c r="M14" s="15">
        <v>-1</v>
      </c>
      <c r="R14" s="20">
        <v>-1</v>
      </c>
      <c r="U14" s="17">
        <v>-1</v>
      </c>
      <c r="W14" s="23">
        <v>-1</v>
      </c>
      <c r="Y14" s="26">
        <v>-1</v>
      </c>
    </row>
    <row r="15" spans="1:25" x14ac:dyDescent="0.25">
      <c r="A15" s="7">
        <v>17</v>
      </c>
      <c r="B15" s="6" t="s">
        <v>16</v>
      </c>
      <c r="C15" s="32">
        <v>6.8</v>
      </c>
      <c r="D15" s="6" t="s">
        <v>17</v>
      </c>
      <c r="E15" s="29">
        <v>5.7</v>
      </c>
      <c r="F15" s="13">
        <v>1.1000000000000001</v>
      </c>
      <c r="G15" s="31">
        <v>3.29</v>
      </c>
      <c r="H15" s="13">
        <v>1.3</v>
      </c>
      <c r="I15" s="6" t="s">
        <v>19</v>
      </c>
      <c r="J15" s="11">
        <v>1</v>
      </c>
      <c r="K15" s="11">
        <v>10</v>
      </c>
      <c r="L15" s="11">
        <v>10</v>
      </c>
      <c r="M15" s="15">
        <v>-1</v>
      </c>
      <c r="R15" s="20">
        <v>-1</v>
      </c>
      <c r="U15" s="17">
        <v>-1</v>
      </c>
      <c r="W15" s="23">
        <v>-1</v>
      </c>
      <c r="Y15" s="26">
        <v>-1</v>
      </c>
    </row>
    <row r="16" spans="1:25" x14ac:dyDescent="0.25">
      <c r="A16" s="7">
        <v>15</v>
      </c>
      <c r="B16" s="6" t="s">
        <v>13</v>
      </c>
      <c r="C16" s="32">
        <v>5.7</v>
      </c>
      <c r="D16" s="6" t="s">
        <v>17</v>
      </c>
      <c r="E16" s="29">
        <v>5.9</v>
      </c>
      <c r="F16" s="13">
        <v>0.8</v>
      </c>
      <c r="G16" s="31">
        <v>3.5</v>
      </c>
      <c r="H16" s="13">
        <v>0.7</v>
      </c>
      <c r="I16" s="6" t="s">
        <v>15</v>
      </c>
      <c r="J16" s="11">
        <v>1</v>
      </c>
      <c r="K16" s="11">
        <v>9</v>
      </c>
      <c r="L16" s="11">
        <v>1</v>
      </c>
      <c r="M16" s="15">
        <v>-1</v>
      </c>
      <c r="R16" s="20">
        <v>-1</v>
      </c>
      <c r="U16" s="17">
        <v>-1</v>
      </c>
      <c r="W16" s="23">
        <v>-1</v>
      </c>
      <c r="Y16" s="26">
        <v>-1</v>
      </c>
    </row>
    <row r="17" spans="1:25" x14ac:dyDescent="0.25">
      <c r="A17" s="7">
        <v>14</v>
      </c>
      <c r="B17" s="6" t="s">
        <v>16</v>
      </c>
      <c r="C17" s="32">
        <v>3.6</v>
      </c>
      <c r="D17" s="6" t="s">
        <v>20</v>
      </c>
      <c r="E17" s="29">
        <v>5.3</v>
      </c>
      <c r="F17" s="13">
        <v>0.6</v>
      </c>
      <c r="G17" s="31">
        <v>2.99</v>
      </c>
      <c r="H17" s="13">
        <v>0.3</v>
      </c>
      <c r="I17" s="6" t="s">
        <v>18</v>
      </c>
      <c r="J17" s="11">
        <v>4</v>
      </c>
      <c r="K17" s="11">
        <v>10</v>
      </c>
      <c r="L17" s="11">
        <v>2</v>
      </c>
      <c r="M17" s="15">
        <v>-1</v>
      </c>
      <c r="R17" s="20">
        <v>-1</v>
      </c>
      <c r="U17" s="17">
        <v>-1</v>
      </c>
      <c r="W17" s="23">
        <v>-1</v>
      </c>
      <c r="Y17" s="26">
        <v>-1</v>
      </c>
    </row>
    <row r="18" spans="1:25" x14ac:dyDescent="0.25">
      <c r="A18" s="7">
        <v>13</v>
      </c>
      <c r="B18" s="6" t="s">
        <v>13</v>
      </c>
      <c r="C18" s="32">
        <v>1.5</v>
      </c>
      <c r="D18" s="6" t="s">
        <v>20</v>
      </c>
      <c r="E18" s="29">
        <v>4.2</v>
      </c>
      <c r="F18" s="13">
        <v>1.4</v>
      </c>
      <c r="G18" s="31">
        <v>2.59</v>
      </c>
      <c r="H18" s="13">
        <v>0.5</v>
      </c>
      <c r="I18" s="6" t="s">
        <v>18</v>
      </c>
      <c r="J18" s="11">
        <v>4</v>
      </c>
      <c r="K18" s="11">
        <v>5</v>
      </c>
      <c r="L18" s="11">
        <v>8</v>
      </c>
      <c r="M18" s="15">
        <v>-1</v>
      </c>
      <c r="R18" s="20">
        <v>-1</v>
      </c>
      <c r="U18" s="17">
        <v>-1</v>
      </c>
      <c r="W18" s="23">
        <v>-1</v>
      </c>
      <c r="Y18" s="26">
        <v>-1</v>
      </c>
    </row>
    <row r="19" spans="1:25" x14ac:dyDescent="0.25">
      <c r="A19" s="7">
        <v>16</v>
      </c>
      <c r="B19" s="6" t="s">
        <v>13</v>
      </c>
      <c r="C19" s="32">
        <v>3.1</v>
      </c>
      <c r="D19" s="6" t="s">
        <v>20</v>
      </c>
      <c r="E19" s="29">
        <v>6.1</v>
      </c>
      <c r="F19" s="13">
        <v>0.8</v>
      </c>
      <c r="G19" s="31">
        <v>2.11</v>
      </c>
      <c r="H19" s="13">
        <v>1.9</v>
      </c>
      <c r="I19" s="6" t="s">
        <v>18</v>
      </c>
      <c r="J19" s="11">
        <v>10</v>
      </c>
      <c r="K19" s="11">
        <v>7</v>
      </c>
      <c r="L19" s="11">
        <v>10</v>
      </c>
      <c r="M19" s="15">
        <v>1</v>
      </c>
      <c r="R19" s="20">
        <v>1</v>
      </c>
      <c r="U19" s="17">
        <v>1</v>
      </c>
      <c r="W19" s="23">
        <v>1</v>
      </c>
      <c r="Y19" s="26">
        <v>1</v>
      </c>
    </row>
    <row r="20" spans="1:25" x14ac:dyDescent="0.25">
      <c r="A20" s="7">
        <v>16</v>
      </c>
      <c r="B20" s="6" t="s">
        <v>16</v>
      </c>
      <c r="C20" s="32">
        <v>6.7</v>
      </c>
      <c r="D20" s="6" t="s">
        <v>20</v>
      </c>
      <c r="E20" s="29">
        <v>6.8</v>
      </c>
      <c r="F20" s="13">
        <v>1.9</v>
      </c>
      <c r="G20" s="31">
        <v>3.08</v>
      </c>
      <c r="H20" s="13">
        <v>1.4</v>
      </c>
      <c r="I20" s="6" t="s">
        <v>18</v>
      </c>
      <c r="J20" s="11">
        <v>10</v>
      </c>
      <c r="K20" s="11">
        <v>9</v>
      </c>
      <c r="L20" s="11">
        <v>1</v>
      </c>
      <c r="M20" s="15">
        <v>1</v>
      </c>
      <c r="R20" s="20">
        <v>1</v>
      </c>
      <c r="U20" s="17">
        <v>1</v>
      </c>
      <c r="W20" s="23">
        <v>1</v>
      </c>
      <c r="Y20" s="26">
        <v>1</v>
      </c>
    </row>
    <row r="21" spans="1:25" x14ac:dyDescent="0.25">
      <c r="A21" s="7">
        <v>14</v>
      </c>
      <c r="B21" s="6" t="s">
        <v>16</v>
      </c>
      <c r="C21" s="32">
        <v>1.2</v>
      </c>
      <c r="D21" s="6" t="s">
        <v>14</v>
      </c>
      <c r="E21" s="29">
        <v>7.6</v>
      </c>
      <c r="F21" s="13">
        <v>1</v>
      </c>
      <c r="G21" s="31">
        <v>3.85</v>
      </c>
      <c r="H21" s="13">
        <v>0.8</v>
      </c>
      <c r="I21" s="6" t="s">
        <v>18</v>
      </c>
      <c r="J21" s="11">
        <v>8</v>
      </c>
      <c r="K21" s="11">
        <v>4</v>
      </c>
      <c r="L21" s="11">
        <v>6</v>
      </c>
      <c r="M21" s="15">
        <v>1</v>
      </c>
      <c r="R21" s="20">
        <v>1</v>
      </c>
      <c r="U21" s="17">
        <v>1</v>
      </c>
      <c r="W21" s="23">
        <v>1</v>
      </c>
      <c r="Y21" s="26">
        <v>1</v>
      </c>
    </row>
    <row r="22" spans="1:25" x14ac:dyDescent="0.25">
      <c r="A22" s="7">
        <v>16</v>
      </c>
      <c r="B22" s="6" t="s">
        <v>13</v>
      </c>
      <c r="C22" s="32">
        <v>3.4</v>
      </c>
      <c r="D22" s="6" t="s">
        <v>17</v>
      </c>
      <c r="E22" s="29">
        <v>4.5999999999999996</v>
      </c>
      <c r="F22" s="13">
        <v>2.1</v>
      </c>
      <c r="G22" s="31">
        <v>2.2400000000000002</v>
      </c>
      <c r="H22" s="13">
        <v>0.4</v>
      </c>
      <c r="I22" s="6" t="s">
        <v>18</v>
      </c>
      <c r="J22" s="11">
        <v>4</v>
      </c>
      <c r="K22" s="11">
        <v>1</v>
      </c>
      <c r="L22" s="11">
        <v>3</v>
      </c>
      <c r="M22" s="15">
        <v>1</v>
      </c>
      <c r="R22" s="20">
        <v>1</v>
      </c>
      <c r="U22" s="17">
        <v>1</v>
      </c>
      <c r="W22" s="23">
        <v>1</v>
      </c>
      <c r="Y22" s="26">
        <v>1</v>
      </c>
    </row>
    <row r="23" spans="1:25" x14ac:dyDescent="0.25">
      <c r="A23" s="7">
        <v>18</v>
      </c>
      <c r="B23" s="6" t="s">
        <v>13</v>
      </c>
      <c r="C23" s="32">
        <v>4.0999999999999996</v>
      </c>
      <c r="D23" s="6" t="s">
        <v>20</v>
      </c>
      <c r="E23" s="29">
        <v>7.4</v>
      </c>
      <c r="F23" s="13">
        <v>2.4</v>
      </c>
      <c r="G23" s="31">
        <v>2.38</v>
      </c>
      <c r="H23" s="13">
        <v>1.5</v>
      </c>
      <c r="I23" s="6" t="s">
        <v>19</v>
      </c>
      <c r="J23" s="11">
        <v>8</v>
      </c>
      <c r="K23" s="11">
        <v>4</v>
      </c>
      <c r="L23" s="11">
        <v>9</v>
      </c>
      <c r="M23" s="15">
        <v>1</v>
      </c>
      <c r="R23" s="20">
        <v>1</v>
      </c>
      <c r="U23" s="17">
        <v>1</v>
      </c>
      <c r="W23" s="23">
        <v>1</v>
      </c>
      <c r="Y23" s="26">
        <v>1</v>
      </c>
    </row>
    <row r="24" spans="1:25" x14ac:dyDescent="0.25">
      <c r="A24" s="7">
        <v>18</v>
      </c>
      <c r="B24" s="6" t="s">
        <v>13</v>
      </c>
      <c r="C24" s="32">
        <v>5.3</v>
      </c>
      <c r="D24" s="6" t="s">
        <v>14</v>
      </c>
      <c r="E24" s="29">
        <v>4.9000000000000004</v>
      </c>
      <c r="F24" s="13">
        <v>1.2</v>
      </c>
      <c r="G24" s="31">
        <v>3.69</v>
      </c>
      <c r="H24" s="13">
        <v>1.2</v>
      </c>
      <c r="I24" s="6" t="s">
        <v>15</v>
      </c>
      <c r="J24" s="11">
        <v>5</v>
      </c>
      <c r="K24" s="11">
        <v>4</v>
      </c>
      <c r="L24" s="11">
        <v>5</v>
      </c>
      <c r="M24" s="15">
        <v>1</v>
      </c>
      <c r="R24" s="20">
        <v>1</v>
      </c>
      <c r="U24" s="17">
        <v>1</v>
      </c>
      <c r="W24" s="23">
        <v>1</v>
      </c>
      <c r="Y24" s="26">
        <v>1</v>
      </c>
    </row>
    <row r="25" spans="1:25" x14ac:dyDescent="0.25">
      <c r="A25" s="7">
        <v>18</v>
      </c>
      <c r="B25" s="6" t="s">
        <v>16</v>
      </c>
      <c r="C25" s="32">
        <v>2.2999999999999998</v>
      </c>
      <c r="D25" s="6" t="s">
        <v>17</v>
      </c>
      <c r="E25" s="29">
        <v>7.6</v>
      </c>
      <c r="F25" s="13">
        <v>0.5</v>
      </c>
      <c r="G25" s="31">
        <v>2.96</v>
      </c>
      <c r="H25" s="13">
        <v>1.7</v>
      </c>
      <c r="I25" s="6" t="s">
        <v>19</v>
      </c>
      <c r="J25" s="11">
        <v>9</v>
      </c>
      <c r="K25" s="11">
        <v>8</v>
      </c>
      <c r="L25" s="11">
        <v>7</v>
      </c>
      <c r="M25" s="15">
        <v>1</v>
      </c>
      <c r="R25" s="20">
        <v>1</v>
      </c>
      <c r="U25" s="17">
        <v>1</v>
      </c>
      <c r="W25" s="23">
        <v>1</v>
      </c>
      <c r="Y25" s="26">
        <v>1</v>
      </c>
    </row>
    <row r="26" spans="1:25" x14ac:dyDescent="0.25">
      <c r="A26" s="7">
        <v>18</v>
      </c>
      <c r="B26" s="6" t="s">
        <v>16</v>
      </c>
      <c r="C26" s="32">
        <v>2.4</v>
      </c>
      <c r="D26" s="6" t="s">
        <v>20</v>
      </c>
      <c r="E26" s="29">
        <v>6.7</v>
      </c>
      <c r="F26" s="13">
        <v>1.9</v>
      </c>
      <c r="G26" s="31">
        <v>2.5299999999999998</v>
      </c>
      <c r="H26" s="13">
        <v>0.4</v>
      </c>
      <c r="I26" s="6" t="s">
        <v>18</v>
      </c>
      <c r="J26" s="11">
        <v>8</v>
      </c>
      <c r="K26" s="11">
        <v>8</v>
      </c>
      <c r="L26" s="11">
        <v>2</v>
      </c>
      <c r="M26" s="15">
        <v>1</v>
      </c>
      <c r="R26" s="20">
        <v>1</v>
      </c>
      <c r="U26" s="17">
        <v>1</v>
      </c>
      <c r="W26" s="23">
        <v>1</v>
      </c>
      <c r="Y26" s="26">
        <v>1</v>
      </c>
    </row>
    <row r="27" spans="1:25" x14ac:dyDescent="0.25">
      <c r="A27" s="7">
        <v>13</v>
      </c>
      <c r="B27" s="6" t="s">
        <v>16</v>
      </c>
      <c r="C27" s="32">
        <v>1.5</v>
      </c>
      <c r="D27" s="6" t="s">
        <v>20</v>
      </c>
      <c r="E27" s="29">
        <v>7.2</v>
      </c>
      <c r="F27" s="13">
        <v>2.5</v>
      </c>
      <c r="G27" s="31">
        <v>2.15</v>
      </c>
      <c r="H27" s="13">
        <v>1.3</v>
      </c>
      <c r="I27" s="6" t="s">
        <v>19</v>
      </c>
      <c r="J27" s="11">
        <v>4</v>
      </c>
      <c r="K27" s="11">
        <v>6</v>
      </c>
      <c r="L27" s="11">
        <v>2</v>
      </c>
      <c r="M27" s="15">
        <v>1</v>
      </c>
      <c r="P27" s="10"/>
      <c r="R27" s="20">
        <v>1</v>
      </c>
      <c r="U27" s="17">
        <v>1</v>
      </c>
      <c r="W27" s="23">
        <v>1</v>
      </c>
      <c r="Y27" s="26">
        <v>1</v>
      </c>
    </row>
    <row r="28" spans="1:25" x14ac:dyDescent="0.25">
      <c r="A28" s="7">
        <v>14</v>
      </c>
      <c r="B28" s="6" t="s">
        <v>16</v>
      </c>
      <c r="C28" s="32">
        <v>5.7</v>
      </c>
      <c r="D28" s="6" t="s">
        <v>20</v>
      </c>
      <c r="E28" s="29">
        <v>8.6999999999999993</v>
      </c>
      <c r="F28" s="13">
        <v>0.6</v>
      </c>
      <c r="G28" s="31">
        <v>2.64</v>
      </c>
      <c r="H28" s="13">
        <v>0.1</v>
      </c>
      <c r="I28" s="6" t="s">
        <v>15</v>
      </c>
      <c r="J28" s="11">
        <v>8</v>
      </c>
      <c r="K28" s="11">
        <v>9</v>
      </c>
      <c r="L28" s="11">
        <v>4</v>
      </c>
      <c r="M28" s="15">
        <v>1</v>
      </c>
      <c r="P28" s="10"/>
      <c r="R28" s="20">
        <v>1</v>
      </c>
      <c r="U28" s="17">
        <v>1</v>
      </c>
      <c r="W28" s="23">
        <v>1</v>
      </c>
      <c r="Y28" s="26">
        <v>1</v>
      </c>
    </row>
    <row r="29" spans="1:25" x14ac:dyDescent="0.25">
      <c r="A29" s="7">
        <v>19</v>
      </c>
      <c r="B29" s="6" t="s">
        <v>13</v>
      </c>
      <c r="C29" s="32">
        <v>2</v>
      </c>
      <c r="D29" s="6" t="s">
        <v>17</v>
      </c>
      <c r="E29" s="29">
        <v>7.1</v>
      </c>
      <c r="F29" s="13">
        <v>0.9</v>
      </c>
      <c r="G29" s="31">
        <v>3.26</v>
      </c>
      <c r="H29" s="13">
        <v>1.6</v>
      </c>
      <c r="I29" s="6" t="s">
        <v>18</v>
      </c>
      <c r="J29" s="11">
        <v>7</v>
      </c>
      <c r="K29" s="11">
        <v>5</v>
      </c>
      <c r="L29" s="11">
        <v>9</v>
      </c>
      <c r="M29" s="15">
        <v>1</v>
      </c>
      <c r="P29" s="10"/>
      <c r="R29" s="20">
        <v>1</v>
      </c>
      <c r="U29" s="17">
        <v>1</v>
      </c>
      <c r="W29" s="23">
        <v>1</v>
      </c>
      <c r="Y29" s="26">
        <v>1</v>
      </c>
    </row>
    <row r="30" spans="1:25" x14ac:dyDescent="0.25">
      <c r="A30" s="7">
        <v>14</v>
      </c>
      <c r="B30" s="6" t="s">
        <v>13</v>
      </c>
      <c r="C30" s="32">
        <v>2.5</v>
      </c>
      <c r="D30" s="6" t="s">
        <v>17</v>
      </c>
      <c r="E30" s="29">
        <v>5.6</v>
      </c>
      <c r="F30" s="13">
        <v>2.9</v>
      </c>
      <c r="G30" s="31">
        <v>2.2400000000000002</v>
      </c>
      <c r="H30" s="13">
        <v>0.5</v>
      </c>
      <c r="I30" s="6" t="s">
        <v>15</v>
      </c>
      <c r="J30" s="11">
        <v>3</v>
      </c>
      <c r="K30" s="11">
        <v>9</v>
      </c>
      <c r="L30" s="11">
        <v>5</v>
      </c>
      <c r="M30" s="15">
        <v>1</v>
      </c>
      <c r="P30" s="10"/>
      <c r="R30" s="20">
        <v>1</v>
      </c>
      <c r="U30" s="17">
        <v>1</v>
      </c>
      <c r="W30" s="23">
        <v>1</v>
      </c>
      <c r="Y30" s="26">
        <v>1</v>
      </c>
    </row>
    <row r="31" spans="1:25" x14ac:dyDescent="0.25">
      <c r="A31" s="7">
        <v>16</v>
      </c>
      <c r="B31" s="6" t="s">
        <v>16</v>
      </c>
      <c r="C31" s="32">
        <v>3.4</v>
      </c>
      <c r="D31" s="6" t="s">
        <v>17</v>
      </c>
      <c r="E31" s="29">
        <v>7.8</v>
      </c>
      <c r="F31" s="13">
        <v>2.8</v>
      </c>
      <c r="G31" s="31">
        <v>3.83</v>
      </c>
      <c r="H31" s="13">
        <v>1.8</v>
      </c>
      <c r="I31" s="6" t="s">
        <v>19</v>
      </c>
      <c r="J31" s="11">
        <v>6</v>
      </c>
      <c r="K31" s="11">
        <v>6</v>
      </c>
      <c r="L31" s="11">
        <v>4</v>
      </c>
      <c r="M31" s="15">
        <v>1</v>
      </c>
      <c r="P31" s="10"/>
      <c r="R31" s="20">
        <v>1</v>
      </c>
      <c r="U31" s="17">
        <v>1</v>
      </c>
      <c r="W31" s="23">
        <v>1</v>
      </c>
      <c r="Y31" s="26">
        <v>1</v>
      </c>
    </row>
    <row r="32" spans="1:25" x14ac:dyDescent="0.25">
      <c r="A32" s="7">
        <v>13</v>
      </c>
      <c r="B32" s="6" t="s">
        <v>13</v>
      </c>
      <c r="C32" s="32">
        <v>6.6</v>
      </c>
      <c r="D32" s="6" t="s">
        <v>17</v>
      </c>
      <c r="E32" s="29">
        <v>5.7</v>
      </c>
      <c r="F32" s="13">
        <v>2.5</v>
      </c>
      <c r="G32" s="31">
        <v>2.67</v>
      </c>
      <c r="H32" s="13">
        <v>1.1000000000000001</v>
      </c>
      <c r="I32" s="6" t="s">
        <v>15</v>
      </c>
      <c r="J32" s="11">
        <v>2</v>
      </c>
      <c r="K32" s="11">
        <v>1</v>
      </c>
      <c r="L32" s="11">
        <v>10</v>
      </c>
      <c r="M32" s="15">
        <v>1</v>
      </c>
      <c r="P32" s="10"/>
      <c r="R32" s="20">
        <v>1</v>
      </c>
      <c r="U32" s="17">
        <v>1</v>
      </c>
      <c r="W32" s="23">
        <v>1</v>
      </c>
      <c r="Y32" s="26">
        <v>1</v>
      </c>
    </row>
    <row r="33" spans="1:28" x14ac:dyDescent="0.25">
      <c r="A33" s="7">
        <v>13</v>
      </c>
      <c r="B33" s="6" t="s">
        <v>16</v>
      </c>
      <c r="C33" s="32">
        <v>1.6</v>
      </c>
      <c r="D33" s="6" t="s">
        <v>14</v>
      </c>
      <c r="E33" s="29">
        <v>8.6999999999999993</v>
      </c>
      <c r="F33" s="13">
        <v>2.5</v>
      </c>
      <c r="G33" s="31">
        <v>3.69</v>
      </c>
      <c r="H33" s="13">
        <v>0.4</v>
      </c>
      <c r="I33" s="6" t="s">
        <v>18</v>
      </c>
      <c r="J33" s="11">
        <v>8</v>
      </c>
      <c r="K33" s="11">
        <v>2</v>
      </c>
      <c r="L33" s="11">
        <v>9</v>
      </c>
      <c r="M33" s="15">
        <v>1</v>
      </c>
      <c r="P33" s="10"/>
      <c r="R33" s="20">
        <v>1</v>
      </c>
      <c r="U33" s="17">
        <v>1</v>
      </c>
      <c r="W33" s="23">
        <v>1</v>
      </c>
      <c r="Y33" s="26">
        <v>1</v>
      </c>
    </row>
    <row r="34" spans="1:28" x14ac:dyDescent="0.25">
      <c r="A34" s="7">
        <v>16</v>
      </c>
      <c r="B34" s="6" t="s">
        <v>13</v>
      </c>
      <c r="C34" s="32">
        <v>2.7</v>
      </c>
      <c r="D34" s="6" t="s">
        <v>14</v>
      </c>
      <c r="E34" s="29">
        <v>4.2</v>
      </c>
      <c r="F34" s="13">
        <v>2.4</v>
      </c>
      <c r="G34" s="31">
        <v>3.05</v>
      </c>
      <c r="H34" s="13">
        <v>0.2</v>
      </c>
      <c r="I34" s="6" t="s">
        <v>18</v>
      </c>
      <c r="J34" s="11">
        <v>1</v>
      </c>
      <c r="K34" s="11">
        <v>8</v>
      </c>
      <c r="L34" s="11">
        <v>4</v>
      </c>
      <c r="M34" s="15">
        <v>0</v>
      </c>
      <c r="P34" s="10"/>
      <c r="R34" s="20">
        <v>0</v>
      </c>
      <c r="U34" s="17">
        <v>0</v>
      </c>
      <c r="W34" s="23">
        <v>0</v>
      </c>
      <c r="Y34" s="26">
        <v>0</v>
      </c>
    </row>
    <row r="35" spans="1:28" x14ac:dyDescent="0.25">
      <c r="A35" s="7">
        <v>14</v>
      </c>
      <c r="B35" s="6" t="s">
        <v>13</v>
      </c>
      <c r="C35" s="32">
        <v>4.0999999999999996</v>
      </c>
      <c r="D35" s="6" t="s">
        <v>17</v>
      </c>
      <c r="E35" s="29">
        <v>8</v>
      </c>
      <c r="F35" s="13">
        <v>3</v>
      </c>
      <c r="G35" s="31">
        <v>2.31</v>
      </c>
      <c r="H35" s="13">
        <v>0.8</v>
      </c>
      <c r="I35" s="6" t="s">
        <v>15</v>
      </c>
      <c r="J35" s="11">
        <v>8</v>
      </c>
      <c r="K35" s="11">
        <v>4</v>
      </c>
      <c r="L35" s="11">
        <v>1</v>
      </c>
      <c r="M35" s="15">
        <v>0</v>
      </c>
      <c r="P35" s="10"/>
      <c r="R35" s="20">
        <v>0</v>
      </c>
      <c r="U35" s="17">
        <v>0</v>
      </c>
      <c r="W35" s="23">
        <v>0</v>
      </c>
      <c r="Y35" s="26">
        <v>0</v>
      </c>
    </row>
    <row r="36" spans="1:28" x14ac:dyDescent="0.25">
      <c r="A36" s="7">
        <v>13</v>
      </c>
      <c r="B36" s="6" t="s">
        <v>16</v>
      </c>
      <c r="C36" s="32">
        <v>6.6</v>
      </c>
      <c r="D36" s="6" t="s">
        <v>17</v>
      </c>
      <c r="E36" s="29">
        <v>7.3</v>
      </c>
      <c r="F36" s="13">
        <v>1.6</v>
      </c>
      <c r="G36" s="31">
        <v>3.27</v>
      </c>
      <c r="H36" s="13">
        <v>0.1</v>
      </c>
      <c r="I36" s="6" t="s">
        <v>19</v>
      </c>
      <c r="J36" s="11">
        <v>10</v>
      </c>
      <c r="K36" s="11">
        <v>2</v>
      </c>
      <c r="L36" s="11">
        <v>1</v>
      </c>
      <c r="M36" s="15">
        <v>0</v>
      </c>
      <c r="R36" s="20">
        <v>0</v>
      </c>
      <c r="U36" s="17">
        <v>0</v>
      </c>
      <c r="W36" s="23">
        <v>0</v>
      </c>
      <c r="Y36" s="26">
        <v>0</v>
      </c>
    </row>
    <row r="37" spans="1:28" x14ac:dyDescent="0.25">
      <c r="A37" s="7">
        <v>17</v>
      </c>
      <c r="B37" s="6" t="s">
        <v>16</v>
      </c>
      <c r="C37" s="32">
        <v>5</v>
      </c>
      <c r="D37" s="6" t="s">
        <v>20</v>
      </c>
      <c r="E37" s="29">
        <v>4.9000000000000004</v>
      </c>
      <c r="F37" s="13">
        <v>2.1</v>
      </c>
      <c r="G37" s="31">
        <v>2.0099999999999998</v>
      </c>
      <c r="H37" s="13">
        <v>1</v>
      </c>
      <c r="I37" s="6" t="s">
        <v>15</v>
      </c>
      <c r="J37" s="11">
        <v>9</v>
      </c>
      <c r="K37" s="11">
        <v>4</v>
      </c>
      <c r="L37" s="11">
        <v>9</v>
      </c>
      <c r="M37" s="15">
        <v>0</v>
      </c>
      <c r="R37" s="20">
        <v>0</v>
      </c>
      <c r="U37" s="17">
        <v>0</v>
      </c>
      <c r="W37" s="23">
        <v>0</v>
      </c>
      <c r="Y37" s="26">
        <v>0</v>
      </c>
    </row>
    <row r="38" spans="1:28" x14ac:dyDescent="0.25">
      <c r="A38" s="7">
        <v>19</v>
      </c>
      <c r="B38" s="6" t="s">
        <v>16</v>
      </c>
      <c r="C38" s="32">
        <v>4.5999999999999996</v>
      </c>
      <c r="D38" s="6" t="s">
        <v>14</v>
      </c>
      <c r="E38" s="29">
        <v>5.5</v>
      </c>
      <c r="F38" s="13">
        <v>2.5</v>
      </c>
      <c r="G38" s="31">
        <v>3.96</v>
      </c>
      <c r="H38" s="13">
        <v>0.8</v>
      </c>
      <c r="I38" s="6" t="s">
        <v>18</v>
      </c>
      <c r="J38" s="11">
        <v>3</v>
      </c>
      <c r="K38" s="11">
        <v>10</v>
      </c>
      <c r="L38" s="11">
        <v>7</v>
      </c>
      <c r="M38" s="15">
        <v>0</v>
      </c>
      <c r="R38" s="20">
        <v>0</v>
      </c>
      <c r="U38" s="17">
        <v>0</v>
      </c>
      <c r="W38" s="23">
        <v>0</v>
      </c>
      <c r="Y38" s="26">
        <v>0</v>
      </c>
    </row>
    <row r="39" spans="1:28" x14ac:dyDescent="0.25">
      <c r="A39" s="7">
        <v>17</v>
      </c>
      <c r="B39" s="6" t="s">
        <v>16</v>
      </c>
      <c r="C39" s="32">
        <v>4.8</v>
      </c>
      <c r="D39" s="6" t="s">
        <v>14</v>
      </c>
      <c r="E39" s="29">
        <v>4.4000000000000004</v>
      </c>
      <c r="F39" s="13">
        <v>1.3</v>
      </c>
      <c r="G39" s="31">
        <v>2.02</v>
      </c>
      <c r="H39" s="13">
        <v>0.5</v>
      </c>
      <c r="I39" s="6" t="s">
        <v>15</v>
      </c>
      <c r="J39" s="11">
        <v>5</v>
      </c>
      <c r="K39" s="11">
        <v>10</v>
      </c>
      <c r="L39" s="11">
        <v>6</v>
      </c>
      <c r="M39" s="15">
        <v>0</v>
      </c>
      <c r="R39" s="20">
        <v>0</v>
      </c>
      <c r="U39" s="17">
        <v>0</v>
      </c>
      <c r="W39" s="23">
        <v>0</v>
      </c>
      <c r="Y39" s="26">
        <v>0</v>
      </c>
    </row>
    <row r="40" spans="1:28" x14ac:dyDescent="0.25">
      <c r="A40" s="7">
        <v>17</v>
      </c>
      <c r="B40" s="6" t="s">
        <v>16</v>
      </c>
      <c r="C40" s="32">
        <v>1.3</v>
      </c>
      <c r="D40" s="6" t="s">
        <v>17</v>
      </c>
      <c r="E40" s="29">
        <v>8</v>
      </c>
      <c r="F40" s="13">
        <v>2</v>
      </c>
      <c r="G40" s="31">
        <v>2.84</v>
      </c>
      <c r="H40" s="13">
        <v>1.8</v>
      </c>
      <c r="I40" s="6" t="s">
        <v>18</v>
      </c>
      <c r="J40" s="11">
        <v>1</v>
      </c>
      <c r="K40" s="11">
        <v>7</v>
      </c>
      <c r="L40" s="11">
        <v>8</v>
      </c>
      <c r="M40" s="15">
        <v>0</v>
      </c>
      <c r="R40" s="20">
        <v>0</v>
      </c>
      <c r="U40" s="17">
        <v>0</v>
      </c>
      <c r="W40" s="23">
        <v>0</v>
      </c>
      <c r="Y40" s="26">
        <v>0</v>
      </c>
    </row>
    <row r="41" spans="1:28" x14ac:dyDescent="0.25">
      <c r="A41" s="7">
        <v>17</v>
      </c>
      <c r="B41" s="6" t="s">
        <v>16</v>
      </c>
      <c r="C41" s="32">
        <v>6.3</v>
      </c>
      <c r="D41" s="6" t="s">
        <v>14</v>
      </c>
      <c r="E41" s="29">
        <v>4</v>
      </c>
      <c r="F41" s="13">
        <v>1</v>
      </c>
      <c r="G41" s="31">
        <v>2.4300000000000002</v>
      </c>
      <c r="H41" s="13">
        <v>1.2</v>
      </c>
      <c r="I41" s="6" t="s">
        <v>18</v>
      </c>
      <c r="J41" s="11">
        <v>1</v>
      </c>
      <c r="K41" s="11">
        <v>10</v>
      </c>
      <c r="L41" s="11">
        <v>9</v>
      </c>
      <c r="M41" s="15">
        <v>1</v>
      </c>
      <c r="R41" s="20">
        <v>1</v>
      </c>
      <c r="U41" s="17">
        <v>1</v>
      </c>
      <c r="W41" s="23">
        <v>1</v>
      </c>
      <c r="Y41" s="26">
        <v>1</v>
      </c>
      <c r="AB41" t="str" cm="1">
        <f t="array" ref="AB41">INDEX(_xlfn.UNIQUE(D14:D68),MATCH(MAX(COUNTIF(D14:D68,_xlfn.UNIQUE(D14:D68))),COUNTIF(D14:D68,_xlfn.UNIQUE(D14:D68))))</f>
        <v>TikTok</v>
      </c>
    </row>
    <row r="42" spans="1:28" x14ac:dyDescent="0.25">
      <c r="A42" s="7">
        <v>14</v>
      </c>
      <c r="B42" s="6" t="s">
        <v>13</v>
      </c>
      <c r="C42" s="32">
        <v>6.4</v>
      </c>
      <c r="D42" s="6" t="s">
        <v>14</v>
      </c>
      <c r="E42" s="29">
        <v>5.7</v>
      </c>
      <c r="F42" s="13">
        <v>0.9</v>
      </c>
      <c r="G42" s="31">
        <v>2.06</v>
      </c>
      <c r="H42" s="13">
        <v>1.8</v>
      </c>
      <c r="I42" s="6" t="s">
        <v>18</v>
      </c>
      <c r="J42" s="11">
        <v>10</v>
      </c>
      <c r="K42" s="11">
        <v>4</v>
      </c>
      <c r="L42" s="11">
        <v>2</v>
      </c>
      <c r="M42" s="15">
        <v>1</v>
      </c>
      <c r="R42" s="20">
        <v>1</v>
      </c>
      <c r="U42" s="17">
        <v>1</v>
      </c>
      <c r="W42" s="23">
        <v>1</v>
      </c>
      <c r="Y42" s="26">
        <v>1</v>
      </c>
    </row>
    <row r="43" spans="1:28" x14ac:dyDescent="0.25">
      <c r="A43" s="7">
        <v>19</v>
      </c>
      <c r="B43" s="6" t="s">
        <v>13</v>
      </c>
      <c r="C43" s="32">
        <v>1.6</v>
      </c>
      <c r="D43" s="6" t="s">
        <v>14</v>
      </c>
      <c r="E43" s="29">
        <v>8.6</v>
      </c>
      <c r="F43" s="13">
        <v>2.4</v>
      </c>
      <c r="G43" s="31">
        <v>3.81</v>
      </c>
      <c r="H43" s="13">
        <v>0.4</v>
      </c>
      <c r="I43" s="6" t="s">
        <v>15</v>
      </c>
      <c r="J43" s="11">
        <v>10</v>
      </c>
      <c r="K43" s="11">
        <v>4</v>
      </c>
      <c r="L43" s="11">
        <v>1</v>
      </c>
      <c r="M43" s="15">
        <v>1</v>
      </c>
      <c r="R43" s="20">
        <v>1</v>
      </c>
      <c r="U43" s="17">
        <v>1</v>
      </c>
      <c r="W43" s="23">
        <v>1</v>
      </c>
      <c r="Y43" s="26">
        <v>1</v>
      </c>
    </row>
    <row r="44" spans="1:28" x14ac:dyDescent="0.25">
      <c r="A44" s="7">
        <v>14</v>
      </c>
      <c r="B44" s="6" t="s">
        <v>16</v>
      </c>
      <c r="C44" s="32">
        <v>7.3</v>
      </c>
      <c r="D44" s="6" t="s">
        <v>14</v>
      </c>
      <c r="E44" s="29">
        <v>7.7</v>
      </c>
      <c r="F44" s="13">
        <v>1.4</v>
      </c>
      <c r="G44" s="31">
        <v>3.42</v>
      </c>
      <c r="H44" s="13">
        <v>0.3</v>
      </c>
      <c r="I44" s="6" t="s">
        <v>19</v>
      </c>
      <c r="J44" s="11">
        <v>6</v>
      </c>
      <c r="K44" s="11">
        <v>1</v>
      </c>
      <c r="L44" s="11">
        <v>8</v>
      </c>
      <c r="M44" s="15">
        <v>1</v>
      </c>
      <c r="R44" s="20">
        <v>1</v>
      </c>
      <c r="U44" s="17">
        <v>1</v>
      </c>
      <c r="W44" s="23">
        <v>1</v>
      </c>
      <c r="Y44" s="26">
        <v>1</v>
      </c>
    </row>
    <row r="45" spans="1:28" x14ac:dyDescent="0.25">
      <c r="A45" s="7">
        <v>15</v>
      </c>
      <c r="B45" s="6" t="s">
        <v>13</v>
      </c>
      <c r="C45" s="32">
        <v>4</v>
      </c>
      <c r="D45" s="6" t="s">
        <v>20</v>
      </c>
      <c r="E45" s="29">
        <v>8.8000000000000007</v>
      </c>
      <c r="F45" s="13">
        <v>1.3</v>
      </c>
      <c r="G45" s="31">
        <v>3.59</v>
      </c>
      <c r="H45" s="13">
        <v>1.9</v>
      </c>
      <c r="I45" s="6" t="s">
        <v>19</v>
      </c>
      <c r="J45" s="11">
        <v>10</v>
      </c>
      <c r="K45" s="11">
        <v>6</v>
      </c>
      <c r="L45" s="11">
        <v>10</v>
      </c>
      <c r="M45" s="15">
        <v>1</v>
      </c>
      <c r="R45" s="20">
        <v>1</v>
      </c>
      <c r="U45" s="17">
        <v>1</v>
      </c>
      <c r="W45" s="23">
        <v>1</v>
      </c>
      <c r="Y45" s="26">
        <v>1</v>
      </c>
    </row>
    <row r="46" spans="1:28" x14ac:dyDescent="0.25">
      <c r="A46" s="7">
        <v>14</v>
      </c>
      <c r="B46" s="6" t="s">
        <v>13</v>
      </c>
      <c r="C46" s="32">
        <v>5.2</v>
      </c>
      <c r="D46" s="6" t="s">
        <v>20</v>
      </c>
      <c r="E46" s="29">
        <v>4.0999999999999996</v>
      </c>
      <c r="F46" s="13">
        <v>2.1</v>
      </c>
      <c r="G46" s="31">
        <v>3.07</v>
      </c>
      <c r="H46" s="13">
        <v>0.2</v>
      </c>
      <c r="I46" s="6" t="s">
        <v>19</v>
      </c>
      <c r="J46" s="11">
        <v>9</v>
      </c>
      <c r="K46" s="11">
        <v>3</v>
      </c>
      <c r="L46" s="11">
        <v>8</v>
      </c>
      <c r="M46" s="15">
        <v>1</v>
      </c>
      <c r="R46" s="20">
        <v>1</v>
      </c>
      <c r="U46" s="17">
        <v>1</v>
      </c>
      <c r="W46" s="23">
        <v>1</v>
      </c>
      <c r="Y46" s="26">
        <v>1</v>
      </c>
    </row>
    <row r="47" spans="1:28" x14ac:dyDescent="0.25">
      <c r="A47" s="7">
        <v>14</v>
      </c>
      <c r="B47" s="6" t="s">
        <v>16</v>
      </c>
      <c r="C47" s="32">
        <v>4.5</v>
      </c>
      <c r="D47" s="6" t="s">
        <v>17</v>
      </c>
      <c r="E47" s="29">
        <v>4.8</v>
      </c>
      <c r="F47" s="13">
        <v>0.9</v>
      </c>
      <c r="G47" s="31">
        <v>2.2200000000000002</v>
      </c>
      <c r="H47" s="13">
        <v>0.8</v>
      </c>
      <c r="I47" s="6" t="s">
        <v>15</v>
      </c>
      <c r="J47" s="11">
        <v>1</v>
      </c>
      <c r="K47" s="11">
        <v>4</v>
      </c>
      <c r="L47" s="11">
        <v>10</v>
      </c>
      <c r="M47" s="15">
        <v>1</v>
      </c>
      <c r="R47" s="20">
        <v>1</v>
      </c>
      <c r="U47" s="17">
        <v>1</v>
      </c>
      <c r="W47" s="23">
        <v>1</v>
      </c>
      <c r="Y47" s="26">
        <v>1</v>
      </c>
    </row>
    <row r="48" spans="1:28" x14ac:dyDescent="0.25">
      <c r="A48" s="7">
        <v>18</v>
      </c>
      <c r="B48" s="6" t="s">
        <v>13</v>
      </c>
      <c r="C48" s="32">
        <v>6.8</v>
      </c>
      <c r="D48" s="6" t="s">
        <v>17</v>
      </c>
      <c r="E48" s="29">
        <v>8.6</v>
      </c>
      <c r="F48" s="13">
        <v>1.1000000000000001</v>
      </c>
      <c r="G48" s="31">
        <v>2.36</v>
      </c>
      <c r="H48" s="13">
        <v>1.6</v>
      </c>
      <c r="I48" s="6" t="s">
        <v>18</v>
      </c>
      <c r="J48" s="11">
        <v>1</v>
      </c>
      <c r="K48" s="11">
        <v>10</v>
      </c>
      <c r="L48" s="11">
        <v>10</v>
      </c>
      <c r="M48" s="15">
        <v>1</v>
      </c>
      <c r="R48" s="20">
        <v>1</v>
      </c>
      <c r="U48" s="17">
        <v>1</v>
      </c>
      <c r="W48" s="23">
        <v>1</v>
      </c>
      <c r="Y48" s="26">
        <v>1</v>
      </c>
    </row>
    <row r="49" spans="1:25" x14ac:dyDescent="0.25">
      <c r="A49" s="7">
        <v>13</v>
      </c>
      <c r="B49" s="6" t="s">
        <v>16</v>
      </c>
      <c r="C49" s="32">
        <v>3.5</v>
      </c>
      <c r="D49" s="6" t="s">
        <v>14</v>
      </c>
      <c r="E49" s="29">
        <v>5.0999999999999996</v>
      </c>
      <c r="F49" s="13">
        <v>1.1000000000000001</v>
      </c>
      <c r="G49" s="31">
        <v>2.27</v>
      </c>
      <c r="H49" s="13">
        <v>1.8</v>
      </c>
      <c r="I49" s="6" t="s">
        <v>19</v>
      </c>
      <c r="J49" s="11">
        <v>2</v>
      </c>
      <c r="K49" s="11">
        <v>5</v>
      </c>
      <c r="L49" s="11">
        <v>6</v>
      </c>
      <c r="M49" s="15">
        <v>1</v>
      </c>
      <c r="R49" s="20">
        <v>1</v>
      </c>
      <c r="U49" s="17">
        <v>1</v>
      </c>
      <c r="W49" s="23">
        <v>1</v>
      </c>
      <c r="Y49" s="26">
        <v>1</v>
      </c>
    </row>
    <row r="50" spans="1:25" x14ac:dyDescent="0.25">
      <c r="A50" s="7">
        <v>16</v>
      </c>
      <c r="B50" s="6" t="s">
        <v>13</v>
      </c>
      <c r="C50" s="32">
        <v>2.2999999999999998</v>
      </c>
      <c r="D50" s="6" t="s">
        <v>17</v>
      </c>
      <c r="E50" s="29">
        <v>6.3</v>
      </c>
      <c r="F50" s="13">
        <v>3</v>
      </c>
      <c r="G50" s="31">
        <v>3.24</v>
      </c>
      <c r="H50" s="13">
        <v>1.9</v>
      </c>
      <c r="I50" s="6" t="s">
        <v>19</v>
      </c>
      <c r="J50" s="11">
        <v>4</v>
      </c>
      <c r="K50" s="11">
        <v>4</v>
      </c>
      <c r="L50" s="11">
        <v>9</v>
      </c>
      <c r="M50" s="15">
        <v>1</v>
      </c>
      <c r="R50" s="20">
        <v>1</v>
      </c>
      <c r="U50" s="17">
        <v>1</v>
      </c>
      <c r="W50" s="23">
        <v>1</v>
      </c>
      <c r="Y50" s="26">
        <v>1</v>
      </c>
    </row>
    <row r="51" spans="1:25" x14ac:dyDescent="0.25">
      <c r="A51" s="7">
        <v>14</v>
      </c>
      <c r="B51" s="6" t="s">
        <v>13</v>
      </c>
      <c r="C51" s="32">
        <v>1.2</v>
      </c>
      <c r="D51" s="6" t="s">
        <v>14</v>
      </c>
      <c r="E51" s="29">
        <v>8.5</v>
      </c>
      <c r="F51" s="13">
        <v>1.8</v>
      </c>
      <c r="G51" s="31">
        <v>3.65</v>
      </c>
      <c r="H51" s="13">
        <v>1.8</v>
      </c>
      <c r="I51" s="6" t="s">
        <v>18</v>
      </c>
      <c r="J51" s="11">
        <v>5</v>
      </c>
      <c r="K51" s="11">
        <v>10</v>
      </c>
      <c r="L51" s="11">
        <v>10</v>
      </c>
      <c r="M51" s="15">
        <v>1</v>
      </c>
      <c r="R51" s="20">
        <v>1</v>
      </c>
      <c r="U51" s="17">
        <v>1</v>
      </c>
      <c r="W51" s="23">
        <v>1</v>
      </c>
      <c r="Y51" s="26">
        <v>1</v>
      </c>
    </row>
    <row r="52" spans="1:25" x14ac:dyDescent="0.25">
      <c r="A52" s="7">
        <v>13</v>
      </c>
      <c r="B52" s="6" t="s">
        <v>13</v>
      </c>
      <c r="C52" s="32">
        <v>6.2</v>
      </c>
      <c r="D52" s="6" t="s">
        <v>20</v>
      </c>
      <c r="E52" s="29">
        <v>7.1</v>
      </c>
      <c r="F52" s="13">
        <v>2.2000000000000002</v>
      </c>
      <c r="G52" s="31">
        <v>3.43</v>
      </c>
      <c r="H52" s="13">
        <v>0.2</v>
      </c>
      <c r="I52" s="6" t="s">
        <v>19</v>
      </c>
      <c r="J52" s="11">
        <v>5</v>
      </c>
      <c r="K52" s="11">
        <v>2</v>
      </c>
      <c r="L52" s="11">
        <v>2</v>
      </c>
      <c r="M52" s="15">
        <v>1</v>
      </c>
      <c r="R52" s="20">
        <v>1</v>
      </c>
      <c r="U52" s="17">
        <v>1</v>
      </c>
      <c r="W52" s="23">
        <v>1</v>
      </c>
      <c r="Y52" s="26">
        <v>1</v>
      </c>
    </row>
    <row r="53" spans="1:25" x14ac:dyDescent="0.25">
      <c r="A53" s="7">
        <v>18</v>
      </c>
      <c r="B53" s="6" t="s">
        <v>13</v>
      </c>
      <c r="C53" s="32">
        <v>4.5</v>
      </c>
      <c r="D53" s="6" t="s">
        <v>17</v>
      </c>
      <c r="E53" s="29">
        <v>4.0999999999999996</v>
      </c>
      <c r="F53" s="13">
        <v>1.9</v>
      </c>
      <c r="G53" s="31">
        <v>3.42</v>
      </c>
      <c r="H53" s="13">
        <v>0.1</v>
      </c>
      <c r="I53" s="6" t="s">
        <v>19</v>
      </c>
      <c r="J53" s="11">
        <v>6</v>
      </c>
      <c r="K53" s="11">
        <v>7</v>
      </c>
      <c r="L53" s="11">
        <v>8</v>
      </c>
      <c r="M53" s="15">
        <v>1</v>
      </c>
      <c r="R53" s="20">
        <v>1</v>
      </c>
      <c r="U53" s="17">
        <v>1</v>
      </c>
      <c r="W53" s="23">
        <v>1</v>
      </c>
      <c r="Y53" s="26">
        <v>1</v>
      </c>
    </row>
    <row r="54" spans="1:25" x14ac:dyDescent="0.25">
      <c r="A54" s="7">
        <v>18</v>
      </c>
      <c r="B54" s="6" t="s">
        <v>13</v>
      </c>
      <c r="C54" s="32">
        <v>2.9</v>
      </c>
      <c r="D54" s="6" t="s">
        <v>14</v>
      </c>
      <c r="E54" s="29">
        <v>4.5</v>
      </c>
      <c r="F54" s="13">
        <v>2.5</v>
      </c>
      <c r="G54" s="31">
        <v>3.16</v>
      </c>
      <c r="H54" s="13">
        <v>1.3</v>
      </c>
      <c r="I54" s="6" t="s">
        <v>15</v>
      </c>
      <c r="J54" s="11">
        <v>3</v>
      </c>
      <c r="K54" s="11">
        <v>7</v>
      </c>
      <c r="L54" s="11">
        <v>8</v>
      </c>
      <c r="M54" s="15">
        <v>1</v>
      </c>
      <c r="R54" s="20">
        <v>1</v>
      </c>
      <c r="U54" s="17">
        <v>1</v>
      </c>
      <c r="W54" s="23">
        <v>1</v>
      </c>
      <c r="Y54" s="26">
        <v>1</v>
      </c>
    </row>
    <row r="55" spans="1:25" x14ac:dyDescent="0.25">
      <c r="A55" s="7">
        <v>13</v>
      </c>
      <c r="B55" s="6" t="s">
        <v>16</v>
      </c>
      <c r="C55" s="32">
        <v>5.8</v>
      </c>
      <c r="D55" s="6" t="s">
        <v>17</v>
      </c>
      <c r="E55" s="29">
        <v>8.5</v>
      </c>
      <c r="F55" s="13">
        <v>2.2999999999999998</v>
      </c>
      <c r="G55" s="31">
        <v>3.3</v>
      </c>
      <c r="H55" s="13">
        <v>1.9</v>
      </c>
      <c r="I55" s="6" t="s">
        <v>18</v>
      </c>
      <c r="J55" s="11">
        <v>1</v>
      </c>
      <c r="K55" s="11">
        <v>1</v>
      </c>
      <c r="L55" s="11">
        <v>5</v>
      </c>
      <c r="M55" s="15">
        <v>1</v>
      </c>
      <c r="R55" s="20">
        <v>1</v>
      </c>
      <c r="U55" s="17">
        <v>1</v>
      </c>
      <c r="W55" s="23">
        <v>1</v>
      </c>
      <c r="Y55" s="26">
        <v>1</v>
      </c>
    </row>
    <row r="56" spans="1:25" x14ac:dyDescent="0.25">
      <c r="A56" s="7">
        <v>18</v>
      </c>
      <c r="B56" s="6" t="s">
        <v>13</v>
      </c>
      <c r="C56" s="32">
        <v>6.8</v>
      </c>
      <c r="D56" s="6" t="s">
        <v>14</v>
      </c>
      <c r="E56" s="29">
        <v>6.5</v>
      </c>
      <c r="F56" s="13">
        <v>2.7</v>
      </c>
      <c r="G56" s="31">
        <v>2.97</v>
      </c>
      <c r="H56" s="13">
        <v>1.9</v>
      </c>
      <c r="I56" s="6" t="s">
        <v>15</v>
      </c>
      <c r="J56" s="11">
        <v>4</v>
      </c>
      <c r="K56" s="11">
        <v>4</v>
      </c>
      <c r="L56" s="11">
        <v>5</v>
      </c>
      <c r="M56" s="15">
        <v>1</v>
      </c>
      <c r="R56" s="20">
        <v>1</v>
      </c>
      <c r="U56" s="17">
        <v>1</v>
      </c>
      <c r="W56" s="23">
        <v>1</v>
      </c>
      <c r="Y56" s="26">
        <v>1</v>
      </c>
    </row>
    <row r="57" spans="1:25" x14ac:dyDescent="0.25">
      <c r="A57" s="7">
        <v>15</v>
      </c>
      <c r="B57" s="6" t="s">
        <v>16</v>
      </c>
      <c r="C57" s="32">
        <v>7.4</v>
      </c>
      <c r="D57" s="6" t="s">
        <v>14</v>
      </c>
      <c r="E57" s="29">
        <v>8.6</v>
      </c>
      <c r="F57" s="13">
        <v>0.9</v>
      </c>
      <c r="G57" s="31">
        <v>2.2999999999999998</v>
      </c>
      <c r="H57" s="13">
        <v>0</v>
      </c>
      <c r="I57" s="6" t="s">
        <v>15</v>
      </c>
      <c r="J57" s="11">
        <v>1</v>
      </c>
      <c r="K57" s="11">
        <v>5</v>
      </c>
      <c r="L57" s="11">
        <v>3</v>
      </c>
      <c r="M57" s="15">
        <v>1</v>
      </c>
      <c r="R57" s="20">
        <v>1</v>
      </c>
      <c r="U57" s="17">
        <v>1</v>
      </c>
      <c r="W57" s="23">
        <v>1</v>
      </c>
      <c r="Y57" s="26">
        <v>1</v>
      </c>
    </row>
    <row r="58" spans="1:25" x14ac:dyDescent="0.25">
      <c r="A58" s="7">
        <v>18</v>
      </c>
      <c r="B58" s="6" t="s">
        <v>13</v>
      </c>
      <c r="C58" s="32">
        <v>4.5</v>
      </c>
      <c r="D58" s="6" t="s">
        <v>17</v>
      </c>
      <c r="E58" s="29">
        <v>5</v>
      </c>
      <c r="F58" s="13">
        <v>2.5</v>
      </c>
      <c r="G58" s="31">
        <v>2.65</v>
      </c>
      <c r="H58" s="13">
        <v>0.7</v>
      </c>
      <c r="I58" s="6" t="s">
        <v>19</v>
      </c>
      <c r="J58" s="11">
        <v>8</v>
      </c>
      <c r="K58" s="11">
        <v>9</v>
      </c>
      <c r="L58" s="11">
        <v>1</v>
      </c>
      <c r="M58" s="15">
        <v>1</v>
      </c>
      <c r="R58" s="20">
        <v>1</v>
      </c>
      <c r="U58" s="17">
        <v>1</v>
      </c>
      <c r="W58" s="23">
        <v>1</v>
      </c>
      <c r="Y58" s="26">
        <v>1</v>
      </c>
    </row>
    <row r="59" spans="1:25" x14ac:dyDescent="0.25">
      <c r="A59" s="7">
        <v>16</v>
      </c>
      <c r="B59" s="6" t="s">
        <v>13</v>
      </c>
      <c r="C59" s="32">
        <v>6.4</v>
      </c>
      <c r="D59" s="6" t="s">
        <v>17</v>
      </c>
      <c r="E59" s="29">
        <v>5.3</v>
      </c>
      <c r="F59" s="13">
        <v>2.4</v>
      </c>
      <c r="G59" s="31">
        <v>2.0299999999999998</v>
      </c>
      <c r="H59" s="13">
        <v>1.7</v>
      </c>
      <c r="I59" s="6" t="s">
        <v>19</v>
      </c>
      <c r="J59" s="11">
        <v>7</v>
      </c>
      <c r="K59" s="11">
        <v>5</v>
      </c>
      <c r="L59" s="11">
        <v>10</v>
      </c>
      <c r="M59" s="15">
        <v>1</v>
      </c>
      <c r="R59" s="20">
        <v>1</v>
      </c>
      <c r="U59" s="17">
        <v>1</v>
      </c>
      <c r="W59" s="23">
        <v>1</v>
      </c>
      <c r="Y59" s="26">
        <v>1</v>
      </c>
    </row>
    <row r="60" spans="1:25" x14ac:dyDescent="0.25">
      <c r="A60" s="7">
        <v>13</v>
      </c>
      <c r="B60" s="6" t="s">
        <v>13</v>
      </c>
      <c r="C60" s="32">
        <v>7.3</v>
      </c>
      <c r="D60" s="6" t="s">
        <v>20</v>
      </c>
      <c r="E60" s="29">
        <v>4.2</v>
      </c>
      <c r="F60" s="13">
        <v>1.3</v>
      </c>
      <c r="G60" s="31">
        <v>2.16</v>
      </c>
      <c r="H60" s="13">
        <v>1</v>
      </c>
      <c r="I60" s="6" t="s">
        <v>18</v>
      </c>
      <c r="J60" s="11">
        <v>4</v>
      </c>
      <c r="K60" s="11">
        <v>5</v>
      </c>
      <c r="L60" s="11">
        <v>2</v>
      </c>
      <c r="M60" s="15">
        <v>1</v>
      </c>
      <c r="R60" s="20">
        <v>1</v>
      </c>
      <c r="U60" s="17">
        <v>1</v>
      </c>
      <c r="W60" s="23">
        <v>1</v>
      </c>
      <c r="Y60" s="26">
        <v>1</v>
      </c>
    </row>
    <row r="61" spans="1:25" x14ac:dyDescent="0.25">
      <c r="A61" s="7">
        <v>17</v>
      </c>
      <c r="B61" s="6" t="s">
        <v>16</v>
      </c>
      <c r="C61" s="32">
        <v>7.1</v>
      </c>
      <c r="D61" s="6" t="s">
        <v>14</v>
      </c>
      <c r="E61" s="29">
        <v>5.6</v>
      </c>
      <c r="F61" s="13">
        <v>0.6</v>
      </c>
      <c r="G61" s="31">
        <v>3.07</v>
      </c>
      <c r="H61" s="13">
        <v>1</v>
      </c>
      <c r="I61" s="6" t="s">
        <v>19</v>
      </c>
      <c r="J61" s="11">
        <v>1</v>
      </c>
      <c r="K61" s="11">
        <v>3</v>
      </c>
      <c r="L61" s="11">
        <v>7</v>
      </c>
      <c r="M61" s="15">
        <v>1</v>
      </c>
      <c r="R61" s="20">
        <v>1</v>
      </c>
      <c r="U61" s="17">
        <v>1</v>
      </c>
      <c r="W61" s="23">
        <v>1</v>
      </c>
      <c r="Y61" s="26">
        <v>1</v>
      </c>
    </row>
    <row r="62" spans="1:25" x14ac:dyDescent="0.25">
      <c r="A62" s="7">
        <v>18</v>
      </c>
      <c r="B62" s="6" t="s">
        <v>13</v>
      </c>
      <c r="C62" s="32">
        <v>1.6</v>
      </c>
      <c r="D62" s="6" t="s">
        <v>17</v>
      </c>
      <c r="E62" s="29">
        <v>5.0999999999999996</v>
      </c>
      <c r="F62" s="13">
        <v>2.7</v>
      </c>
      <c r="G62" s="31">
        <v>3.57</v>
      </c>
      <c r="H62" s="13">
        <v>0.8</v>
      </c>
      <c r="I62" s="6" t="s">
        <v>18</v>
      </c>
      <c r="J62" s="11">
        <v>3</v>
      </c>
      <c r="K62" s="11">
        <v>9</v>
      </c>
      <c r="L62" s="11">
        <v>7</v>
      </c>
      <c r="M62" s="15">
        <v>0</v>
      </c>
      <c r="R62" s="20">
        <v>0</v>
      </c>
      <c r="U62" s="17">
        <v>0</v>
      </c>
      <c r="W62" s="23">
        <v>0</v>
      </c>
      <c r="Y62" s="26">
        <v>0</v>
      </c>
    </row>
    <row r="63" spans="1:25" x14ac:dyDescent="0.25">
      <c r="A63" s="7">
        <v>15</v>
      </c>
      <c r="B63" s="6" t="s">
        <v>16</v>
      </c>
      <c r="C63" s="32">
        <v>1.5</v>
      </c>
      <c r="D63" s="6" t="s">
        <v>14</v>
      </c>
      <c r="E63" s="29">
        <v>4.7</v>
      </c>
      <c r="F63" s="13">
        <v>1</v>
      </c>
      <c r="G63" s="31">
        <v>3.82</v>
      </c>
      <c r="H63" s="13">
        <v>0.6</v>
      </c>
      <c r="I63" s="6" t="s">
        <v>19</v>
      </c>
      <c r="J63" s="11">
        <v>6</v>
      </c>
      <c r="K63" s="11">
        <v>1</v>
      </c>
      <c r="L63" s="11">
        <v>4</v>
      </c>
      <c r="M63" s="15">
        <v>0</v>
      </c>
      <c r="R63" s="20">
        <v>0</v>
      </c>
      <c r="U63" s="17">
        <v>0</v>
      </c>
      <c r="W63" s="23">
        <v>0</v>
      </c>
      <c r="Y63" s="26">
        <v>0</v>
      </c>
    </row>
    <row r="64" spans="1:25" x14ac:dyDescent="0.25">
      <c r="A64" s="7">
        <v>13</v>
      </c>
      <c r="B64" s="6" t="s">
        <v>13</v>
      </c>
      <c r="C64" s="32">
        <v>4.3</v>
      </c>
      <c r="D64" s="6" t="s">
        <v>20</v>
      </c>
      <c r="E64" s="29">
        <v>5.8</v>
      </c>
      <c r="F64" s="13">
        <v>0.7</v>
      </c>
      <c r="G64" s="31">
        <v>3.15</v>
      </c>
      <c r="H64" s="13">
        <v>0.1</v>
      </c>
      <c r="I64" s="6" t="s">
        <v>19</v>
      </c>
      <c r="J64" s="11">
        <v>7</v>
      </c>
      <c r="K64" s="11">
        <v>2</v>
      </c>
      <c r="L64" s="11">
        <v>1</v>
      </c>
      <c r="M64" s="15">
        <v>0</v>
      </c>
      <c r="R64" s="20">
        <v>0</v>
      </c>
      <c r="U64" s="17">
        <v>0</v>
      </c>
      <c r="W64" s="23">
        <v>0</v>
      </c>
      <c r="Y64" s="26">
        <v>0</v>
      </c>
    </row>
    <row r="65" spans="1:25" x14ac:dyDescent="0.25">
      <c r="A65" s="7">
        <v>17</v>
      </c>
      <c r="B65" s="6" t="s">
        <v>13</v>
      </c>
      <c r="C65" s="32">
        <v>2.5</v>
      </c>
      <c r="D65" s="6" t="s">
        <v>20</v>
      </c>
      <c r="E65" s="29">
        <v>6.7</v>
      </c>
      <c r="F65" s="13">
        <v>2</v>
      </c>
      <c r="G65" s="31">
        <v>2.56</v>
      </c>
      <c r="H65" s="13">
        <v>1.7</v>
      </c>
      <c r="I65" s="6" t="s">
        <v>18</v>
      </c>
      <c r="J65" s="11">
        <v>5</v>
      </c>
      <c r="K65" s="11">
        <v>7</v>
      </c>
      <c r="L65" s="11">
        <v>5</v>
      </c>
      <c r="M65" s="15">
        <v>0</v>
      </c>
      <c r="R65" s="20">
        <v>0</v>
      </c>
      <c r="U65" s="17">
        <v>0</v>
      </c>
      <c r="W65" s="23">
        <v>0</v>
      </c>
      <c r="Y65" s="26">
        <v>0</v>
      </c>
    </row>
    <row r="66" spans="1:25" x14ac:dyDescent="0.25">
      <c r="A66" s="7">
        <v>19</v>
      </c>
      <c r="B66" s="6" t="s">
        <v>16</v>
      </c>
      <c r="C66" s="32">
        <v>7.9</v>
      </c>
      <c r="D66" s="6" t="s">
        <v>17</v>
      </c>
      <c r="E66" s="29">
        <v>5.0999999999999996</v>
      </c>
      <c r="F66" s="13">
        <v>1.7</v>
      </c>
      <c r="G66" s="31">
        <v>2.8</v>
      </c>
      <c r="H66" s="13">
        <v>0.8</v>
      </c>
      <c r="I66" s="6" t="s">
        <v>15</v>
      </c>
      <c r="J66" s="11">
        <v>6</v>
      </c>
      <c r="K66" s="11">
        <v>1</v>
      </c>
      <c r="L66" s="11">
        <v>8</v>
      </c>
      <c r="M66" s="15">
        <v>0</v>
      </c>
      <c r="R66" s="20">
        <v>0</v>
      </c>
      <c r="U66" s="17">
        <v>0</v>
      </c>
      <c r="W66" s="23">
        <v>0</v>
      </c>
      <c r="Y66" s="26">
        <v>0</v>
      </c>
    </row>
    <row r="67" spans="1:25" x14ac:dyDescent="0.25">
      <c r="A67" s="7">
        <v>17</v>
      </c>
      <c r="B67" s="6" t="s">
        <v>13</v>
      </c>
      <c r="C67" s="32">
        <v>2.7</v>
      </c>
      <c r="D67" s="6" t="s">
        <v>14</v>
      </c>
      <c r="E67" s="29">
        <v>8</v>
      </c>
      <c r="F67" s="13">
        <v>2.6</v>
      </c>
      <c r="G67" s="31">
        <v>3.53</v>
      </c>
      <c r="H67" s="13">
        <v>1.9</v>
      </c>
      <c r="I67" s="6" t="s">
        <v>18</v>
      </c>
      <c r="J67" s="11">
        <v>1</v>
      </c>
      <c r="K67" s="11">
        <v>8</v>
      </c>
      <c r="L67" s="11">
        <v>7</v>
      </c>
      <c r="M67" s="15">
        <v>0</v>
      </c>
      <c r="R67" s="20">
        <v>0</v>
      </c>
      <c r="U67" s="17">
        <v>0</v>
      </c>
      <c r="W67" s="23">
        <v>0</v>
      </c>
      <c r="Y67" s="26">
        <v>0</v>
      </c>
    </row>
    <row r="68" spans="1:25" x14ac:dyDescent="0.25">
      <c r="A68" s="7">
        <v>13</v>
      </c>
      <c r="B68" s="6" t="s">
        <v>13</v>
      </c>
      <c r="C68" s="32">
        <v>3.1</v>
      </c>
      <c r="D68" s="6" t="s">
        <v>17</v>
      </c>
      <c r="E68" s="29">
        <v>8.1999999999999993</v>
      </c>
      <c r="F68" s="13">
        <v>1.5</v>
      </c>
      <c r="G68" s="31">
        <v>2.4500000000000002</v>
      </c>
      <c r="H68" s="13">
        <v>0.3</v>
      </c>
      <c r="I68" s="6" t="s">
        <v>15</v>
      </c>
      <c r="J68" s="11">
        <v>5</v>
      </c>
      <c r="K68" s="11">
        <v>8</v>
      </c>
      <c r="L68" s="11">
        <v>6</v>
      </c>
      <c r="M68" s="15">
        <v>1</v>
      </c>
      <c r="R68" s="20">
        <v>1</v>
      </c>
      <c r="U68" s="17">
        <v>1</v>
      </c>
      <c r="W68" s="23">
        <v>1</v>
      </c>
      <c r="Y68" s="26">
        <v>1</v>
      </c>
    </row>
    <row r="69" spans="1:25" x14ac:dyDescent="0.25">
      <c r="A69" s="7">
        <v>17</v>
      </c>
      <c r="B69" s="6" t="s">
        <v>13</v>
      </c>
      <c r="C69" s="32">
        <v>5.8</v>
      </c>
      <c r="D69" s="6" t="s">
        <v>20</v>
      </c>
      <c r="E69" s="29">
        <v>7.6</v>
      </c>
      <c r="F69" s="13">
        <v>0.7</v>
      </c>
      <c r="G69" s="31">
        <v>2.83</v>
      </c>
      <c r="H69" s="13">
        <v>1</v>
      </c>
      <c r="I69" s="6" t="s">
        <v>19</v>
      </c>
      <c r="J69" s="11">
        <v>7</v>
      </c>
      <c r="K69" s="11">
        <v>6</v>
      </c>
      <c r="L69" s="11">
        <v>8</v>
      </c>
      <c r="M69" s="15">
        <v>1</v>
      </c>
      <c r="R69" s="20">
        <v>1</v>
      </c>
      <c r="U69" s="17">
        <v>1</v>
      </c>
      <c r="W69" s="23">
        <v>1</v>
      </c>
      <c r="Y69" s="26">
        <v>1</v>
      </c>
    </row>
    <row r="70" spans="1:25" x14ac:dyDescent="0.25">
      <c r="A70" s="7">
        <v>14</v>
      </c>
      <c r="B70" s="6" t="s">
        <v>16</v>
      </c>
      <c r="C70" s="32">
        <v>3.9</v>
      </c>
      <c r="D70" s="6" t="s">
        <v>20</v>
      </c>
      <c r="E70" s="29">
        <v>7</v>
      </c>
      <c r="F70" s="13">
        <v>2.8</v>
      </c>
      <c r="G70" s="31">
        <v>2.8</v>
      </c>
      <c r="H70" s="13">
        <v>0.1</v>
      </c>
      <c r="I70" s="6" t="s">
        <v>15</v>
      </c>
      <c r="J70" s="11">
        <v>8</v>
      </c>
      <c r="K70" s="11">
        <v>2</v>
      </c>
      <c r="L70" s="11">
        <v>8</v>
      </c>
      <c r="M70" s="15">
        <v>1</v>
      </c>
      <c r="R70" s="20">
        <v>1</v>
      </c>
      <c r="U70" s="17">
        <v>1</v>
      </c>
      <c r="W70" s="23">
        <v>1</v>
      </c>
      <c r="Y70" s="26">
        <v>1</v>
      </c>
    </row>
    <row r="71" spans="1:25" x14ac:dyDescent="0.25">
      <c r="A71" s="7">
        <v>15</v>
      </c>
      <c r="B71" s="6" t="s">
        <v>13</v>
      </c>
      <c r="C71" s="32">
        <v>7.5</v>
      </c>
      <c r="D71" s="6" t="s">
        <v>20</v>
      </c>
      <c r="E71" s="29">
        <v>7</v>
      </c>
      <c r="F71" s="13">
        <v>0.9</v>
      </c>
      <c r="G71" s="31">
        <v>3.48</v>
      </c>
      <c r="H71" s="13">
        <v>1.1000000000000001</v>
      </c>
      <c r="I71" s="6" t="s">
        <v>18</v>
      </c>
      <c r="J71" s="11">
        <v>2</v>
      </c>
      <c r="K71" s="11">
        <v>2</v>
      </c>
      <c r="L71" s="11">
        <v>6</v>
      </c>
      <c r="M71" s="15">
        <v>1</v>
      </c>
      <c r="R71" s="20">
        <v>1</v>
      </c>
      <c r="U71" s="17">
        <v>1</v>
      </c>
      <c r="W71" s="23">
        <v>1</v>
      </c>
      <c r="Y71" s="26">
        <v>1</v>
      </c>
    </row>
    <row r="72" spans="1:25" x14ac:dyDescent="0.25">
      <c r="A72" s="7">
        <v>14</v>
      </c>
      <c r="B72" s="6" t="s">
        <v>13</v>
      </c>
      <c r="C72" s="32">
        <v>5.2</v>
      </c>
      <c r="D72" s="6" t="s">
        <v>20</v>
      </c>
      <c r="E72" s="29">
        <v>6.7</v>
      </c>
      <c r="F72" s="13">
        <v>2</v>
      </c>
      <c r="G72" s="31">
        <v>3.48</v>
      </c>
      <c r="H72" s="13">
        <v>1</v>
      </c>
      <c r="I72" s="6" t="s">
        <v>19</v>
      </c>
      <c r="J72" s="11">
        <v>2</v>
      </c>
      <c r="K72" s="11">
        <v>1</v>
      </c>
      <c r="L72" s="11">
        <v>5</v>
      </c>
      <c r="M72" s="15">
        <v>1</v>
      </c>
      <c r="R72" s="20">
        <v>1</v>
      </c>
      <c r="U72" s="17">
        <v>1</v>
      </c>
      <c r="W72" s="23">
        <v>1</v>
      </c>
      <c r="Y72" s="26">
        <v>1</v>
      </c>
    </row>
    <row r="73" spans="1:25" x14ac:dyDescent="0.25">
      <c r="A73" s="7">
        <v>16</v>
      </c>
      <c r="B73" s="6" t="s">
        <v>16</v>
      </c>
      <c r="C73" s="32">
        <v>3.1</v>
      </c>
      <c r="D73" s="6" t="s">
        <v>17</v>
      </c>
      <c r="E73" s="29">
        <v>5</v>
      </c>
      <c r="F73" s="13">
        <v>1.1000000000000001</v>
      </c>
      <c r="G73" s="31">
        <v>2.73</v>
      </c>
      <c r="H73" s="13">
        <v>1.6</v>
      </c>
      <c r="I73" s="6" t="s">
        <v>15</v>
      </c>
      <c r="J73" s="11">
        <v>2</v>
      </c>
      <c r="K73" s="11">
        <v>8</v>
      </c>
      <c r="L73" s="11">
        <v>1</v>
      </c>
      <c r="M73" s="15">
        <v>1</v>
      </c>
      <c r="R73" s="20">
        <v>1</v>
      </c>
      <c r="U73" s="17">
        <v>1</v>
      </c>
      <c r="W73" s="23">
        <v>1</v>
      </c>
      <c r="Y73" s="26">
        <v>1</v>
      </c>
    </row>
    <row r="74" spans="1:25" x14ac:dyDescent="0.25">
      <c r="A74" s="7">
        <v>16</v>
      </c>
      <c r="B74" s="6" t="s">
        <v>16</v>
      </c>
      <c r="C74" s="32">
        <v>2</v>
      </c>
      <c r="D74" s="6" t="s">
        <v>14</v>
      </c>
      <c r="E74" s="29">
        <v>8.6999999999999993</v>
      </c>
      <c r="F74" s="13">
        <v>1.2</v>
      </c>
      <c r="G74" s="31">
        <v>3</v>
      </c>
      <c r="H74" s="13">
        <v>0</v>
      </c>
      <c r="I74" s="6" t="s">
        <v>15</v>
      </c>
      <c r="J74" s="11">
        <v>8</v>
      </c>
      <c r="K74" s="11">
        <v>8</v>
      </c>
      <c r="L74" s="11">
        <v>4</v>
      </c>
      <c r="M74" s="15">
        <v>1</v>
      </c>
      <c r="R74" s="20">
        <v>1</v>
      </c>
      <c r="U74" s="17">
        <v>1</v>
      </c>
      <c r="W74" s="23">
        <v>1</v>
      </c>
      <c r="Y74" s="26">
        <v>1</v>
      </c>
    </row>
    <row r="75" spans="1:25" x14ac:dyDescent="0.25">
      <c r="A75" s="7">
        <v>14</v>
      </c>
      <c r="B75" s="6" t="s">
        <v>13</v>
      </c>
      <c r="C75" s="32">
        <v>2.7</v>
      </c>
      <c r="D75" s="6" t="s">
        <v>14</v>
      </c>
      <c r="E75" s="29">
        <v>8.4</v>
      </c>
      <c r="F75" s="13">
        <v>1.3</v>
      </c>
      <c r="G75" s="31">
        <v>2.0099999999999998</v>
      </c>
      <c r="H75" s="13">
        <v>0.6</v>
      </c>
      <c r="I75" s="6" t="s">
        <v>15</v>
      </c>
      <c r="J75" s="11">
        <v>6</v>
      </c>
      <c r="K75" s="11">
        <v>3</v>
      </c>
      <c r="L75" s="11">
        <v>8</v>
      </c>
      <c r="M75" s="15">
        <v>1</v>
      </c>
      <c r="R75" s="20">
        <v>1</v>
      </c>
      <c r="U75" s="17">
        <v>1</v>
      </c>
      <c r="W75" s="23">
        <v>1</v>
      </c>
      <c r="Y75" s="26">
        <v>1</v>
      </c>
    </row>
    <row r="76" spans="1:25" x14ac:dyDescent="0.25">
      <c r="A76" s="7">
        <v>14</v>
      </c>
      <c r="B76" s="6" t="s">
        <v>13</v>
      </c>
      <c r="C76" s="32">
        <v>1.5</v>
      </c>
      <c r="D76" s="6" t="s">
        <v>20</v>
      </c>
      <c r="E76" s="29">
        <v>4.3</v>
      </c>
      <c r="F76" s="13">
        <v>2.1</v>
      </c>
      <c r="G76" s="31">
        <v>3.9</v>
      </c>
      <c r="H76" s="13">
        <v>1.5</v>
      </c>
      <c r="I76" s="6" t="s">
        <v>15</v>
      </c>
      <c r="J76" s="11">
        <v>10</v>
      </c>
      <c r="K76" s="11">
        <v>2</v>
      </c>
      <c r="L76" s="11">
        <v>4</v>
      </c>
      <c r="M76" s="15">
        <v>1</v>
      </c>
      <c r="R76" s="20">
        <v>1</v>
      </c>
      <c r="U76" s="17">
        <v>1</v>
      </c>
      <c r="W76" s="23">
        <v>1</v>
      </c>
      <c r="Y76" s="26">
        <v>1</v>
      </c>
    </row>
    <row r="77" spans="1:25" x14ac:dyDescent="0.25">
      <c r="A77" s="7">
        <v>17</v>
      </c>
      <c r="B77" s="6" t="s">
        <v>16</v>
      </c>
      <c r="C77" s="32">
        <v>6.9</v>
      </c>
      <c r="D77" s="6" t="s">
        <v>14</v>
      </c>
      <c r="E77" s="29">
        <v>8.1999999999999993</v>
      </c>
      <c r="F77" s="13">
        <v>0.8</v>
      </c>
      <c r="G77" s="31">
        <v>2.36</v>
      </c>
      <c r="H77" s="13">
        <v>0</v>
      </c>
      <c r="I77" s="6" t="s">
        <v>19</v>
      </c>
      <c r="J77" s="11">
        <v>10</v>
      </c>
      <c r="K77" s="11">
        <v>10</v>
      </c>
      <c r="L77" s="11">
        <v>7</v>
      </c>
      <c r="M77" s="15">
        <v>1</v>
      </c>
      <c r="R77" s="20">
        <v>1</v>
      </c>
      <c r="U77" s="17">
        <v>1</v>
      </c>
      <c r="W77" s="23">
        <v>1</v>
      </c>
      <c r="Y77" s="26">
        <v>1</v>
      </c>
    </row>
    <row r="78" spans="1:25" x14ac:dyDescent="0.25">
      <c r="A78" s="7">
        <v>13</v>
      </c>
      <c r="B78" s="6" t="s">
        <v>13</v>
      </c>
      <c r="C78" s="32">
        <v>1.1000000000000001</v>
      </c>
      <c r="D78" s="6" t="s">
        <v>17</v>
      </c>
      <c r="E78" s="29">
        <v>7.1</v>
      </c>
      <c r="F78" s="13">
        <v>1.8</v>
      </c>
      <c r="G78" s="31">
        <v>2.5499999999999998</v>
      </c>
      <c r="H78" s="13">
        <v>0.8</v>
      </c>
      <c r="I78" s="6" t="s">
        <v>18</v>
      </c>
      <c r="J78" s="11">
        <v>5</v>
      </c>
      <c r="K78" s="11">
        <v>5</v>
      </c>
      <c r="L78" s="11">
        <v>10</v>
      </c>
      <c r="M78" s="15">
        <v>1</v>
      </c>
      <c r="R78" s="20">
        <v>1</v>
      </c>
      <c r="U78" s="17">
        <v>1</v>
      </c>
      <c r="W78" s="23">
        <v>1</v>
      </c>
      <c r="Y78" s="26">
        <v>1</v>
      </c>
    </row>
    <row r="79" spans="1:25" x14ac:dyDescent="0.25">
      <c r="A79" s="7">
        <v>13</v>
      </c>
      <c r="B79" s="6" t="s">
        <v>13</v>
      </c>
      <c r="C79" s="32">
        <v>3.4</v>
      </c>
      <c r="D79" s="6" t="s">
        <v>17</v>
      </c>
      <c r="E79" s="29">
        <v>4.4000000000000004</v>
      </c>
      <c r="F79" s="13">
        <v>0.6</v>
      </c>
      <c r="G79" s="31">
        <v>3.41</v>
      </c>
      <c r="H79" s="13">
        <v>0.2</v>
      </c>
      <c r="I79" s="6" t="s">
        <v>15</v>
      </c>
      <c r="J79" s="11">
        <v>8</v>
      </c>
      <c r="K79" s="11">
        <v>6</v>
      </c>
      <c r="L79" s="11">
        <v>3</v>
      </c>
      <c r="M79" s="15">
        <v>1</v>
      </c>
      <c r="R79" s="20">
        <v>1</v>
      </c>
      <c r="U79" s="17">
        <v>1</v>
      </c>
      <c r="W79" s="23">
        <v>1</v>
      </c>
      <c r="Y79" s="26">
        <v>1</v>
      </c>
    </row>
    <row r="80" spans="1:25" x14ac:dyDescent="0.25">
      <c r="A80" s="7">
        <v>15</v>
      </c>
      <c r="B80" s="6" t="s">
        <v>13</v>
      </c>
      <c r="C80" s="32">
        <v>6.7</v>
      </c>
      <c r="D80" s="6" t="s">
        <v>20</v>
      </c>
      <c r="E80" s="29">
        <v>4.5</v>
      </c>
      <c r="F80" s="13">
        <v>2.1</v>
      </c>
      <c r="G80" s="31">
        <v>3.71</v>
      </c>
      <c r="H80" s="13">
        <v>1.3</v>
      </c>
      <c r="I80" s="6" t="s">
        <v>18</v>
      </c>
      <c r="J80" s="11">
        <v>3</v>
      </c>
      <c r="K80" s="11">
        <v>3</v>
      </c>
      <c r="L80" s="11">
        <v>3</v>
      </c>
      <c r="M80" s="15">
        <v>1</v>
      </c>
      <c r="R80" s="20">
        <v>1</v>
      </c>
      <c r="U80" s="17">
        <v>1</v>
      </c>
      <c r="W80" s="23">
        <v>1</v>
      </c>
      <c r="Y80" s="26">
        <v>1</v>
      </c>
    </row>
    <row r="81" spans="1:25" x14ac:dyDescent="0.25">
      <c r="A81" s="7">
        <v>18</v>
      </c>
      <c r="B81" s="6" t="s">
        <v>13</v>
      </c>
      <c r="C81" s="32">
        <v>1.1000000000000001</v>
      </c>
      <c r="D81" s="6" t="s">
        <v>20</v>
      </c>
      <c r="E81" s="29">
        <v>7.2</v>
      </c>
      <c r="F81" s="13">
        <v>1</v>
      </c>
      <c r="G81" s="31">
        <v>3.13</v>
      </c>
      <c r="H81" s="13">
        <v>0.6</v>
      </c>
      <c r="I81" s="6" t="s">
        <v>19</v>
      </c>
      <c r="J81" s="11">
        <v>2</v>
      </c>
      <c r="K81" s="11">
        <v>1</v>
      </c>
      <c r="L81" s="11">
        <v>4</v>
      </c>
      <c r="M81" s="15">
        <v>1</v>
      </c>
      <c r="R81" s="20">
        <v>1</v>
      </c>
      <c r="U81" s="17">
        <v>1</v>
      </c>
      <c r="W81" s="23">
        <v>1</v>
      </c>
      <c r="Y81" s="26">
        <v>1</v>
      </c>
    </row>
    <row r="82" spans="1:25" x14ac:dyDescent="0.25">
      <c r="A82" s="7">
        <v>18</v>
      </c>
      <c r="B82" s="6" t="s">
        <v>16</v>
      </c>
      <c r="C82" s="32">
        <v>7.4</v>
      </c>
      <c r="D82" s="6" t="s">
        <v>14</v>
      </c>
      <c r="E82" s="29">
        <v>7.5</v>
      </c>
      <c r="F82" s="13">
        <v>2.2999999999999998</v>
      </c>
      <c r="G82" s="31">
        <v>2.39</v>
      </c>
      <c r="H82" s="13">
        <v>0.9</v>
      </c>
      <c r="I82" s="6" t="s">
        <v>18</v>
      </c>
      <c r="J82" s="11">
        <v>4</v>
      </c>
      <c r="K82" s="11">
        <v>1</v>
      </c>
      <c r="L82" s="11">
        <v>4</v>
      </c>
      <c r="M82" s="15">
        <v>1</v>
      </c>
      <c r="R82" s="20">
        <v>1</v>
      </c>
      <c r="U82" s="17">
        <v>1</v>
      </c>
      <c r="W82" s="23">
        <v>1</v>
      </c>
      <c r="Y82" s="26">
        <v>1</v>
      </c>
    </row>
    <row r="83" spans="1:25" x14ac:dyDescent="0.25">
      <c r="A83" s="7">
        <v>19</v>
      </c>
      <c r="B83" s="6" t="s">
        <v>16</v>
      </c>
      <c r="C83" s="32">
        <v>4.8</v>
      </c>
      <c r="D83" s="6" t="s">
        <v>17</v>
      </c>
      <c r="E83" s="29">
        <v>6</v>
      </c>
      <c r="F83" s="13">
        <v>1.5</v>
      </c>
      <c r="G83" s="31">
        <v>2.61</v>
      </c>
      <c r="H83" s="13">
        <v>1.2</v>
      </c>
      <c r="I83" s="6" t="s">
        <v>18</v>
      </c>
      <c r="J83" s="11">
        <v>2</v>
      </c>
      <c r="K83" s="11">
        <v>2</v>
      </c>
      <c r="L83" s="11">
        <v>6</v>
      </c>
      <c r="M83" s="15">
        <v>1</v>
      </c>
      <c r="R83" s="20">
        <v>1</v>
      </c>
      <c r="U83" s="17">
        <v>1</v>
      </c>
      <c r="W83" s="23">
        <v>1</v>
      </c>
      <c r="Y83" s="26">
        <v>1</v>
      </c>
    </row>
    <row r="84" spans="1:25" x14ac:dyDescent="0.25">
      <c r="A84" s="7">
        <v>14</v>
      </c>
      <c r="B84" s="6" t="s">
        <v>13</v>
      </c>
      <c r="C84" s="32">
        <v>1.2</v>
      </c>
      <c r="D84" s="6" t="s">
        <v>20</v>
      </c>
      <c r="E84" s="29">
        <v>5.2</v>
      </c>
      <c r="F84" s="13">
        <v>2.2000000000000002</v>
      </c>
      <c r="G84" s="31">
        <v>2.19</v>
      </c>
      <c r="H84" s="13">
        <v>1.9</v>
      </c>
      <c r="I84" s="6" t="s">
        <v>19</v>
      </c>
      <c r="J84" s="11">
        <v>9</v>
      </c>
      <c r="K84" s="11">
        <v>9</v>
      </c>
      <c r="L84" s="11">
        <v>4</v>
      </c>
      <c r="M84" s="15">
        <v>1</v>
      </c>
      <c r="R84" s="20">
        <v>1</v>
      </c>
      <c r="U84" s="17">
        <v>1</v>
      </c>
      <c r="W84" s="23">
        <v>1</v>
      </c>
      <c r="Y84" s="26">
        <v>1</v>
      </c>
    </row>
    <row r="85" spans="1:25" x14ac:dyDescent="0.25">
      <c r="A85" s="7">
        <v>13</v>
      </c>
      <c r="B85" s="6" t="s">
        <v>13</v>
      </c>
      <c r="C85" s="32">
        <v>7.4</v>
      </c>
      <c r="D85" s="6" t="s">
        <v>14</v>
      </c>
      <c r="E85" s="29">
        <v>5.6</v>
      </c>
      <c r="F85" s="13">
        <v>1.4</v>
      </c>
      <c r="G85" s="31">
        <v>2.95</v>
      </c>
      <c r="H85" s="13">
        <v>1.7</v>
      </c>
      <c r="I85" s="6" t="s">
        <v>18</v>
      </c>
      <c r="J85" s="11">
        <v>8</v>
      </c>
      <c r="K85" s="11">
        <v>5</v>
      </c>
      <c r="L85" s="11">
        <v>5</v>
      </c>
      <c r="M85" s="15">
        <v>1</v>
      </c>
      <c r="R85" s="20">
        <v>1</v>
      </c>
      <c r="U85" s="17">
        <v>1</v>
      </c>
      <c r="W85" s="23">
        <v>1</v>
      </c>
      <c r="Y85" s="26">
        <v>1</v>
      </c>
    </row>
    <row r="86" spans="1:25" x14ac:dyDescent="0.25">
      <c r="A86" s="7">
        <v>16</v>
      </c>
      <c r="B86" s="6" t="s">
        <v>16</v>
      </c>
      <c r="C86" s="32">
        <v>2.6</v>
      </c>
      <c r="D86" s="6" t="s">
        <v>20</v>
      </c>
      <c r="E86" s="29">
        <v>8.6</v>
      </c>
      <c r="F86" s="13">
        <v>1.3</v>
      </c>
      <c r="G86" s="31">
        <v>3.64</v>
      </c>
      <c r="H86" s="13">
        <v>1.6</v>
      </c>
      <c r="I86" s="6" t="s">
        <v>18</v>
      </c>
      <c r="J86" s="11">
        <v>5</v>
      </c>
      <c r="K86" s="11">
        <v>3</v>
      </c>
      <c r="L86" s="11">
        <v>1</v>
      </c>
      <c r="M86" s="15">
        <v>-1</v>
      </c>
      <c r="R86" s="20">
        <v>-1</v>
      </c>
      <c r="U86" s="17">
        <v>-1</v>
      </c>
      <c r="W86" s="23">
        <v>-1</v>
      </c>
      <c r="Y86" s="26">
        <v>-1</v>
      </c>
    </row>
    <row r="87" spans="1:25" x14ac:dyDescent="0.25">
      <c r="A87" s="7">
        <v>17</v>
      </c>
      <c r="B87" s="6" t="s">
        <v>16</v>
      </c>
      <c r="C87" s="32">
        <v>5</v>
      </c>
      <c r="D87" s="6" t="s">
        <v>20</v>
      </c>
      <c r="E87" s="29">
        <v>9</v>
      </c>
      <c r="F87" s="13">
        <v>2.5</v>
      </c>
      <c r="G87" s="31">
        <v>3.4</v>
      </c>
      <c r="H87" s="13">
        <v>0.9</v>
      </c>
      <c r="I87" s="6" t="s">
        <v>18</v>
      </c>
      <c r="J87" s="11">
        <v>8</v>
      </c>
      <c r="K87" s="11">
        <v>10</v>
      </c>
      <c r="L87" s="11">
        <v>5</v>
      </c>
      <c r="M87" s="15">
        <v>-1</v>
      </c>
      <c r="R87" s="20">
        <v>-1</v>
      </c>
      <c r="U87" s="17">
        <v>-1</v>
      </c>
      <c r="W87" s="23">
        <v>-1</v>
      </c>
      <c r="Y87" s="26">
        <v>-1</v>
      </c>
    </row>
    <row r="88" spans="1:25" x14ac:dyDescent="0.25">
      <c r="A88" s="7">
        <v>18</v>
      </c>
      <c r="B88" s="6" t="s">
        <v>13</v>
      </c>
      <c r="C88" s="32">
        <v>7.5</v>
      </c>
      <c r="D88" s="6" t="s">
        <v>14</v>
      </c>
      <c r="E88" s="29">
        <v>7.4</v>
      </c>
      <c r="F88" s="13">
        <v>1.8</v>
      </c>
      <c r="G88" s="31">
        <v>3.47</v>
      </c>
      <c r="H88" s="13">
        <v>0</v>
      </c>
      <c r="I88" s="6" t="s">
        <v>15</v>
      </c>
      <c r="J88" s="11">
        <v>9</v>
      </c>
      <c r="K88" s="11">
        <v>4</v>
      </c>
      <c r="L88" s="11">
        <v>2</v>
      </c>
      <c r="M88" s="15">
        <v>-1</v>
      </c>
      <c r="R88" s="20">
        <v>-1</v>
      </c>
      <c r="U88" s="17">
        <v>-1</v>
      </c>
      <c r="W88" s="23">
        <v>-1</v>
      </c>
      <c r="Y88" s="26">
        <v>-1</v>
      </c>
    </row>
    <row r="89" spans="1:25" x14ac:dyDescent="0.25">
      <c r="A89" s="7">
        <v>17</v>
      </c>
      <c r="B89" s="6" t="s">
        <v>16</v>
      </c>
      <c r="C89" s="32">
        <v>5.4</v>
      </c>
      <c r="D89" s="6" t="s">
        <v>20</v>
      </c>
      <c r="E89" s="29">
        <v>5.7</v>
      </c>
      <c r="F89" s="13">
        <v>2.5</v>
      </c>
      <c r="G89" s="31">
        <v>3.13</v>
      </c>
      <c r="H89" s="13">
        <v>1.9</v>
      </c>
      <c r="I89" s="6" t="s">
        <v>19</v>
      </c>
      <c r="J89" s="11">
        <v>5</v>
      </c>
      <c r="K89" s="11">
        <v>10</v>
      </c>
      <c r="L89" s="11">
        <v>3</v>
      </c>
      <c r="M89" s="15">
        <v>-1</v>
      </c>
      <c r="R89" s="20">
        <v>-1</v>
      </c>
      <c r="U89" s="17">
        <v>-1</v>
      </c>
      <c r="W89" s="23">
        <v>-1</v>
      </c>
      <c r="Y89" s="26">
        <v>-1</v>
      </c>
    </row>
    <row r="90" spans="1:25" x14ac:dyDescent="0.25">
      <c r="A90" s="7">
        <v>17</v>
      </c>
      <c r="B90" s="6" t="s">
        <v>16</v>
      </c>
      <c r="C90" s="32">
        <v>5.6</v>
      </c>
      <c r="D90" s="6" t="s">
        <v>14</v>
      </c>
      <c r="E90" s="29">
        <v>5.3</v>
      </c>
      <c r="F90" s="13">
        <v>1.7</v>
      </c>
      <c r="G90" s="31">
        <v>2.77</v>
      </c>
      <c r="H90" s="13">
        <v>0.9</v>
      </c>
      <c r="I90" s="6" t="s">
        <v>19</v>
      </c>
      <c r="J90" s="11">
        <v>8</v>
      </c>
      <c r="K90" s="11">
        <v>4</v>
      </c>
      <c r="L90" s="11">
        <v>8</v>
      </c>
      <c r="M90" s="15">
        <v>-1</v>
      </c>
      <c r="R90" s="20">
        <v>-1</v>
      </c>
      <c r="U90" s="17">
        <v>-1</v>
      </c>
      <c r="W90" s="23">
        <v>-1</v>
      </c>
      <c r="Y90" s="26">
        <v>-1</v>
      </c>
    </row>
    <row r="91" spans="1:25" x14ac:dyDescent="0.25">
      <c r="A91" s="7">
        <v>18</v>
      </c>
      <c r="B91" s="6" t="s">
        <v>13</v>
      </c>
      <c r="C91" s="32">
        <v>6.2</v>
      </c>
      <c r="D91" s="6" t="s">
        <v>14</v>
      </c>
      <c r="E91" s="29">
        <v>4.0999999999999996</v>
      </c>
      <c r="F91" s="13">
        <v>2.8</v>
      </c>
      <c r="G91" s="31">
        <v>3.41</v>
      </c>
      <c r="H91" s="13">
        <v>1.1000000000000001</v>
      </c>
      <c r="I91" s="6" t="s">
        <v>19</v>
      </c>
      <c r="J91" s="11">
        <v>7</v>
      </c>
      <c r="K91" s="11">
        <v>8</v>
      </c>
      <c r="L91" s="11">
        <v>1</v>
      </c>
      <c r="M91" s="15">
        <v>-1</v>
      </c>
      <c r="R91" s="20">
        <v>-1</v>
      </c>
      <c r="U91" s="17">
        <v>-1</v>
      </c>
      <c r="W91" s="23">
        <v>-1</v>
      </c>
      <c r="Y91" s="26">
        <v>-1</v>
      </c>
    </row>
    <row r="92" spans="1:25" x14ac:dyDescent="0.25">
      <c r="A92" s="7">
        <v>17</v>
      </c>
      <c r="B92" s="6" t="s">
        <v>16</v>
      </c>
      <c r="C92" s="32">
        <v>4.7</v>
      </c>
      <c r="D92" s="6" t="s">
        <v>14</v>
      </c>
      <c r="E92" s="29">
        <v>4.7</v>
      </c>
      <c r="F92" s="13">
        <v>2.4</v>
      </c>
      <c r="G92" s="31">
        <v>3.94</v>
      </c>
      <c r="H92" s="13">
        <v>0</v>
      </c>
      <c r="I92" s="6" t="s">
        <v>19</v>
      </c>
      <c r="J92" s="11">
        <v>10</v>
      </c>
      <c r="K92" s="11">
        <v>5</v>
      </c>
      <c r="L92" s="11">
        <v>8</v>
      </c>
      <c r="M92" s="15">
        <v>-1</v>
      </c>
      <c r="R92" s="20">
        <v>-1</v>
      </c>
      <c r="U92" s="17">
        <v>-1</v>
      </c>
      <c r="W92" s="23">
        <v>-1</v>
      </c>
      <c r="Y92" s="26">
        <v>-1</v>
      </c>
    </row>
    <row r="93" spans="1:25" x14ac:dyDescent="0.25">
      <c r="A93" s="7">
        <v>18</v>
      </c>
      <c r="B93" s="6" t="s">
        <v>16</v>
      </c>
      <c r="C93" s="32">
        <v>4</v>
      </c>
      <c r="D93" s="6" t="s">
        <v>14</v>
      </c>
      <c r="E93" s="29">
        <v>4.5999999999999996</v>
      </c>
      <c r="F93" s="13">
        <v>2.2000000000000002</v>
      </c>
      <c r="G93" s="31">
        <v>3.7</v>
      </c>
      <c r="H93" s="13">
        <v>0.6</v>
      </c>
      <c r="I93" s="6" t="s">
        <v>19</v>
      </c>
      <c r="J93" s="11">
        <v>4</v>
      </c>
      <c r="K93" s="11">
        <v>1</v>
      </c>
      <c r="L93" s="11">
        <v>4</v>
      </c>
      <c r="M93" s="15">
        <v>1</v>
      </c>
      <c r="R93" s="20">
        <v>1</v>
      </c>
      <c r="U93" s="17">
        <v>1</v>
      </c>
      <c r="W93" s="23">
        <v>1</v>
      </c>
      <c r="Y93" s="26">
        <v>1</v>
      </c>
    </row>
    <row r="94" spans="1:25" x14ac:dyDescent="0.25">
      <c r="A94" s="7">
        <v>18</v>
      </c>
      <c r="B94" s="6" t="s">
        <v>13</v>
      </c>
      <c r="C94" s="32">
        <v>6.2</v>
      </c>
      <c r="D94" s="6" t="s">
        <v>17</v>
      </c>
      <c r="E94" s="29">
        <v>8.6</v>
      </c>
      <c r="F94" s="13">
        <v>1.5</v>
      </c>
      <c r="G94" s="31">
        <v>3.22</v>
      </c>
      <c r="H94" s="13">
        <v>1.6</v>
      </c>
      <c r="I94" s="6" t="s">
        <v>15</v>
      </c>
      <c r="J94" s="11">
        <v>4</v>
      </c>
      <c r="K94" s="11">
        <v>5</v>
      </c>
      <c r="L94" s="11">
        <v>7</v>
      </c>
      <c r="M94" s="15">
        <v>1</v>
      </c>
      <c r="R94" s="20">
        <v>1</v>
      </c>
      <c r="U94" s="17">
        <v>1</v>
      </c>
      <c r="W94" s="23">
        <v>1</v>
      </c>
      <c r="Y94" s="26">
        <v>1</v>
      </c>
    </row>
    <row r="95" spans="1:25" x14ac:dyDescent="0.25">
      <c r="A95" s="7">
        <v>17</v>
      </c>
      <c r="B95" s="6" t="s">
        <v>16</v>
      </c>
      <c r="C95" s="32">
        <v>5.6</v>
      </c>
      <c r="D95" s="6" t="s">
        <v>17</v>
      </c>
      <c r="E95" s="29">
        <v>6.8</v>
      </c>
      <c r="F95" s="13">
        <v>2</v>
      </c>
      <c r="G95" s="31">
        <v>2.2200000000000002</v>
      </c>
      <c r="H95" s="13">
        <v>1</v>
      </c>
      <c r="I95" s="6" t="s">
        <v>19</v>
      </c>
      <c r="J95" s="11">
        <v>6</v>
      </c>
      <c r="K95" s="11">
        <v>9</v>
      </c>
      <c r="L95" s="11">
        <v>8</v>
      </c>
      <c r="M95" s="15">
        <v>1</v>
      </c>
      <c r="R95" s="20">
        <v>1</v>
      </c>
      <c r="U95" s="17">
        <v>1</v>
      </c>
      <c r="W95" s="23">
        <v>1</v>
      </c>
      <c r="Y95" s="26">
        <v>1</v>
      </c>
    </row>
    <row r="96" spans="1:25" x14ac:dyDescent="0.25">
      <c r="A96" s="7">
        <v>13</v>
      </c>
      <c r="B96" s="6" t="s">
        <v>16</v>
      </c>
      <c r="C96" s="32">
        <v>4</v>
      </c>
      <c r="D96" s="6" t="s">
        <v>14</v>
      </c>
      <c r="E96" s="29">
        <v>4.4000000000000004</v>
      </c>
      <c r="F96" s="13">
        <v>2.5</v>
      </c>
      <c r="G96" s="31">
        <v>3.6</v>
      </c>
      <c r="H96" s="13">
        <v>1.4</v>
      </c>
      <c r="I96" s="6" t="s">
        <v>19</v>
      </c>
      <c r="J96" s="11">
        <v>7</v>
      </c>
      <c r="K96" s="11">
        <v>2</v>
      </c>
      <c r="L96" s="11">
        <v>10</v>
      </c>
      <c r="M96" s="15">
        <v>1</v>
      </c>
      <c r="R96" s="20">
        <v>1</v>
      </c>
      <c r="U96" s="17">
        <v>1</v>
      </c>
      <c r="W96" s="23">
        <v>1</v>
      </c>
      <c r="Y96" s="26">
        <v>1</v>
      </c>
    </row>
    <row r="97" spans="1:25" x14ac:dyDescent="0.25">
      <c r="A97" s="7">
        <v>15</v>
      </c>
      <c r="B97" s="6" t="s">
        <v>16</v>
      </c>
      <c r="C97" s="32">
        <v>1.8</v>
      </c>
      <c r="D97" s="6" t="s">
        <v>14</v>
      </c>
      <c r="E97" s="29">
        <v>6.4</v>
      </c>
      <c r="F97" s="13">
        <v>2.4</v>
      </c>
      <c r="G97" s="31">
        <v>2.16</v>
      </c>
      <c r="H97" s="13">
        <v>1.9</v>
      </c>
      <c r="I97" s="6" t="s">
        <v>19</v>
      </c>
      <c r="J97" s="11">
        <v>3</v>
      </c>
      <c r="K97" s="11">
        <v>6</v>
      </c>
      <c r="L97" s="11">
        <v>9</v>
      </c>
      <c r="M97" s="15">
        <v>1</v>
      </c>
      <c r="R97" s="20">
        <v>1</v>
      </c>
      <c r="U97" s="17">
        <v>1</v>
      </c>
      <c r="W97" s="23">
        <v>1</v>
      </c>
      <c r="Y97" s="26">
        <v>1</v>
      </c>
    </row>
    <row r="98" spans="1:25" x14ac:dyDescent="0.25">
      <c r="A98" s="7">
        <v>13</v>
      </c>
      <c r="B98" s="6" t="s">
        <v>13</v>
      </c>
      <c r="C98" s="32">
        <v>3.1</v>
      </c>
      <c r="D98" s="6" t="s">
        <v>17</v>
      </c>
      <c r="E98" s="29">
        <v>5.4</v>
      </c>
      <c r="F98" s="13">
        <v>1.9</v>
      </c>
      <c r="G98" s="31">
        <v>3.66</v>
      </c>
      <c r="H98" s="13">
        <v>0.4</v>
      </c>
      <c r="I98" s="6" t="s">
        <v>15</v>
      </c>
      <c r="J98" s="11">
        <v>7</v>
      </c>
      <c r="K98" s="11">
        <v>4</v>
      </c>
      <c r="L98" s="11">
        <v>2</v>
      </c>
      <c r="M98" s="15">
        <v>1</v>
      </c>
      <c r="R98" s="20">
        <v>1</v>
      </c>
      <c r="U98" s="17">
        <v>1</v>
      </c>
      <c r="W98" s="23">
        <v>1</v>
      </c>
      <c r="Y98" s="26">
        <v>1</v>
      </c>
    </row>
    <row r="99" spans="1:25" x14ac:dyDescent="0.25">
      <c r="A99" s="7">
        <v>13</v>
      </c>
      <c r="B99" s="6" t="s">
        <v>16</v>
      </c>
      <c r="C99" s="32">
        <v>3.5</v>
      </c>
      <c r="D99" s="6" t="s">
        <v>17</v>
      </c>
      <c r="E99" s="29">
        <v>5.2</v>
      </c>
      <c r="F99" s="13">
        <v>2.5</v>
      </c>
      <c r="G99" s="31">
        <v>2.57</v>
      </c>
      <c r="H99" s="13">
        <v>1.1000000000000001</v>
      </c>
      <c r="I99" s="6" t="s">
        <v>18</v>
      </c>
      <c r="J99" s="11">
        <v>1</v>
      </c>
      <c r="K99" s="11">
        <v>6</v>
      </c>
      <c r="L99" s="11">
        <v>3</v>
      </c>
      <c r="M99" s="15">
        <v>1</v>
      </c>
      <c r="R99" s="20">
        <v>1</v>
      </c>
      <c r="U99" s="17">
        <v>1</v>
      </c>
      <c r="W99" s="23">
        <v>1</v>
      </c>
      <c r="Y99" s="26">
        <v>1</v>
      </c>
    </row>
    <row r="100" spans="1:25" x14ac:dyDescent="0.25">
      <c r="A100" s="7">
        <v>18</v>
      </c>
      <c r="B100" s="6" t="s">
        <v>13</v>
      </c>
      <c r="C100" s="32">
        <v>7.4</v>
      </c>
      <c r="D100" s="6" t="s">
        <v>17</v>
      </c>
      <c r="E100" s="29">
        <v>6.4</v>
      </c>
      <c r="F100" s="13">
        <v>2.2000000000000002</v>
      </c>
      <c r="G100" s="31">
        <v>3.51</v>
      </c>
      <c r="H100" s="13">
        <v>1</v>
      </c>
      <c r="I100" s="6" t="s">
        <v>18</v>
      </c>
      <c r="J100" s="11">
        <v>4</v>
      </c>
      <c r="K100" s="11">
        <v>5</v>
      </c>
      <c r="L100" s="11">
        <v>4</v>
      </c>
      <c r="M100" s="15">
        <v>1</v>
      </c>
      <c r="R100" s="20">
        <v>1</v>
      </c>
      <c r="U100" s="17">
        <v>1</v>
      </c>
      <c r="W100" s="23">
        <v>1</v>
      </c>
      <c r="Y100" s="26">
        <v>1</v>
      </c>
    </row>
    <row r="101" spans="1:25" x14ac:dyDescent="0.25">
      <c r="A101" s="7">
        <v>16</v>
      </c>
      <c r="B101" s="6" t="s">
        <v>13</v>
      </c>
      <c r="C101" s="32">
        <v>8</v>
      </c>
      <c r="D101" s="6" t="s">
        <v>14</v>
      </c>
      <c r="E101" s="29">
        <v>5.5</v>
      </c>
      <c r="F101" s="13">
        <v>1.4</v>
      </c>
      <c r="G101" s="31">
        <v>2.95</v>
      </c>
      <c r="H101" s="13">
        <v>0.3</v>
      </c>
      <c r="I101" s="6" t="s">
        <v>19</v>
      </c>
      <c r="J101" s="11">
        <v>2</v>
      </c>
      <c r="K101" s="11">
        <v>5</v>
      </c>
      <c r="L101" s="11">
        <v>2</v>
      </c>
      <c r="M101" s="15">
        <v>1</v>
      </c>
      <c r="R101" s="20">
        <v>1</v>
      </c>
      <c r="U101" s="17">
        <v>1</v>
      </c>
      <c r="W101" s="23">
        <v>1</v>
      </c>
      <c r="Y101" s="26">
        <v>1</v>
      </c>
    </row>
    <row r="102" spans="1:25" x14ac:dyDescent="0.25">
      <c r="A102" s="7">
        <v>13</v>
      </c>
      <c r="B102" s="6" t="s">
        <v>13</v>
      </c>
      <c r="C102" s="32">
        <v>5.0999999999999996</v>
      </c>
      <c r="D102" s="6" t="s">
        <v>20</v>
      </c>
      <c r="E102" s="29">
        <v>4.0999999999999996</v>
      </c>
      <c r="F102" s="13">
        <v>1.6</v>
      </c>
      <c r="G102" s="31">
        <v>3.32</v>
      </c>
      <c r="H102" s="13">
        <v>0.8</v>
      </c>
      <c r="I102" s="6" t="s">
        <v>19</v>
      </c>
      <c r="J102" s="11">
        <v>1</v>
      </c>
      <c r="K102" s="11">
        <v>3</v>
      </c>
      <c r="L102" s="11">
        <v>8</v>
      </c>
      <c r="M102" s="15">
        <v>1</v>
      </c>
      <c r="R102" s="20">
        <v>1</v>
      </c>
      <c r="U102" s="17">
        <v>1</v>
      </c>
      <c r="W102" s="23">
        <v>1</v>
      </c>
      <c r="Y102" s="26">
        <v>1</v>
      </c>
    </row>
    <row r="103" spans="1:25" x14ac:dyDescent="0.25">
      <c r="A103" s="7">
        <v>18</v>
      </c>
      <c r="B103" s="6" t="s">
        <v>16</v>
      </c>
      <c r="C103" s="32">
        <v>2.4</v>
      </c>
      <c r="D103" s="6" t="s">
        <v>14</v>
      </c>
      <c r="E103" s="29">
        <v>6.3</v>
      </c>
      <c r="F103" s="13">
        <v>1.3</v>
      </c>
      <c r="G103" s="31">
        <v>3.05</v>
      </c>
      <c r="H103" s="13">
        <v>1.7</v>
      </c>
      <c r="I103" s="6" t="s">
        <v>15</v>
      </c>
      <c r="J103" s="11">
        <v>2</v>
      </c>
      <c r="K103" s="11">
        <v>9</v>
      </c>
      <c r="L103" s="11">
        <v>5</v>
      </c>
      <c r="M103" s="15">
        <v>1</v>
      </c>
      <c r="R103" s="20">
        <v>1</v>
      </c>
      <c r="U103" s="17">
        <v>1</v>
      </c>
      <c r="W103" s="23">
        <v>1</v>
      </c>
      <c r="Y103" s="26">
        <v>1</v>
      </c>
    </row>
    <row r="104" spans="1:25" x14ac:dyDescent="0.25">
      <c r="A104" s="7">
        <v>13</v>
      </c>
      <c r="B104" s="6" t="s">
        <v>13</v>
      </c>
      <c r="C104" s="32">
        <v>1.6</v>
      </c>
      <c r="D104" s="6" t="s">
        <v>14</v>
      </c>
      <c r="E104" s="29">
        <v>4.2</v>
      </c>
      <c r="F104" s="13">
        <v>1.5</v>
      </c>
      <c r="G104" s="31">
        <v>3.72</v>
      </c>
      <c r="H104" s="13">
        <v>1.7</v>
      </c>
      <c r="I104" s="6" t="s">
        <v>19</v>
      </c>
      <c r="J104" s="11">
        <v>10</v>
      </c>
      <c r="K104" s="11">
        <v>1</v>
      </c>
      <c r="L104" s="11">
        <v>10</v>
      </c>
      <c r="M104" s="15">
        <v>1</v>
      </c>
      <c r="R104" s="20">
        <v>1</v>
      </c>
      <c r="U104" s="17">
        <v>1</v>
      </c>
      <c r="W104" s="23">
        <v>1</v>
      </c>
      <c r="Y104" s="26">
        <v>1</v>
      </c>
    </row>
    <row r="105" spans="1:25" x14ac:dyDescent="0.25">
      <c r="A105" s="7">
        <v>18</v>
      </c>
      <c r="B105" s="6" t="s">
        <v>13</v>
      </c>
      <c r="C105" s="32">
        <v>5.8</v>
      </c>
      <c r="D105" s="6" t="s">
        <v>14</v>
      </c>
      <c r="E105" s="29">
        <v>6.7</v>
      </c>
      <c r="F105" s="13">
        <v>1.9</v>
      </c>
      <c r="G105" s="31">
        <v>3</v>
      </c>
      <c r="H105" s="13">
        <v>1.9</v>
      </c>
      <c r="I105" s="6" t="s">
        <v>15</v>
      </c>
      <c r="J105" s="11">
        <v>5</v>
      </c>
      <c r="K105" s="11">
        <v>8</v>
      </c>
      <c r="L105" s="11">
        <v>2</v>
      </c>
      <c r="M105" s="15">
        <v>1</v>
      </c>
      <c r="R105" s="20">
        <v>1</v>
      </c>
      <c r="U105" s="17">
        <v>1</v>
      </c>
      <c r="W105" s="23">
        <v>1</v>
      </c>
      <c r="Y105" s="26">
        <v>1</v>
      </c>
    </row>
    <row r="106" spans="1:25" x14ac:dyDescent="0.25">
      <c r="A106" s="7">
        <v>15</v>
      </c>
      <c r="B106" s="6" t="s">
        <v>13</v>
      </c>
      <c r="C106" s="32">
        <v>2.7</v>
      </c>
      <c r="D106" s="6" t="s">
        <v>17</v>
      </c>
      <c r="E106" s="29">
        <v>6.6</v>
      </c>
      <c r="F106" s="13">
        <v>1.9</v>
      </c>
      <c r="G106" s="31">
        <v>2.75</v>
      </c>
      <c r="H106" s="13">
        <v>1.9</v>
      </c>
      <c r="I106" s="6" t="s">
        <v>19</v>
      </c>
      <c r="J106" s="11">
        <v>3</v>
      </c>
      <c r="K106" s="11">
        <v>6</v>
      </c>
      <c r="L106" s="11">
        <v>6</v>
      </c>
      <c r="M106" s="15">
        <v>1</v>
      </c>
      <c r="R106" s="20">
        <v>1</v>
      </c>
      <c r="U106" s="17">
        <v>1</v>
      </c>
      <c r="W106" s="23">
        <v>1</v>
      </c>
      <c r="Y106" s="26">
        <v>1</v>
      </c>
    </row>
    <row r="107" spans="1:25" x14ac:dyDescent="0.25">
      <c r="A107" s="7">
        <v>13</v>
      </c>
      <c r="B107" s="6" t="s">
        <v>16</v>
      </c>
      <c r="C107" s="32">
        <v>4</v>
      </c>
      <c r="D107" s="6" t="s">
        <v>20</v>
      </c>
      <c r="E107" s="29">
        <v>4.5</v>
      </c>
      <c r="F107" s="13">
        <v>1</v>
      </c>
      <c r="G107" s="31">
        <v>3.65</v>
      </c>
      <c r="H107" s="13">
        <v>1.8</v>
      </c>
      <c r="I107" s="6" t="s">
        <v>15</v>
      </c>
      <c r="J107" s="11">
        <v>5</v>
      </c>
      <c r="K107" s="11">
        <v>6</v>
      </c>
      <c r="L107" s="11">
        <v>5</v>
      </c>
      <c r="M107" s="15">
        <v>1</v>
      </c>
      <c r="R107" s="20">
        <v>1</v>
      </c>
      <c r="U107" s="17">
        <v>1</v>
      </c>
      <c r="W107" s="23">
        <v>1</v>
      </c>
      <c r="Y107" s="26">
        <v>1</v>
      </c>
    </row>
    <row r="108" spans="1:25" x14ac:dyDescent="0.25">
      <c r="A108" s="7">
        <v>18</v>
      </c>
      <c r="B108" s="6" t="s">
        <v>13</v>
      </c>
      <c r="C108" s="32">
        <v>3.2</v>
      </c>
      <c r="D108" s="6" t="s">
        <v>20</v>
      </c>
      <c r="E108" s="29">
        <v>8.8000000000000007</v>
      </c>
      <c r="F108" s="13">
        <v>1.2</v>
      </c>
      <c r="G108" s="31">
        <v>3.71</v>
      </c>
      <c r="H108" s="13">
        <v>1.1000000000000001</v>
      </c>
      <c r="I108" s="6" t="s">
        <v>19</v>
      </c>
      <c r="J108" s="11">
        <v>7</v>
      </c>
      <c r="K108" s="11">
        <v>6</v>
      </c>
      <c r="L108" s="11">
        <v>10</v>
      </c>
      <c r="M108" s="15">
        <v>1</v>
      </c>
      <c r="R108" s="20">
        <v>1</v>
      </c>
      <c r="U108" s="17">
        <v>1</v>
      </c>
      <c r="W108" s="23">
        <v>1</v>
      </c>
      <c r="Y108" s="26">
        <v>1</v>
      </c>
    </row>
    <row r="109" spans="1:25" x14ac:dyDescent="0.25">
      <c r="A109" s="7">
        <v>13</v>
      </c>
      <c r="B109" s="6" t="s">
        <v>13</v>
      </c>
      <c r="C109" s="32">
        <v>1.6</v>
      </c>
      <c r="D109" s="6" t="s">
        <v>17</v>
      </c>
      <c r="E109" s="29">
        <v>4.3</v>
      </c>
      <c r="F109" s="13">
        <v>0.6</v>
      </c>
      <c r="G109" s="31">
        <v>3.91</v>
      </c>
      <c r="H109" s="13">
        <v>2</v>
      </c>
      <c r="I109" s="6" t="s">
        <v>19</v>
      </c>
      <c r="J109" s="11">
        <v>5</v>
      </c>
      <c r="K109" s="11">
        <v>10</v>
      </c>
      <c r="L109" s="11">
        <v>7</v>
      </c>
      <c r="M109" s="15">
        <v>1</v>
      </c>
      <c r="R109" s="20">
        <v>1</v>
      </c>
      <c r="U109" s="17">
        <v>1</v>
      </c>
      <c r="W109" s="23">
        <v>1</v>
      </c>
      <c r="Y109" s="26">
        <v>1</v>
      </c>
    </row>
    <row r="110" spans="1:25" x14ac:dyDescent="0.25">
      <c r="A110" s="7">
        <v>14</v>
      </c>
      <c r="B110" s="6" t="s">
        <v>13</v>
      </c>
      <c r="C110" s="32">
        <v>2.2999999999999998</v>
      </c>
      <c r="D110" s="6" t="s">
        <v>17</v>
      </c>
      <c r="E110" s="29">
        <v>8</v>
      </c>
      <c r="F110" s="13">
        <v>2.5</v>
      </c>
      <c r="G110" s="31">
        <v>3.08</v>
      </c>
      <c r="H110" s="13">
        <v>1.7</v>
      </c>
      <c r="I110" s="6" t="s">
        <v>19</v>
      </c>
      <c r="J110" s="11">
        <v>5</v>
      </c>
      <c r="K110" s="11">
        <v>6</v>
      </c>
      <c r="L110" s="11">
        <v>7</v>
      </c>
      <c r="M110" s="15">
        <v>1</v>
      </c>
      <c r="R110" s="20">
        <v>1</v>
      </c>
      <c r="U110" s="17">
        <v>1</v>
      </c>
      <c r="W110" s="23">
        <v>1</v>
      </c>
      <c r="Y110" s="26">
        <v>1</v>
      </c>
    </row>
    <row r="111" spans="1:25" x14ac:dyDescent="0.25">
      <c r="A111" s="7">
        <v>17</v>
      </c>
      <c r="B111" s="6" t="s">
        <v>13</v>
      </c>
      <c r="C111" s="32">
        <v>7.7</v>
      </c>
      <c r="D111" s="6" t="s">
        <v>17</v>
      </c>
      <c r="E111" s="29">
        <v>8.5</v>
      </c>
      <c r="F111" s="13">
        <v>1.2</v>
      </c>
      <c r="G111" s="31">
        <v>3.56</v>
      </c>
      <c r="H111" s="13">
        <v>0</v>
      </c>
      <c r="I111" s="6" t="s">
        <v>19</v>
      </c>
      <c r="J111" s="11">
        <v>7</v>
      </c>
      <c r="K111" s="11">
        <v>10</v>
      </c>
      <c r="L111" s="11">
        <v>7</v>
      </c>
      <c r="M111" s="15">
        <v>1</v>
      </c>
      <c r="R111" s="20">
        <v>1</v>
      </c>
      <c r="U111" s="17">
        <v>1</v>
      </c>
      <c r="W111" s="23">
        <v>1</v>
      </c>
      <c r="Y111" s="26">
        <v>1</v>
      </c>
    </row>
    <row r="112" spans="1:25" x14ac:dyDescent="0.25">
      <c r="A112" s="7">
        <v>16</v>
      </c>
      <c r="B112" s="6" t="s">
        <v>13</v>
      </c>
      <c r="C112" s="32">
        <v>4.8</v>
      </c>
      <c r="D112" s="6" t="s">
        <v>20</v>
      </c>
      <c r="E112" s="29">
        <v>7.1</v>
      </c>
      <c r="F112" s="13">
        <v>0.6</v>
      </c>
      <c r="G112" s="31">
        <v>3.36</v>
      </c>
      <c r="H112" s="13">
        <v>0.7</v>
      </c>
      <c r="I112" s="6" t="s">
        <v>18</v>
      </c>
      <c r="J112" s="11">
        <v>7</v>
      </c>
      <c r="K112" s="11">
        <v>6</v>
      </c>
      <c r="L112" s="11">
        <v>9</v>
      </c>
      <c r="M112" s="15">
        <v>0</v>
      </c>
      <c r="R112" s="20">
        <v>0</v>
      </c>
      <c r="U112" s="17">
        <v>0</v>
      </c>
      <c r="W112" s="23">
        <v>0</v>
      </c>
      <c r="Y112" s="26">
        <v>0</v>
      </c>
    </row>
    <row r="113" spans="1:25" x14ac:dyDescent="0.25">
      <c r="A113" s="7">
        <v>17</v>
      </c>
      <c r="B113" s="6" t="s">
        <v>16</v>
      </c>
      <c r="C113" s="32">
        <v>5.2</v>
      </c>
      <c r="D113" s="6" t="s">
        <v>20</v>
      </c>
      <c r="E113" s="29">
        <v>6</v>
      </c>
      <c r="F113" s="13">
        <v>0.6</v>
      </c>
      <c r="G113" s="31">
        <v>3.07</v>
      </c>
      <c r="H113" s="13">
        <v>0.6</v>
      </c>
      <c r="I113" s="6" t="s">
        <v>19</v>
      </c>
      <c r="J113" s="11">
        <v>6</v>
      </c>
      <c r="K113" s="11">
        <v>2</v>
      </c>
      <c r="L113" s="11">
        <v>9</v>
      </c>
      <c r="M113" s="15">
        <v>0</v>
      </c>
      <c r="R113" s="20">
        <v>0</v>
      </c>
      <c r="U113" s="17">
        <v>0</v>
      </c>
      <c r="W113" s="23">
        <v>0</v>
      </c>
      <c r="Y113" s="26">
        <v>0</v>
      </c>
    </row>
    <row r="114" spans="1:25" x14ac:dyDescent="0.25">
      <c r="A114" s="7">
        <v>13</v>
      </c>
      <c r="B114" s="6" t="s">
        <v>13</v>
      </c>
      <c r="C114" s="32">
        <v>5.7</v>
      </c>
      <c r="D114" s="6" t="s">
        <v>20</v>
      </c>
      <c r="E114" s="29">
        <v>6.6</v>
      </c>
      <c r="F114" s="13">
        <v>2.4</v>
      </c>
      <c r="G114" s="31">
        <v>3.99</v>
      </c>
      <c r="H114" s="13">
        <v>1.7</v>
      </c>
      <c r="I114" s="6" t="s">
        <v>18</v>
      </c>
      <c r="J114" s="11">
        <v>1</v>
      </c>
      <c r="K114" s="11">
        <v>3</v>
      </c>
      <c r="L114" s="11">
        <v>1</v>
      </c>
      <c r="M114" s="15">
        <v>0</v>
      </c>
      <c r="R114" s="20">
        <v>0</v>
      </c>
      <c r="U114" s="17">
        <v>0</v>
      </c>
      <c r="W114" s="23">
        <v>0</v>
      </c>
      <c r="Y114" s="26">
        <v>0</v>
      </c>
    </row>
    <row r="115" spans="1:25" x14ac:dyDescent="0.25">
      <c r="A115" s="7">
        <v>15</v>
      </c>
      <c r="B115" s="6" t="s">
        <v>13</v>
      </c>
      <c r="C115" s="32">
        <v>4.5999999999999996</v>
      </c>
      <c r="D115" s="6" t="s">
        <v>17</v>
      </c>
      <c r="E115" s="29">
        <v>5.2</v>
      </c>
      <c r="F115" s="13">
        <v>1.4</v>
      </c>
      <c r="G115" s="31">
        <v>2.98</v>
      </c>
      <c r="H115" s="13">
        <v>1.9</v>
      </c>
      <c r="I115" s="6" t="s">
        <v>15</v>
      </c>
      <c r="J115" s="11">
        <v>1</v>
      </c>
      <c r="K115" s="11">
        <v>4</v>
      </c>
      <c r="L115" s="11">
        <v>5</v>
      </c>
      <c r="M115" s="15">
        <v>0</v>
      </c>
      <c r="R115" s="20">
        <v>0</v>
      </c>
      <c r="U115" s="17">
        <v>0</v>
      </c>
      <c r="W115" s="23">
        <v>0</v>
      </c>
      <c r="Y115" s="26">
        <v>0</v>
      </c>
    </row>
    <row r="116" spans="1:25" x14ac:dyDescent="0.25">
      <c r="A116" s="7">
        <v>13</v>
      </c>
      <c r="B116" s="6" t="s">
        <v>13</v>
      </c>
      <c r="C116" s="32">
        <v>4.3</v>
      </c>
      <c r="D116" s="6" t="s">
        <v>17</v>
      </c>
      <c r="E116" s="29">
        <v>7.5</v>
      </c>
      <c r="F116" s="13">
        <v>2.7</v>
      </c>
      <c r="G116" s="31">
        <v>2.29</v>
      </c>
      <c r="H116" s="13">
        <v>0.8</v>
      </c>
      <c r="I116" s="6" t="s">
        <v>18</v>
      </c>
      <c r="J116" s="11">
        <v>1</v>
      </c>
      <c r="K116" s="11">
        <v>10</v>
      </c>
      <c r="L116" s="11">
        <v>1</v>
      </c>
      <c r="M116" s="15">
        <v>0</v>
      </c>
      <c r="R116" s="20">
        <v>0</v>
      </c>
      <c r="U116" s="17">
        <v>0</v>
      </c>
      <c r="W116" s="23">
        <v>0</v>
      </c>
      <c r="Y116" s="26">
        <v>0</v>
      </c>
    </row>
    <row r="117" spans="1:25" x14ac:dyDescent="0.25">
      <c r="A117" s="7">
        <v>17</v>
      </c>
      <c r="B117" s="6" t="s">
        <v>16</v>
      </c>
      <c r="C117" s="32">
        <v>4.0999999999999996</v>
      </c>
      <c r="D117" s="6" t="s">
        <v>14</v>
      </c>
      <c r="E117" s="29">
        <v>8.6</v>
      </c>
      <c r="F117" s="13">
        <v>3</v>
      </c>
      <c r="G117" s="31">
        <v>2.77</v>
      </c>
      <c r="H117" s="13">
        <v>0.1</v>
      </c>
      <c r="I117" s="6" t="s">
        <v>19</v>
      </c>
      <c r="J117" s="11">
        <v>3</v>
      </c>
      <c r="K117" s="11">
        <v>6</v>
      </c>
      <c r="L117" s="11">
        <v>1</v>
      </c>
      <c r="M117" s="15">
        <v>0</v>
      </c>
      <c r="R117" s="20">
        <v>0</v>
      </c>
      <c r="U117" s="17">
        <v>0</v>
      </c>
      <c r="W117" s="23">
        <v>0</v>
      </c>
      <c r="Y117" s="26">
        <v>0</v>
      </c>
    </row>
    <row r="118" spans="1:25" x14ac:dyDescent="0.25">
      <c r="A118" s="7">
        <v>15</v>
      </c>
      <c r="B118" s="6" t="s">
        <v>13</v>
      </c>
      <c r="C118" s="32">
        <v>6.5</v>
      </c>
      <c r="D118" s="6" t="s">
        <v>20</v>
      </c>
      <c r="E118" s="29">
        <v>8.1</v>
      </c>
      <c r="F118" s="13">
        <v>2</v>
      </c>
      <c r="G118" s="31">
        <v>3.89</v>
      </c>
      <c r="H118" s="13">
        <v>1.3</v>
      </c>
      <c r="I118" s="6" t="s">
        <v>18</v>
      </c>
      <c r="J118" s="11">
        <v>8</v>
      </c>
      <c r="K118" s="11">
        <v>2</v>
      </c>
      <c r="L118" s="11">
        <v>2</v>
      </c>
      <c r="M118" s="15">
        <v>0</v>
      </c>
      <c r="R118" s="20">
        <v>0</v>
      </c>
      <c r="U118" s="17">
        <v>0</v>
      </c>
      <c r="W118" s="23">
        <v>0</v>
      </c>
      <c r="Y118" s="26">
        <v>0</v>
      </c>
    </row>
    <row r="119" spans="1:25" x14ac:dyDescent="0.25">
      <c r="A119" s="7">
        <v>19</v>
      </c>
      <c r="B119" s="6" t="s">
        <v>16</v>
      </c>
      <c r="C119" s="32">
        <v>7.8</v>
      </c>
      <c r="D119" s="6" t="s">
        <v>20</v>
      </c>
      <c r="E119" s="29">
        <v>8.8000000000000007</v>
      </c>
      <c r="F119" s="13">
        <v>2.1</v>
      </c>
      <c r="G119" s="31">
        <v>3.75</v>
      </c>
      <c r="H119" s="13">
        <v>1.3</v>
      </c>
      <c r="I119" s="6" t="s">
        <v>18</v>
      </c>
      <c r="J119" s="11">
        <v>10</v>
      </c>
      <c r="K119" s="11">
        <v>9</v>
      </c>
      <c r="L119" s="11">
        <v>6</v>
      </c>
      <c r="M119" s="15">
        <v>0</v>
      </c>
      <c r="R119" s="20">
        <v>0</v>
      </c>
      <c r="U119" s="17">
        <v>0</v>
      </c>
      <c r="W119" s="23">
        <v>0</v>
      </c>
      <c r="Y119" s="26">
        <v>0</v>
      </c>
    </row>
    <row r="120" spans="1:25" x14ac:dyDescent="0.25">
      <c r="A120" s="7">
        <v>17</v>
      </c>
      <c r="B120" s="6" t="s">
        <v>13</v>
      </c>
      <c r="C120" s="32">
        <v>6.5</v>
      </c>
      <c r="D120" s="6" t="s">
        <v>14</v>
      </c>
      <c r="E120" s="29">
        <v>4.0999999999999996</v>
      </c>
      <c r="F120" s="13">
        <v>2.7</v>
      </c>
      <c r="G120" s="31">
        <v>3.66</v>
      </c>
      <c r="H120" s="13">
        <v>1.1000000000000001</v>
      </c>
      <c r="I120" s="6" t="s">
        <v>19</v>
      </c>
      <c r="J120" s="11">
        <v>6</v>
      </c>
      <c r="K120" s="11">
        <v>10</v>
      </c>
      <c r="L120" s="11">
        <v>10</v>
      </c>
      <c r="M120" s="15">
        <v>0</v>
      </c>
      <c r="R120" s="20">
        <v>0</v>
      </c>
      <c r="U120" s="17">
        <v>0</v>
      </c>
      <c r="W120" s="23">
        <v>0</v>
      </c>
      <c r="Y120" s="26">
        <v>0</v>
      </c>
    </row>
    <row r="121" spans="1:25" x14ac:dyDescent="0.25">
      <c r="A121" s="7">
        <v>17</v>
      </c>
      <c r="B121" s="6" t="s">
        <v>16</v>
      </c>
      <c r="C121" s="32">
        <v>3.2</v>
      </c>
      <c r="D121" s="6" t="s">
        <v>17</v>
      </c>
      <c r="E121" s="29">
        <v>4.2</v>
      </c>
      <c r="F121" s="13">
        <v>0.6</v>
      </c>
      <c r="G121" s="31">
        <v>2.21</v>
      </c>
      <c r="H121" s="13">
        <v>1.4</v>
      </c>
      <c r="I121" s="6" t="s">
        <v>19</v>
      </c>
      <c r="J121" s="11">
        <v>6</v>
      </c>
      <c r="K121" s="11">
        <v>6</v>
      </c>
      <c r="L121" s="11">
        <v>3</v>
      </c>
      <c r="M121" s="15">
        <v>0</v>
      </c>
      <c r="R121" s="20">
        <v>0</v>
      </c>
      <c r="U121" s="17">
        <v>0</v>
      </c>
      <c r="W121" s="23">
        <v>0</v>
      </c>
      <c r="Y121" s="26">
        <v>0</v>
      </c>
    </row>
    <row r="122" spans="1:25" x14ac:dyDescent="0.25">
      <c r="A122" s="7">
        <v>13</v>
      </c>
      <c r="B122" s="6" t="s">
        <v>13</v>
      </c>
      <c r="C122" s="32">
        <v>2.4</v>
      </c>
      <c r="D122" s="6" t="s">
        <v>17</v>
      </c>
      <c r="E122" s="29">
        <v>4.0999999999999996</v>
      </c>
      <c r="F122" s="13">
        <v>0.8</v>
      </c>
      <c r="G122" s="31">
        <v>2.79</v>
      </c>
      <c r="H122" s="13">
        <v>1.1000000000000001</v>
      </c>
      <c r="I122" s="6" t="s">
        <v>19</v>
      </c>
      <c r="J122" s="11">
        <v>8</v>
      </c>
      <c r="K122" s="11">
        <v>6</v>
      </c>
      <c r="L122" s="11">
        <v>3</v>
      </c>
      <c r="M122" s="15">
        <v>1</v>
      </c>
      <c r="R122" s="20">
        <v>1</v>
      </c>
      <c r="U122" s="17">
        <v>1</v>
      </c>
      <c r="W122" s="23">
        <v>1</v>
      </c>
      <c r="Y122" s="26">
        <v>1</v>
      </c>
    </row>
    <row r="123" spans="1:25" x14ac:dyDescent="0.25">
      <c r="A123" s="7">
        <v>15</v>
      </c>
      <c r="B123" s="6" t="s">
        <v>16</v>
      </c>
      <c r="C123" s="32">
        <v>4</v>
      </c>
      <c r="D123" s="6" t="s">
        <v>14</v>
      </c>
      <c r="E123" s="29">
        <v>8.1</v>
      </c>
      <c r="F123" s="13">
        <v>2.1</v>
      </c>
      <c r="G123" s="31">
        <v>2.0099999999999998</v>
      </c>
      <c r="H123" s="13">
        <v>0.4</v>
      </c>
      <c r="I123" s="6" t="s">
        <v>19</v>
      </c>
      <c r="J123" s="11">
        <v>4</v>
      </c>
      <c r="K123" s="11">
        <v>8</v>
      </c>
      <c r="L123" s="11">
        <v>8</v>
      </c>
      <c r="M123" s="15">
        <v>1</v>
      </c>
      <c r="R123" s="20">
        <v>1</v>
      </c>
      <c r="U123" s="17">
        <v>1</v>
      </c>
      <c r="W123" s="23">
        <v>1</v>
      </c>
      <c r="Y123" s="26">
        <v>1</v>
      </c>
    </row>
    <row r="124" spans="1:25" x14ac:dyDescent="0.25">
      <c r="A124" s="7">
        <v>17</v>
      </c>
      <c r="B124" s="6" t="s">
        <v>16</v>
      </c>
      <c r="C124" s="32">
        <v>6</v>
      </c>
      <c r="D124" s="6" t="s">
        <v>20</v>
      </c>
      <c r="E124" s="29">
        <v>8.8000000000000007</v>
      </c>
      <c r="F124" s="13">
        <v>1.3</v>
      </c>
      <c r="G124" s="31">
        <v>4</v>
      </c>
      <c r="H124" s="13">
        <v>0.9</v>
      </c>
      <c r="I124" s="6" t="s">
        <v>19</v>
      </c>
      <c r="J124" s="11">
        <v>8</v>
      </c>
      <c r="K124" s="11">
        <v>10</v>
      </c>
      <c r="L124" s="11">
        <v>7</v>
      </c>
      <c r="M124" s="15">
        <v>1</v>
      </c>
      <c r="R124" s="20">
        <v>1</v>
      </c>
      <c r="U124" s="17">
        <v>1</v>
      </c>
      <c r="W124" s="23">
        <v>1</v>
      </c>
      <c r="Y124" s="26">
        <v>1</v>
      </c>
    </row>
    <row r="125" spans="1:25" x14ac:dyDescent="0.25">
      <c r="A125" s="7">
        <v>18</v>
      </c>
      <c r="B125" s="6" t="s">
        <v>13</v>
      </c>
      <c r="C125" s="32">
        <v>1.2</v>
      </c>
      <c r="D125" s="6" t="s">
        <v>17</v>
      </c>
      <c r="E125" s="29">
        <v>8</v>
      </c>
      <c r="F125" s="13">
        <v>1.7</v>
      </c>
      <c r="G125" s="31">
        <v>3.12</v>
      </c>
      <c r="H125" s="13">
        <v>0.1</v>
      </c>
      <c r="I125" s="6" t="s">
        <v>15</v>
      </c>
      <c r="J125" s="11">
        <v>6</v>
      </c>
      <c r="K125" s="11">
        <v>4</v>
      </c>
      <c r="L125" s="11">
        <v>2</v>
      </c>
      <c r="M125" s="15">
        <v>1</v>
      </c>
      <c r="R125" s="20">
        <v>1</v>
      </c>
      <c r="U125" s="17">
        <v>1</v>
      </c>
      <c r="W125" s="23">
        <v>1</v>
      </c>
      <c r="Y125" s="26">
        <v>1</v>
      </c>
    </row>
    <row r="126" spans="1:25" x14ac:dyDescent="0.25">
      <c r="A126" s="7">
        <v>16</v>
      </c>
      <c r="B126" s="6" t="s">
        <v>13</v>
      </c>
      <c r="C126" s="32">
        <v>5.7</v>
      </c>
      <c r="D126" s="6" t="s">
        <v>20</v>
      </c>
      <c r="E126" s="29">
        <v>5.8</v>
      </c>
      <c r="F126" s="13">
        <v>2.8</v>
      </c>
      <c r="G126" s="31">
        <v>2.17</v>
      </c>
      <c r="H126" s="13">
        <v>0.5</v>
      </c>
      <c r="I126" s="6" t="s">
        <v>19</v>
      </c>
      <c r="J126" s="11">
        <v>3</v>
      </c>
      <c r="K126" s="11">
        <v>9</v>
      </c>
      <c r="L126" s="11">
        <v>2</v>
      </c>
      <c r="M126" s="15">
        <v>1</v>
      </c>
      <c r="R126" s="20">
        <v>1</v>
      </c>
      <c r="U126" s="17">
        <v>1</v>
      </c>
      <c r="W126" s="23">
        <v>1</v>
      </c>
      <c r="Y126" s="26">
        <v>1</v>
      </c>
    </row>
    <row r="127" spans="1:25" x14ac:dyDescent="0.25">
      <c r="A127" s="7">
        <v>19</v>
      </c>
      <c r="B127" s="6" t="s">
        <v>13</v>
      </c>
      <c r="C127" s="32">
        <v>6.5</v>
      </c>
      <c r="D127" s="6" t="s">
        <v>20</v>
      </c>
      <c r="E127" s="29">
        <v>8.1</v>
      </c>
      <c r="F127" s="13">
        <v>2.2999999999999998</v>
      </c>
      <c r="G127" s="31">
        <v>2.21</v>
      </c>
      <c r="H127" s="13">
        <v>0.4</v>
      </c>
      <c r="I127" s="6" t="s">
        <v>18</v>
      </c>
      <c r="J127" s="11">
        <v>8</v>
      </c>
      <c r="K127" s="11">
        <v>8</v>
      </c>
      <c r="L127" s="11">
        <v>6</v>
      </c>
      <c r="M127" s="15">
        <v>1</v>
      </c>
      <c r="R127" s="20">
        <v>1</v>
      </c>
      <c r="U127" s="17">
        <v>1</v>
      </c>
      <c r="W127" s="23">
        <v>1</v>
      </c>
      <c r="Y127" s="26">
        <v>1</v>
      </c>
    </row>
    <row r="128" spans="1:25" x14ac:dyDescent="0.25">
      <c r="A128" s="7">
        <v>16</v>
      </c>
      <c r="B128" s="6" t="s">
        <v>13</v>
      </c>
      <c r="C128" s="32">
        <v>6.6</v>
      </c>
      <c r="D128" s="6" t="s">
        <v>14</v>
      </c>
      <c r="E128" s="29">
        <v>5.6</v>
      </c>
      <c r="F128" s="13">
        <v>0.8</v>
      </c>
      <c r="G128" s="31">
        <v>3.48</v>
      </c>
      <c r="H128" s="13">
        <v>1.7</v>
      </c>
      <c r="I128" s="6" t="s">
        <v>19</v>
      </c>
      <c r="J128" s="11">
        <v>4</v>
      </c>
      <c r="K128" s="11">
        <v>3</v>
      </c>
      <c r="L128" s="11">
        <v>4</v>
      </c>
      <c r="M128" s="15">
        <v>1</v>
      </c>
      <c r="R128" s="20">
        <v>1</v>
      </c>
      <c r="U128" s="17">
        <v>1</v>
      </c>
      <c r="W128" s="23">
        <v>1</v>
      </c>
      <c r="Y128" s="26">
        <v>1</v>
      </c>
    </row>
    <row r="129" spans="1:25" x14ac:dyDescent="0.25">
      <c r="A129" s="7">
        <v>13</v>
      </c>
      <c r="B129" s="6" t="s">
        <v>13</v>
      </c>
      <c r="C129" s="32">
        <v>6</v>
      </c>
      <c r="D129" s="6" t="s">
        <v>17</v>
      </c>
      <c r="E129" s="29">
        <v>7.2</v>
      </c>
      <c r="F129" s="13">
        <v>1.5</v>
      </c>
      <c r="G129" s="31">
        <v>2.36</v>
      </c>
      <c r="H129" s="13">
        <v>0.2</v>
      </c>
      <c r="I129" s="6" t="s">
        <v>15</v>
      </c>
      <c r="J129" s="11">
        <v>1</v>
      </c>
      <c r="K129" s="11">
        <v>3</v>
      </c>
      <c r="L129" s="11">
        <v>4</v>
      </c>
      <c r="M129" s="15">
        <v>1</v>
      </c>
      <c r="R129" s="20">
        <v>1</v>
      </c>
      <c r="U129" s="17">
        <v>1</v>
      </c>
      <c r="W129" s="23">
        <v>1</v>
      </c>
      <c r="Y129" s="26">
        <v>1</v>
      </c>
    </row>
    <row r="130" spans="1:25" x14ac:dyDescent="0.25">
      <c r="A130" s="7">
        <v>18</v>
      </c>
      <c r="B130" s="6" t="s">
        <v>16</v>
      </c>
      <c r="C130" s="32">
        <v>1.1000000000000001</v>
      </c>
      <c r="D130" s="6" t="s">
        <v>20</v>
      </c>
      <c r="E130" s="29">
        <v>8</v>
      </c>
      <c r="F130" s="13">
        <v>2.7</v>
      </c>
      <c r="G130" s="31">
        <v>2.04</v>
      </c>
      <c r="H130" s="13">
        <v>0.1</v>
      </c>
      <c r="I130" s="6" t="s">
        <v>15</v>
      </c>
      <c r="J130" s="11">
        <v>7</v>
      </c>
      <c r="K130" s="11">
        <v>10</v>
      </c>
      <c r="L130" s="11">
        <v>2</v>
      </c>
      <c r="M130" s="15">
        <v>1</v>
      </c>
      <c r="R130" s="20">
        <v>1</v>
      </c>
      <c r="U130" s="17">
        <v>1</v>
      </c>
      <c r="W130" s="23">
        <v>1</v>
      </c>
      <c r="Y130" s="26">
        <v>1</v>
      </c>
    </row>
    <row r="131" spans="1:25" x14ac:dyDescent="0.25">
      <c r="A131" s="7">
        <v>13</v>
      </c>
      <c r="B131" s="6" t="s">
        <v>16</v>
      </c>
      <c r="C131" s="32">
        <v>3.8</v>
      </c>
      <c r="D131" s="6" t="s">
        <v>14</v>
      </c>
      <c r="E131" s="29">
        <v>7.9</v>
      </c>
      <c r="F131" s="13">
        <v>1.3</v>
      </c>
      <c r="G131" s="31">
        <v>3.97</v>
      </c>
      <c r="H131" s="13">
        <v>0.2</v>
      </c>
      <c r="I131" s="6" t="s">
        <v>19</v>
      </c>
      <c r="J131" s="11">
        <v>7</v>
      </c>
      <c r="K131" s="11">
        <v>10</v>
      </c>
      <c r="L131" s="11">
        <v>9</v>
      </c>
      <c r="M131" s="15">
        <v>1</v>
      </c>
      <c r="R131" s="20">
        <v>1</v>
      </c>
      <c r="U131" s="17">
        <v>1</v>
      </c>
      <c r="W131" s="23">
        <v>1</v>
      </c>
      <c r="Y131" s="26">
        <v>1</v>
      </c>
    </row>
    <row r="132" spans="1:25" x14ac:dyDescent="0.25">
      <c r="A132" s="7">
        <v>13</v>
      </c>
      <c r="B132" s="6" t="s">
        <v>16</v>
      </c>
      <c r="C132" s="32">
        <v>4.7</v>
      </c>
      <c r="D132" s="6" t="s">
        <v>20</v>
      </c>
      <c r="E132" s="29">
        <v>6.8</v>
      </c>
      <c r="F132" s="13">
        <v>1.7</v>
      </c>
      <c r="G132" s="31">
        <v>3.27</v>
      </c>
      <c r="H132" s="13">
        <v>1.4</v>
      </c>
      <c r="I132" s="6" t="s">
        <v>15</v>
      </c>
      <c r="J132" s="11">
        <v>4</v>
      </c>
      <c r="K132" s="11">
        <v>2</v>
      </c>
      <c r="L132" s="11">
        <v>4</v>
      </c>
      <c r="M132" s="15">
        <v>1</v>
      </c>
      <c r="R132" s="20">
        <v>1</v>
      </c>
      <c r="U132" s="17">
        <v>1</v>
      </c>
      <c r="W132" s="23">
        <v>1</v>
      </c>
      <c r="Y132" s="26">
        <v>1</v>
      </c>
    </row>
    <row r="133" spans="1:25" x14ac:dyDescent="0.25">
      <c r="A133" s="7">
        <v>15</v>
      </c>
      <c r="B133" s="6" t="s">
        <v>13</v>
      </c>
      <c r="C133" s="32">
        <v>7.4</v>
      </c>
      <c r="D133" s="6" t="s">
        <v>17</v>
      </c>
      <c r="E133" s="29">
        <v>6.3</v>
      </c>
      <c r="F133" s="13">
        <v>1.3</v>
      </c>
      <c r="G133" s="31">
        <v>3.47</v>
      </c>
      <c r="H133" s="13">
        <v>1.2</v>
      </c>
      <c r="I133" s="6" t="s">
        <v>19</v>
      </c>
      <c r="J133" s="11">
        <v>1</v>
      </c>
      <c r="K133" s="11">
        <v>3</v>
      </c>
      <c r="L133" s="11">
        <v>9</v>
      </c>
      <c r="M133" s="15">
        <v>1</v>
      </c>
      <c r="R133" s="20">
        <v>1</v>
      </c>
      <c r="U133" s="17">
        <v>1</v>
      </c>
      <c r="W133" s="23">
        <v>1</v>
      </c>
      <c r="Y133" s="26">
        <v>1</v>
      </c>
    </row>
    <row r="134" spans="1:25" x14ac:dyDescent="0.25">
      <c r="A134" s="7">
        <v>17</v>
      </c>
      <c r="B134" s="6" t="s">
        <v>13</v>
      </c>
      <c r="C134" s="32">
        <v>3.9</v>
      </c>
      <c r="D134" s="6" t="s">
        <v>14</v>
      </c>
      <c r="E134" s="29">
        <v>7.1</v>
      </c>
      <c r="F134" s="13">
        <v>2.4</v>
      </c>
      <c r="G134" s="31">
        <v>3.82</v>
      </c>
      <c r="H134" s="13">
        <v>0.8</v>
      </c>
      <c r="I134" s="6" t="s">
        <v>18</v>
      </c>
      <c r="J134" s="11">
        <v>3</v>
      </c>
      <c r="K134" s="11">
        <v>6</v>
      </c>
      <c r="L134" s="11">
        <v>10</v>
      </c>
      <c r="M134" s="15">
        <v>1</v>
      </c>
      <c r="R134" s="20">
        <v>1</v>
      </c>
      <c r="U134" s="17">
        <v>1</v>
      </c>
      <c r="W134" s="23">
        <v>1</v>
      </c>
      <c r="Y134" s="26">
        <v>1</v>
      </c>
    </row>
    <row r="135" spans="1:25" x14ac:dyDescent="0.25">
      <c r="A135" s="7">
        <v>18</v>
      </c>
      <c r="B135" s="6" t="s">
        <v>13</v>
      </c>
      <c r="C135" s="32">
        <v>3.1</v>
      </c>
      <c r="D135" s="6" t="s">
        <v>14</v>
      </c>
      <c r="E135" s="29">
        <v>5.7</v>
      </c>
      <c r="F135" s="13">
        <v>2.9</v>
      </c>
      <c r="G135" s="31">
        <v>3.1</v>
      </c>
      <c r="H135" s="13">
        <v>0.6</v>
      </c>
      <c r="I135" s="6" t="s">
        <v>19</v>
      </c>
      <c r="J135" s="11">
        <v>9</v>
      </c>
      <c r="K135" s="11">
        <v>4</v>
      </c>
      <c r="L135" s="11">
        <v>2</v>
      </c>
      <c r="M135" s="15">
        <v>1</v>
      </c>
      <c r="R135" s="20">
        <v>1</v>
      </c>
      <c r="U135" s="17">
        <v>1</v>
      </c>
      <c r="W135" s="23">
        <v>1</v>
      </c>
      <c r="Y135" s="26">
        <v>1</v>
      </c>
    </row>
    <row r="136" spans="1:25" x14ac:dyDescent="0.25">
      <c r="A136" s="7">
        <v>16</v>
      </c>
      <c r="B136" s="6" t="s">
        <v>16</v>
      </c>
      <c r="C136" s="32">
        <v>2.6</v>
      </c>
      <c r="D136" s="6" t="s">
        <v>17</v>
      </c>
      <c r="E136" s="29">
        <v>8.8000000000000007</v>
      </c>
      <c r="F136" s="13">
        <v>1.7</v>
      </c>
      <c r="G136" s="31">
        <v>2.39</v>
      </c>
      <c r="H136" s="13">
        <v>1</v>
      </c>
      <c r="I136" s="6" t="s">
        <v>19</v>
      </c>
      <c r="J136" s="11">
        <v>5</v>
      </c>
      <c r="K136" s="11">
        <v>2</v>
      </c>
      <c r="L136" s="11">
        <v>6</v>
      </c>
      <c r="M136" s="15">
        <v>1</v>
      </c>
      <c r="R136" s="20">
        <v>1</v>
      </c>
      <c r="U136" s="17">
        <v>1</v>
      </c>
      <c r="W136" s="23">
        <v>1</v>
      </c>
      <c r="Y136" s="26">
        <v>1</v>
      </c>
    </row>
    <row r="137" spans="1:25" x14ac:dyDescent="0.25">
      <c r="A137" s="7">
        <v>13</v>
      </c>
      <c r="B137" s="6" t="s">
        <v>13</v>
      </c>
      <c r="C137" s="32">
        <v>5</v>
      </c>
      <c r="D137" s="6" t="s">
        <v>17</v>
      </c>
      <c r="E137" s="29">
        <v>6.9</v>
      </c>
      <c r="F137" s="13">
        <v>0.6</v>
      </c>
      <c r="G137" s="31">
        <v>3.03</v>
      </c>
      <c r="H137" s="13">
        <v>0.8</v>
      </c>
      <c r="I137" s="6" t="s">
        <v>15</v>
      </c>
      <c r="J137" s="11">
        <v>9</v>
      </c>
      <c r="K137" s="11">
        <v>3</v>
      </c>
      <c r="L137" s="11">
        <v>8</v>
      </c>
      <c r="M137" s="15">
        <v>1</v>
      </c>
      <c r="R137" s="20">
        <v>1</v>
      </c>
      <c r="U137" s="17">
        <v>1</v>
      </c>
      <c r="W137" s="23">
        <v>1</v>
      </c>
      <c r="Y137" s="26">
        <v>1</v>
      </c>
    </row>
    <row r="138" spans="1:25" x14ac:dyDescent="0.25">
      <c r="A138" s="7">
        <v>18</v>
      </c>
      <c r="B138" s="6" t="s">
        <v>13</v>
      </c>
      <c r="C138" s="32">
        <v>4.5</v>
      </c>
      <c r="D138" s="6" t="s">
        <v>14</v>
      </c>
      <c r="E138" s="29">
        <v>8.1</v>
      </c>
      <c r="F138" s="13">
        <v>1.6</v>
      </c>
      <c r="G138" s="31">
        <v>3.72</v>
      </c>
      <c r="H138" s="13">
        <v>1.2</v>
      </c>
      <c r="I138" s="6" t="s">
        <v>15</v>
      </c>
      <c r="J138" s="11">
        <v>1</v>
      </c>
      <c r="K138" s="11">
        <v>2</v>
      </c>
      <c r="L138" s="11">
        <v>1</v>
      </c>
      <c r="M138" s="15">
        <v>1</v>
      </c>
      <c r="R138" s="20">
        <v>1</v>
      </c>
      <c r="U138" s="17">
        <v>1</v>
      </c>
      <c r="W138" s="23">
        <v>1</v>
      </c>
      <c r="Y138" s="26">
        <v>1</v>
      </c>
    </row>
    <row r="139" spans="1:25" x14ac:dyDescent="0.25">
      <c r="A139" s="7">
        <v>17</v>
      </c>
      <c r="B139" s="6" t="s">
        <v>13</v>
      </c>
      <c r="C139" s="32">
        <v>2.1</v>
      </c>
      <c r="D139" s="6" t="s">
        <v>17</v>
      </c>
      <c r="E139" s="29">
        <v>4.7</v>
      </c>
      <c r="F139" s="13">
        <v>2</v>
      </c>
      <c r="G139" s="31">
        <v>2.99</v>
      </c>
      <c r="H139" s="13">
        <v>1.9</v>
      </c>
      <c r="I139" s="6" t="s">
        <v>15</v>
      </c>
      <c r="J139" s="11">
        <v>5</v>
      </c>
      <c r="K139" s="11">
        <v>1</v>
      </c>
      <c r="L139" s="11">
        <v>8</v>
      </c>
      <c r="M139" s="15">
        <v>1</v>
      </c>
      <c r="R139" s="20">
        <v>1</v>
      </c>
      <c r="U139" s="17">
        <v>1</v>
      </c>
      <c r="W139" s="23">
        <v>1</v>
      </c>
      <c r="Y139" s="26">
        <v>1</v>
      </c>
    </row>
    <row r="140" spans="1:25" x14ac:dyDescent="0.25">
      <c r="A140" s="7">
        <v>14</v>
      </c>
      <c r="B140" s="6" t="s">
        <v>16</v>
      </c>
      <c r="C140" s="32">
        <v>6.4</v>
      </c>
      <c r="D140" s="6" t="s">
        <v>14</v>
      </c>
      <c r="E140" s="29">
        <v>6</v>
      </c>
      <c r="F140" s="13">
        <v>1.1000000000000001</v>
      </c>
      <c r="G140" s="31">
        <v>3.81</v>
      </c>
      <c r="H140" s="13">
        <v>0.9</v>
      </c>
      <c r="I140" s="6" t="s">
        <v>19</v>
      </c>
      <c r="J140" s="11">
        <v>8</v>
      </c>
      <c r="K140" s="11">
        <v>2</v>
      </c>
      <c r="L140" s="11">
        <v>3</v>
      </c>
      <c r="M140" s="15">
        <v>1</v>
      </c>
      <c r="R140" s="20">
        <v>1</v>
      </c>
      <c r="U140" s="17">
        <v>1</v>
      </c>
      <c r="W140" s="23">
        <v>1</v>
      </c>
      <c r="Y140" s="26">
        <v>1</v>
      </c>
    </row>
    <row r="141" spans="1:25" x14ac:dyDescent="0.25">
      <c r="A141" s="7">
        <v>15</v>
      </c>
      <c r="B141" s="6" t="s">
        <v>16</v>
      </c>
      <c r="C141" s="32">
        <v>2.2999999999999998</v>
      </c>
      <c r="D141" s="6" t="s">
        <v>17</v>
      </c>
      <c r="E141" s="29">
        <v>6.5</v>
      </c>
      <c r="F141" s="13">
        <v>2.6</v>
      </c>
      <c r="G141" s="31">
        <v>3.18</v>
      </c>
      <c r="H141" s="13">
        <v>0.1</v>
      </c>
      <c r="I141" s="6" t="s">
        <v>15</v>
      </c>
      <c r="J141" s="11">
        <v>1</v>
      </c>
      <c r="K141" s="11">
        <v>8</v>
      </c>
      <c r="L141" s="11">
        <v>4</v>
      </c>
      <c r="M141" s="15">
        <v>1</v>
      </c>
      <c r="R141" s="20">
        <v>1</v>
      </c>
      <c r="U141" s="17">
        <v>1</v>
      </c>
      <c r="W141" s="23">
        <v>1</v>
      </c>
      <c r="Y141" s="26">
        <v>1</v>
      </c>
    </row>
    <row r="142" spans="1:25" x14ac:dyDescent="0.25">
      <c r="A142" s="7">
        <v>13</v>
      </c>
      <c r="B142" s="6" t="s">
        <v>16</v>
      </c>
      <c r="C142" s="32">
        <v>4.4000000000000004</v>
      </c>
      <c r="D142" s="6" t="s">
        <v>17</v>
      </c>
      <c r="E142" s="29">
        <v>8.8000000000000007</v>
      </c>
      <c r="F142" s="13">
        <v>1.3</v>
      </c>
      <c r="G142" s="31">
        <v>2.69</v>
      </c>
      <c r="H142" s="13">
        <v>0.4</v>
      </c>
      <c r="I142" s="6" t="s">
        <v>15</v>
      </c>
      <c r="J142" s="11">
        <v>3</v>
      </c>
      <c r="K142" s="11">
        <v>1</v>
      </c>
      <c r="L142" s="11">
        <v>7</v>
      </c>
      <c r="M142" s="15">
        <v>1</v>
      </c>
      <c r="R142" s="20">
        <v>1</v>
      </c>
      <c r="U142" s="17">
        <v>1</v>
      </c>
      <c r="W142" s="23">
        <v>1</v>
      </c>
      <c r="Y142" s="26">
        <v>1</v>
      </c>
    </row>
    <row r="143" spans="1:25" x14ac:dyDescent="0.25">
      <c r="A143" s="7">
        <v>19</v>
      </c>
      <c r="B143" s="6" t="s">
        <v>13</v>
      </c>
      <c r="C143" s="32">
        <v>2.2999999999999998</v>
      </c>
      <c r="D143" s="6" t="s">
        <v>14</v>
      </c>
      <c r="E143" s="29">
        <v>6.9</v>
      </c>
      <c r="F143" s="13">
        <v>2.2999999999999998</v>
      </c>
      <c r="G143" s="31">
        <v>2.17</v>
      </c>
      <c r="H143" s="13">
        <v>1.6</v>
      </c>
      <c r="I143" s="6" t="s">
        <v>19</v>
      </c>
      <c r="J143" s="11">
        <v>3</v>
      </c>
      <c r="K143" s="11">
        <v>6</v>
      </c>
      <c r="L143" s="11">
        <v>10</v>
      </c>
      <c r="M143" s="15">
        <v>1</v>
      </c>
      <c r="R143" s="20">
        <v>1</v>
      </c>
      <c r="U143" s="17">
        <v>1</v>
      </c>
      <c r="W143" s="23">
        <v>1</v>
      </c>
      <c r="Y143" s="26">
        <v>1</v>
      </c>
    </row>
    <row r="144" spans="1:25" x14ac:dyDescent="0.25">
      <c r="A144" s="7">
        <v>13</v>
      </c>
      <c r="B144" s="6" t="s">
        <v>13</v>
      </c>
      <c r="C144" s="32">
        <v>4.3</v>
      </c>
      <c r="D144" s="6" t="s">
        <v>14</v>
      </c>
      <c r="E144" s="29">
        <v>4.4000000000000004</v>
      </c>
      <c r="F144" s="13">
        <v>0.7</v>
      </c>
      <c r="G144" s="31">
        <v>3.19</v>
      </c>
      <c r="H144" s="13">
        <v>0.3</v>
      </c>
      <c r="I144" s="6" t="s">
        <v>15</v>
      </c>
      <c r="J144" s="11">
        <v>6</v>
      </c>
      <c r="K144" s="11">
        <v>2</v>
      </c>
      <c r="L144" s="11">
        <v>6</v>
      </c>
      <c r="M144" s="15">
        <v>1</v>
      </c>
      <c r="R144" s="20">
        <v>1</v>
      </c>
      <c r="U144" s="17">
        <v>1</v>
      </c>
      <c r="W144" s="23">
        <v>1</v>
      </c>
      <c r="Y144" s="26">
        <v>1</v>
      </c>
    </row>
    <row r="145" spans="1:25" x14ac:dyDescent="0.25">
      <c r="A145" s="7">
        <v>18</v>
      </c>
      <c r="B145" s="6" t="s">
        <v>16</v>
      </c>
      <c r="C145" s="32">
        <v>3.9</v>
      </c>
      <c r="D145" s="6" t="s">
        <v>17</v>
      </c>
      <c r="E145" s="29">
        <v>5.2</v>
      </c>
      <c r="F145" s="13">
        <v>1.8</v>
      </c>
      <c r="G145" s="31">
        <v>2.41</v>
      </c>
      <c r="H145" s="13">
        <v>0.6</v>
      </c>
      <c r="I145" s="6" t="s">
        <v>18</v>
      </c>
      <c r="J145" s="11">
        <v>9</v>
      </c>
      <c r="K145" s="11">
        <v>5</v>
      </c>
      <c r="L145" s="11">
        <v>5</v>
      </c>
      <c r="M145" s="15">
        <v>1</v>
      </c>
      <c r="R145" s="20">
        <v>1</v>
      </c>
      <c r="U145" s="17">
        <v>1</v>
      </c>
      <c r="W145" s="23">
        <v>1</v>
      </c>
      <c r="Y145" s="26">
        <v>1</v>
      </c>
    </row>
    <row r="146" spans="1:25" x14ac:dyDescent="0.25">
      <c r="A146" s="7">
        <v>18</v>
      </c>
      <c r="B146" s="6" t="s">
        <v>13</v>
      </c>
      <c r="C146" s="32">
        <v>2.9</v>
      </c>
      <c r="D146" s="6" t="s">
        <v>17</v>
      </c>
      <c r="E146" s="29">
        <v>7.5</v>
      </c>
      <c r="F146" s="13">
        <v>0.9</v>
      </c>
      <c r="G146" s="31">
        <v>2.62</v>
      </c>
      <c r="H146" s="13">
        <v>2</v>
      </c>
      <c r="I146" s="6" t="s">
        <v>18</v>
      </c>
      <c r="J146" s="11">
        <v>3</v>
      </c>
      <c r="K146" s="11">
        <v>1</v>
      </c>
      <c r="L146" s="11">
        <v>9</v>
      </c>
      <c r="M146" s="15">
        <v>1</v>
      </c>
      <c r="R146" s="20">
        <v>1</v>
      </c>
      <c r="U146" s="17">
        <v>1</v>
      </c>
      <c r="W146" s="23">
        <v>1</v>
      </c>
      <c r="Y146" s="26">
        <v>1</v>
      </c>
    </row>
    <row r="147" spans="1:25" x14ac:dyDescent="0.25">
      <c r="A147" s="7">
        <v>14</v>
      </c>
      <c r="B147" s="6" t="s">
        <v>13</v>
      </c>
      <c r="C147" s="32">
        <v>2.1</v>
      </c>
      <c r="D147" s="6" t="s">
        <v>14</v>
      </c>
      <c r="E147" s="29">
        <v>8.5</v>
      </c>
      <c r="F147" s="13">
        <v>1.1000000000000001</v>
      </c>
      <c r="G147" s="31">
        <v>3.03</v>
      </c>
      <c r="H147" s="13">
        <v>1.6</v>
      </c>
      <c r="I147" s="6" t="s">
        <v>19</v>
      </c>
      <c r="J147" s="11">
        <v>5</v>
      </c>
      <c r="K147" s="11">
        <v>6</v>
      </c>
      <c r="L147" s="11">
        <v>7</v>
      </c>
      <c r="M147" s="15">
        <v>1</v>
      </c>
      <c r="R147" s="20">
        <v>1</v>
      </c>
      <c r="U147" s="17">
        <v>1</v>
      </c>
      <c r="W147" s="23">
        <v>1</v>
      </c>
      <c r="Y147" s="26">
        <v>1</v>
      </c>
    </row>
    <row r="148" spans="1:25" x14ac:dyDescent="0.25">
      <c r="A148" s="7">
        <v>14</v>
      </c>
      <c r="B148" s="6" t="s">
        <v>13</v>
      </c>
      <c r="C148" s="32">
        <v>2.1</v>
      </c>
      <c r="D148" s="6" t="s">
        <v>17</v>
      </c>
      <c r="E148" s="29">
        <v>5</v>
      </c>
      <c r="F148" s="13">
        <v>1.4</v>
      </c>
      <c r="G148" s="31">
        <v>2.96</v>
      </c>
      <c r="H148" s="13">
        <v>1.1000000000000001</v>
      </c>
      <c r="I148" s="6" t="s">
        <v>15</v>
      </c>
      <c r="J148" s="11">
        <v>7</v>
      </c>
      <c r="K148" s="11">
        <v>1</v>
      </c>
      <c r="L148" s="11">
        <v>9</v>
      </c>
      <c r="M148" s="15">
        <v>1</v>
      </c>
      <c r="R148" s="20">
        <v>1</v>
      </c>
      <c r="U148" s="17">
        <v>1</v>
      </c>
      <c r="W148" s="23">
        <v>1</v>
      </c>
      <c r="Y148" s="26">
        <v>1</v>
      </c>
    </row>
    <row r="149" spans="1:25" x14ac:dyDescent="0.25">
      <c r="A149" s="7">
        <v>16</v>
      </c>
      <c r="B149" s="6" t="s">
        <v>13</v>
      </c>
      <c r="C149" s="32">
        <v>3.8</v>
      </c>
      <c r="D149" s="6" t="s">
        <v>17</v>
      </c>
      <c r="E149" s="29">
        <v>5.7</v>
      </c>
      <c r="F149" s="13">
        <v>1.3</v>
      </c>
      <c r="G149" s="31">
        <v>3.84</v>
      </c>
      <c r="H149" s="13">
        <v>1.6</v>
      </c>
      <c r="I149" s="6" t="s">
        <v>19</v>
      </c>
      <c r="J149" s="11">
        <v>3</v>
      </c>
      <c r="K149" s="11">
        <v>4</v>
      </c>
      <c r="L149" s="11">
        <v>10</v>
      </c>
      <c r="M149" s="15">
        <v>1</v>
      </c>
      <c r="R149" s="20">
        <v>1</v>
      </c>
      <c r="U149" s="17">
        <v>1</v>
      </c>
      <c r="W149" s="23">
        <v>1</v>
      </c>
      <c r="Y149" s="26">
        <v>1</v>
      </c>
    </row>
    <row r="150" spans="1:25" x14ac:dyDescent="0.25">
      <c r="A150" s="7">
        <v>15</v>
      </c>
      <c r="B150" s="6" t="s">
        <v>16</v>
      </c>
      <c r="C150" s="32">
        <v>1.1000000000000001</v>
      </c>
      <c r="D150" s="6" t="s">
        <v>17</v>
      </c>
      <c r="E150" s="29">
        <v>8.1999999999999993</v>
      </c>
      <c r="F150" s="13">
        <v>0.7</v>
      </c>
      <c r="G150" s="31">
        <v>2.94</v>
      </c>
      <c r="H150" s="13">
        <v>0.7</v>
      </c>
      <c r="I150" s="6" t="s">
        <v>18</v>
      </c>
      <c r="J150" s="11">
        <v>10</v>
      </c>
      <c r="K150" s="11">
        <v>7</v>
      </c>
      <c r="L150" s="11">
        <v>9</v>
      </c>
      <c r="M150" s="15">
        <v>1</v>
      </c>
      <c r="R150" s="20">
        <v>1</v>
      </c>
      <c r="U150" s="17">
        <v>1</v>
      </c>
      <c r="W150" s="23">
        <v>1</v>
      </c>
      <c r="Y150" s="26">
        <v>1</v>
      </c>
    </row>
    <row r="151" spans="1:25" x14ac:dyDescent="0.25">
      <c r="A151" s="7">
        <v>14</v>
      </c>
      <c r="B151" s="6" t="s">
        <v>13</v>
      </c>
      <c r="C151" s="32">
        <v>2.5</v>
      </c>
      <c r="D151" s="6" t="s">
        <v>20</v>
      </c>
      <c r="E151" s="29">
        <v>5.3</v>
      </c>
      <c r="F151" s="13">
        <v>2.4</v>
      </c>
      <c r="G151" s="31">
        <v>3.87</v>
      </c>
      <c r="H151" s="13">
        <v>1.3</v>
      </c>
      <c r="I151" s="6" t="s">
        <v>18</v>
      </c>
      <c r="J151" s="11">
        <v>10</v>
      </c>
      <c r="K151" s="11">
        <v>9</v>
      </c>
      <c r="L151" s="11">
        <v>6</v>
      </c>
      <c r="M151" s="15">
        <v>1</v>
      </c>
      <c r="R151" s="20">
        <v>1</v>
      </c>
      <c r="U151" s="17">
        <v>1</v>
      </c>
      <c r="W151" s="23">
        <v>1</v>
      </c>
      <c r="Y151" s="26">
        <v>1</v>
      </c>
    </row>
    <row r="152" spans="1:25" x14ac:dyDescent="0.25">
      <c r="A152" s="7">
        <v>19</v>
      </c>
      <c r="B152" s="6" t="s">
        <v>16</v>
      </c>
      <c r="C152" s="32">
        <v>4.0999999999999996</v>
      </c>
      <c r="D152" s="6" t="s">
        <v>14</v>
      </c>
      <c r="E152" s="29">
        <v>6.4</v>
      </c>
      <c r="F152" s="13">
        <v>0.9</v>
      </c>
      <c r="G152" s="31">
        <v>2.4700000000000002</v>
      </c>
      <c r="H152" s="13">
        <v>1.2</v>
      </c>
      <c r="I152" s="6" t="s">
        <v>18</v>
      </c>
      <c r="J152" s="11">
        <v>7</v>
      </c>
      <c r="K152" s="11">
        <v>3</v>
      </c>
      <c r="L152" s="11">
        <v>4</v>
      </c>
      <c r="M152" s="15">
        <v>1</v>
      </c>
      <c r="R152" s="20">
        <v>1</v>
      </c>
      <c r="U152" s="17">
        <v>1</v>
      </c>
      <c r="W152" s="23">
        <v>1</v>
      </c>
      <c r="Y152" s="26">
        <v>1</v>
      </c>
    </row>
    <row r="153" spans="1:25" x14ac:dyDescent="0.25">
      <c r="A153" s="7">
        <v>16</v>
      </c>
      <c r="B153" s="6" t="s">
        <v>13</v>
      </c>
      <c r="C153" s="32">
        <v>3</v>
      </c>
      <c r="D153" s="6" t="s">
        <v>14</v>
      </c>
      <c r="E153" s="29">
        <v>8.6</v>
      </c>
      <c r="F153" s="13">
        <v>1.5</v>
      </c>
      <c r="G153" s="31">
        <v>2.84</v>
      </c>
      <c r="H153" s="13">
        <v>0.3</v>
      </c>
      <c r="I153" s="6" t="s">
        <v>18</v>
      </c>
      <c r="J153" s="11">
        <v>6</v>
      </c>
      <c r="K153" s="11">
        <v>4</v>
      </c>
      <c r="L153" s="11">
        <v>3</v>
      </c>
      <c r="M153" s="15">
        <v>1</v>
      </c>
      <c r="R153" s="20">
        <v>1</v>
      </c>
      <c r="U153" s="17">
        <v>1</v>
      </c>
      <c r="W153" s="23">
        <v>1</v>
      </c>
      <c r="Y153" s="26">
        <v>1</v>
      </c>
    </row>
    <row r="154" spans="1:25" x14ac:dyDescent="0.25">
      <c r="A154" s="7">
        <v>13</v>
      </c>
      <c r="B154" s="6" t="s">
        <v>16</v>
      </c>
      <c r="C154" s="32">
        <v>3.9</v>
      </c>
      <c r="D154" s="6" t="s">
        <v>14</v>
      </c>
      <c r="E154" s="29">
        <v>5</v>
      </c>
      <c r="F154" s="13">
        <v>0.7</v>
      </c>
      <c r="G154" s="31">
        <v>2.98</v>
      </c>
      <c r="H154" s="13">
        <v>0.3</v>
      </c>
      <c r="I154" s="6" t="s">
        <v>19</v>
      </c>
      <c r="J154" s="11">
        <v>10</v>
      </c>
      <c r="K154" s="11">
        <v>8</v>
      </c>
      <c r="L154" s="11">
        <v>3</v>
      </c>
      <c r="M154" s="15">
        <v>1</v>
      </c>
      <c r="R154" s="20">
        <v>1</v>
      </c>
      <c r="U154" s="17">
        <v>1</v>
      </c>
      <c r="W154" s="23">
        <v>1</v>
      </c>
      <c r="Y154" s="26">
        <v>1</v>
      </c>
    </row>
    <row r="155" spans="1:25" x14ac:dyDescent="0.25">
      <c r="A155" s="7">
        <v>13</v>
      </c>
      <c r="B155" s="6" t="s">
        <v>13</v>
      </c>
      <c r="C155" s="32">
        <v>7</v>
      </c>
      <c r="D155" s="6" t="s">
        <v>17</v>
      </c>
      <c r="E155" s="29">
        <v>8.9</v>
      </c>
      <c r="F155" s="13">
        <v>0.6</v>
      </c>
      <c r="G155" s="31">
        <v>2.7</v>
      </c>
      <c r="H155" s="13">
        <v>1.8</v>
      </c>
      <c r="I155" s="6" t="s">
        <v>19</v>
      </c>
      <c r="J155" s="11">
        <v>5</v>
      </c>
      <c r="K155" s="11">
        <v>4</v>
      </c>
      <c r="L155" s="11">
        <v>1</v>
      </c>
      <c r="M155" s="15">
        <v>1</v>
      </c>
      <c r="R155" s="20">
        <v>1</v>
      </c>
      <c r="U155" s="17">
        <v>1</v>
      </c>
      <c r="W155" s="23">
        <v>1</v>
      </c>
      <c r="Y155" s="26">
        <v>1</v>
      </c>
    </row>
    <row r="156" spans="1:25" x14ac:dyDescent="0.25">
      <c r="A156" s="7">
        <v>16</v>
      </c>
      <c r="B156" s="6" t="s">
        <v>13</v>
      </c>
      <c r="C156" s="32">
        <v>3.6</v>
      </c>
      <c r="D156" s="6" t="s">
        <v>20</v>
      </c>
      <c r="E156" s="29">
        <v>8.9</v>
      </c>
      <c r="F156" s="13">
        <v>1.9</v>
      </c>
      <c r="G156" s="31">
        <v>2.11</v>
      </c>
      <c r="H156" s="13">
        <v>1.7</v>
      </c>
      <c r="I156" s="6" t="s">
        <v>15</v>
      </c>
      <c r="J156" s="11">
        <v>9</v>
      </c>
      <c r="K156" s="11">
        <v>5</v>
      </c>
      <c r="L156" s="11">
        <v>2</v>
      </c>
      <c r="M156" s="15">
        <v>1</v>
      </c>
      <c r="R156" s="20">
        <v>1</v>
      </c>
      <c r="U156" s="17">
        <v>1</v>
      </c>
      <c r="W156" s="23">
        <v>1</v>
      </c>
      <c r="Y156" s="26">
        <v>1</v>
      </c>
    </row>
    <row r="157" spans="1:25" x14ac:dyDescent="0.25">
      <c r="A157" s="7">
        <v>15</v>
      </c>
      <c r="B157" s="6" t="s">
        <v>13</v>
      </c>
      <c r="C157" s="32">
        <v>7.6</v>
      </c>
      <c r="D157" s="6" t="s">
        <v>14</v>
      </c>
      <c r="E157" s="29">
        <v>7.6</v>
      </c>
      <c r="F157" s="13">
        <v>2.7</v>
      </c>
      <c r="G157" s="31">
        <v>2.36</v>
      </c>
      <c r="H157" s="13">
        <v>1.2</v>
      </c>
      <c r="I157" s="6" t="s">
        <v>19</v>
      </c>
      <c r="J157" s="11">
        <v>5</v>
      </c>
      <c r="K157" s="11">
        <v>10</v>
      </c>
      <c r="L157" s="11">
        <v>3</v>
      </c>
      <c r="M157" s="15">
        <v>1</v>
      </c>
      <c r="R157" s="20">
        <v>1</v>
      </c>
      <c r="U157" s="17">
        <v>1</v>
      </c>
      <c r="W157" s="23">
        <v>1</v>
      </c>
      <c r="Y157" s="26">
        <v>1</v>
      </c>
    </row>
    <row r="158" spans="1:25" x14ac:dyDescent="0.25">
      <c r="A158" s="7">
        <v>19</v>
      </c>
      <c r="B158" s="6" t="s">
        <v>13</v>
      </c>
      <c r="C158" s="32">
        <v>1.3</v>
      </c>
      <c r="D158" s="6" t="s">
        <v>14</v>
      </c>
      <c r="E158" s="29">
        <v>4.5</v>
      </c>
      <c r="F158" s="13">
        <v>0.7</v>
      </c>
      <c r="G158" s="31">
        <v>2.5099999999999998</v>
      </c>
      <c r="H158" s="13">
        <v>0.8</v>
      </c>
      <c r="I158" s="6" t="s">
        <v>15</v>
      </c>
      <c r="J158" s="11">
        <v>10</v>
      </c>
      <c r="K158" s="11">
        <v>9</v>
      </c>
      <c r="L158" s="11">
        <v>7</v>
      </c>
      <c r="M158" s="15">
        <v>1</v>
      </c>
      <c r="R158" s="20">
        <v>1</v>
      </c>
      <c r="U158" s="17">
        <v>1</v>
      </c>
      <c r="W158" s="23">
        <v>1</v>
      </c>
      <c r="Y158" s="26">
        <v>1</v>
      </c>
    </row>
    <row r="159" spans="1:25" x14ac:dyDescent="0.25">
      <c r="A159" s="7">
        <v>17</v>
      </c>
      <c r="B159" s="6" t="s">
        <v>16</v>
      </c>
      <c r="C159" s="32">
        <v>2.1</v>
      </c>
      <c r="D159" s="6" t="s">
        <v>20</v>
      </c>
      <c r="E159" s="29">
        <v>7.8</v>
      </c>
      <c r="F159" s="13">
        <v>2.1</v>
      </c>
      <c r="G159" s="31">
        <v>3.29</v>
      </c>
      <c r="H159" s="13">
        <v>1.5</v>
      </c>
      <c r="I159" s="6" t="s">
        <v>15</v>
      </c>
      <c r="J159" s="11">
        <v>8</v>
      </c>
      <c r="K159" s="11">
        <v>1</v>
      </c>
      <c r="L159" s="11">
        <v>7</v>
      </c>
      <c r="M159" s="15">
        <v>1</v>
      </c>
      <c r="R159" s="20">
        <v>1</v>
      </c>
      <c r="U159" s="17">
        <v>1</v>
      </c>
      <c r="W159" s="23">
        <v>1</v>
      </c>
      <c r="Y159" s="26">
        <v>1</v>
      </c>
    </row>
    <row r="160" spans="1:25" x14ac:dyDescent="0.25">
      <c r="A160" s="7">
        <v>15</v>
      </c>
      <c r="B160" s="6" t="s">
        <v>16</v>
      </c>
      <c r="C160" s="32">
        <v>2.7</v>
      </c>
      <c r="D160" s="6" t="s">
        <v>20</v>
      </c>
      <c r="E160" s="29">
        <v>8.8000000000000007</v>
      </c>
      <c r="F160" s="13">
        <v>1.9</v>
      </c>
      <c r="G160" s="31">
        <v>2.14</v>
      </c>
      <c r="H160" s="13">
        <v>0.4</v>
      </c>
      <c r="I160" s="6" t="s">
        <v>18</v>
      </c>
      <c r="J160" s="11">
        <v>8</v>
      </c>
      <c r="K160" s="11">
        <v>10</v>
      </c>
      <c r="L160" s="11">
        <v>3</v>
      </c>
      <c r="M160" s="15">
        <v>-1</v>
      </c>
      <c r="R160" s="20">
        <v>-1</v>
      </c>
      <c r="U160" s="17">
        <v>-1</v>
      </c>
      <c r="W160" s="23">
        <v>-1</v>
      </c>
      <c r="Y160" s="26">
        <v>-1</v>
      </c>
    </row>
    <row r="161" spans="1:25" x14ac:dyDescent="0.25">
      <c r="A161" s="7">
        <v>13</v>
      </c>
      <c r="B161" s="6" t="s">
        <v>13</v>
      </c>
      <c r="C161" s="32">
        <v>7.5</v>
      </c>
      <c r="D161" s="6" t="s">
        <v>20</v>
      </c>
      <c r="E161" s="29">
        <v>8</v>
      </c>
      <c r="F161" s="13">
        <v>2</v>
      </c>
      <c r="G161" s="31">
        <v>3.25</v>
      </c>
      <c r="H161" s="13">
        <v>0.7</v>
      </c>
      <c r="I161" s="6" t="s">
        <v>19</v>
      </c>
      <c r="J161" s="11">
        <v>9</v>
      </c>
      <c r="K161" s="11">
        <v>10</v>
      </c>
      <c r="L161" s="11">
        <v>2</v>
      </c>
      <c r="M161" s="15">
        <v>-1</v>
      </c>
      <c r="R161" s="20">
        <v>-1</v>
      </c>
      <c r="U161" s="17">
        <v>-1</v>
      </c>
      <c r="W161" s="23">
        <v>-1</v>
      </c>
      <c r="Y161" s="26">
        <v>-1</v>
      </c>
    </row>
    <row r="162" spans="1:25" x14ac:dyDescent="0.25">
      <c r="A162" s="7">
        <v>16</v>
      </c>
      <c r="B162" s="6" t="s">
        <v>16</v>
      </c>
      <c r="C162" s="32">
        <v>6.1</v>
      </c>
      <c r="D162" s="6" t="s">
        <v>20</v>
      </c>
      <c r="E162" s="29">
        <v>8.8000000000000007</v>
      </c>
      <c r="F162" s="13">
        <v>1.7</v>
      </c>
      <c r="G162" s="31">
        <v>3.55</v>
      </c>
      <c r="H162" s="13">
        <v>1.3</v>
      </c>
      <c r="I162" s="6" t="s">
        <v>19</v>
      </c>
      <c r="J162" s="11">
        <v>6</v>
      </c>
      <c r="K162" s="11">
        <v>10</v>
      </c>
      <c r="L162" s="11">
        <v>9</v>
      </c>
      <c r="M162" s="15">
        <v>-1</v>
      </c>
      <c r="R162" s="20">
        <v>-1</v>
      </c>
      <c r="U162" s="17">
        <v>-1</v>
      </c>
      <c r="W162" s="23">
        <v>-1</v>
      </c>
      <c r="Y162" s="26">
        <v>-1</v>
      </c>
    </row>
    <row r="163" spans="1:25" x14ac:dyDescent="0.25">
      <c r="A163" s="7">
        <v>19</v>
      </c>
      <c r="B163" s="6" t="s">
        <v>13</v>
      </c>
      <c r="C163" s="32">
        <v>2.4</v>
      </c>
      <c r="D163" s="6" t="s">
        <v>20</v>
      </c>
      <c r="E163" s="29">
        <v>7.4</v>
      </c>
      <c r="F163" s="13">
        <v>1.2</v>
      </c>
      <c r="G163" s="31">
        <v>2.5</v>
      </c>
      <c r="H163" s="13">
        <v>1.8</v>
      </c>
      <c r="I163" s="6" t="s">
        <v>18</v>
      </c>
      <c r="J163" s="11">
        <v>2</v>
      </c>
      <c r="K163" s="11">
        <v>5</v>
      </c>
      <c r="L163" s="11">
        <v>2</v>
      </c>
      <c r="M163" s="15">
        <v>-1</v>
      </c>
      <c r="R163" s="20">
        <v>-1</v>
      </c>
      <c r="U163" s="17">
        <v>-1</v>
      </c>
      <c r="W163" s="23">
        <v>-1</v>
      </c>
      <c r="Y163" s="26">
        <v>-1</v>
      </c>
    </row>
    <row r="164" spans="1:25" x14ac:dyDescent="0.25">
      <c r="A164" s="7">
        <v>19</v>
      </c>
      <c r="B164" s="6" t="s">
        <v>13</v>
      </c>
      <c r="C164" s="32">
        <v>2</v>
      </c>
      <c r="D164" s="6" t="s">
        <v>17</v>
      </c>
      <c r="E164" s="29">
        <v>5.3</v>
      </c>
      <c r="F164" s="13">
        <v>1.7</v>
      </c>
      <c r="G164" s="31">
        <v>2.91</v>
      </c>
      <c r="H164" s="13">
        <v>0.8</v>
      </c>
      <c r="I164" s="6" t="s">
        <v>15</v>
      </c>
      <c r="J164" s="11">
        <v>9</v>
      </c>
      <c r="K164" s="11">
        <v>5</v>
      </c>
      <c r="L164" s="11">
        <v>9</v>
      </c>
      <c r="M164" s="15">
        <v>-1</v>
      </c>
      <c r="R164" s="20">
        <v>-1</v>
      </c>
      <c r="U164" s="17">
        <v>-1</v>
      </c>
      <c r="W164" s="23">
        <v>-1</v>
      </c>
      <c r="Y164" s="26">
        <v>-1</v>
      </c>
    </row>
    <row r="165" spans="1:25" x14ac:dyDescent="0.25">
      <c r="A165" s="7">
        <v>15</v>
      </c>
      <c r="B165" s="6" t="s">
        <v>16</v>
      </c>
      <c r="C165" s="32">
        <v>7.8</v>
      </c>
      <c r="D165" s="6" t="s">
        <v>17</v>
      </c>
      <c r="E165" s="29">
        <v>5.3</v>
      </c>
      <c r="F165" s="13">
        <v>0.5</v>
      </c>
      <c r="G165" s="31">
        <v>2.3199999999999998</v>
      </c>
      <c r="H165" s="13">
        <v>0.8</v>
      </c>
      <c r="I165" s="6" t="s">
        <v>15</v>
      </c>
      <c r="J165" s="11">
        <v>8</v>
      </c>
      <c r="K165" s="11">
        <v>9</v>
      </c>
      <c r="L165" s="11">
        <v>3</v>
      </c>
      <c r="M165" s="15">
        <v>-1</v>
      </c>
      <c r="R165" s="20">
        <v>-1</v>
      </c>
      <c r="U165" s="17">
        <v>-1</v>
      </c>
      <c r="W165" s="23">
        <v>-1</v>
      </c>
      <c r="Y165" s="26">
        <v>-1</v>
      </c>
    </row>
    <row r="166" spans="1:25" x14ac:dyDescent="0.25">
      <c r="A166" s="7">
        <v>16</v>
      </c>
      <c r="B166" s="6" t="s">
        <v>16</v>
      </c>
      <c r="C166" s="32">
        <v>6.8</v>
      </c>
      <c r="D166" s="6" t="s">
        <v>17</v>
      </c>
      <c r="E166" s="29">
        <v>7.2</v>
      </c>
      <c r="F166" s="13">
        <v>2.5</v>
      </c>
      <c r="G166" s="31">
        <v>3.61</v>
      </c>
      <c r="H166" s="13">
        <v>0.5</v>
      </c>
      <c r="I166" s="6" t="s">
        <v>19</v>
      </c>
      <c r="J166" s="11">
        <v>10</v>
      </c>
      <c r="K166" s="11">
        <v>1</v>
      </c>
      <c r="L166" s="11">
        <v>9</v>
      </c>
      <c r="M166" s="15">
        <v>-1</v>
      </c>
      <c r="R166" s="20">
        <v>-1</v>
      </c>
      <c r="U166" s="17">
        <v>-1</v>
      </c>
      <c r="W166" s="23">
        <v>-1</v>
      </c>
      <c r="Y166" s="26">
        <v>-1</v>
      </c>
    </row>
    <row r="167" spans="1:25" x14ac:dyDescent="0.25">
      <c r="A167" s="7">
        <v>17</v>
      </c>
      <c r="B167" s="6" t="s">
        <v>13</v>
      </c>
      <c r="C167" s="32">
        <v>8</v>
      </c>
      <c r="D167" s="6" t="s">
        <v>14</v>
      </c>
      <c r="E167" s="29">
        <v>4.5999999999999996</v>
      </c>
      <c r="F167" s="13">
        <v>2.6</v>
      </c>
      <c r="G167" s="31">
        <v>3.06</v>
      </c>
      <c r="H167" s="13">
        <v>0.1</v>
      </c>
      <c r="I167" s="6" t="s">
        <v>18</v>
      </c>
      <c r="J167" s="11">
        <v>9</v>
      </c>
      <c r="K167" s="11">
        <v>2</v>
      </c>
      <c r="L167" s="11">
        <v>6</v>
      </c>
      <c r="M167" s="15">
        <v>1</v>
      </c>
      <c r="R167" s="20">
        <v>1</v>
      </c>
      <c r="U167" s="17">
        <v>1</v>
      </c>
      <c r="W167" s="23">
        <v>1</v>
      </c>
      <c r="Y167" s="26">
        <v>1</v>
      </c>
    </row>
    <row r="168" spans="1:25" x14ac:dyDescent="0.25">
      <c r="A168" s="7">
        <v>13</v>
      </c>
      <c r="B168" s="6" t="s">
        <v>16</v>
      </c>
      <c r="C168" s="32">
        <v>7.3</v>
      </c>
      <c r="D168" s="6" t="s">
        <v>20</v>
      </c>
      <c r="E168" s="29">
        <v>8.9</v>
      </c>
      <c r="F168" s="13">
        <v>2.7</v>
      </c>
      <c r="G168" s="31">
        <v>3.68</v>
      </c>
      <c r="H168" s="13">
        <v>1.9</v>
      </c>
      <c r="I168" s="6" t="s">
        <v>15</v>
      </c>
      <c r="J168" s="11">
        <v>6</v>
      </c>
      <c r="K168" s="11">
        <v>6</v>
      </c>
      <c r="L168" s="11">
        <v>10</v>
      </c>
      <c r="M168" s="15">
        <v>1</v>
      </c>
      <c r="R168" s="20">
        <v>1</v>
      </c>
      <c r="U168" s="17">
        <v>1</v>
      </c>
      <c r="W168" s="23">
        <v>1</v>
      </c>
      <c r="Y168" s="26">
        <v>1</v>
      </c>
    </row>
    <row r="169" spans="1:25" x14ac:dyDescent="0.25">
      <c r="A169" s="7">
        <v>15</v>
      </c>
      <c r="B169" s="6" t="s">
        <v>16</v>
      </c>
      <c r="C169" s="32">
        <v>1.5</v>
      </c>
      <c r="D169" s="6" t="s">
        <v>20</v>
      </c>
      <c r="E169" s="29">
        <v>8.6999999999999993</v>
      </c>
      <c r="F169" s="13">
        <v>1.2</v>
      </c>
      <c r="G169" s="31">
        <v>2.52</v>
      </c>
      <c r="H169" s="13">
        <v>0.1</v>
      </c>
      <c r="I169" s="6" t="s">
        <v>15</v>
      </c>
      <c r="J169" s="11">
        <v>9</v>
      </c>
      <c r="K169" s="11">
        <v>7</v>
      </c>
      <c r="L169" s="11">
        <v>2</v>
      </c>
      <c r="M169" s="15">
        <v>1</v>
      </c>
      <c r="R169" s="20">
        <v>1</v>
      </c>
      <c r="U169" s="17">
        <v>1</v>
      </c>
      <c r="W169" s="23">
        <v>1</v>
      </c>
      <c r="Y169" s="26">
        <v>1</v>
      </c>
    </row>
    <row r="170" spans="1:25" x14ac:dyDescent="0.25">
      <c r="A170" s="7">
        <v>15</v>
      </c>
      <c r="B170" s="6" t="s">
        <v>16</v>
      </c>
      <c r="C170" s="32">
        <v>3.4</v>
      </c>
      <c r="D170" s="6" t="s">
        <v>14</v>
      </c>
      <c r="E170" s="29">
        <v>5</v>
      </c>
      <c r="F170" s="13">
        <v>1.8</v>
      </c>
      <c r="G170" s="31">
        <v>3.2</v>
      </c>
      <c r="H170" s="13">
        <v>1.5</v>
      </c>
      <c r="I170" s="6" t="s">
        <v>19</v>
      </c>
      <c r="J170" s="11">
        <v>4</v>
      </c>
      <c r="K170" s="11">
        <v>5</v>
      </c>
      <c r="L170" s="11">
        <v>1</v>
      </c>
      <c r="M170" s="15">
        <v>1</v>
      </c>
      <c r="R170" s="20">
        <v>1</v>
      </c>
      <c r="U170" s="17">
        <v>1</v>
      </c>
      <c r="W170" s="23">
        <v>1</v>
      </c>
      <c r="Y170" s="26">
        <v>1</v>
      </c>
    </row>
    <row r="171" spans="1:25" x14ac:dyDescent="0.25">
      <c r="A171" s="7">
        <v>15</v>
      </c>
      <c r="B171" s="6" t="s">
        <v>13</v>
      </c>
      <c r="C171" s="32">
        <v>7.3</v>
      </c>
      <c r="D171" s="6" t="s">
        <v>20</v>
      </c>
      <c r="E171" s="29">
        <v>4.8</v>
      </c>
      <c r="F171" s="13">
        <v>2.6</v>
      </c>
      <c r="G171" s="31">
        <v>3.81</v>
      </c>
      <c r="H171" s="13">
        <v>1.5</v>
      </c>
      <c r="I171" s="6" t="s">
        <v>15</v>
      </c>
      <c r="J171" s="11">
        <v>4</v>
      </c>
      <c r="K171" s="11">
        <v>7</v>
      </c>
      <c r="L171" s="11">
        <v>4</v>
      </c>
      <c r="M171" s="15">
        <v>1</v>
      </c>
      <c r="R171" s="20">
        <v>1</v>
      </c>
      <c r="U171" s="17">
        <v>1</v>
      </c>
      <c r="W171" s="23">
        <v>1</v>
      </c>
      <c r="Y171" s="26">
        <v>1</v>
      </c>
    </row>
    <row r="172" spans="1:25" x14ac:dyDescent="0.25">
      <c r="A172" s="7">
        <v>13</v>
      </c>
      <c r="B172" s="6" t="s">
        <v>16</v>
      </c>
      <c r="C172" s="32">
        <v>1.9</v>
      </c>
      <c r="D172" s="6" t="s">
        <v>17</v>
      </c>
      <c r="E172" s="29">
        <v>8.5</v>
      </c>
      <c r="F172" s="13">
        <v>0.8</v>
      </c>
      <c r="G172" s="31">
        <v>3.33</v>
      </c>
      <c r="H172" s="13">
        <v>1.3</v>
      </c>
      <c r="I172" s="6" t="s">
        <v>19</v>
      </c>
      <c r="J172" s="11">
        <v>5</v>
      </c>
      <c r="K172" s="11">
        <v>1</v>
      </c>
      <c r="L172" s="11">
        <v>3</v>
      </c>
      <c r="M172" s="15">
        <v>1</v>
      </c>
      <c r="R172" s="20">
        <v>1</v>
      </c>
      <c r="U172" s="17">
        <v>1</v>
      </c>
      <c r="W172" s="23">
        <v>1</v>
      </c>
      <c r="Y172" s="26">
        <v>1</v>
      </c>
    </row>
    <row r="173" spans="1:25" x14ac:dyDescent="0.25">
      <c r="A173" s="7">
        <v>17</v>
      </c>
      <c r="B173" s="6" t="s">
        <v>16</v>
      </c>
      <c r="C173" s="32">
        <v>3.9</v>
      </c>
      <c r="D173" s="6" t="s">
        <v>14</v>
      </c>
      <c r="E173" s="29">
        <v>8.1999999999999993</v>
      </c>
      <c r="F173" s="13">
        <v>1.3</v>
      </c>
      <c r="G173" s="31">
        <v>3.21</v>
      </c>
      <c r="H173" s="13">
        <v>1.8</v>
      </c>
      <c r="I173" s="6" t="s">
        <v>19</v>
      </c>
      <c r="J173" s="11">
        <v>3</v>
      </c>
      <c r="K173" s="11">
        <v>7</v>
      </c>
      <c r="L173" s="11">
        <v>7</v>
      </c>
      <c r="M173" s="15">
        <v>1</v>
      </c>
      <c r="R173" s="20">
        <v>1</v>
      </c>
      <c r="U173" s="17">
        <v>1</v>
      </c>
      <c r="W173" s="23">
        <v>1</v>
      </c>
      <c r="Y173" s="26">
        <v>1</v>
      </c>
    </row>
    <row r="174" spans="1:25" x14ac:dyDescent="0.25">
      <c r="A174" s="7">
        <v>18</v>
      </c>
      <c r="B174" s="6" t="s">
        <v>13</v>
      </c>
      <c r="C174" s="32">
        <v>1.3</v>
      </c>
      <c r="D174" s="6" t="s">
        <v>14</v>
      </c>
      <c r="E174" s="29">
        <v>5.8</v>
      </c>
      <c r="F174" s="13">
        <v>1.3</v>
      </c>
      <c r="G174" s="31">
        <v>3.35</v>
      </c>
      <c r="H174" s="13">
        <v>1.9</v>
      </c>
      <c r="I174" s="6" t="s">
        <v>19</v>
      </c>
      <c r="J174" s="11">
        <v>9</v>
      </c>
      <c r="K174" s="11">
        <v>4</v>
      </c>
      <c r="L174" s="11">
        <v>9</v>
      </c>
      <c r="M174" s="15">
        <v>1</v>
      </c>
      <c r="R174" s="20">
        <v>1</v>
      </c>
      <c r="U174" s="17">
        <v>1</v>
      </c>
      <c r="W174" s="23">
        <v>1</v>
      </c>
      <c r="Y174" s="26">
        <v>1</v>
      </c>
    </row>
    <row r="175" spans="1:25" x14ac:dyDescent="0.25">
      <c r="A175" s="7">
        <v>19</v>
      </c>
      <c r="B175" s="6" t="s">
        <v>13</v>
      </c>
      <c r="C175" s="32">
        <v>4.7</v>
      </c>
      <c r="D175" s="6" t="s">
        <v>17</v>
      </c>
      <c r="E175" s="29">
        <v>8.1999999999999993</v>
      </c>
      <c r="F175" s="13">
        <v>1.8</v>
      </c>
      <c r="G175" s="31">
        <v>2.2599999999999998</v>
      </c>
      <c r="H175" s="13">
        <v>1</v>
      </c>
      <c r="I175" s="6" t="s">
        <v>15</v>
      </c>
      <c r="J175" s="11">
        <v>7</v>
      </c>
      <c r="K175" s="11">
        <v>4</v>
      </c>
      <c r="L175" s="11">
        <v>7</v>
      </c>
      <c r="M175" s="15">
        <v>1</v>
      </c>
      <c r="R175" s="20">
        <v>1</v>
      </c>
      <c r="U175" s="17">
        <v>1</v>
      </c>
      <c r="W175" s="23">
        <v>1</v>
      </c>
      <c r="Y175" s="26">
        <v>1</v>
      </c>
    </row>
    <row r="176" spans="1:25" x14ac:dyDescent="0.25">
      <c r="A176" s="7">
        <v>15</v>
      </c>
      <c r="B176" s="6" t="s">
        <v>13</v>
      </c>
      <c r="C176" s="32">
        <v>1.9</v>
      </c>
      <c r="D176" s="6" t="s">
        <v>17</v>
      </c>
      <c r="E176" s="29">
        <v>5.8</v>
      </c>
      <c r="F176" s="13">
        <v>2.2999999999999998</v>
      </c>
      <c r="G176" s="31">
        <v>2.4700000000000002</v>
      </c>
      <c r="H176" s="13">
        <v>0.3</v>
      </c>
      <c r="I176" s="6" t="s">
        <v>18</v>
      </c>
      <c r="J176" s="11">
        <v>10</v>
      </c>
      <c r="K176" s="11">
        <v>9</v>
      </c>
      <c r="L176" s="11">
        <v>4</v>
      </c>
      <c r="M176" s="15">
        <v>1</v>
      </c>
      <c r="R176" s="20">
        <v>1</v>
      </c>
      <c r="U176" s="17">
        <v>1</v>
      </c>
      <c r="W176" s="23">
        <v>1</v>
      </c>
      <c r="Y176" s="26">
        <v>1</v>
      </c>
    </row>
    <row r="177" spans="1:25" x14ac:dyDescent="0.25">
      <c r="A177" s="7">
        <v>18</v>
      </c>
      <c r="B177" s="6" t="s">
        <v>16</v>
      </c>
      <c r="C177" s="32">
        <v>7</v>
      </c>
      <c r="D177" s="6" t="s">
        <v>20</v>
      </c>
      <c r="E177" s="29">
        <v>6.3</v>
      </c>
      <c r="F177" s="13">
        <v>1.6</v>
      </c>
      <c r="G177" s="31">
        <v>2.5499999999999998</v>
      </c>
      <c r="H177" s="13">
        <v>0.5</v>
      </c>
      <c r="I177" s="6" t="s">
        <v>19</v>
      </c>
      <c r="J177" s="11">
        <v>10</v>
      </c>
      <c r="K177" s="11">
        <v>1</v>
      </c>
      <c r="L177" s="11">
        <v>8</v>
      </c>
      <c r="M177" s="15">
        <v>1</v>
      </c>
      <c r="R177" s="20">
        <v>1</v>
      </c>
      <c r="U177" s="17">
        <v>1</v>
      </c>
      <c r="W177" s="23">
        <v>1</v>
      </c>
      <c r="Y177" s="26">
        <v>1</v>
      </c>
    </row>
    <row r="178" spans="1:25" x14ac:dyDescent="0.25">
      <c r="A178" s="7">
        <v>15</v>
      </c>
      <c r="B178" s="6" t="s">
        <v>13</v>
      </c>
      <c r="C178" s="32">
        <v>6.2</v>
      </c>
      <c r="D178" s="6" t="s">
        <v>17</v>
      </c>
      <c r="E178" s="29">
        <v>6.3</v>
      </c>
      <c r="F178" s="13">
        <v>1.7</v>
      </c>
      <c r="G178" s="31">
        <v>2.2599999999999998</v>
      </c>
      <c r="H178" s="13">
        <v>1.1000000000000001</v>
      </c>
      <c r="I178" s="6" t="s">
        <v>18</v>
      </c>
      <c r="J178" s="11">
        <v>9</v>
      </c>
      <c r="K178" s="11">
        <v>6</v>
      </c>
      <c r="L178" s="11">
        <v>2</v>
      </c>
      <c r="M178" s="15">
        <v>1</v>
      </c>
      <c r="R178" s="20">
        <v>1</v>
      </c>
      <c r="U178" s="17">
        <v>1</v>
      </c>
      <c r="W178" s="23">
        <v>1</v>
      </c>
      <c r="Y178" s="26">
        <v>1</v>
      </c>
    </row>
    <row r="179" spans="1:25" x14ac:dyDescent="0.25">
      <c r="A179" s="7">
        <v>14</v>
      </c>
      <c r="B179" s="6" t="s">
        <v>13</v>
      </c>
      <c r="C179" s="32">
        <v>3.2</v>
      </c>
      <c r="D179" s="6" t="s">
        <v>17</v>
      </c>
      <c r="E179" s="29">
        <v>8</v>
      </c>
      <c r="F179" s="13">
        <v>1.3</v>
      </c>
      <c r="G179" s="31">
        <v>2.5</v>
      </c>
      <c r="H179" s="13">
        <v>1.1000000000000001</v>
      </c>
      <c r="I179" s="6" t="s">
        <v>18</v>
      </c>
      <c r="J179" s="11">
        <v>2</v>
      </c>
      <c r="K179" s="11">
        <v>7</v>
      </c>
      <c r="L179" s="11">
        <v>5</v>
      </c>
      <c r="M179" s="15">
        <v>1</v>
      </c>
      <c r="R179" s="20">
        <v>1</v>
      </c>
      <c r="U179" s="17">
        <v>1</v>
      </c>
      <c r="W179" s="23">
        <v>1</v>
      </c>
      <c r="Y179" s="26">
        <v>1</v>
      </c>
    </row>
    <row r="180" spans="1:25" x14ac:dyDescent="0.25">
      <c r="A180" s="7">
        <v>18</v>
      </c>
      <c r="B180" s="6" t="s">
        <v>16</v>
      </c>
      <c r="C180" s="32">
        <v>4.5</v>
      </c>
      <c r="D180" s="6" t="s">
        <v>20</v>
      </c>
      <c r="E180" s="29">
        <v>7.9</v>
      </c>
      <c r="F180" s="13">
        <v>1.4</v>
      </c>
      <c r="G180" s="31">
        <v>2.38</v>
      </c>
      <c r="H180" s="13">
        <v>0.1</v>
      </c>
      <c r="I180" s="6" t="s">
        <v>18</v>
      </c>
      <c r="J180" s="11">
        <v>7</v>
      </c>
      <c r="K180" s="11">
        <v>9</v>
      </c>
      <c r="L180" s="11">
        <v>1</v>
      </c>
      <c r="M180" s="15">
        <v>1</v>
      </c>
      <c r="R180" s="20">
        <v>1</v>
      </c>
      <c r="U180" s="17">
        <v>1</v>
      </c>
      <c r="W180" s="23">
        <v>1</v>
      </c>
      <c r="Y180" s="26">
        <v>1</v>
      </c>
    </row>
    <row r="181" spans="1:25" x14ac:dyDescent="0.25">
      <c r="A181" s="7">
        <v>14</v>
      </c>
      <c r="B181" s="6" t="s">
        <v>16</v>
      </c>
      <c r="C181" s="32">
        <v>1.1000000000000001</v>
      </c>
      <c r="D181" s="6" t="s">
        <v>20</v>
      </c>
      <c r="E181" s="29">
        <v>6.1</v>
      </c>
      <c r="F181" s="13">
        <v>2.5</v>
      </c>
      <c r="G181" s="31">
        <v>2.8</v>
      </c>
      <c r="H181" s="13">
        <v>1.8</v>
      </c>
      <c r="I181" s="6" t="s">
        <v>18</v>
      </c>
      <c r="J181" s="11">
        <v>4</v>
      </c>
      <c r="K181" s="11">
        <v>10</v>
      </c>
      <c r="L181" s="11">
        <v>3</v>
      </c>
      <c r="M181" s="15">
        <v>1</v>
      </c>
      <c r="R181" s="20">
        <v>1</v>
      </c>
      <c r="U181" s="17">
        <v>1</v>
      </c>
      <c r="W181" s="23">
        <v>1</v>
      </c>
      <c r="Y181" s="26">
        <v>1</v>
      </c>
    </row>
    <row r="182" spans="1:25" x14ac:dyDescent="0.25">
      <c r="A182" s="7">
        <v>13</v>
      </c>
      <c r="B182" s="6" t="s">
        <v>13</v>
      </c>
      <c r="C182" s="32">
        <v>5.9</v>
      </c>
      <c r="D182" s="6" t="s">
        <v>14</v>
      </c>
      <c r="E182" s="29">
        <v>8</v>
      </c>
      <c r="F182" s="13">
        <v>2.8</v>
      </c>
      <c r="G182" s="31">
        <v>3.21</v>
      </c>
      <c r="H182" s="13">
        <v>1.6</v>
      </c>
      <c r="I182" s="6" t="s">
        <v>19</v>
      </c>
      <c r="J182" s="11">
        <v>2</v>
      </c>
      <c r="K182" s="11">
        <v>8</v>
      </c>
      <c r="L182" s="11">
        <v>8</v>
      </c>
      <c r="M182" s="15">
        <v>1</v>
      </c>
      <c r="R182" s="20">
        <v>1</v>
      </c>
      <c r="U182" s="17">
        <v>1</v>
      </c>
      <c r="W182" s="23">
        <v>1</v>
      </c>
      <c r="Y182" s="26">
        <v>1</v>
      </c>
    </row>
    <row r="183" spans="1:25" x14ac:dyDescent="0.25">
      <c r="A183" s="7">
        <v>17</v>
      </c>
      <c r="B183" s="6" t="s">
        <v>13</v>
      </c>
      <c r="C183" s="32">
        <v>5.0999999999999996</v>
      </c>
      <c r="D183" s="6" t="s">
        <v>20</v>
      </c>
      <c r="E183" s="29">
        <v>5</v>
      </c>
      <c r="F183" s="13">
        <v>2.2000000000000002</v>
      </c>
      <c r="G183" s="31">
        <v>3.58</v>
      </c>
      <c r="H183" s="13">
        <v>1.2</v>
      </c>
      <c r="I183" s="6" t="s">
        <v>18</v>
      </c>
      <c r="J183" s="11">
        <v>6</v>
      </c>
      <c r="K183" s="11">
        <v>3</v>
      </c>
      <c r="L183" s="11">
        <v>9</v>
      </c>
      <c r="M183" s="15">
        <v>1</v>
      </c>
      <c r="R183" s="20">
        <v>1</v>
      </c>
      <c r="U183" s="17">
        <v>1</v>
      </c>
      <c r="W183" s="23">
        <v>1</v>
      </c>
      <c r="Y183" s="26">
        <v>1</v>
      </c>
    </row>
    <row r="184" spans="1:25" x14ac:dyDescent="0.25">
      <c r="A184" s="7">
        <v>15</v>
      </c>
      <c r="B184" s="6" t="s">
        <v>13</v>
      </c>
      <c r="C184" s="32">
        <v>1.6</v>
      </c>
      <c r="D184" s="6" t="s">
        <v>14</v>
      </c>
      <c r="E184" s="29">
        <v>6.9</v>
      </c>
      <c r="F184" s="13">
        <v>2.2999999999999998</v>
      </c>
      <c r="G184" s="31">
        <v>3.16</v>
      </c>
      <c r="H184" s="13">
        <v>0.9</v>
      </c>
      <c r="I184" s="6" t="s">
        <v>19</v>
      </c>
      <c r="J184" s="11">
        <v>3</v>
      </c>
      <c r="K184" s="11">
        <v>1</v>
      </c>
      <c r="L184" s="11">
        <v>5</v>
      </c>
      <c r="M184" s="15">
        <v>1</v>
      </c>
      <c r="R184" s="20">
        <v>1</v>
      </c>
      <c r="U184" s="17">
        <v>1</v>
      </c>
      <c r="W184" s="23">
        <v>1</v>
      </c>
      <c r="Y184" s="26">
        <v>1</v>
      </c>
    </row>
    <row r="185" spans="1:25" x14ac:dyDescent="0.25">
      <c r="A185" s="7">
        <v>15</v>
      </c>
      <c r="B185" s="6" t="s">
        <v>16</v>
      </c>
      <c r="C185" s="32">
        <v>7.2</v>
      </c>
      <c r="D185" s="6" t="s">
        <v>17</v>
      </c>
      <c r="E185" s="29">
        <v>8</v>
      </c>
      <c r="F185" s="13">
        <v>1.4</v>
      </c>
      <c r="G185" s="31">
        <v>3.64</v>
      </c>
      <c r="H185" s="13">
        <v>0.4</v>
      </c>
      <c r="I185" s="6" t="s">
        <v>19</v>
      </c>
      <c r="J185" s="11">
        <v>10</v>
      </c>
      <c r="K185" s="11">
        <v>5</v>
      </c>
      <c r="L185" s="11">
        <v>7</v>
      </c>
      <c r="M185" s="15">
        <v>1</v>
      </c>
      <c r="R185" s="20">
        <v>1</v>
      </c>
      <c r="U185" s="17">
        <v>1</v>
      </c>
      <c r="W185" s="23">
        <v>1</v>
      </c>
      <c r="Y185" s="26">
        <v>1</v>
      </c>
    </row>
    <row r="186" spans="1:25" x14ac:dyDescent="0.25">
      <c r="A186" s="7">
        <v>17</v>
      </c>
      <c r="B186" s="6" t="s">
        <v>16</v>
      </c>
      <c r="C186" s="32">
        <v>1.4</v>
      </c>
      <c r="D186" s="6" t="s">
        <v>14</v>
      </c>
      <c r="E186" s="29">
        <v>6.9</v>
      </c>
      <c r="F186" s="13">
        <v>2.4</v>
      </c>
      <c r="G186" s="31">
        <v>3.06</v>
      </c>
      <c r="H186" s="13">
        <v>1.9</v>
      </c>
      <c r="I186" s="6" t="s">
        <v>19</v>
      </c>
      <c r="J186" s="11">
        <v>4</v>
      </c>
      <c r="K186" s="11">
        <v>10</v>
      </c>
      <c r="L186" s="11">
        <v>8</v>
      </c>
      <c r="M186" s="15">
        <v>1</v>
      </c>
      <c r="R186" s="20">
        <v>1</v>
      </c>
      <c r="U186" s="17">
        <v>1</v>
      </c>
      <c r="W186" s="23">
        <v>1</v>
      </c>
      <c r="Y186" s="26">
        <v>1</v>
      </c>
    </row>
    <row r="187" spans="1:25" x14ac:dyDescent="0.25">
      <c r="A187" s="7">
        <v>17</v>
      </c>
      <c r="B187" s="6" t="s">
        <v>16</v>
      </c>
      <c r="C187" s="32">
        <v>6.6</v>
      </c>
      <c r="D187" s="6" t="s">
        <v>14</v>
      </c>
      <c r="E187" s="29">
        <v>8</v>
      </c>
      <c r="F187" s="13">
        <v>2.2000000000000002</v>
      </c>
      <c r="G187" s="31">
        <v>2.21</v>
      </c>
      <c r="H187" s="13">
        <v>1</v>
      </c>
      <c r="I187" s="6" t="s">
        <v>18</v>
      </c>
      <c r="J187" s="11">
        <v>10</v>
      </c>
      <c r="K187" s="11">
        <v>8</v>
      </c>
      <c r="L187" s="11">
        <v>10</v>
      </c>
      <c r="M187" s="15">
        <v>1</v>
      </c>
      <c r="R187" s="20">
        <v>1</v>
      </c>
      <c r="U187" s="17">
        <v>1</v>
      </c>
      <c r="W187" s="23">
        <v>1</v>
      </c>
      <c r="Y187" s="26">
        <v>1</v>
      </c>
    </row>
    <row r="188" spans="1:25" x14ac:dyDescent="0.25">
      <c r="A188" s="7">
        <v>15</v>
      </c>
      <c r="B188" s="6" t="s">
        <v>16</v>
      </c>
      <c r="C188" s="32">
        <v>3.5</v>
      </c>
      <c r="D188" s="6" t="s">
        <v>14</v>
      </c>
      <c r="E188" s="29">
        <v>6.3</v>
      </c>
      <c r="F188" s="13">
        <v>0.8</v>
      </c>
      <c r="G188" s="31">
        <v>2.71</v>
      </c>
      <c r="H188" s="13">
        <v>1.8</v>
      </c>
      <c r="I188" s="6" t="s">
        <v>18</v>
      </c>
      <c r="J188" s="11">
        <v>7</v>
      </c>
      <c r="K188" s="11">
        <v>4</v>
      </c>
      <c r="L188" s="11">
        <v>2</v>
      </c>
      <c r="M188" s="15">
        <v>1</v>
      </c>
      <c r="R188" s="20">
        <v>1</v>
      </c>
      <c r="U188" s="17">
        <v>1</v>
      </c>
      <c r="W188" s="23">
        <v>1</v>
      </c>
      <c r="Y188" s="26">
        <v>1</v>
      </c>
    </row>
    <row r="189" spans="1:25" x14ac:dyDescent="0.25">
      <c r="A189" s="7">
        <v>17</v>
      </c>
      <c r="B189" s="6" t="s">
        <v>16</v>
      </c>
      <c r="C189" s="32">
        <v>5.4</v>
      </c>
      <c r="D189" s="6" t="s">
        <v>20</v>
      </c>
      <c r="E189" s="29">
        <v>6.3</v>
      </c>
      <c r="F189" s="13">
        <v>2.8</v>
      </c>
      <c r="G189" s="31">
        <v>3.06</v>
      </c>
      <c r="H189" s="13">
        <v>0.8</v>
      </c>
      <c r="I189" s="6" t="s">
        <v>15</v>
      </c>
      <c r="J189" s="11">
        <v>3</v>
      </c>
      <c r="K189" s="11">
        <v>7</v>
      </c>
      <c r="L189" s="11">
        <v>9</v>
      </c>
      <c r="M189" s="15">
        <v>1</v>
      </c>
      <c r="R189" s="20">
        <v>1</v>
      </c>
      <c r="U189" s="17">
        <v>1</v>
      </c>
      <c r="W189" s="23">
        <v>1</v>
      </c>
      <c r="Y189" s="26">
        <v>1</v>
      </c>
    </row>
    <row r="190" spans="1:25" x14ac:dyDescent="0.25">
      <c r="A190" s="7">
        <v>16</v>
      </c>
      <c r="B190" s="6" t="s">
        <v>16</v>
      </c>
      <c r="C190" s="32">
        <v>4.2</v>
      </c>
      <c r="D190" s="6" t="s">
        <v>20</v>
      </c>
      <c r="E190" s="29">
        <v>7.3</v>
      </c>
      <c r="F190" s="13">
        <v>1.1000000000000001</v>
      </c>
      <c r="G190" s="31">
        <v>3.1</v>
      </c>
      <c r="H190" s="13">
        <v>1.6</v>
      </c>
      <c r="I190" s="6" t="s">
        <v>19</v>
      </c>
      <c r="J190" s="11">
        <v>1</v>
      </c>
      <c r="K190" s="11">
        <v>6</v>
      </c>
      <c r="L190" s="11">
        <v>2</v>
      </c>
      <c r="M190" s="15">
        <v>1</v>
      </c>
      <c r="R190" s="20">
        <v>1</v>
      </c>
      <c r="U190" s="17">
        <v>1</v>
      </c>
      <c r="W190" s="23">
        <v>1</v>
      </c>
      <c r="Y190" s="26">
        <v>1</v>
      </c>
    </row>
    <row r="191" spans="1:25" x14ac:dyDescent="0.25">
      <c r="A191" s="7">
        <v>13</v>
      </c>
      <c r="B191" s="6" t="s">
        <v>13</v>
      </c>
      <c r="C191" s="32">
        <v>2.5</v>
      </c>
      <c r="D191" s="6" t="s">
        <v>14</v>
      </c>
      <c r="E191" s="29">
        <v>8.3000000000000007</v>
      </c>
      <c r="F191" s="13">
        <v>1.6</v>
      </c>
      <c r="G191" s="31">
        <v>2.91</v>
      </c>
      <c r="H191" s="13">
        <v>0.6</v>
      </c>
      <c r="I191" s="6" t="s">
        <v>18</v>
      </c>
      <c r="J191" s="11">
        <v>10</v>
      </c>
      <c r="K191" s="11">
        <v>2</v>
      </c>
      <c r="L191" s="11">
        <v>6</v>
      </c>
      <c r="M191" s="15">
        <v>1</v>
      </c>
      <c r="R191" s="20">
        <v>1</v>
      </c>
      <c r="U191" s="17">
        <v>1</v>
      </c>
      <c r="W191" s="23">
        <v>1</v>
      </c>
      <c r="Y191" s="26">
        <v>1</v>
      </c>
    </row>
    <row r="192" spans="1:25" x14ac:dyDescent="0.25">
      <c r="A192" s="7">
        <v>16</v>
      </c>
      <c r="B192" s="6" t="s">
        <v>16</v>
      </c>
      <c r="C192" s="32">
        <v>3.8</v>
      </c>
      <c r="D192" s="6" t="s">
        <v>17</v>
      </c>
      <c r="E192" s="29">
        <v>6</v>
      </c>
      <c r="F192" s="13">
        <v>3</v>
      </c>
      <c r="G192" s="31">
        <v>2.1</v>
      </c>
      <c r="H192" s="13">
        <v>0.2</v>
      </c>
      <c r="I192" s="6" t="s">
        <v>15</v>
      </c>
      <c r="J192" s="11">
        <v>7</v>
      </c>
      <c r="K192" s="11">
        <v>9</v>
      </c>
      <c r="L192" s="11">
        <v>1</v>
      </c>
      <c r="M192" s="15">
        <v>1</v>
      </c>
      <c r="R192" s="20">
        <v>1</v>
      </c>
      <c r="U192" s="17">
        <v>1</v>
      </c>
      <c r="W192" s="23">
        <v>1</v>
      </c>
      <c r="Y192" s="26">
        <v>1</v>
      </c>
    </row>
    <row r="193" spans="1:25" x14ac:dyDescent="0.25">
      <c r="A193" s="7">
        <v>13</v>
      </c>
      <c r="B193" s="6" t="s">
        <v>13</v>
      </c>
      <c r="C193" s="32">
        <v>1.8</v>
      </c>
      <c r="D193" s="6" t="s">
        <v>14</v>
      </c>
      <c r="E193" s="29">
        <v>8.9</v>
      </c>
      <c r="F193" s="13">
        <v>1.2</v>
      </c>
      <c r="G193" s="31">
        <v>3.67</v>
      </c>
      <c r="H193" s="13">
        <v>0.1</v>
      </c>
      <c r="I193" s="6" t="s">
        <v>19</v>
      </c>
      <c r="J193" s="11">
        <v>2</v>
      </c>
      <c r="K193" s="11">
        <v>8</v>
      </c>
      <c r="L193" s="11">
        <v>9</v>
      </c>
      <c r="M193" s="15">
        <v>1</v>
      </c>
      <c r="R193" s="20">
        <v>1</v>
      </c>
      <c r="U193" s="17">
        <v>1</v>
      </c>
      <c r="W193" s="23">
        <v>1</v>
      </c>
      <c r="Y193" s="26">
        <v>1</v>
      </c>
    </row>
    <row r="194" spans="1:25" x14ac:dyDescent="0.25">
      <c r="A194" s="7">
        <v>14</v>
      </c>
      <c r="B194" s="6" t="s">
        <v>13</v>
      </c>
      <c r="C194" s="32">
        <v>5.4</v>
      </c>
      <c r="D194" s="6" t="s">
        <v>14</v>
      </c>
      <c r="E194" s="29">
        <v>5.6</v>
      </c>
      <c r="F194" s="13">
        <v>1.8</v>
      </c>
      <c r="G194" s="31">
        <v>3.01</v>
      </c>
      <c r="H194" s="13">
        <v>0.9</v>
      </c>
      <c r="I194" s="6" t="s">
        <v>15</v>
      </c>
      <c r="J194" s="11">
        <v>10</v>
      </c>
      <c r="K194" s="11">
        <v>6</v>
      </c>
      <c r="L194" s="11">
        <v>8</v>
      </c>
      <c r="M194" s="15">
        <v>1</v>
      </c>
      <c r="R194" s="20">
        <v>1</v>
      </c>
      <c r="U194" s="17">
        <v>1</v>
      </c>
      <c r="W194" s="23">
        <v>1</v>
      </c>
      <c r="Y194" s="26">
        <v>1</v>
      </c>
    </row>
    <row r="195" spans="1:25" x14ac:dyDescent="0.25">
      <c r="A195" s="7">
        <v>14</v>
      </c>
      <c r="B195" s="6" t="s">
        <v>16</v>
      </c>
      <c r="C195" s="32">
        <v>7.7</v>
      </c>
      <c r="D195" s="6" t="s">
        <v>14</v>
      </c>
      <c r="E195" s="29">
        <v>6.1</v>
      </c>
      <c r="F195" s="13">
        <v>0.8</v>
      </c>
      <c r="G195" s="31">
        <v>3.47</v>
      </c>
      <c r="H195" s="13">
        <v>1.5</v>
      </c>
      <c r="I195" s="6" t="s">
        <v>19</v>
      </c>
      <c r="J195" s="11">
        <v>9</v>
      </c>
      <c r="K195" s="11">
        <v>10</v>
      </c>
      <c r="L195" s="11">
        <v>9</v>
      </c>
      <c r="M195" s="15">
        <v>1</v>
      </c>
      <c r="R195" s="20">
        <v>1</v>
      </c>
      <c r="U195" s="17">
        <v>1</v>
      </c>
      <c r="W195" s="23">
        <v>1</v>
      </c>
      <c r="Y195" s="26">
        <v>1</v>
      </c>
    </row>
    <row r="196" spans="1:25" x14ac:dyDescent="0.25">
      <c r="A196" s="7">
        <v>18</v>
      </c>
      <c r="B196" s="6" t="s">
        <v>16</v>
      </c>
      <c r="C196" s="32">
        <v>4.0999999999999996</v>
      </c>
      <c r="D196" s="6" t="s">
        <v>14</v>
      </c>
      <c r="E196" s="29">
        <v>8</v>
      </c>
      <c r="F196" s="13">
        <v>1.7</v>
      </c>
      <c r="G196" s="31">
        <v>2.29</v>
      </c>
      <c r="H196" s="13">
        <v>1.4</v>
      </c>
      <c r="I196" s="6" t="s">
        <v>15</v>
      </c>
      <c r="J196" s="11">
        <v>2</v>
      </c>
      <c r="K196" s="11">
        <v>1</v>
      </c>
      <c r="L196" s="11">
        <v>10</v>
      </c>
      <c r="M196" s="15">
        <v>0</v>
      </c>
      <c r="R196" s="20">
        <v>0</v>
      </c>
      <c r="U196" s="17">
        <v>0</v>
      </c>
      <c r="W196" s="23">
        <v>0</v>
      </c>
      <c r="Y196" s="26">
        <v>0</v>
      </c>
    </row>
    <row r="197" spans="1:25" x14ac:dyDescent="0.25">
      <c r="A197" s="7">
        <v>15</v>
      </c>
      <c r="B197" s="6" t="s">
        <v>16</v>
      </c>
      <c r="C197" s="32">
        <v>6.6</v>
      </c>
      <c r="D197" s="6" t="s">
        <v>20</v>
      </c>
      <c r="E197" s="29">
        <v>4.9000000000000004</v>
      </c>
      <c r="F197" s="13">
        <v>3</v>
      </c>
      <c r="G197" s="31">
        <v>2.99</v>
      </c>
      <c r="H197" s="13">
        <v>0.9</v>
      </c>
      <c r="I197" s="6" t="s">
        <v>19</v>
      </c>
      <c r="J197" s="11">
        <v>4</v>
      </c>
      <c r="K197" s="11">
        <v>8</v>
      </c>
      <c r="L197" s="11">
        <v>3</v>
      </c>
      <c r="M197" s="15">
        <v>0</v>
      </c>
      <c r="R197" s="20">
        <v>0</v>
      </c>
      <c r="U197" s="17">
        <v>0</v>
      </c>
      <c r="W197" s="23">
        <v>0</v>
      </c>
      <c r="Y197" s="26">
        <v>0</v>
      </c>
    </row>
    <row r="198" spans="1:25" x14ac:dyDescent="0.25">
      <c r="A198" s="7">
        <v>16</v>
      </c>
      <c r="B198" s="6" t="s">
        <v>13</v>
      </c>
      <c r="C198" s="32">
        <v>2.2999999999999998</v>
      </c>
      <c r="D198" s="6" t="s">
        <v>20</v>
      </c>
      <c r="E198" s="29">
        <v>4.0999999999999996</v>
      </c>
      <c r="F198" s="13">
        <v>0.8</v>
      </c>
      <c r="G198" s="31">
        <v>3.18</v>
      </c>
      <c r="H198" s="13">
        <v>1.7</v>
      </c>
      <c r="I198" s="6" t="s">
        <v>19</v>
      </c>
      <c r="J198" s="11">
        <v>5</v>
      </c>
      <c r="K198" s="11">
        <v>3</v>
      </c>
      <c r="L198" s="11">
        <v>8</v>
      </c>
      <c r="M198" s="15">
        <v>0</v>
      </c>
      <c r="R198" s="20">
        <v>0</v>
      </c>
      <c r="U198" s="17">
        <v>0</v>
      </c>
      <c r="W198" s="23">
        <v>0</v>
      </c>
      <c r="Y198" s="26">
        <v>0</v>
      </c>
    </row>
    <row r="199" spans="1:25" x14ac:dyDescent="0.25">
      <c r="A199" s="7">
        <v>17</v>
      </c>
      <c r="B199" s="6" t="s">
        <v>16</v>
      </c>
      <c r="C199" s="32">
        <v>7.5</v>
      </c>
      <c r="D199" s="6" t="s">
        <v>14</v>
      </c>
      <c r="E199" s="29">
        <v>5.9</v>
      </c>
      <c r="F199" s="13">
        <v>2.9</v>
      </c>
      <c r="G199" s="31">
        <v>3.71</v>
      </c>
      <c r="H199" s="13">
        <v>1.7</v>
      </c>
      <c r="I199" s="6" t="s">
        <v>15</v>
      </c>
      <c r="J199" s="11">
        <v>3</v>
      </c>
      <c r="K199" s="11">
        <v>1</v>
      </c>
      <c r="L199" s="11">
        <v>10</v>
      </c>
      <c r="M199" s="15">
        <v>0</v>
      </c>
      <c r="R199" s="20">
        <v>0</v>
      </c>
      <c r="U199" s="17">
        <v>0</v>
      </c>
      <c r="W199" s="23">
        <v>0</v>
      </c>
      <c r="Y199" s="26">
        <v>0</v>
      </c>
    </row>
    <row r="200" spans="1:25" x14ac:dyDescent="0.25">
      <c r="A200" s="7">
        <v>18</v>
      </c>
      <c r="B200" s="6" t="s">
        <v>13</v>
      </c>
      <c r="C200" s="32">
        <v>7.1</v>
      </c>
      <c r="D200" s="6" t="s">
        <v>14</v>
      </c>
      <c r="E200" s="29">
        <v>8</v>
      </c>
      <c r="F200" s="13">
        <v>2.9</v>
      </c>
      <c r="G200" s="31">
        <v>2.59</v>
      </c>
      <c r="H200" s="13">
        <v>1.2</v>
      </c>
      <c r="I200" s="6" t="s">
        <v>18</v>
      </c>
      <c r="J200" s="11">
        <v>10</v>
      </c>
      <c r="K200" s="11">
        <v>8</v>
      </c>
      <c r="L200" s="11">
        <v>5</v>
      </c>
      <c r="M200" s="15">
        <v>0</v>
      </c>
      <c r="R200" s="20">
        <v>0</v>
      </c>
      <c r="U200" s="17">
        <v>0</v>
      </c>
      <c r="W200" s="23">
        <v>0</v>
      </c>
      <c r="Y200" s="26">
        <v>0</v>
      </c>
    </row>
    <row r="201" spans="1:25" x14ac:dyDescent="0.25">
      <c r="A201" s="7">
        <v>17</v>
      </c>
      <c r="B201" s="6" t="s">
        <v>16</v>
      </c>
      <c r="C201" s="32">
        <v>1.7</v>
      </c>
      <c r="D201" s="6" t="s">
        <v>20</v>
      </c>
      <c r="E201" s="29">
        <v>6.3</v>
      </c>
      <c r="F201" s="13">
        <v>1.5</v>
      </c>
      <c r="G201" s="31">
        <v>2.66</v>
      </c>
      <c r="H201" s="13">
        <v>1.8</v>
      </c>
      <c r="I201" s="6" t="s">
        <v>15</v>
      </c>
      <c r="J201" s="11">
        <v>1</v>
      </c>
      <c r="K201" s="11">
        <v>4</v>
      </c>
      <c r="L201" s="11">
        <v>10</v>
      </c>
      <c r="M201" s="15">
        <v>0</v>
      </c>
      <c r="R201" s="20">
        <v>0</v>
      </c>
      <c r="U201" s="17">
        <v>0</v>
      </c>
      <c r="W201" s="23">
        <v>0</v>
      </c>
      <c r="Y201" s="26">
        <v>0</v>
      </c>
    </row>
    <row r="202" spans="1:25" x14ac:dyDescent="0.25">
      <c r="A202" s="7">
        <v>13</v>
      </c>
      <c r="B202" s="6" t="s">
        <v>13</v>
      </c>
      <c r="C202" s="32">
        <v>7.9</v>
      </c>
      <c r="D202" s="6" t="s">
        <v>14</v>
      </c>
      <c r="E202" s="29">
        <v>5.8</v>
      </c>
      <c r="F202" s="13">
        <v>0.8</v>
      </c>
      <c r="G202" s="31">
        <v>3.31</v>
      </c>
      <c r="H202" s="13">
        <v>1.6</v>
      </c>
      <c r="I202" s="6" t="s">
        <v>19</v>
      </c>
      <c r="J202" s="11">
        <v>3</v>
      </c>
      <c r="K202" s="11">
        <v>7</v>
      </c>
      <c r="L202" s="11">
        <v>2</v>
      </c>
      <c r="M202" s="15">
        <v>0</v>
      </c>
      <c r="R202" s="20">
        <v>0</v>
      </c>
      <c r="U202" s="17">
        <v>0</v>
      </c>
      <c r="W202" s="23">
        <v>0</v>
      </c>
      <c r="Y202" s="26">
        <v>0</v>
      </c>
    </row>
    <row r="203" spans="1:25" x14ac:dyDescent="0.25">
      <c r="A203" s="7">
        <v>16</v>
      </c>
      <c r="B203" s="6" t="s">
        <v>16</v>
      </c>
      <c r="C203" s="32">
        <v>4</v>
      </c>
      <c r="D203" s="6" t="s">
        <v>14</v>
      </c>
      <c r="E203" s="29">
        <v>7.9</v>
      </c>
      <c r="F203" s="13">
        <v>1.9</v>
      </c>
      <c r="G203" s="31">
        <v>2.56</v>
      </c>
      <c r="H203" s="13">
        <v>0.1</v>
      </c>
      <c r="I203" s="6" t="s">
        <v>18</v>
      </c>
      <c r="J203" s="11">
        <v>4</v>
      </c>
      <c r="K203" s="11">
        <v>9</v>
      </c>
      <c r="L203" s="11">
        <v>9</v>
      </c>
      <c r="M203" s="15">
        <v>0</v>
      </c>
      <c r="R203" s="20">
        <v>0</v>
      </c>
      <c r="U203" s="17">
        <v>0</v>
      </c>
      <c r="W203" s="23">
        <v>0</v>
      </c>
      <c r="Y203" s="26">
        <v>0</v>
      </c>
    </row>
    <row r="204" spans="1:25" x14ac:dyDescent="0.25">
      <c r="A204" s="7">
        <v>15</v>
      </c>
      <c r="B204" s="6" t="s">
        <v>16</v>
      </c>
      <c r="C204" s="32">
        <v>1.2</v>
      </c>
      <c r="D204" s="6" t="s">
        <v>17</v>
      </c>
      <c r="E204" s="29">
        <v>8.1</v>
      </c>
      <c r="F204" s="13">
        <v>2</v>
      </c>
      <c r="G204" s="31">
        <v>3.33</v>
      </c>
      <c r="H204" s="13">
        <v>1.5</v>
      </c>
      <c r="I204" s="6" t="s">
        <v>19</v>
      </c>
      <c r="J204" s="11">
        <v>7</v>
      </c>
      <c r="K204" s="11">
        <v>3</v>
      </c>
      <c r="L204" s="11">
        <v>8</v>
      </c>
      <c r="M204" s="15">
        <v>0</v>
      </c>
      <c r="R204" s="20">
        <v>0</v>
      </c>
      <c r="U204" s="17">
        <v>0</v>
      </c>
      <c r="W204" s="23">
        <v>0</v>
      </c>
      <c r="Y204" s="26">
        <v>0</v>
      </c>
    </row>
    <row r="205" spans="1:25" x14ac:dyDescent="0.25">
      <c r="A205" s="7">
        <v>19</v>
      </c>
      <c r="B205" s="6" t="s">
        <v>13</v>
      </c>
      <c r="C205" s="32">
        <v>3.5</v>
      </c>
      <c r="D205" s="6" t="s">
        <v>17</v>
      </c>
      <c r="E205" s="29">
        <v>8.4</v>
      </c>
      <c r="F205" s="13">
        <v>1.7</v>
      </c>
      <c r="G205" s="31">
        <v>2.46</v>
      </c>
      <c r="H205" s="13">
        <v>0.1</v>
      </c>
      <c r="I205" s="6" t="s">
        <v>18</v>
      </c>
      <c r="J205" s="11">
        <v>6</v>
      </c>
      <c r="K205" s="11">
        <v>9</v>
      </c>
      <c r="L205" s="11">
        <v>3</v>
      </c>
      <c r="M205" s="15">
        <v>0</v>
      </c>
      <c r="R205" s="20">
        <v>0</v>
      </c>
      <c r="U205" s="17">
        <v>0</v>
      </c>
      <c r="W205" s="23">
        <v>0</v>
      </c>
      <c r="Y205" s="26">
        <v>0</v>
      </c>
    </row>
    <row r="206" spans="1:25" x14ac:dyDescent="0.25">
      <c r="A206" s="7">
        <v>17</v>
      </c>
      <c r="B206" s="6" t="s">
        <v>13</v>
      </c>
      <c r="C206" s="32">
        <v>1.1000000000000001</v>
      </c>
      <c r="D206" s="6" t="s">
        <v>14</v>
      </c>
      <c r="E206" s="29">
        <v>6.8</v>
      </c>
      <c r="F206" s="13">
        <v>2</v>
      </c>
      <c r="G206" s="31">
        <v>3.45</v>
      </c>
      <c r="H206" s="13">
        <v>1.3</v>
      </c>
      <c r="I206" s="6" t="s">
        <v>19</v>
      </c>
      <c r="J206" s="11">
        <v>7</v>
      </c>
      <c r="K206" s="11">
        <v>1</v>
      </c>
      <c r="L206" s="11">
        <v>2</v>
      </c>
      <c r="M206" s="15">
        <v>0</v>
      </c>
      <c r="R206" s="20">
        <v>0</v>
      </c>
      <c r="U206" s="17">
        <v>0</v>
      </c>
      <c r="W206" s="23">
        <v>0</v>
      </c>
      <c r="Y206" s="26">
        <v>0</v>
      </c>
    </row>
    <row r="207" spans="1:25" x14ac:dyDescent="0.25">
      <c r="A207" s="7">
        <v>19</v>
      </c>
      <c r="B207" s="6" t="s">
        <v>16</v>
      </c>
      <c r="C207" s="32">
        <v>1.6</v>
      </c>
      <c r="D207" s="6" t="s">
        <v>17</v>
      </c>
      <c r="E207" s="29">
        <v>4.0999999999999996</v>
      </c>
      <c r="F207" s="13">
        <v>1.6</v>
      </c>
      <c r="G207" s="31">
        <v>3.15</v>
      </c>
      <c r="H207" s="13">
        <v>0.9</v>
      </c>
      <c r="I207" s="6" t="s">
        <v>19</v>
      </c>
      <c r="J207" s="11">
        <v>2</v>
      </c>
      <c r="K207" s="11">
        <v>6</v>
      </c>
      <c r="L207" s="11">
        <v>4</v>
      </c>
      <c r="M207" s="15">
        <v>0</v>
      </c>
      <c r="R207" s="20">
        <v>0</v>
      </c>
      <c r="U207" s="17">
        <v>0</v>
      </c>
      <c r="W207" s="23">
        <v>0</v>
      </c>
      <c r="Y207" s="26">
        <v>0</v>
      </c>
    </row>
    <row r="208" spans="1:25" x14ac:dyDescent="0.25">
      <c r="A208" s="7">
        <v>16</v>
      </c>
      <c r="B208" s="6" t="s">
        <v>16</v>
      </c>
      <c r="C208" s="32">
        <v>2.5</v>
      </c>
      <c r="D208" s="6" t="s">
        <v>17</v>
      </c>
      <c r="E208" s="29">
        <v>8.9</v>
      </c>
      <c r="F208" s="13">
        <v>2.9</v>
      </c>
      <c r="G208" s="31">
        <v>2.5299999999999998</v>
      </c>
      <c r="H208" s="13">
        <v>0.1</v>
      </c>
      <c r="I208" s="6" t="s">
        <v>18</v>
      </c>
      <c r="J208" s="11">
        <v>8</v>
      </c>
      <c r="K208" s="11">
        <v>7</v>
      </c>
      <c r="L208" s="11">
        <v>3</v>
      </c>
      <c r="M208" s="15">
        <v>0</v>
      </c>
      <c r="R208" s="20">
        <v>0</v>
      </c>
      <c r="U208" s="17">
        <v>0</v>
      </c>
      <c r="W208" s="23">
        <v>0</v>
      </c>
      <c r="Y208" s="26">
        <v>0</v>
      </c>
    </row>
    <row r="209" spans="1:25" x14ac:dyDescent="0.25">
      <c r="A209" s="7">
        <v>15</v>
      </c>
      <c r="B209" s="6" t="s">
        <v>13</v>
      </c>
      <c r="C209" s="32">
        <v>2.8</v>
      </c>
      <c r="D209" s="6" t="s">
        <v>14</v>
      </c>
      <c r="E209" s="29">
        <v>7.2</v>
      </c>
      <c r="F209" s="13">
        <v>1.8</v>
      </c>
      <c r="G209" s="31">
        <v>2.91</v>
      </c>
      <c r="H209" s="13">
        <v>0.2</v>
      </c>
      <c r="I209" s="6" t="s">
        <v>15</v>
      </c>
      <c r="J209" s="11">
        <v>5</v>
      </c>
      <c r="K209" s="11">
        <v>5</v>
      </c>
      <c r="L209" s="11">
        <v>4</v>
      </c>
      <c r="M209" s="15">
        <v>0</v>
      </c>
      <c r="R209" s="20">
        <v>0</v>
      </c>
      <c r="U209" s="17">
        <v>0</v>
      </c>
      <c r="W209" s="23">
        <v>0</v>
      </c>
      <c r="Y209" s="26">
        <v>0</v>
      </c>
    </row>
    <row r="210" spans="1:25" x14ac:dyDescent="0.25">
      <c r="A210" s="7">
        <v>15</v>
      </c>
      <c r="B210" s="6" t="s">
        <v>13</v>
      </c>
      <c r="C210" s="32">
        <v>2.2000000000000002</v>
      </c>
      <c r="D210" s="6" t="s">
        <v>14</v>
      </c>
      <c r="E210" s="29">
        <v>5.2</v>
      </c>
      <c r="F210" s="13">
        <v>1.4</v>
      </c>
      <c r="G210" s="31">
        <v>2.62</v>
      </c>
      <c r="H210" s="13">
        <v>1.5</v>
      </c>
      <c r="I210" s="6" t="s">
        <v>19</v>
      </c>
      <c r="J210" s="11">
        <v>10</v>
      </c>
      <c r="K210" s="11">
        <v>7</v>
      </c>
      <c r="L210" s="11">
        <v>5</v>
      </c>
      <c r="M210" s="15">
        <v>0</v>
      </c>
      <c r="R210" s="20">
        <v>0</v>
      </c>
      <c r="U210" s="17">
        <v>0</v>
      </c>
      <c r="W210" s="23">
        <v>0</v>
      </c>
      <c r="Y210" s="26">
        <v>0</v>
      </c>
    </row>
    <row r="211" spans="1:25" x14ac:dyDescent="0.25">
      <c r="A211" s="7">
        <v>16</v>
      </c>
      <c r="B211" s="6" t="s">
        <v>13</v>
      </c>
      <c r="C211" s="32">
        <v>4.8</v>
      </c>
      <c r="D211" s="6" t="s">
        <v>20</v>
      </c>
      <c r="E211" s="29">
        <v>6.8</v>
      </c>
      <c r="F211" s="13">
        <v>1</v>
      </c>
      <c r="G211" s="31">
        <v>2.6</v>
      </c>
      <c r="H211" s="13">
        <v>1.1000000000000001</v>
      </c>
      <c r="I211" s="6" t="s">
        <v>19</v>
      </c>
      <c r="J211" s="11">
        <v>1</v>
      </c>
      <c r="K211" s="11">
        <v>5</v>
      </c>
      <c r="L211" s="11">
        <v>6</v>
      </c>
      <c r="M211" s="15">
        <v>0</v>
      </c>
      <c r="R211" s="20">
        <v>0</v>
      </c>
      <c r="U211" s="17">
        <v>0</v>
      </c>
      <c r="W211" s="23">
        <v>0</v>
      </c>
      <c r="Y211" s="26">
        <v>0</v>
      </c>
    </row>
    <row r="212" spans="1:25" x14ac:dyDescent="0.25">
      <c r="A212" s="7">
        <v>18</v>
      </c>
      <c r="B212" s="6" t="s">
        <v>16</v>
      </c>
      <c r="C212" s="32">
        <v>3.7</v>
      </c>
      <c r="D212" s="6" t="s">
        <v>20</v>
      </c>
      <c r="E212" s="29">
        <v>7.9</v>
      </c>
      <c r="F212" s="13">
        <v>2.7</v>
      </c>
      <c r="G212" s="31">
        <v>3.11</v>
      </c>
      <c r="H212" s="13">
        <v>0.3</v>
      </c>
      <c r="I212" s="6" t="s">
        <v>19</v>
      </c>
      <c r="J212" s="11">
        <v>6</v>
      </c>
      <c r="K212" s="11">
        <v>6</v>
      </c>
      <c r="L212" s="11">
        <v>5</v>
      </c>
      <c r="M212" s="15">
        <v>0</v>
      </c>
      <c r="R212" s="20">
        <v>0</v>
      </c>
      <c r="U212" s="17">
        <v>0</v>
      </c>
      <c r="W212" s="23">
        <v>0</v>
      </c>
      <c r="Y212" s="26">
        <v>0</v>
      </c>
    </row>
    <row r="213" spans="1:25" x14ac:dyDescent="0.25">
      <c r="A213" s="7">
        <v>16</v>
      </c>
      <c r="B213" s="6" t="s">
        <v>13</v>
      </c>
      <c r="C213" s="32">
        <v>5.5</v>
      </c>
      <c r="D213" s="6" t="s">
        <v>14</v>
      </c>
      <c r="E213" s="29">
        <v>8.3000000000000007</v>
      </c>
      <c r="F213" s="13">
        <v>2.2999999999999998</v>
      </c>
      <c r="G213" s="31">
        <v>3.47</v>
      </c>
      <c r="H213" s="13">
        <v>1.6</v>
      </c>
      <c r="I213" s="6" t="s">
        <v>19</v>
      </c>
      <c r="J213" s="11">
        <v>4</v>
      </c>
      <c r="K213" s="11">
        <v>8</v>
      </c>
      <c r="L213" s="11">
        <v>5</v>
      </c>
      <c r="M213" s="15">
        <v>0</v>
      </c>
      <c r="R213" s="20">
        <v>0</v>
      </c>
      <c r="U213" s="17">
        <v>0</v>
      </c>
      <c r="W213" s="23">
        <v>0</v>
      </c>
      <c r="Y213" s="26">
        <v>0</v>
      </c>
    </row>
    <row r="214" spans="1:25" x14ac:dyDescent="0.25">
      <c r="A214" s="7">
        <v>16</v>
      </c>
      <c r="B214" s="6" t="s">
        <v>13</v>
      </c>
      <c r="C214" s="32">
        <v>2.5</v>
      </c>
      <c r="D214" s="6" t="s">
        <v>14</v>
      </c>
      <c r="E214" s="29">
        <v>6.8</v>
      </c>
      <c r="F214" s="13">
        <v>1</v>
      </c>
      <c r="G214" s="31">
        <v>3.77</v>
      </c>
      <c r="H214" s="13">
        <v>1</v>
      </c>
      <c r="I214" s="6" t="s">
        <v>18</v>
      </c>
      <c r="J214" s="11">
        <v>3</v>
      </c>
      <c r="K214" s="11">
        <v>9</v>
      </c>
      <c r="L214" s="11">
        <v>9</v>
      </c>
      <c r="M214" s="15">
        <v>0</v>
      </c>
      <c r="R214" s="20">
        <v>0</v>
      </c>
      <c r="U214" s="17">
        <v>0</v>
      </c>
      <c r="W214" s="23">
        <v>0</v>
      </c>
      <c r="Y214" s="26">
        <v>0</v>
      </c>
    </row>
    <row r="215" spans="1:25" x14ac:dyDescent="0.25">
      <c r="A215" s="7">
        <v>18</v>
      </c>
      <c r="B215" s="6" t="s">
        <v>16</v>
      </c>
      <c r="C215" s="32">
        <v>1.9</v>
      </c>
      <c r="D215" s="6" t="s">
        <v>17</v>
      </c>
      <c r="E215" s="29">
        <v>5.8</v>
      </c>
      <c r="F215" s="13">
        <v>1.7</v>
      </c>
      <c r="G215" s="31">
        <v>3.52</v>
      </c>
      <c r="H215" s="13">
        <v>0.2</v>
      </c>
      <c r="I215" s="6" t="s">
        <v>15</v>
      </c>
      <c r="J215" s="11">
        <v>6</v>
      </c>
      <c r="K215" s="11">
        <v>5</v>
      </c>
      <c r="L215" s="11">
        <v>1</v>
      </c>
      <c r="M215" s="15">
        <v>0</v>
      </c>
      <c r="R215" s="20">
        <v>0</v>
      </c>
      <c r="U215" s="17">
        <v>0</v>
      </c>
      <c r="W215" s="23">
        <v>0</v>
      </c>
      <c r="Y215" s="26">
        <v>0</v>
      </c>
    </row>
    <row r="216" spans="1:25" x14ac:dyDescent="0.25">
      <c r="A216" s="7">
        <v>13</v>
      </c>
      <c r="B216" s="6" t="s">
        <v>13</v>
      </c>
      <c r="C216" s="32">
        <v>5.9</v>
      </c>
      <c r="D216" s="6" t="s">
        <v>14</v>
      </c>
      <c r="E216" s="29">
        <v>7.5</v>
      </c>
      <c r="F216" s="13">
        <v>1.4</v>
      </c>
      <c r="G216" s="31">
        <v>2.58</v>
      </c>
      <c r="H216" s="13">
        <v>1.2</v>
      </c>
      <c r="I216" s="6" t="s">
        <v>15</v>
      </c>
      <c r="J216" s="11">
        <v>6</v>
      </c>
      <c r="K216" s="11">
        <v>2</v>
      </c>
      <c r="L216" s="11">
        <v>8</v>
      </c>
      <c r="M216" s="15">
        <v>0</v>
      </c>
      <c r="R216" s="20">
        <v>0</v>
      </c>
      <c r="U216" s="17">
        <v>0</v>
      </c>
      <c r="W216" s="23">
        <v>0</v>
      </c>
      <c r="Y216" s="26">
        <v>0</v>
      </c>
    </row>
    <row r="217" spans="1:25" x14ac:dyDescent="0.25">
      <c r="A217" s="7">
        <v>13</v>
      </c>
      <c r="B217" s="6" t="s">
        <v>16</v>
      </c>
      <c r="C217" s="32">
        <v>6.5</v>
      </c>
      <c r="D217" s="6" t="s">
        <v>17</v>
      </c>
      <c r="E217" s="29">
        <v>8.3000000000000007</v>
      </c>
      <c r="F217" s="13">
        <v>0.6</v>
      </c>
      <c r="G217" s="31">
        <v>3.05</v>
      </c>
      <c r="H217" s="13">
        <v>0.3</v>
      </c>
      <c r="I217" s="6" t="s">
        <v>18</v>
      </c>
      <c r="J217" s="11">
        <v>2</v>
      </c>
      <c r="K217" s="11">
        <v>7</v>
      </c>
      <c r="L217" s="11">
        <v>8</v>
      </c>
      <c r="M217" s="15">
        <v>0</v>
      </c>
      <c r="R217" s="20">
        <v>0</v>
      </c>
      <c r="U217" s="17">
        <v>0</v>
      </c>
      <c r="W217" s="23">
        <v>0</v>
      </c>
      <c r="Y217" s="26">
        <v>0</v>
      </c>
    </row>
    <row r="218" spans="1:25" x14ac:dyDescent="0.25">
      <c r="A218" s="7">
        <v>15</v>
      </c>
      <c r="B218" s="6" t="s">
        <v>13</v>
      </c>
      <c r="C218" s="32">
        <v>7.5</v>
      </c>
      <c r="D218" s="6" t="s">
        <v>14</v>
      </c>
      <c r="E218" s="29">
        <v>8.1</v>
      </c>
      <c r="F218" s="13">
        <v>2.5</v>
      </c>
      <c r="G218" s="31">
        <v>3.56</v>
      </c>
      <c r="H218" s="13">
        <v>1.2</v>
      </c>
      <c r="I218" s="6" t="s">
        <v>19</v>
      </c>
      <c r="J218" s="11">
        <v>6</v>
      </c>
      <c r="K218" s="11">
        <v>8</v>
      </c>
      <c r="L218" s="11">
        <v>10</v>
      </c>
      <c r="M218" s="15">
        <v>0</v>
      </c>
      <c r="R218" s="20">
        <v>0</v>
      </c>
      <c r="U218" s="17">
        <v>0</v>
      </c>
      <c r="W218" s="23">
        <v>0</v>
      </c>
      <c r="Y218" s="26">
        <v>0</v>
      </c>
    </row>
    <row r="219" spans="1:25" x14ac:dyDescent="0.25">
      <c r="A219" s="7">
        <v>19</v>
      </c>
      <c r="B219" s="6" t="s">
        <v>13</v>
      </c>
      <c r="C219" s="32">
        <v>4.9000000000000004</v>
      </c>
      <c r="D219" s="6" t="s">
        <v>17</v>
      </c>
      <c r="E219" s="29">
        <v>4.5</v>
      </c>
      <c r="F219" s="13">
        <v>2.9</v>
      </c>
      <c r="G219" s="31">
        <v>3.88</v>
      </c>
      <c r="H219" s="13">
        <v>0.8</v>
      </c>
      <c r="I219" s="6" t="s">
        <v>15</v>
      </c>
      <c r="J219" s="11">
        <v>5</v>
      </c>
      <c r="K219" s="11">
        <v>5</v>
      </c>
      <c r="L219" s="11">
        <v>6</v>
      </c>
      <c r="M219" s="15">
        <v>1</v>
      </c>
      <c r="R219" s="20">
        <v>1</v>
      </c>
      <c r="U219" s="17">
        <v>1</v>
      </c>
      <c r="W219" s="23">
        <v>1</v>
      </c>
      <c r="Y219" s="26">
        <v>1</v>
      </c>
    </row>
    <row r="220" spans="1:25" x14ac:dyDescent="0.25">
      <c r="A220" s="7">
        <v>13</v>
      </c>
      <c r="B220" s="6" t="s">
        <v>13</v>
      </c>
      <c r="C220" s="32">
        <v>2.2000000000000002</v>
      </c>
      <c r="D220" s="6" t="s">
        <v>17</v>
      </c>
      <c r="E220" s="29">
        <v>5.3</v>
      </c>
      <c r="F220" s="13">
        <v>1.4</v>
      </c>
      <c r="G220" s="31">
        <v>3.97</v>
      </c>
      <c r="H220" s="13">
        <v>0</v>
      </c>
      <c r="I220" s="6" t="s">
        <v>15</v>
      </c>
      <c r="J220" s="11">
        <v>1</v>
      </c>
      <c r="K220" s="11">
        <v>10</v>
      </c>
      <c r="L220" s="11">
        <v>7</v>
      </c>
      <c r="M220" s="15">
        <v>1</v>
      </c>
      <c r="R220" s="20">
        <v>1</v>
      </c>
      <c r="U220" s="17">
        <v>1</v>
      </c>
      <c r="W220" s="23">
        <v>1</v>
      </c>
      <c r="Y220" s="26">
        <v>1</v>
      </c>
    </row>
    <row r="221" spans="1:25" x14ac:dyDescent="0.25">
      <c r="A221" s="7">
        <v>14</v>
      </c>
      <c r="B221" s="6" t="s">
        <v>13</v>
      </c>
      <c r="C221" s="32">
        <v>5.8</v>
      </c>
      <c r="D221" s="6" t="s">
        <v>20</v>
      </c>
      <c r="E221" s="29">
        <v>6.9</v>
      </c>
      <c r="F221" s="13">
        <v>0.7</v>
      </c>
      <c r="G221" s="31">
        <v>3.01</v>
      </c>
      <c r="H221" s="13">
        <v>1.9</v>
      </c>
      <c r="I221" s="6" t="s">
        <v>18</v>
      </c>
      <c r="J221" s="11">
        <v>9</v>
      </c>
      <c r="K221" s="11">
        <v>9</v>
      </c>
      <c r="L221" s="11">
        <v>4</v>
      </c>
      <c r="M221" s="15">
        <v>1</v>
      </c>
      <c r="R221" s="20">
        <v>1</v>
      </c>
      <c r="U221" s="17">
        <v>1</v>
      </c>
      <c r="W221" s="23">
        <v>1</v>
      </c>
      <c r="Y221" s="26">
        <v>1</v>
      </c>
    </row>
    <row r="222" spans="1:25" x14ac:dyDescent="0.25">
      <c r="A222" s="7">
        <v>14</v>
      </c>
      <c r="B222" s="6" t="s">
        <v>13</v>
      </c>
      <c r="C222" s="32">
        <v>1.3</v>
      </c>
      <c r="D222" s="6" t="s">
        <v>14</v>
      </c>
      <c r="E222" s="29">
        <v>8.5</v>
      </c>
      <c r="F222" s="13">
        <v>0.9</v>
      </c>
      <c r="G222" s="31">
        <v>3.71</v>
      </c>
      <c r="H222" s="13">
        <v>0.7</v>
      </c>
      <c r="I222" s="6" t="s">
        <v>18</v>
      </c>
      <c r="J222" s="11">
        <v>3</v>
      </c>
      <c r="K222" s="11">
        <v>3</v>
      </c>
      <c r="L222" s="11">
        <v>6</v>
      </c>
      <c r="M222" s="15">
        <v>1</v>
      </c>
      <c r="R222" s="20">
        <v>1</v>
      </c>
      <c r="U222" s="17">
        <v>1</v>
      </c>
      <c r="W222" s="23">
        <v>1</v>
      </c>
      <c r="Y222" s="26">
        <v>1</v>
      </c>
    </row>
    <row r="223" spans="1:25" x14ac:dyDescent="0.25">
      <c r="A223" s="7">
        <v>19</v>
      </c>
      <c r="B223" s="6" t="s">
        <v>16</v>
      </c>
      <c r="C223" s="32">
        <v>2.8</v>
      </c>
      <c r="D223" s="6" t="s">
        <v>17</v>
      </c>
      <c r="E223" s="29">
        <v>4.8</v>
      </c>
      <c r="F223" s="13">
        <v>1.7</v>
      </c>
      <c r="G223" s="31">
        <v>2.8</v>
      </c>
      <c r="H223" s="13">
        <v>0.6</v>
      </c>
      <c r="I223" s="6" t="s">
        <v>15</v>
      </c>
      <c r="J223" s="11">
        <v>5</v>
      </c>
      <c r="K223" s="11">
        <v>7</v>
      </c>
      <c r="L223" s="11">
        <v>4</v>
      </c>
      <c r="M223" s="15">
        <v>1</v>
      </c>
      <c r="R223" s="20">
        <v>1</v>
      </c>
      <c r="U223" s="17">
        <v>1</v>
      </c>
      <c r="W223" s="23">
        <v>1</v>
      </c>
      <c r="Y223" s="26">
        <v>1</v>
      </c>
    </row>
    <row r="224" spans="1:25" x14ac:dyDescent="0.25">
      <c r="A224" s="7">
        <v>19</v>
      </c>
      <c r="B224" s="6" t="s">
        <v>16</v>
      </c>
      <c r="C224" s="32">
        <v>4</v>
      </c>
      <c r="D224" s="6" t="s">
        <v>17</v>
      </c>
      <c r="E224" s="29">
        <v>6.5</v>
      </c>
      <c r="F224" s="13">
        <v>2.4</v>
      </c>
      <c r="G224" s="31">
        <v>3.67</v>
      </c>
      <c r="H224" s="13">
        <v>0.6</v>
      </c>
      <c r="I224" s="6" t="s">
        <v>15</v>
      </c>
      <c r="J224" s="11">
        <v>4</v>
      </c>
      <c r="K224" s="11">
        <v>6</v>
      </c>
      <c r="L224" s="11">
        <v>4</v>
      </c>
      <c r="M224" s="15">
        <v>1</v>
      </c>
      <c r="R224" s="20">
        <v>1</v>
      </c>
      <c r="U224" s="17">
        <v>1</v>
      </c>
      <c r="W224" s="23">
        <v>1</v>
      </c>
      <c r="Y224" s="26">
        <v>1</v>
      </c>
    </row>
    <row r="225" spans="1:25" x14ac:dyDescent="0.25">
      <c r="A225" s="7">
        <v>14</v>
      </c>
      <c r="B225" s="6" t="s">
        <v>16</v>
      </c>
      <c r="C225" s="32">
        <v>1.7</v>
      </c>
      <c r="D225" s="6" t="s">
        <v>17</v>
      </c>
      <c r="E225" s="29">
        <v>4.9000000000000004</v>
      </c>
      <c r="F225" s="13">
        <v>1.6</v>
      </c>
      <c r="G225" s="31">
        <v>2.36</v>
      </c>
      <c r="H225" s="13">
        <v>1.7</v>
      </c>
      <c r="I225" s="6" t="s">
        <v>18</v>
      </c>
      <c r="J225" s="11">
        <v>3</v>
      </c>
      <c r="K225" s="11">
        <v>1</v>
      </c>
      <c r="L225" s="11">
        <v>6</v>
      </c>
      <c r="M225" s="15">
        <v>1</v>
      </c>
      <c r="R225" s="20">
        <v>1</v>
      </c>
      <c r="U225" s="17">
        <v>1</v>
      </c>
      <c r="W225" s="23">
        <v>1</v>
      </c>
      <c r="Y225" s="26">
        <v>1</v>
      </c>
    </row>
    <row r="226" spans="1:25" x14ac:dyDescent="0.25">
      <c r="A226" s="7">
        <v>18</v>
      </c>
      <c r="B226" s="6" t="s">
        <v>16</v>
      </c>
      <c r="C226" s="32">
        <v>1.4</v>
      </c>
      <c r="D226" s="6" t="s">
        <v>17</v>
      </c>
      <c r="E226" s="29">
        <v>6.1</v>
      </c>
      <c r="F226" s="13">
        <v>1.6</v>
      </c>
      <c r="G226" s="31">
        <v>2.56</v>
      </c>
      <c r="H226" s="13">
        <v>1.2</v>
      </c>
      <c r="I226" s="6" t="s">
        <v>18</v>
      </c>
      <c r="J226" s="11">
        <v>2</v>
      </c>
      <c r="K226" s="11">
        <v>7</v>
      </c>
      <c r="L226" s="11">
        <v>8</v>
      </c>
      <c r="M226" s="15">
        <v>1</v>
      </c>
      <c r="R226" s="20">
        <v>1</v>
      </c>
      <c r="U226" s="17">
        <v>1</v>
      </c>
      <c r="W226" s="23">
        <v>1</v>
      </c>
      <c r="Y226" s="26">
        <v>1</v>
      </c>
    </row>
    <row r="227" spans="1:25" x14ac:dyDescent="0.25">
      <c r="A227" s="7">
        <v>19</v>
      </c>
      <c r="B227" s="6" t="s">
        <v>13</v>
      </c>
      <c r="C227" s="32">
        <v>2.2999999999999998</v>
      </c>
      <c r="D227" s="6" t="s">
        <v>17</v>
      </c>
      <c r="E227" s="29">
        <v>6.5</v>
      </c>
      <c r="F227" s="13">
        <v>3</v>
      </c>
      <c r="G227" s="31">
        <v>3.5</v>
      </c>
      <c r="H227" s="13">
        <v>0.1</v>
      </c>
      <c r="I227" s="6" t="s">
        <v>18</v>
      </c>
      <c r="J227" s="11">
        <v>9</v>
      </c>
      <c r="K227" s="11">
        <v>10</v>
      </c>
      <c r="L227" s="11">
        <v>8</v>
      </c>
      <c r="M227" s="15">
        <v>1</v>
      </c>
      <c r="R227" s="20">
        <v>1</v>
      </c>
      <c r="U227" s="17">
        <v>1</v>
      </c>
      <c r="W227" s="23">
        <v>1</v>
      </c>
      <c r="Y227" s="26">
        <v>1</v>
      </c>
    </row>
    <row r="228" spans="1:25" x14ac:dyDescent="0.25">
      <c r="A228" s="7">
        <v>14</v>
      </c>
      <c r="B228" s="6" t="s">
        <v>13</v>
      </c>
      <c r="C228" s="32">
        <v>3.8</v>
      </c>
      <c r="D228" s="6" t="s">
        <v>14</v>
      </c>
      <c r="E228" s="29">
        <v>5.3</v>
      </c>
      <c r="F228" s="13">
        <v>1</v>
      </c>
      <c r="G228" s="31">
        <v>2.2799999999999998</v>
      </c>
      <c r="H228" s="13">
        <v>1.2</v>
      </c>
      <c r="I228" s="6" t="s">
        <v>15</v>
      </c>
      <c r="J228" s="11">
        <v>9</v>
      </c>
      <c r="K228" s="11">
        <v>3</v>
      </c>
      <c r="L228" s="11">
        <v>1</v>
      </c>
      <c r="M228" s="15">
        <v>1</v>
      </c>
      <c r="R228" s="20">
        <v>1</v>
      </c>
      <c r="U228" s="17">
        <v>1</v>
      </c>
      <c r="W228" s="23">
        <v>1</v>
      </c>
      <c r="Y228" s="26">
        <v>1</v>
      </c>
    </row>
    <row r="229" spans="1:25" x14ac:dyDescent="0.25">
      <c r="A229" s="7">
        <v>13</v>
      </c>
      <c r="B229" s="6" t="s">
        <v>13</v>
      </c>
      <c r="C229" s="32">
        <v>6.4</v>
      </c>
      <c r="D229" s="6" t="s">
        <v>17</v>
      </c>
      <c r="E229" s="29">
        <v>5.0999999999999996</v>
      </c>
      <c r="F229" s="13">
        <v>2.5</v>
      </c>
      <c r="G229" s="31">
        <v>2.62</v>
      </c>
      <c r="H229" s="13">
        <v>1.3</v>
      </c>
      <c r="I229" s="6" t="s">
        <v>15</v>
      </c>
      <c r="J229" s="11">
        <v>5</v>
      </c>
      <c r="K229" s="11">
        <v>4</v>
      </c>
      <c r="L229" s="11">
        <v>7</v>
      </c>
      <c r="M229" s="15">
        <v>1</v>
      </c>
      <c r="R229" s="20">
        <v>1</v>
      </c>
      <c r="U229" s="17">
        <v>1</v>
      </c>
      <c r="W229" s="23">
        <v>1</v>
      </c>
      <c r="Y229" s="26">
        <v>1</v>
      </c>
    </row>
    <row r="230" spans="1:25" x14ac:dyDescent="0.25">
      <c r="A230" s="7">
        <v>19</v>
      </c>
      <c r="B230" s="6" t="s">
        <v>13</v>
      </c>
      <c r="C230" s="32">
        <v>6</v>
      </c>
      <c r="D230" s="6" t="s">
        <v>20</v>
      </c>
      <c r="E230" s="29">
        <v>7.1</v>
      </c>
      <c r="F230" s="13">
        <v>0.9</v>
      </c>
      <c r="G230" s="31">
        <v>2.98</v>
      </c>
      <c r="H230" s="13">
        <v>0.1</v>
      </c>
      <c r="I230" s="6" t="s">
        <v>15</v>
      </c>
      <c r="J230" s="11">
        <v>1</v>
      </c>
      <c r="K230" s="11">
        <v>6</v>
      </c>
      <c r="L230" s="11">
        <v>5</v>
      </c>
      <c r="M230" s="15">
        <v>1</v>
      </c>
      <c r="R230" s="20">
        <v>1</v>
      </c>
      <c r="U230" s="17">
        <v>1</v>
      </c>
      <c r="W230" s="23">
        <v>1</v>
      </c>
      <c r="Y230" s="26">
        <v>1</v>
      </c>
    </row>
    <row r="231" spans="1:25" x14ac:dyDescent="0.25">
      <c r="A231" s="7">
        <v>16</v>
      </c>
      <c r="B231" s="6" t="s">
        <v>13</v>
      </c>
      <c r="C231" s="32">
        <v>1.9</v>
      </c>
      <c r="D231" s="6" t="s">
        <v>14</v>
      </c>
      <c r="E231" s="29">
        <v>7.8</v>
      </c>
      <c r="F231" s="13">
        <v>2.1</v>
      </c>
      <c r="G231" s="31">
        <v>2.2599999999999998</v>
      </c>
      <c r="H231" s="13">
        <v>0.3</v>
      </c>
      <c r="I231" s="6" t="s">
        <v>18</v>
      </c>
      <c r="J231" s="11">
        <v>7</v>
      </c>
      <c r="K231" s="11">
        <v>7</v>
      </c>
      <c r="L231" s="11">
        <v>5</v>
      </c>
      <c r="M231" s="15">
        <v>1</v>
      </c>
      <c r="R231" s="20">
        <v>1</v>
      </c>
      <c r="U231" s="17">
        <v>1</v>
      </c>
      <c r="W231" s="23">
        <v>1</v>
      </c>
      <c r="Y231" s="26">
        <v>1</v>
      </c>
    </row>
    <row r="232" spans="1:25" x14ac:dyDescent="0.25">
      <c r="A232" s="7">
        <v>17</v>
      </c>
      <c r="B232" s="6" t="s">
        <v>13</v>
      </c>
      <c r="C232" s="32">
        <v>2.4</v>
      </c>
      <c r="D232" s="6" t="s">
        <v>17</v>
      </c>
      <c r="E232" s="29">
        <v>8.5</v>
      </c>
      <c r="F232" s="13">
        <v>2.4</v>
      </c>
      <c r="G232" s="31">
        <v>2.79</v>
      </c>
      <c r="H232" s="13">
        <v>1.1000000000000001</v>
      </c>
      <c r="I232" s="6" t="s">
        <v>15</v>
      </c>
      <c r="J232" s="11">
        <v>1</v>
      </c>
      <c r="K232" s="11">
        <v>6</v>
      </c>
      <c r="L232" s="11">
        <v>7</v>
      </c>
      <c r="M232" s="15">
        <v>1</v>
      </c>
      <c r="R232" s="20">
        <v>1</v>
      </c>
      <c r="U232" s="17">
        <v>1</v>
      </c>
      <c r="W232" s="23">
        <v>1</v>
      </c>
      <c r="Y232" s="26">
        <v>1</v>
      </c>
    </row>
    <row r="233" spans="1:25" x14ac:dyDescent="0.25">
      <c r="A233" s="7">
        <v>14</v>
      </c>
      <c r="B233" s="6" t="s">
        <v>16</v>
      </c>
      <c r="C233" s="32">
        <v>2.7</v>
      </c>
      <c r="D233" s="6" t="s">
        <v>14</v>
      </c>
      <c r="E233" s="29">
        <v>5.0999999999999996</v>
      </c>
      <c r="F233" s="13">
        <v>2.4</v>
      </c>
      <c r="G233" s="31">
        <v>2.17</v>
      </c>
      <c r="H233" s="13">
        <v>1.8</v>
      </c>
      <c r="I233" s="6" t="s">
        <v>18</v>
      </c>
      <c r="J233" s="11">
        <v>3</v>
      </c>
      <c r="K233" s="11">
        <v>10</v>
      </c>
      <c r="L233" s="11">
        <v>8</v>
      </c>
      <c r="M233" s="15">
        <v>1</v>
      </c>
      <c r="R233" s="20">
        <v>1</v>
      </c>
      <c r="U233" s="17">
        <v>1</v>
      </c>
      <c r="W233" s="23">
        <v>1</v>
      </c>
      <c r="Y233" s="26">
        <v>1</v>
      </c>
    </row>
    <row r="234" spans="1:25" x14ac:dyDescent="0.25">
      <c r="A234" s="7">
        <v>14</v>
      </c>
      <c r="B234" s="6" t="s">
        <v>13</v>
      </c>
      <c r="C234" s="32">
        <v>1.5</v>
      </c>
      <c r="D234" s="6" t="s">
        <v>20</v>
      </c>
      <c r="E234" s="29">
        <v>7.2</v>
      </c>
      <c r="F234" s="13">
        <v>1.7</v>
      </c>
      <c r="G234" s="31">
        <v>2.76</v>
      </c>
      <c r="H234" s="13">
        <v>0</v>
      </c>
      <c r="I234" s="6" t="s">
        <v>15</v>
      </c>
      <c r="J234" s="11">
        <v>10</v>
      </c>
      <c r="K234" s="11">
        <v>7</v>
      </c>
      <c r="L234" s="11">
        <v>10</v>
      </c>
      <c r="M234" s="15">
        <v>1</v>
      </c>
      <c r="R234" s="20">
        <v>1</v>
      </c>
      <c r="U234" s="17">
        <v>1</v>
      </c>
      <c r="W234" s="23">
        <v>1</v>
      </c>
      <c r="Y234" s="26">
        <v>1</v>
      </c>
    </row>
    <row r="235" spans="1:25" x14ac:dyDescent="0.25">
      <c r="A235" s="7">
        <v>18</v>
      </c>
      <c r="B235" s="6" t="s">
        <v>13</v>
      </c>
      <c r="C235" s="32">
        <v>7.7</v>
      </c>
      <c r="D235" s="6" t="s">
        <v>14</v>
      </c>
      <c r="E235" s="29">
        <v>7.3</v>
      </c>
      <c r="F235" s="13">
        <v>1.8</v>
      </c>
      <c r="G235" s="31">
        <v>3.13</v>
      </c>
      <c r="H235" s="13">
        <v>2</v>
      </c>
      <c r="I235" s="6" t="s">
        <v>19</v>
      </c>
      <c r="J235" s="11">
        <v>7</v>
      </c>
      <c r="K235" s="11">
        <v>9</v>
      </c>
      <c r="L235" s="11">
        <v>7</v>
      </c>
      <c r="M235" s="15">
        <v>1</v>
      </c>
      <c r="R235" s="20">
        <v>1</v>
      </c>
      <c r="U235" s="17">
        <v>1</v>
      </c>
      <c r="W235" s="23">
        <v>1</v>
      </c>
      <c r="Y235" s="26">
        <v>1</v>
      </c>
    </row>
    <row r="236" spans="1:25" x14ac:dyDescent="0.25">
      <c r="A236" s="7">
        <v>13</v>
      </c>
      <c r="B236" s="6" t="s">
        <v>13</v>
      </c>
      <c r="C236" s="32">
        <v>2.9</v>
      </c>
      <c r="D236" s="6" t="s">
        <v>17</v>
      </c>
      <c r="E236" s="29">
        <v>5.0999999999999996</v>
      </c>
      <c r="F236" s="13">
        <v>2.2000000000000002</v>
      </c>
      <c r="G236" s="31">
        <v>3.81</v>
      </c>
      <c r="H236" s="13">
        <v>0.7</v>
      </c>
      <c r="I236" s="6" t="s">
        <v>15</v>
      </c>
      <c r="J236" s="11">
        <v>6</v>
      </c>
      <c r="K236" s="11">
        <v>6</v>
      </c>
      <c r="L236" s="11">
        <v>10</v>
      </c>
      <c r="M236" s="15">
        <v>1</v>
      </c>
      <c r="R236" s="20">
        <v>1</v>
      </c>
      <c r="U236" s="17">
        <v>1</v>
      </c>
      <c r="W236" s="23">
        <v>1</v>
      </c>
      <c r="Y236" s="26">
        <v>1</v>
      </c>
    </row>
    <row r="237" spans="1:25" x14ac:dyDescent="0.25">
      <c r="A237" s="7">
        <v>16</v>
      </c>
      <c r="B237" s="6" t="s">
        <v>13</v>
      </c>
      <c r="C237" s="32">
        <v>7.6</v>
      </c>
      <c r="D237" s="6" t="s">
        <v>17</v>
      </c>
      <c r="E237" s="29">
        <v>4.3</v>
      </c>
      <c r="F237" s="13">
        <v>2.7</v>
      </c>
      <c r="G237" s="31">
        <v>2.5099999999999998</v>
      </c>
      <c r="H237" s="13">
        <v>0.3</v>
      </c>
      <c r="I237" s="6" t="s">
        <v>19</v>
      </c>
      <c r="J237" s="11">
        <v>3</v>
      </c>
      <c r="K237" s="11">
        <v>9</v>
      </c>
      <c r="L237" s="11">
        <v>10</v>
      </c>
      <c r="M237" s="15">
        <v>1</v>
      </c>
      <c r="R237" s="20">
        <v>1</v>
      </c>
      <c r="U237" s="17">
        <v>1</v>
      </c>
      <c r="W237" s="23">
        <v>1</v>
      </c>
      <c r="Y237" s="26">
        <v>1</v>
      </c>
    </row>
    <row r="238" spans="1:25" x14ac:dyDescent="0.25">
      <c r="A238" s="7">
        <v>18</v>
      </c>
      <c r="B238" s="6" t="s">
        <v>13</v>
      </c>
      <c r="C238" s="32">
        <v>5.7</v>
      </c>
      <c r="D238" s="6" t="s">
        <v>20</v>
      </c>
      <c r="E238" s="29">
        <v>8.4</v>
      </c>
      <c r="F238" s="13">
        <v>2.4</v>
      </c>
      <c r="G238" s="31">
        <v>2.84</v>
      </c>
      <c r="H238" s="13">
        <v>0.7</v>
      </c>
      <c r="I238" s="6" t="s">
        <v>15</v>
      </c>
      <c r="J238" s="11">
        <v>5</v>
      </c>
      <c r="K238" s="11">
        <v>4</v>
      </c>
      <c r="L238" s="11">
        <v>9</v>
      </c>
      <c r="M238" s="15">
        <v>1</v>
      </c>
      <c r="R238" s="20">
        <v>1</v>
      </c>
      <c r="U238" s="17">
        <v>1</v>
      </c>
      <c r="W238" s="23">
        <v>1</v>
      </c>
      <c r="Y238" s="26">
        <v>1</v>
      </c>
    </row>
    <row r="239" spans="1:25" x14ac:dyDescent="0.25">
      <c r="A239" s="7">
        <v>19</v>
      </c>
      <c r="B239" s="6" t="s">
        <v>13</v>
      </c>
      <c r="C239" s="32">
        <v>1.2</v>
      </c>
      <c r="D239" s="6" t="s">
        <v>17</v>
      </c>
      <c r="E239" s="29">
        <v>5</v>
      </c>
      <c r="F239" s="13">
        <v>1.5</v>
      </c>
      <c r="G239" s="31">
        <v>2.09</v>
      </c>
      <c r="H239" s="13">
        <v>0.6</v>
      </c>
      <c r="I239" s="6" t="s">
        <v>19</v>
      </c>
      <c r="J239" s="11">
        <v>5</v>
      </c>
      <c r="K239" s="11">
        <v>2</v>
      </c>
      <c r="L239" s="11">
        <v>1</v>
      </c>
      <c r="M239" s="15">
        <v>1</v>
      </c>
      <c r="R239" s="20">
        <v>1</v>
      </c>
      <c r="U239" s="17">
        <v>1</v>
      </c>
      <c r="W239" s="23">
        <v>1</v>
      </c>
      <c r="Y239" s="26">
        <v>1</v>
      </c>
    </row>
    <row r="240" spans="1:25" x14ac:dyDescent="0.25">
      <c r="A240" s="7">
        <v>16</v>
      </c>
      <c r="B240" s="6" t="s">
        <v>16</v>
      </c>
      <c r="C240" s="32">
        <v>2.4</v>
      </c>
      <c r="D240" s="6" t="s">
        <v>20</v>
      </c>
      <c r="E240" s="29">
        <v>6.2</v>
      </c>
      <c r="F240" s="13">
        <v>1.6</v>
      </c>
      <c r="G240" s="31">
        <v>2.38</v>
      </c>
      <c r="H240" s="13">
        <v>0</v>
      </c>
      <c r="I240" s="6" t="s">
        <v>19</v>
      </c>
      <c r="J240" s="11">
        <v>8</v>
      </c>
      <c r="K240" s="11">
        <v>4</v>
      </c>
      <c r="L240" s="11">
        <v>10</v>
      </c>
      <c r="M240" s="15">
        <v>1</v>
      </c>
      <c r="R240" s="20">
        <v>1</v>
      </c>
      <c r="U240" s="17">
        <v>1</v>
      </c>
      <c r="W240" s="23">
        <v>1</v>
      </c>
      <c r="Y240" s="26">
        <v>1</v>
      </c>
    </row>
    <row r="241" spans="1:25" x14ac:dyDescent="0.25">
      <c r="A241" s="7">
        <v>17</v>
      </c>
      <c r="B241" s="6" t="s">
        <v>16</v>
      </c>
      <c r="C241" s="32">
        <v>6.2</v>
      </c>
      <c r="D241" s="6" t="s">
        <v>20</v>
      </c>
      <c r="E241" s="29">
        <v>5.0999999999999996</v>
      </c>
      <c r="F241" s="13">
        <v>2</v>
      </c>
      <c r="G241" s="31">
        <v>3.82</v>
      </c>
      <c r="H241" s="13">
        <v>1.7</v>
      </c>
      <c r="I241" s="6" t="s">
        <v>19</v>
      </c>
      <c r="J241" s="11">
        <v>7</v>
      </c>
      <c r="K241" s="11">
        <v>3</v>
      </c>
      <c r="L241" s="11">
        <v>5</v>
      </c>
      <c r="M241" s="15">
        <v>1</v>
      </c>
      <c r="R241" s="20">
        <v>1</v>
      </c>
      <c r="U241" s="17">
        <v>1</v>
      </c>
      <c r="W241" s="23">
        <v>1</v>
      </c>
      <c r="Y241" s="26">
        <v>1</v>
      </c>
    </row>
    <row r="242" spans="1:25" x14ac:dyDescent="0.25">
      <c r="A242" s="7">
        <v>14</v>
      </c>
      <c r="B242" s="6" t="s">
        <v>16</v>
      </c>
      <c r="C242" s="32">
        <v>4.7</v>
      </c>
      <c r="D242" s="6" t="s">
        <v>14</v>
      </c>
      <c r="E242" s="29">
        <v>5.0999999999999996</v>
      </c>
      <c r="F242" s="13">
        <v>2.2000000000000002</v>
      </c>
      <c r="G242" s="31">
        <v>2.0299999999999998</v>
      </c>
      <c r="H242" s="13">
        <v>1.1000000000000001</v>
      </c>
      <c r="I242" s="6" t="s">
        <v>19</v>
      </c>
      <c r="J242" s="11">
        <v>2</v>
      </c>
      <c r="K242" s="11">
        <v>10</v>
      </c>
      <c r="L242" s="11">
        <v>7</v>
      </c>
      <c r="M242" s="15">
        <v>-1</v>
      </c>
      <c r="R242" s="20">
        <v>-1</v>
      </c>
      <c r="U242" s="17">
        <v>-1</v>
      </c>
      <c r="W242" s="23">
        <v>-1</v>
      </c>
      <c r="Y242" s="26">
        <v>-1</v>
      </c>
    </row>
    <row r="243" spans="1:25" x14ac:dyDescent="0.25">
      <c r="A243" s="7">
        <v>19</v>
      </c>
      <c r="B243" s="6" t="s">
        <v>13</v>
      </c>
      <c r="C243" s="32">
        <v>5.3</v>
      </c>
      <c r="D243" s="6" t="s">
        <v>14</v>
      </c>
      <c r="E243" s="29">
        <v>6.7</v>
      </c>
      <c r="F243" s="13">
        <v>0.7</v>
      </c>
      <c r="G243" s="31">
        <v>3.59</v>
      </c>
      <c r="H243" s="13">
        <v>1.8</v>
      </c>
      <c r="I243" s="6" t="s">
        <v>18</v>
      </c>
      <c r="J243" s="11">
        <v>4</v>
      </c>
      <c r="K243" s="11">
        <v>8</v>
      </c>
      <c r="L243" s="11">
        <v>8</v>
      </c>
      <c r="M243" s="15">
        <v>-1</v>
      </c>
      <c r="R243" s="20">
        <v>-1</v>
      </c>
      <c r="U243" s="17">
        <v>-1</v>
      </c>
      <c r="W243" s="23">
        <v>-1</v>
      </c>
      <c r="Y243" s="26">
        <v>-1</v>
      </c>
    </row>
    <row r="244" spans="1:25" x14ac:dyDescent="0.25">
      <c r="A244" s="7">
        <v>19</v>
      </c>
      <c r="B244" s="6" t="s">
        <v>16</v>
      </c>
      <c r="C244" s="32">
        <v>6</v>
      </c>
      <c r="D244" s="6" t="s">
        <v>17</v>
      </c>
      <c r="E244" s="29">
        <v>6</v>
      </c>
      <c r="F244" s="13">
        <v>0.7</v>
      </c>
      <c r="G244" s="31">
        <v>3.29</v>
      </c>
      <c r="H244" s="13">
        <v>1.4</v>
      </c>
      <c r="I244" s="6" t="s">
        <v>15</v>
      </c>
      <c r="J244" s="11">
        <v>4</v>
      </c>
      <c r="K244" s="11">
        <v>5</v>
      </c>
      <c r="L244" s="11">
        <v>1</v>
      </c>
      <c r="M244" s="15">
        <v>-1</v>
      </c>
      <c r="R244" s="20">
        <v>-1</v>
      </c>
      <c r="U244" s="17">
        <v>-1</v>
      </c>
      <c r="W244" s="23">
        <v>-1</v>
      </c>
      <c r="Y244" s="26">
        <v>-1</v>
      </c>
    </row>
    <row r="245" spans="1:25" x14ac:dyDescent="0.25">
      <c r="A245" s="7">
        <v>16</v>
      </c>
      <c r="B245" s="6" t="s">
        <v>16</v>
      </c>
      <c r="C245" s="32">
        <v>7.8</v>
      </c>
      <c r="D245" s="6" t="s">
        <v>17</v>
      </c>
      <c r="E245" s="29">
        <v>4.7</v>
      </c>
      <c r="F245" s="13">
        <v>2.1</v>
      </c>
      <c r="G245" s="31">
        <v>2.48</v>
      </c>
      <c r="H245" s="13">
        <v>2</v>
      </c>
      <c r="I245" s="6" t="s">
        <v>15</v>
      </c>
      <c r="J245" s="11">
        <v>8</v>
      </c>
      <c r="K245" s="11">
        <v>3</v>
      </c>
      <c r="L245" s="11">
        <v>1</v>
      </c>
      <c r="M245" s="15">
        <v>-1</v>
      </c>
      <c r="R245" s="20">
        <v>-1</v>
      </c>
      <c r="U245" s="17">
        <v>-1</v>
      </c>
      <c r="W245" s="23">
        <v>-1</v>
      </c>
      <c r="Y245" s="26">
        <v>-1</v>
      </c>
    </row>
    <row r="246" spans="1:25" x14ac:dyDescent="0.25">
      <c r="A246" s="7">
        <v>14</v>
      </c>
      <c r="B246" s="6" t="s">
        <v>16</v>
      </c>
      <c r="C246" s="32">
        <v>4.4000000000000004</v>
      </c>
      <c r="D246" s="6" t="s">
        <v>20</v>
      </c>
      <c r="E246" s="29">
        <v>4.2</v>
      </c>
      <c r="F246" s="13">
        <v>2.6</v>
      </c>
      <c r="G246" s="31">
        <v>2.2799999999999998</v>
      </c>
      <c r="H246" s="13">
        <v>1.3</v>
      </c>
      <c r="I246" s="6" t="s">
        <v>19</v>
      </c>
      <c r="J246" s="11">
        <v>8</v>
      </c>
      <c r="K246" s="11">
        <v>10</v>
      </c>
      <c r="L246" s="11">
        <v>4</v>
      </c>
      <c r="M246" s="15">
        <v>-1</v>
      </c>
      <c r="R246" s="20">
        <v>-1</v>
      </c>
      <c r="U246" s="17">
        <v>-1</v>
      </c>
      <c r="W246" s="23">
        <v>-1</v>
      </c>
      <c r="Y246" s="26">
        <v>-1</v>
      </c>
    </row>
    <row r="247" spans="1:25" x14ac:dyDescent="0.25">
      <c r="A247" s="7">
        <v>17</v>
      </c>
      <c r="B247" s="6" t="s">
        <v>13</v>
      </c>
      <c r="C247" s="32">
        <v>6.7</v>
      </c>
      <c r="D247" s="6" t="s">
        <v>14</v>
      </c>
      <c r="E247" s="29">
        <v>7.6</v>
      </c>
      <c r="F247" s="13">
        <v>2.4</v>
      </c>
      <c r="G247" s="31">
        <v>3.59</v>
      </c>
      <c r="H247" s="13">
        <v>0.4</v>
      </c>
      <c r="I247" s="6" t="s">
        <v>19</v>
      </c>
      <c r="J247" s="11">
        <v>9</v>
      </c>
      <c r="K247" s="11">
        <v>5</v>
      </c>
      <c r="L247" s="11">
        <v>5</v>
      </c>
      <c r="M247" s="15">
        <v>1</v>
      </c>
      <c r="R247" s="20">
        <v>1</v>
      </c>
      <c r="U247" s="17">
        <v>1</v>
      </c>
      <c r="W247" s="23">
        <v>1</v>
      </c>
      <c r="Y247" s="26">
        <v>1</v>
      </c>
    </row>
    <row r="248" spans="1:25" x14ac:dyDescent="0.25">
      <c r="A248" s="7">
        <v>13</v>
      </c>
      <c r="B248" s="6" t="s">
        <v>16</v>
      </c>
      <c r="C248" s="32">
        <v>7.2</v>
      </c>
      <c r="D248" s="6" t="s">
        <v>17</v>
      </c>
      <c r="E248" s="29">
        <v>7.4</v>
      </c>
      <c r="F248" s="13">
        <v>2.2000000000000002</v>
      </c>
      <c r="G248" s="31">
        <v>3.42</v>
      </c>
      <c r="H248" s="13">
        <v>0.1</v>
      </c>
      <c r="I248" s="6" t="s">
        <v>15</v>
      </c>
      <c r="J248" s="11">
        <v>8</v>
      </c>
      <c r="K248" s="11">
        <v>9</v>
      </c>
      <c r="L248" s="11">
        <v>6</v>
      </c>
      <c r="M248" s="15">
        <v>1</v>
      </c>
      <c r="R248" s="20">
        <v>1</v>
      </c>
      <c r="U248" s="17">
        <v>1</v>
      </c>
      <c r="W248" s="23">
        <v>1</v>
      </c>
      <c r="Y248" s="26">
        <v>1</v>
      </c>
    </row>
    <row r="249" spans="1:25" x14ac:dyDescent="0.25">
      <c r="A249" s="7">
        <v>18</v>
      </c>
      <c r="B249" s="6" t="s">
        <v>13</v>
      </c>
      <c r="C249" s="32">
        <v>6.1</v>
      </c>
      <c r="D249" s="6" t="s">
        <v>20</v>
      </c>
      <c r="E249" s="29">
        <v>4.4000000000000004</v>
      </c>
      <c r="F249" s="13">
        <v>2.1</v>
      </c>
      <c r="G249" s="31">
        <v>2.23</v>
      </c>
      <c r="H249" s="13">
        <v>1</v>
      </c>
      <c r="I249" s="6" t="s">
        <v>15</v>
      </c>
      <c r="J249" s="11">
        <v>8</v>
      </c>
      <c r="K249" s="11">
        <v>2</v>
      </c>
      <c r="L249" s="11">
        <v>5</v>
      </c>
      <c r="M249" s="15">
        <v>1</v>
      </c>
      <c r="R249" s="20">
        <v>1</v>
      </c>
      <c r="U249" s="17">
        <v>1</v>
      </c>
      <c r="W249" s="23">
        <v>1</v>
      </c>
      <c r="Y249" s="26">
        <v>1</v>
      </c>
    </row>
    <row r="250" spans="1:25" x14ac:dyDescent="0.25">
      <c r="A250" s="7">
        <v>16</v>
      </c>
      <c r="B250" s="6" t="s">
        <v>13</v>
      </c>
      <c r="C250" s="32">
        <v>5.4</v>
      </c>
      <c r="D250" s="6" t="s">
        <v>17</v>
      </c>
      <c r="E250" s="29">
        <v>8.6999999999999993</v>
      </c>
      <c r="F250" s="13">
        <v>1.9</v>
      </c>
      <c r="G250" s="31">
        <v>2.67</v>
      </c>
      <c r="H250" s="13">
        <v>1.3</v>
      </c>
      <c r="I250" s="6" t="s">
        <v>15</v>
      </c>
      <c r="J250" s="11">
        <v>1</v>
      </c>
      <c r="K250" s="11">
        <v>5</v>
      </c>
      <c r="L250" s="11">
        <v>7</v>
      </c>
      <c r="M250" s="15">
        <v>1</v>
      </c>
      <c r="R250" s="20">
        <v>1</v>
      </c>
      <c r="U250" s="17">
        <v>1</v>
      </c>
      <c r="W250" s="23">
        <v>1</v>
      </c>
      <c r="Y250" s="26">
        <v>1</v>
      </c>
    </row>
    <row r="251" spans="1:25" x14ac:dyDescent="0.25">
      <c r="A251" s="7">
        <v>19</v>
      </c>
      <c r="B251" s="6" t="s">
        <v>13</v>
      </c>
      <c r="C251" s="32">
        <v>2.7</v>
      </c>
      <c r="D251" s="6" t="s">
        <v>20</v>
      </c>
      <c r="E251" s="29">
        <v>7.7</v>
      </c>
      <c r="F251" s="13">
        <v>0.7</v>
      </c>
      <c r="G251" s="31">
        <v>2.2200000000000002</v>
      </c>
      <c r="H251" s="13">
        <v>0.4</v>
      </c>
      <c r="I251" s="6" t="s">
        <v>19</v>
      </c>
      <c r="J251" s="11">
        <v>10</v>
      </c>
      <c r="K251" s="11">
        <v>8</v>
      </c>
      <c r="L251" s="11">
        <v>7</v>
      </c>
      <c r="M251" s="15">
        <v>1</v>
      </c>
      <c r="R251" s="20">
        <v>1</v>
      </c>
      <c r="U251" s="17">
        <v>1</v>
      </c>
      <c r="W251" s="23">
        <v>1</v>
      </c>
      <c r="Y251" s="26">
        <v>1</v>
      </c>
    </row>
    <row r="252" spans="1:25" x14ac:dyDescent="0.25">
      <c r="A252" s="7">
        <v>13</v>
      </c>
      <c r="B252" s="6" t="s">
        <v>16</v>
      </c>
      <c r="C252" s="32">
        <v>7.9</v>
      </c>
      <c r="D252" s="6" t="s">
        <v>14</v>
      </c>
      <c r="E252" s="29">
        <v>7.2</v>
      </c>
      <c r="F252" s="13">
        <v>1.5</v>
      </c>
      <c r="G252" s="31">
        <v>2.36</v>
      </c>
      <c r="H252" s="13">
        <v>0.2</v>
      </c>
      <c r="I252" s="6" t="s">
        <v>19</v>
      </c>
      <c r="J252" s="11">
        <v>2</v>
      </c>
      <c r="K252" s="11">
        <v>6</v>
      </c>
      <c r="L252" s="11">
        <v>8</v>
      </c>
      <c r="M252" s="15">
        <v>1</v>
      </c>
      <c r="R252" s="20">
        <v>1</v>
      </c>
      <c r="U252" s="17">
        <v>1</v>
      </c>
      <c r="W252" s="23">
        <v>1</v>
      </c>
      <c r="Y252" s="26">
        <v>1</v>
      </c>
    </row>
    <row r="253" spans="1:25" x14ac:dyDescent="0.25">
      <c r="A253" s="7">
        <v>13</v>
      </c>
      <c r="B253" s="6" t="s">
        <v>13</v>
      </c>
      <c r="C253" s="32">
        <v>4.5999999999999996</v>
      </c>
      <c r="D253" s="6" t="s">
        <v>17</v>
      </c>
      <c r="E253" s="29">
        <v>7.3</v>
      </c>
      <c r="F253" s="13">
        <v>1.6</v>
      </c>
      <c r="G253" s="31">
        <v>2.91</v>
      </c>
      <c r="H253" s="13">
        <v>0.4</v>
      </c>
      <c r="I253" s="6" t="s">
        <v>15</v>
      </c>
      <c r="J253" s="11">
        <v>10</v>
      </c>
      <c r="K253" s="11">
        <v>5</v>
      </c>
      <c r="L253" s="11">
        <v>7</v>
      </c>
      <c r="M253" s="15">
        <v>1</v>
      </c>
      <c r="R253" s="20">
        <v>1</v>
      </c>
      <c r="U253" s="17">
        <v>1</v>
      </c>
      <c r="W253" s="23">
        <v>1</v>
      </c>
      <c r="Y253" s="26">
        <v>1</v>
      </c>
    </row>
    <row r="254" spans="1:25" x14ac:dyDescent="0.25">
      <c r="A254" s="7">
        <v>13</v>
      </c>
      <c r="B254" s="6" t="s">
        <v>13</v>
      </c>
      <c r="C254" s="32">
        <v>5.6</v>
      </c>
      <c r="D254" s="6" t="s">
        <v>14</v>
      </c>
      <c r="E254" s="29">
        <v>4.5999999999999996</v>
      </c>
      <c r="F254" s="13">
        <v>1.9</v>
      </c>
      <c r="G254" s="31">
        <v>2.54</v>
      </c>
      <c r="H254" s="13">
        <v>0.1</v>
      </c>
      <c r="I254" s="6" t="s">
        <v>15</v>
      </c>
      <c r="J254" s="11">
        <v>5</v>
      </c>
      <c r="K254" s="11">
        <v>5</v>
      </c>
      <c r="L254" s="11">
        <v>6</v>
      </c>
      <c r="M254" s="15">
        <v>1</v>
      </c>
      <c r="R254" s="20">
        <v>1</v>
      </c>
      <c r="U254" s="17">
        <v>1</v>
      </c>
      <c r="W254" s="23">
        <v>1</v>
      </c>
      <c r="Y254" s="26">
        <v>1</v>
      </c>
    </row>
    <row r="255" spans="1:25" x14ac:dyDescent="0.25">
      <c r="A255" s="7">
        <v>17</v>
      </c>
      <c r="B255" s="6" t="s">
        <v>16</v>
      </c>
      <c r="C255" s="32">
        <v>6.5</v>
      </c>
      <c r="D255" s="6" t="s">
        <v>17</v>
      </c>
      <c r="E255" s="29">
        <v>6.4</v>
      </c>
      <c r="F255" s="13">
        <v>0.7</v>
      </c>
      <c r="G255" s="31">
        <v>3.57</v>
      </c>
      <c r="H255" s="13">
        <v>1.1000000000000001</v>
      </c>
      <c r="I255" s="6" t="s">
        <v>15</v>
      </c>
      <c r="J255" s="11">
        <v>2</v>
      </c>
      <c r="K255" s="11">
        <v>9</v>
      </c>
      <c r="L255" s="11">
        <v>6</v>
      </c>
      <c r="M255" s="15">
        <v>1</v>
      </c>
      <c r="R255" s="20">
        <v>1</v>
      </c>
      <c r="U255" s="17">
        <v>1</v>
      </c>
      <c r="W255" s="23">
        <v>1</v>
      </c>
      <c r="Y255" s="26">
        <v>1</v>
      </c>
    </row>
    <row r="256" spans="1:25" x14ac:dyDescent="0.25">
      <c r="A256" s="7">
        <v>19</v>
      </c>
      <c r="B256" s="6" t="s">
        <v>13</v>
      </c>
      <c r="C256" s="32">
        <v>5.9</v>
      </c>
      <c r="D256" s="6" t="s">
        <v>20</v>
      </c>
      <c r="E256" s="29">
        <v>7.2</v>
      </c>
      <c r="F256" s="13">
        <v>0.9</v>
      </c>
      <c r="G256" s="31">
        <v>3.99</v>
      </c>
      <c r="H256" s="13">
        <v>1.7</v>
      </c>
      <c r="I256" s="6" t="s">
        <v>15</v>
      </c>
      <c r="J256" s="11">
        <v>7</v>
      </c>
      <c r="K256" s="11">
        <v>9</v>
      </c>
      <c r="L256" s="11">
        <v>3</v>
      </c>
      <c r="M256" s="15">
        <v>1</v>
      </c>
      <c r="R256" s="20">
        <v>1</v>
      </c>
      <c r="U256" s="17">
        <v>1</v>
      </c>
      <c r="W256" s="23">
        <v>1</v>
      </c>
      <c r="Y256" s="26">
        <v>1</v>
      </c>
    </row>
    <row r="257" spans="1:25" x14ac:dyDescent="0.25">
      <c r="A257" s="7">
        <v>19</v>
      </c>
      <c r="B257" s="6" t="s">
        <v>16</v>
      </c>
      <c r="C257" s="32">
        <v>1.1000000000000001</v>
      </c>
      <c r="D257" s="6" t="s">
        <v>17</v>
      </c>
      <c r="E257" s="29">
        <v>5.0999999999999996</v>
      </c>
      <c r="F257" s="13">
        <v>2.2000000000000002</v>
      </c>
      <c r="G257" s="31">
        <v>2.13</v>
      </c>
      <c r="H257" s="13">
        <v>0.9</v>
      </c>
      <c r="I257" s="6" t="s">
        <v>15</v>
      </c>
      <c r="J257" s="11">
        <v>7</v>
      </c>
      <c r="K257" s="11">
        <v>7</v>
      </c>
      <c r="L257" s="11">
        <v>2</v>
      </c>
      <c r="M257" s="15">
        <v>1</v>
      </c>
      <c r="R257" s="20">
        <v>1</v>
      </c>
      <c r="U257" s="17">
        <v>1</v>
      </c>
      <c r="W257" s="23">
        <v>1</v>
      </c>
      <c r="Y257" s="26">
        <v>1</v>
      </c>
    </row>
    <row r="258" spans="1:25" x14ac:dyDescent="0.25">
      <c r="A258" s="7">
        <v>18</v>
      </c>
      <c r="B258" s="6" t="s">
        <v>13</v>
      </c>
      <c r="C258" s="32">
        <v>3.2</v>
      </c>
      <c r="D258" s="6" t="s">
        <v>17</v>
      </c>
      <c r="E258" s="29">
        <v>5.0999999999999996</v>
      </c>
      <c r="F258" s="13">
        <v>1.2</v>
      </c>
      <c r="G258" s="31">
        <v>3.54</v>
      </c>
      <c r="H258" s="13">
        <v>1.3</v>
      </c>
      <c r="I258" s="6" t="s">
        <v>15</v>
      </c>
      <c r="J258" s="11">
        <v>6</v>
      </c>
      <c r="K258" s="11">
        <v>2</v>
      </c>
      <c r="L258" s="11">
        <v>8</v>
      </c>
      <c r="M258" s="15">
        <v>1</v>
      </c>
      <c r="R258" s="20">
        <v>1</v>
      </c>
      <c r="U258" s="17">
        <v>1</v>
      </c>
      <c r="W258" s="23">
        <v>1</v>
      </c>
      <c r="Y258" s="26">
        <v>1</v>
      </c>
    </row>
    <row r="259" spans="1:25" x14ac:dyDescent="0.25">
      <c r="A259" s="7">
        <v>14</v>
      </c>
      <c r="B259" s="6" t="s">
        <v>13</v>
      </c>
      <c r="C259" s="32">
        <v>6.5</v>
      </c>
      <c r="D259" s="6" t="s">
        <v>14</v>
      </c>
      <c r="E259" s="29">
        <v>5.3</v>
      </c>
      <c r="F259" s="13">
        <v>2.7</v>
      </c>
      <c r="G259" s="31">
        <v>3.79</v>
      </c>
      <c r="H259" s="13">
        <v>0.8</v>
      </c>
      <c r="I259" s="6" t="s">
        <v>15</v>
      </c>
      <c r="J259" s="11">
        <v>8</v>
      </c>
      <c r="K259" s="11">
        <v>6</v>
      </c>
      <c r="L259" s="11">
        <v>4</v>
      </c>
      <c r="M259" s="15">
        <v>1</v>
      </c>
      <c r="R259" s="20">
        <v>1</v>
      </c>
      <c r="U259" s="17">
        <v>1</v>
      </c>
      <c r="W259" s="23">
        <v>1</v>
      </c>
      <c r="Y259" s="26">
        <v>1</v>
      </c>
    </row>
    <row r="260" spans="1:25" x14ac:dyDescent="0.25">
      <c r="A260" s="7">
        <v>17</v>
      </c>
      <c r="B260" s="6" t="s">
        <v>16</v>
      </c>
      <c r="C260" s="32">
        <v>7.3</v>
      </c>
      <c r="D260" s="6" t="s">
        <v>14</v>
      </c>
      <c r="E260" s="29">
        <v>6.2</v>
      </c>
      <c r="F260" s="13">
        <v>1</v>
      </c>
      <c r="G260" s="31">
        <v>2.02</v>
      </c>
      <c r="H260" s="13">
        <v>0.2</v>
      </c>
      <c r="I260" s="6" t="s">
        <v>15</v>
      </c>
      <c r="J260" s="11">
        <v>1</v>
      </c>
      <c r="K260" s="11">
        <v>6</v>
      </c>
      <c r="L260" s="11">
        <v>3</v>
      </c>
      <c r="M260" s="15">
        <v>1</v>
      </c>
      <c r="R260" s="20">
        <v>1</v>
      </c>
      <c r="U260" s="17">
        <v>1</v>
      </c>
      <c r="W260" s="23">
        <v>1</v>
      </c>
      <c r="Y260" s="26">
        <v>1</v>
      </c>
    </row>
    <row r="261" spans="1:25" x14ac:dyDescent="0.25">
      <c r="A261" s="7">
        <v>17</v>
      </c>
      <c r="B261" s="6" t="s">
        <v>13</v>
      </c>
      <c r="C261" s="32">
        <v>1.5</v>
      </c>
      <c r="D261" s="6" t="s">
        <v>17</v>
      </c>
      <c r="E261" s="29">
        <v>5.5</v>
      </c>
      <c r="F261" s="13">
        <v>1.7</v>
      </c>
      <c r="G261" s="31">
        <v>2.93</v>
      </c>
      <c r="H261" s="13">
        <v>0.7</v>
      </c>
      <c r="I261" s="6" t="s">
        <v>15</v>
      </c>
      <c r="J261" s="11">
        <v>4</v>
      </c>
      <c r="K261" s="11">
        <v>9</v>
      </c>
      <c r="L261" s="11">
        <v>9</v>
      </c>
      <c r="M261" s="15">
        <v>1</v>
      </c>
      <c r="R261" s="20">
        <v>1</v>
      </c>
      <c r="U261" s="17">
        <v>1</v>
      </c>
      <c r="W261" s="23">
        <v>1</v>
      </c>
      <c r="Y261" s="26">
        <v>1</v>
      </c>
    </row>
    <row r="262" spans="1:25" x14ac:dyDescent="0.25">
      <c r="A262" s="7">
        <v>16</v>
      </c>
      <c r="B262" s="6" t="s">
        <v>13</v>
      </c>
      <c r="C262" s="32">
        <v>3.8</v>
      </c>
      <c r="D262" s="6" t="s">
        <v>14</v>
      </c>
      <c r="E262" s="29">
        <v>6.8</v>
      </c>
      <c r="F262" s="13">
        <v>2.4</v>
      </c>
      <c r="G262" s="31">
        <v>3.1</v>
      </c>
      <c r="H262" s="13">
        <v>1.6</v>
      </c>
      <c r="I262" s="6" t="s">
        <v>15</v>
      </c>
      <c r="J262" s="11">
        <v>6</v>
      </c>
      <c r="K262" s="11">
        <v>10</v>
      </c>
      <c r="L262" s="11">
        <v>4</v>
      </c>
      <c r="M262" s="15">
        <v>1</v>
      </c>
      <c r="R262" s="20">
        <v>1</v>
      </c>
      <c r="U262" s="17">
        <v>1</v>
      </c>
      <c r="W262" s="23">
        <v>1</v>
      </c>
      <c r="Y262" s="26">
        <v>1</v>
      </c>
    </row>
    <row r="263" spans="1:25" x14ac:dyDescent="0.25">
      <c r="A263" s="7">
        <v>13</v>
      </c>
      <c r="B263" s="6" t="s">
        <v>16</v>
      </c>
      <c r="C263" s="32">
        <v>3.6</v>
      </c>
      <c r="D263" s="6" t="s">
        <v>17</v>
      </c>
      <c r="E263" s="29">
        <v>8.6</v>
      </c>
      <c r="F263" s="13">
        <v>2.8</v>
      </c>
      <c r="G263" s="31">
        <v>3.28</v>
      </c>
      <c r="H263" s="13">
        <v>0.7</v>
      </c>
      <c r="I263" s="6" t="s">
        <v>18</v>
      </c>
      <c r="J263" s="11">
        <v>10</v>
      </c>
      <c r="K263" s="11">
        <v>3</v>
      </c>
      <c r="L263" s="11">
        <v>5</v>
      </c>
      <c r="M263" s="15">
        <v>0</v>
      </c>
      <c r="R263" s="20">
        <v>0</v>
      </c>
      <c r="U263" s="17">
        <v>0</v>
      </c>
      <c r="W263" s="23">
        <v>0</v>
      </c>
      <c r="Y263" s="26">
        <v>0</v>
      </c>
    </row>
    <row r="264" spans="1:25" x14ac:dyDescent="0.25">
      <c r="A264" s="7">
        <v>15</v>
      </c>
      <c r="B264" s="6" t="s">
        <v>13</v>
      </c>
      <c r="C264" s="32">
        <v>3.6</v>
      </c>
      <c r="D264" s="6" t="s">
        <v>17</v>
      </c>
      <c r="E264" s="29">
        <v>4.3</v>
      </c>
      <c r="F264" s="13">
        <v>2.9</v>
      </c>
      <c r="G264" s="31">
        <v>2.2000000000000002</v>
      </c>
      <c r="H264" s="13">
        <v>1</v>
      </c>
      <c r="I264" s="6" t="s">
        <v>18</v>
      </c>
      <c r="J264" s="11">
        <v>10</v>
      </c>
      <c r="K264" s="11">
        <v>9</v>
      </c>
      <c r="L264" s="11">
        <v>7</v>
      </c>
      <c r="M264" s="15">
        <v>0</v>
      </c>
      <c r="R264" s="20">
        <v>0</v>
      </c>
      <c r="U264" s="17">
        <v>0</v>
      </c>
      <c r="W264" s="23">
        <v>0</v>
      </c>
      <c r="Y264" s="26">
        <v>0</v>
      </c>
    </row>
    <row r="265" spans="1:25" x14ac:dyDescent="0.25">
      <c r="A265" s="7">
        <v>17</v>
      </c>
      <c r="B265" s="6" t="s">
        <v>16</v>
      </c>
      <c r="C265" s="32">
        <v>5.3</v>
      </c>
      <c r="D265" s="6" t="s">
        <v>14</v>
      </c>
      <c r="E265" s="29">
        <v>7.4</v>
      </c>
      <c r="F265" s="13">
        <v>1.2</v>
      </c>
      <c r="G265" s="31">
        <v>3.41</v>
      </c>
      <c r="H265" s="13">
        <v>1.1000000000000001</v>
      </c>
      <c r="I265" s="6" t="s">
        <v>18</v>
      </c>
      <c r="J265" s="11">
        <v>6</v>
      </c>
      <c r="K265" s="11">
        <v>3</v>
      </c>
      <c r="L265" s="11">
        <v>7</v>
      </c>
      <c r="M265" s="15">
        <v>0</v>
      </c>
      <c r="R265" s="20">
        <v>0</v>
      </c>
      <c r="U265" s="17">
        <v>0</v>
      </c>
      <c r="W265" s="23">
        <v>0</v>
      </c>
      <c r="Y265" s="26">
        <v>0</v>
      </c>
    </row>
    <row r="266" spans="1:25" x14ac:dyDescent="0.25">
      <c r="A266" s="7">
        <v>19</v>
      </c>
      <c r="B266" s="6" t="s">
        <v>13</v>
      </c>
      <c r="C266" s="32">
        <v>4.4000000000000004</v>
      </c>
      <c r="D266" s="6" t="s">
        <v>17</v>
      </c>
      <c r="E266" s="29">
        <v>4.3</v>
      </c>
      <c r="F266" s="13">
        <v>0.8</v>
      </c>
      <c r="G266" s="31">
        <v>2.44</v>
      </c>
      <c r="H266" s="13">
        <v>1</v>
      </c>
      <c r="I266" s="6" t="s">
        <v>18</v>
      </c>
      <c r="J266" s="11">
        <v>9</v>
      </c>
      <c r="K266" s="11">
        <v>9</v>
      </c>
      <c r="L266" s="11">
        <v>7</v>
      </c>
      <c r="M266" s="15">
        <v>0</v>
      </c>
      <c r="R266" s="20">
        <v>0</v>
      </c>
      <c r="U266" s="17">
        <v>0</v>
      </c>
      <c r="W266" s="23">
        <v>0</v>
      </c>
      <c r="Y266" s="26">
        <v>0</v>
      </c>
    </row>
    <row r="267" spans="1:25" x14ac:dyDescent="0.25">
      <c r="A267" s="7">
        <v>18</v>
      </c>
      <c r="B267" s="6" t="s">
        <v>13</v>
      </c>
      <c r="C267" s="32">
        <v>7.7</v>
      </c>
      <c r="D267" s="6" t="s">
        <v>17</v>
      </c>
      <c r="E267" s="29">
        <v>4.7</v>
      </c>
      <c r="F267" s="13">
        <v>1.4</v>
      </c>
      <c r="G267" s="31">
        <v>3.04</v>
      </c>
      <c r="H267" s="13">
        <v>0.6</v>
      </c>
      <c r="I267" s="6" t="s">
        <v>19</v>
      </c>
      <c r="J267" s="11">
        <v>9</v>
      </c>
      <c r="K267" s="11">
        <v>6</v>
      </c>
      <c r="L267" s="11">
        <v>6</v>
      </c>
      <c r="M267" s="15">
        <v>0</v>
      </c>
      <c r="R267" s="20">
        <v>0</v>
      </c>
      <c r="U267" s="17">
        <v>0</v>
      </c>
      <c r="W267" s="23">
        <v>0</v>
      </c>
      <c r="Y267" s="26">
        <v>0</v>
      </c>
    </row>
    <row r="268" spans="1:25" x14ac:dyDescent="0.25">
      <c r="A268" s="7">
        <v>14</v>
      </c>
      <c r="B268" s="6" t="s">
        <v>16</v>
      </c>
      <c r="C268" s="32">
        <v>7.1</v>
      </c>
      <c r="D268" s="6" t="s">
        <v>17</v>
      </c>
      <c r="E268" s="29">
        <v>4.5</v>
      </c>
      <c r="F268" s="13">
        <v>2.4</v>
      </c>
      <c r="G268" s="31">
        <v>3.53</v>
      </c>
      <c r="H268" s="13">
        <v>0.4</v>
      </c>
      <c r="I268" s="6" t="s">
        <v>18</v>
      </c>
      <c r="J268" s="11">
        <v>3</v>
      </c>
      <c r="K268" s="11">
        <v>4</v>
      </c>
      <c r="L268" s="11">
        <v>4</v>
      </c>
      <c r="M268" s="15">
        <v>1</v>
      </c>
      <c r="R268" s="20">
        <v>1</v>
      </c>
      <c r="U268" s="17">
        <v>1</v>
      </c>
      <c r="W268" s="23">
        <v>1</v>
      </c>
      <c r="Y268" s="26">
        <v>1</v>
      </c>
    </row>
    <row r="269" spans="1:25" x14ac:dyDescent="0.25">
      <c r="A269" s="7">
        <v>16</v>
      </c>
      <c r="B269" s="6" t="s">
        <v>13</v>
      </c>
      <c r="C269" s="32">
        <v>4.9000000000000004</v>
      </c>
      <c r="D269" s="6" t="s">
        <v>14</v>
      </c>
      <c r="E269" s="29">
        <v>6.8</v>
      </c>
      <c r="F269" s="13">
        <v>1</v>
      </c>
      <c r="G269" s="31">
        <v>3.18</v>
      </c>
      <c r="H269" s="13">
        <v>1.9</v>
      </c>
      <c r="I269" s="6" t="s">
        <v>18</v>
      </c>
      <c r="J269" s="11">
        <v>7</v>
      </c>
      <c r="K269" s="11">
        <v>4</v>
      </c>
      <c r="L269" s="11">
        <v>8</v>
      </c>
      <c r="M269" s="15">
        <v>1</v>
      </c>
      <c r="R269" s="20">
        <v>1</v>
      </c>
      <c r="U269" s="17">
        <v>1</v>
      </c>
      <c r="W269" s="23">
        <v>1</v>
      </c>
      <c r="Y269" s="26">
        <v>1</v>
      </c>
    </row>
    <row r="270" spans="1:25" x14ac:dyDescent="0.25">
      <c r="A270" s="7">
        <v>19</v>
      </c>
      <c r="B270" s="6" t="s">
        <v>13</v>
      </c>
      <c r="C270" s="32">
        <v>4.5999999999999996</v>
      </c>
      <c r="D270" s="6" t="s">
        <v>20</v>
      </c>
      <c r="E270" s="29">
        <v>8.9</v>
      </c>
      <c r="F270" s="13">
        <v>1.9</v>
      </c>
      <c r="G270" s="31">
        <v>2.5</v>
      </c>
      <c r="H270" s="13">
        <v>0.4</v>
      </c>
      <c r="I270" s="6" t="s">
        <v>19</v>
      </c>
      <c r="J270" s="11">
        <v>8</v>
      </c>
      <c r="K270" s="11">
        <v>1</v>
      </c>
      <c r="L270" s="11">
        <v>3</v>
      </c>
      <c r="M270" s="15">
        <v>1</v>
      </c>
      <c r="R270" s="20">
        <v>1</v>
      </c>
      <c r="U270" s="17">
        <v>1</v>
      </c>
      <c r="W270" s="23">
        <v>1</v>
      </c>
      <c r="Y270" s="26">
        <v>1</v>
      </c>
    </row>
    <row r="271" spans="1:25" x14ac:dyDescent="0.25">
      <c r="A271" s="7">
        <v>19</v>
      </c>
      <c r="B271" s="6" t="s">
        <v>13</v>
      </c>
      <c r="C271" s="32">
        <v>1.8</v>
      </c>
      <c r="D271" s="6" t="s">
        <v>14</v>
      </c>
      <c r="E271" s="29">
        <v>6.5</v>
      </c>
      <c r="F271" s="13">
        <v>2.6</v>
      </c>
      <c r="G271" s="31">
        <v>2.75</v>
      </c>
      <c r="H271" s="13">
        <v>1.7</v>
      </c>
      <c r="I271" s="6" t="s">
        <v>18</v>
      </c>
      <c r="J271" s="11">
        <v>7</v>
      </c>
      <c r="K271" s="11">
        <v>6</v>
      </c>
      <c r="L271" s="11">
        <v>1</v>
      </c>
      <c r="M271" s="15">
        <v>1</v>
      </c>
      <c r="R271" s="20">
        <v>1</v>
      </c>
      <c r="U271" s="17">
        <v>1</v>
      </c>
      <c r="W271" s="23">
        <v>1</v>
      </c>
      <c r="Y271" s="26">
        <v>1</v>
      </c>
    </row>
    <row r="272" spans="1:25" x14ac:dyDescent="0.25">
      <c r="A272" s="7">
        <v>16</v>
      </c>
      <c r="B272" s="6" t="s">
        <v>13</v>
      </c>
      <c r="C272" s="32">
        <v>4.2</v>
      </c>
      <c r="D272" s="6" t="s">
        <v>20</v>
      </c>
      <c r="E272" s="29">
        <v>5.7</v>
      </c>
      <c r="F272" s="13">
        <v>1</v>
      </c>
      <c r="G272" s="31">
        <v>2.77</v>
      </c>
      <c r="H272" s="13">
        <v>0.1</v>
      </c>
      <c r="I272" s="6" t="s">
        <v>18</v>
      </c>
      <c r="J272" s="11">
        <v>10</v>
      </c>
      <c r="K272" s="11">
        <v>5</v>
      </c>
      <c r="L272" s="11">
        <v>9</v>
      </c>
      <c r="M272" s="15">
        <v>1</v>
      </c>
      <c r="R272" s="20">
        <v>1</v>
      </c>
      <c r="U272" s="17">
        <v>1</v>
      </c>
      <c r="W272" s="23">
        <v>1</v>
      </c>
      <c r="Y272" s="26">
        <v>1</v>
      </c>
    </row>
    <row r="273" spans="1:25" x14ac:dyDescent="0.25">
      <c r="A273" s="7">
        <v>16</v>
      </c>
      <c r="B273" s="6" t="s">
        <v>13</v>
      </c>
      <c r="C273" s="32">
        <v>1.5</v>
      </c>
      <c r="D273" s="6" t="s">
        <v>17</v>
      </c>
      <c r="E273" s="29">
        <v>6.7</v>
      </c>
      <c r="F273" s="13">
        <v>0.5</v>
      </c>
      <c r="G273" s="31">
        <v>2.78</v>
      </c>
      <c r="H273" s="13">
        <v>1.2</v>
      </c>
      <c r="I273" s="6" t="s">
        <v>15</v>
      </c>
      <c r="J273" s="11">
        <v>1</v>
      </c>
      <c r="K273" s="11">
        <v>9</v>
      </c>
      <c r="L273" s="11">
        <v>6</v>
      </c>
      <c r="M273" s="15">
        <v>1</v>
      </c>
      <c r="R273" s="20">
        <v>1</v>
      </c>
      <c r="U273" s="17">
        <v>1</v>
      </c>
      <c r="W273" s="23">
        <v>1</v>
      </c>
      <c r="Y273" s="26">
        <v>1</v>
      </c>
    </row>
    <row r="274" spans="1:25" x14ac:dyDescent="0.25">
      <c r="A274" s="7">
        <v>19</v>
      </c>
      <c r="B274" s="6" t="s">
        <v>13</v>
      </c>
      <c r="C274" s="32">
        <v>7</v>
      </c>
      <c r="D274" s="6" t="s">
        <v>14</v>
      </c>
      <c r="E274" s="29">
        <v>8.9</v>
      </c>
      <c r="F274" s="13">
        <v>2.8</v>
      </c>
      <c r="G274" s="31">
        <v>2.84</v>
      </c>
      <c r="H274" s="13">
        <v>0.4</v>
      </c>
      <c r="I274" s="6" t="s">
        <v>18</v>
      </c>
      <c r="J274" s="11">
        <v>6</v>
      </c>
      <c r="K274" s="11">
        <v>8</v>
      </c>
      <c r="L274" s="11">
        <v>6</v>
      </c>
      <c r="M274" s="15">
        <v>1</v>
      </c>
      <c r="R274" s="20">
        <v>1</v>
      </c>
      <c r="U274" s="17">
        <v>1</v>
      </c>
      <c r="W274" s="23">
        <v>1</v>
      </c>
      <c r="Y274" s="26">
        <v>1</v>
      </c>
    </row>
    <row r="275" spans="1:25" x14ac:dyDescent="0.25">
      <c r="A275" s="7">
        <v>14</v>
      </c>
      <c r="B275" s="6" t="s">
        <v>16</v>
      </c>
      <c r="C275" s="32">
        <v>6.5</v>
      </c>
      <c r="D275" s="6" t="s">
        <v>20</v>
      </c>
      <c r="E275" s="29">
        <v>7.8</v>
      </c>
      <c r="F275" s="13">
        <v>1.5</v>
      </c>
      <c r="G275" s="31">
        <v>3.26</v>
      </c>
      <c r="H275" s="13">
        <v>0.8</v>
      </c>
      <c r="I275" s="6" t="s">
        <v>19</v>
      </c>
      <c r="J275" s="11">
        <v>9</v>
      </c>
      <c r="K275" s="11">
        <v>2</v>
      </c>
      <c r="L275" s="11">
        <v>3</v>
      </c>
      <c r="M275" s="15">
        <v>1</v>
      </c>
      <c r="R275" s="20">
        <v>1</v>
      </c>
      <c r="U275" s="17">
        <v>1</v>
      </c>
      <c r="W275" s="23">
        <v>1</v>
      </c>
      <c r="Y275" s="26">
        <v>1</v>
      </c>
    </row>
    <row r="276" spans="1:25" x14ac:dyDescent="0.25">
      <c r="A276" s="7">
        <v>19</v>
      </c>
      <c r="B276" s="6" t="s">
        <v>16</v>
      </c>
      <c r="C276" s="32">
        <v>4.3</v>
      </c>
      <c r="D276" s="6" t="s">
        <v>14</v>
      </c>
      <c r="E276" s="29">
        <v>5.9</v>
      </c>
      <c r="F276" s="13">
        <v>2.1</v>
      </c>
      <c r="G276" s="31">
        <v>2.85</v>
      </c>
      <c r="H276" s="13">
        <v>1.7</v>
      </c>
      <c r="I276" s="6" t="s">
        <v>18</v>
      </c>
      <c r="J276" s="11">
        <v>9</v>
      </c>
      <c r="K276" s="11">
        <v>9</v>
      </c>
      <c r="L276" s="11">
        <v>8</v>
      </c>
      <c r="M276" s="15">
        <v>1</v>
      </c>
      <c r="R276" s="20">
        <v>1</v>
      </c>
      <c r="U276" s="17">
        <v>1</v>
      </c>
      <c r="W276" s="23">
        <v>1</v>
      </c>
      <c r="Y276" s="26">
        <v>1</v>
      </c>
    </row>
    <row r="277" spans="1:25" x14ac:dyDescent="0.25">
      <c r="A277" s="7">
        <v>16</v>
      </c>
      <c r="B277" s="6" t="s">
        <v>13</v>
      </c>
      <c r="C277" s="32">
        <v>7.2</v>
      </c>
      <c r="D277" s="6" t="s">
        <v>20</v>
      </c>
      <c r="E277" s="29">
        <v>7.7</v>
      </c>
      <c r="F277" s="13">
        <v>2.5</v>
      </c>
      <c r="G277" s="31">
        <v>2.56</v>
      </c>
      <c r="H277" s="13">
        <v>1.7</v>
      </c>
      <c r="I277" s="6" t="s">
        <v>18</v>
      </c>
      <c r="J277" s="11">
        <v>8</v>
      </c>
      <c r="K277" s="11">
        <v>7</v>
      </c>
      <c r="L277" s="11">
        <v>6</v>
      </c>
      <c r="M277" s="15">
        <v>1</v>
      </c>
      <c r="R277" s="20">
        <v>1</v>
      </c>
      <c r="U277" s="17">
        <v>1</v>
      </c>
      <c r="W277" s="23">
        <v>1</v>
      </c>
      <c r="Y277" s="26">
        <v>1</v>
      </c>
    </row>
    <row r="278" spans="1:25" x14ac:dyDescent="0.25">
      <c r="A278" s="7">
        <v>13</v>
      </c>
      <c r="B278" s="6" t="s">
        <v>13</v>
      </c>
      <c r="C278" s="32">
        <v>7</v>
      </c>
      <c r="D278" s="6" t="s">
        <v>20</v>
      </c>
      <c r="E278" s="29">
        <v>4.0999999999999996</v>
      </c>
      <c r="F278" s="13">
        <v>1.9</v>
      </c>
      <c r="G278" s="31">
        <v>2.2999999999999998</v>
      </c>
      <c r="H278" s="13">
        <v>0.3</v>
      </c>
      <c r="I278" s="6" t="s">
        <v>19</v>
      </c>
      <c r="J278" s="11">
        <v>3</v>
      </c>
      <c r="K278" s="11">
        <v>10</v>
      </c>
      <c r="L278" s="11">
        <v>6</v>
      </c>
      <c r="M278" s="15">
        <v>1</v>
      </c>
      <c r="R278" s="20">
        <v>1</v>
      </c>
      <c r="U278" s="17">
        <v>1</v>
      </c>
      <c r="W278" s="23">
        <v>1</v>
      </c>
      <c r="Y278" s="26">
        <v>1</v>
      </c>
    </row>
    <row r="279" spans="1:25" x14ac:dyDescent="0.25">
      <c r="A279" s="7">
        <v>18</v>
      </c>
      <c r="B279" s="6" t="s">
        <v>16</v>
      </c>
      <c r="C279" s="32">
        <v>3.8</v>
      </c>
      <c r="D279" s="6" t="s">
        <v>20</v>
      </c>
      <c r="E279" s="29">
        <v>5.4</v>
      </c>
      <c r="F279" s="13">
        <v>1.7</v>
      </c>
      <c r="G279" s="31">
        <v>3.06</v>
      </c>
      <c r="H279" s="13">
        <v>1.9</v>
      </c>
      <c r="I279" s="6" t="s">
        <v>19</v>
      </c>
      <c r="J279" s="11">
        <v>5</v>
      </c>
      <c r="K279" s="11">
        <v>10</v>
      </c>
      <c r="L279" s="11">
        <v>3</v>
      </c>
      <c r="M279" s="15">
        <v>1</v>
      </c>
      <c r="R279" s="20">
        <v>1</v>
      </c>
      <c r="U279" s="17">
        <v>1</v>
      </c>
      <c r="W279" s="23">
        <v>1</v>
      </c>
      <c r="Y279" s="26">
        <v>1</v>
      </c>
    </row>
    <row r="280" spans="1:25" x14ac:dyDescent="0.25">
      <c r="A280" s="7">
        <v>17</v>
      </c>
      <c r="B280" s="6" t="s">
        <v>16</v>
      </c>
      <c r="C280" s="32">
        <v>3</v>
      </c>
      <c r="D280" s="6" t="s">
        <v>14</v>
      </c>
      <c r="E280" s="29">
        <v>6.9</v>
      </c>
      <c r="F280" s="13">
        <v>2.2999999999999998</v>
      </c>
      <c r="G280" s="31">
        <v>3.34</v>
      </c>
      <c r="H280" s="13">
        <v>0.6</v>
      </c>
      <c r="I280" s="6" t="s">
        <v>15</v>
      </c>
      <c r="J280" s="11">
        <v>5</v>
      </c>
      <c r="K280" s="11">
        <v>2</v>
      </c>
      <c r="L280" s="11">
        <v>9</v>
      </c>
      <c r="M280" s="15">
        <v>1</v>
      </c>
      <c r="R280" s="20">
        <v>1</v>
      </c>
      <c r="U280" s="17">
        <v>1</v>
      </c>
      <c r="W280" s="23">
        <v>1</v>
      </c>
      <c r="Y280" s="26">
        <v>1</v>
      </c>
    </row>
    <row r="281" spans="1:25" x14ac:dyDescent="0.25">
      <c r="A281" s="7">
        <v>14</v>
      </c>
      <c r="B281" s="6" t="s">
        <v>16</v>
      </c>
      <c r="C281" s="32">
        <v>7</v>
      </c>
      <c r="D281" s="6" t="s">
        <v>17</v>
      </c>
      <c r="E281" s="29">
        <v>7.8</v>
      </c>
      <c r="F281" s="13">
        <v>1.1000000000000001</v>
      </c>
      <c r="G281" s="31">
        <v>3.81</v>
      </c>
      <c r="H281" s="13">
        <v>1.4</v>
      </c>
      <c r="I281" s="6" t="s">
        <v>19</v>
      </c>
      <c r="J281" s="11">
        <v>10</v>
      </c>
      <c r="K281" s="11">
        <v>4</v>
      </c>
      <c r="L281" s="11">
        <v>2</v>
      </c>
      <c r="M281" s="15">
        <v>1</v>
      </c>
      <c r="R281" s="20">
        <v>1</v>
      </c>
      <c r="U281" s="17">
        <v>1</v>
      </c>
      <c r="W281" s="23">
        <v>1</v>
      </c>
      <c r="Y281" s="26">
        <v>1</v>
      </c>
    </row>
    <row r="282" spans="1:25" x14ac:dyDescent="0.25">
      <c r="A282" s="7">
        <v>13</v>
      </c>
      <c r="B282" s="6" t="s">
        <v>13</v>
      </c>
      <c r="C282" s="32">
        <v>4.5999999999999996</v>
      </c>
      <c r="D282" s="6" t="s">
        <v>17</v>
      </c>
      <c r="E282" s="29">
        <v>5.3</v>
      </c>
      <c r="F282" s="13">
        <v>2.2999999999999998</v>
      </c>
      <c r="G282" s="31">
        <v>2.42</v>
      </c>
      <c r="H282" s="13">
        <v>0.2</v>
      </c>
      <c r="I282" s="6" t="s">
        <v>15</v>
      </c>
      <c r="J282" s="11">
        <v>5</v>
      </c>
      <c r="K282" s="11">
        <v>9</v>
      </c>
      <c r="L282" s="11">
        <v>5</v>
      </c>
      <c r="M282" s="15">
        <v>1</v>
      </c>
      <c r="R282" s="20">
        <v>1</v>
      </c>
      <c r="U282" s="17">
        <v>1</v>
      </c>
      <c r="W282" s="23">
        <v>1</v>
      </c>
      <c r="Y282" s="26">
        <v>1</v>
      </c>
    </row>
    <row r="283" spans="1:25" x14ac:dyDescent="0.25">
      <c r="A283" s="7">
        <v>16</v>
      </c>
      <c r="B283" s="6" t="s">
        <v>13</v>
      </c>
      <c r="C283" s="32">
        <v>3.4</v>
      </c>
      <c r="D283" s="6" t="s">
        <v>20</v>
      </c>
      <c r="E283" s="29">
        <v>8.9</v>
      </c>
      <c r="F283" s="13">
        <v>2.6</v>
      </c>
      <c r="G283" s="31">
        <v>2.54</v>
      </c>
      <c r="H283" s="13">
        <v>1.8</v>
      </c>
      <c r="I283" s="6" t="s">
        <v>18</v>
      </c>
      <c r="J283" s="11">
        <v>6</v>
      </c>
      <c r="K283" s="11">
        <v>2</v>
      </c>
      <c r="L283" s="11">
        <v>5</v>
      </c>
      <c r="M283" s="15">
        <v>1</v>
      </c>
      <c r="R283" s="20">
        <v>1</v>
      </c>
      <c r="U283" s="17">
        <v>1</v>
      </c>
      <c r="W283" s="23">
        <v>1</v>
      </c>
      <c r="Y283" s="26">
        <v>1</v>
      </c>
    </row>
    <row r="284" spans="1:25" x14ac:dyDescent="0.25">
      <c r="A284" s="7">
        <v>19</v>
      </c>
      <c r="B284" s="6" t="s">
        <v>16</v>
      </c>
      <c r="C284" s="32">
        <v>3.5</v>
      </c>
      <c r="D284" s="6" t="s">
        <v>17</v>
      </c>
      <c r="E284" s="29">
        <v>6.7</v>
      </c>
      <c r="F284" s="13">
        <v>2.7</v>
      </c>
      <c r="G284" s="31">
        <v>3.4</v>
      </c>
      <c r="H284" s="13">
        <v>1.2</v>
      </c>
      <c r="I284" s="6" t="s">
        <v>15</v>
      </c>
      <c r="J284" s="11">
        <v>4</v>
      </c>
      <c r="K284" s="11">
        <v>6</v>
      </c>
      <c r="L284" s="11">
        <v>7</v>
      </c>
      <c r="M284" s="15">
        <v>1</v>
      </c>
      <c r="R284" s="20">
        <v>1</v>
      </c>
      <c r="U284" s="17">
        <v>1</v>
      </c>
      <c r="W284" s="23">
        <v>1</v>
      </c>
      <c r="Y284" s="26">
        <v>1</v>
      </c>
    </row>
    <row r="285" spans="1:25" x14ac:dyDescent="0.25">
      <c r="A285" s="7">
        <v>14</v>
      </c>
      <c r="B285" s="6" t="s">
        <v>16</v>
      </c>
      <c r="C285" s="32">
        <v>4.4000000000000004</v>
      </c>
      <c r="D285" s="6" t="s">
        <v>20</v>
      </c>
      <c r="E285" s="29">
        <v>7.3</v>
      </c>
      <c r="F285" s="13">
        <v>2.7</v>
      </c>
      <c r="G285" s="31">
        <v>3.3</v>
      </c>
      <c r="H285" s="13">
        <v>1.1000000000000001</v>
      </c>
      <c r="I285" s="6" t="s">
        <v>15</v>
      </c>
      <c r="J285" s="11">
        <v>2</v>
      </c>
      <c r="K285" s="11">
        <v>1</v>
      </c>
      <c r="L285" s="11">
        <v>9</v>
      </c>
      <c r="M285" s="15">
        <v>1</v>
      </c>
      <c r="R285" s="20">
        <v>1</v>
      </c>
      <c r="U285" s="17">
        <v>1</v>
      </c>
      <c r="W285" s="23">
        <v>1</v>
      </c>
      <c r="Y285" s="26">
        <v>1</v>
      </c>
    </row>
    <row r="286" spans="1:25" x14ac:dyDescent="0.25">
      <c r="A286" s="7">
        <v>14</v>
      </c>
      <c r="B286" s="6" t="s">
        <v>16</v>
      </c>
      <c r="C286" s="32">
        <v>1.8</v>
      </c>
      <c r="D286" s="6" t="s">
        <v>20</v>
      </c>
      <c r="E286" s="29">
        <v>8.1999999999999993</v>
      </c>
      <c r="F286" s="13">
        <v>2.2000000000000002</v>
      </c>
      <c r="G286" s="31">
        <v>3.36</v>
      </c>
      <c r="H286" s="13">
        <v>1.7</v>
      </c>
      <c r="I286" s="6" t="s">
        <v>18</v>
      </c>
      <c r="J286" s="11">
        <v>9</v>
      </c>
      <c r="K286" s="11">
        <v>5</v>
      </c>
      <c r="L286" s="11">
        <v>10</v>
      </c>
      <c r="M286" s="15">
        <v>1</v>
      </c>
      <c r="R286" s="20">
        <v>1</v>
      </c>
      <c r="U286" s="17">
        <v>1</v>
      </c>
      <c r="W286" s="23">
        <v>1</v>
      </c>
      <c r="Y286" s="26">
        <v>1</v>
      </c>
    </row>
    <row r="287" spans="1:25" x14ac:dyDescent="0.25">
      <c r="A287" s="7">
        <v>17</v>
      </c>
      <c r="B287" s="6" t="s">
        <v>13</v>
      </c>
      <c r="C287" s="32">
        <v>3.9</v>
      </c>
      <c r="D287" s="6" t="s">
        <v>20</v>
      </c>
      <c r="E287" s="29">
        <v>7.7</v>
      </c>
      <c r="F287" s="13">
        <v>1</v>
      </c>
      <c r="G287" s="31">
        <v>2.1</v>
      </c>
      <c r="H287" s="13">
        <v>1.8</v>
      </c>
      <c r="I287" s="6" t="s">
        <v>18</v>
      </c>
      <c r="J287" s="11">
        <v>7</v>
      </c>
      <c r="K287" s="11">
        <v>4</v>
      </c>
      <c r="L287" s="11">
        <v>5</v>
      </c>
      <c r="M287" s="15">
        <v>1</v>
      </c>
      <c r="R287" s="20">
        <v>1</v>
      </c>
      <c r="U287" s="17">
        <v>1</v>
      </c>
      <c r="W287" s="23">
        <v>1</v>
      </c>
      <c r="Y287" s="26">
        <v>1</v>
      </c>
    </row>
    <row r="288" spans="1:25" x14ac:dyDescent="0.25">
      <c r="A288" s="7">
        <v>14</v>
      </c>
      <c r="B288" s="6" t="s">
        <v>16</v>
      </c>
      <c r="C288" s="32">
        <v>4.4000000000000004</v>
      </c>
      <c r="D288" s="6" t="s">
        <v>17</v>
      </c>
      <c r="E288" s="29">
        <v>5.7</v>
      </c>
      <c r="F288" s="13">
        <v>1</v>
      </c>
      <c r="G288" s="31">
        <v>3.2</v>
      </c>
      <c r="H288" s="13">
        <v>1.9</v>
      </c>
      <c r="I288" s="6" t="s">
        <v>18</v>
      </c>
      <c r="J288" s="11">
        <v>4</v>
      </c>
      <c r="K288" s="11">
        <v>2</v>
      </c>
      <c r="L288" s="11">
        <v>2</v>
      </c>
      <c r="M288" s="15">
        <v>1</v>
      </c>
      <c r="R288" s="20">
        <v>1</v>
      </c>
      <c r="U288" s="17">
        <v>1</v>
      </c>
      <c r="W288" s="23">
        <v>1</v>
      </c>
      <c r="Y288" s="26">
        <v>1</v>
      </c>
    </row>
    <row r="289" spans="1:25" x14ac:dyDescent="0.25">
      <c r="A289" s="7">
        <v>13</v>
      </c>
      <c r="B289" s="6" t="s">
        <v>16</v>
      </c>
      <c r="C289" s="32">
        <v>2</v>
      </c>
      <c r="D289" s="6" t="s">
        <v>14</v>
      </c>
      <c r="E289" s="29">
        <v>8.6999999999999993</v>
      </c>
      <c r="F289" s="13">
        <v>1.9</v>
      </c>
      <c r="G289" s="31">
        <v>2.2799999999999998</v>
      </c>
      <c r="H289" s="13">
        <v>1.2</v>
      </c>
      <c r="I289" s="6" t="s">
        <v>19</v>
      </c>
      <c r="J289" s="11">
        <v>7</v>
      </c>
      <c r="K289" s="11">
        <v>7</v>
      </c>
      <c r="L289" s="11">
        <v>9</v>
      </c>
      <c r="M289" s="15">
        <v>1</v>
      </c>
      <c r="R289" s="20">
        <v>1</v>
      </c>
      <c r="U289" s="17">
        <v>1</v>
      </c>
      <c r="W289" s="23">
        <v>1</v>
      </c>
      <c r="Y289" s="26">
        <v>1</v>
      </c>
    </row>
    <row r="290" spans="1:25" x14ac:dyDescent="0.25">
      <c r="A290" s="7">
        <v>17</v>
      </c>
      <c r="B290" s="6" t="s">
        <v>13</v>
      </c>
      <c r="C290" s="32">
        <v>7.2</v>
      </c>
      <c r="D290" s="6" t="s">
        <v>17</v>
      </c>
      <c r="E290" s="29">
        <v>8.8000000000000007</v>
      </c>
      <c r="F290" s="13">
        <v>2.5</v>
      </c>
      <c r="G290" s="31">
        <v>3.97</v>
      </c>
      <c r="H290" s="13">
        <v>1.9</v>
      </c>
      <c r="I290" s="6" t="s">
        <v>15</v>
      </c>
      <c r="J290" s="11">
        <v>1</v>
      </c>
      <c r="K290" s="11">
        <v>3</v>
      </c>
      <c r="L290" s="11">
        <v>9</v>
      </c>
      <c r="M290" s="15">
        <v>1</v>
      </c>
      <c r="R290" s="20">
        <v>1</v>
      </c>
      <c r="U290" s="17">
        <v>1</v>
      </c>
      <c r="W290" s="23">
        <v>1</v>
      </c>
      <c r="Y290" s="26">
        <v>1</v>
      </c>
    </row>
    <row r="291" spans="1:25" x14ac:dyDescent="0.25">
      <c r="A291" s="7">
        <v>19</v>
      </c>
      <c r="B291" s="6" t="s">
        <v>13</v>
      </c>
      <c r="C291" s="32">
        <v>4.4000000000000004</v>
      </c>
      <c r="D291" s="6" t="s">
        <v>20</v>
      </c>
      <c r="E291" s="29">
        <v>6.4</v>
      </c>
      <c r="F291" s="13">
        <v>0.9</v>
      </c>
      <c r="G291" s="31">
        <v>2.72</v>
      </c>
      <c r="H291" s="13">
        <v>0.2</v>
      </c>
      <c r="I291" s="6" t="s">
        <v>19</v>
      </c>
      <c r="J291" s="11">
        <v>6</v>
      </c>
      <c r="K291" s="11">
        <v>9</v>
      </c>
      <c r="L291" s="11">
        <v>8</v>
      </c>
      <c r="M291" s="15">
        <v>1</v>
      </c>
      <c r="R291" s="20">
        <v>1</v>
      </c>
      <c r="U291" s="17">
        <v>1</v>
      </c>
      <c r="W291" s="23">
        <v>1</v>
      </c>
      <c r="Y291" s="26">
        <v>1</v>
      </c>
    </row>
    <row r="292" spans="1:25" x14ac:dyDescent="0.25">
      <c r="A292" s="7">
        <v>14</v>
      </c>
      <c r="B292" s="6" t="s">
        <v>13</v>
      </c>
      <c r="C292" s="32">
        <v>7.2</v>
      </c>
      <c r="D292" s="6" t="s">
        <v>17</v>
      </c>
      <c r="E292" s="29">
        <v>4.8</v>
      </c>
      <c r="F292" s="13">
        <v>1.4</v>
      </c>
      <c r="G292" s="31">
        <v>2.36</v>
      </c>
      <c r="H292" s="13">
        <v>0.1</v>
      </c>
      <c r="I292" s="6" t="s">
        <v>15</v>
      </c>
      <c r="J292" s="11">
        <v>5</v>
      </c>
      <c r="K292" s="11">
        <v>7</v>
      </c>
      <c r="L292" s="11">
        <v>1</v>
      </c>
      <c r="M292" s="15">
        <v>1</v>
      </c>
      <c r="R292" s="20">
        <v>1</v>
      </c>
      <c r="U292" s="17">
        <v>1</v>
      </c>
      <c r="W292" s="23">
        <v>1</v>
      </c>
      <c r="Y292" s="26">
        <v>1</v>
      </c>
    </row>
    <row r="293" spans="1:25" x14ac:dyDescent="0.25">
      <c r="A293" s="7">
        <v>13</v>
      </c>
      <c r="B293" s="6" t="s">
        <v>13</v>
      </c>
      <c r="C293" s="32">
        <v>5.4</v>
      </c>
      <c r="D293" s="6" t="s">
        <v>14</v>
      </c>
      <c r="E293" s="29">
        <v>6.5</v>
      </c>
      <c r="F293" s="13">
        <v>0.8</v>
      </c>
      <c r="G293" s="31">
        <v>3.17</v>
      </c>
      <c r="H293" s="13">
        <v>0.3</v>
      </c>
      <c r="I293" s="6" t="s">
        <v>19</v>
      </c>
      <c r="J293" s="11">
        <v>10</v>
      </c>
      <c r="K293" s="11">
        <v>3</v>
      </c>
      <c r="L293" s="11">
        <v>3</v>
      </c>
      <c r="M293" s="15">
        <v>1</v>
      </c>
      <c r="R293" s="20">
        <v>1</v>
      </c>
      <c r="U293" s="17">
        <v>1</v>
      </c>
      <c r="W293" s="23">
        <v>1</v>
      </c>
      <c r="Y293" s="26">
        <v>1</v>
      </c>
    </row>
    <row r="294" spans="1:25" x14ac:dyDescent="0.25">
      <c r="A294" s="7">
        <v>16</v>
      </c>
      <c r="B294" s="6" t="s">
        <v>13</v>
      </c>
      <c r="C294" s="32">
        <v>1.5</v>
      </c>
      <c r="D294" s="6" t="s">
        <v>17</v>
      </c>
      <c r="E294" s="29">
        <v>4.0999999999999996</v>
      </c>
      <c r="F294" s="13">
        <v>1.3</v>
      </c>
      <c r="G294" s="31">
        <v>3.67</v>
      </c>
      <c r="H294" s="13">
        <v>1.2</v>
      </c>
      <c r="I294" s="6" t="s">
        <v>18</v>
      </c>
      <c r="J294" s="11">
        <v>10</v>
      </c>
      <c r="K294" s="11">
        <v>6</v>
      </c>
      <c r="L294" s="11">
        <v>6</v>
      </c>
      <c r="M294" s="15">
        <v>1</v>
      </c>
      <c r="R294" s="20">
        <v>1</v>
      </c>
      <c r="U294" s="17">
        <v>1</v>
      </c>
      <c r="W294" s="23">
        <v>1</v>
      </c>
      <c r="Y294" s="26">
        <v>1</v>
      </c>
    </row>
    <row r="295" spans="1:25" x14ac:dyDescent="0.25">
      <c r="A295" s="7">
        <v>15</v>
      </c>
      <c r="B295" s="6" t="s">
        <v>16</v>
      </c>
      <c r="C295" s="32">
        <v>1.8</v>
      </c>
      <c r="D295" s="6" t="s">
        <v>14</v>
      </c>
      <c r="E295" s="29">
        <v>8</v>
      </c>
      <c r="F295" s="13">
        <v>2.8</v>
      </c>
      <c r="G295" s="31">
        <v>3.49</v>
      </c>
      <c r="H295" s="13">
        <v>0.6</v>
      </c>
      <c r="I295" s="6" t="s">
        <v>15</v>
      </c>
      <c r="J295" s="11">
        <v>9</v>
      </c>
      <c r="K295" s="11">
        <v>8</v>
      </c>
      <c r="L295" s="11">
        <v>8</v>
      </c>
      <c r="M295" s="15">
        <v>1</v>
      </c>
      <c r="R295" s="20">
        <v>1</v>
      </c>
      <c r="U295" s="17">
        <v>1</v>
      </c>
      <c r="W295" s="23">
        <v>1</v>
      </c>
      <c r="Y295" s="26">
        <v>1</v>
      </c>
    </row>
    <row r="296" spans="1:25" x14ac:dyDescent="0.25">
      <c r="A296" s="7">
        <v>17</v>
      </c>
      <c r="B296" s="6" t="s">
        <v>16</v>
      </c>
      <c r="C296" s="32">
        <v>3.7</v>
      </c>
      <c r="D296" s="6" t="s">
        <v>17</v>
      </c>
      <c r="E296" s="29">
        <v>5.3</v>
      </c>
      <c r="F296" s="13">
        <v>0.7</v>
      </c>
      <c r="G296" s="31">
        <v>2.09</v>
      </c>
      <c r="H296" s="13">
        <v>0.8</v>
      </c>
      <c r="I296" s="6" t="s">
        <v>18</v>
      </c>
      <c r="J296" s="11">
        <v>8</v>
      </c>
      <c r="K296" s="11">
        <v>8</v>
      </c>
      <c r="L296" s="11">
        <v>10</v>
      </c>
      <c r="M296" s="15">
        <v>1</v>
      </c>
      <c r="R296" s="20">
        <v>1</v>
      </c>
      <c r="U296" s="17">
        <v>1</v>
      </c>
      <c r="W296" s="23">
        <v>1</v>
      </c>
      <c r="Y296" s="26">
        <v>1</v>
      </c>
    </row>
    <row r="297" spans="1:25" x14ac:dyDescent="0.25">
      <c r="A297" s="7">
        <v>13</v>
      </c>
      <c r="B297" s="6" t="s">
        <v>13</v>
      </c>
      <c r="C297" s="32">
        <v>6.4</v>
      </c>
      <c r="D297" s="6" t="s">
        <v>20</v>
      </c>
      <c r="E297" s="29">
        <v>8.3000000000000007</v>
      </c>
      <c r="F297" s="13">
        <v>1.3</v>
      </c>
      <c r="G297" s="31">
        <v>2.21</v>
      </c>
      <c r="H297" s="13">
        <v>1.2</v>
      </c>
      <c r="I297" s="6" t="s">
        <v>18</v>
      </c>
      <c r="J297" s="11">
        <v>4</v>
      </c>
      <c r="K297" s="11">
        <v>5</v>
      </c>
      <c r="L297" s="11">
        <v>9</v>
      </c>
      <c r="M297" s="15">
        <v>1</v>
      </c>
      <c r="R297" s="20">
        <v>1</v>
      </c>
      <c r="U297" s="17">
        <v>1</v>
      </c>
      <c r="W297" s="23">
        <v>1</v>
      </c>
      <c r="Y297" s="26">
        <v>1</v>
      </c>
    </row>
    <row r="298" spans="1:25" x14ac:dyDescent="0.25">
      <c r="A298" s="7">
        <v>19</v>
      </c>
      <c r="B298" s="6" t="s">
        <v>13</v>
      </c>
      <c r="C298" s="32">
        <v>6.4</v>
      </c>
      <c r="D298" s="6" t="s">
        <v>20</v>
      </c>
      <c r="E298" s="29">
        <v>6.7</v>
      </c>
      <c r="F298" s="13">
        <v>2.4</v>
      </c>
      <c r="G298" s="31">
        <v>2.2000000000000002</v>
      </c>
      <c r="H298" s="13">
        <v>1.3</v>
      </c>
      <c r="I298" s="6" t="s">
        <v>15</v>
      </c>
      <c r="J298" s="11">
        <v>5</v>
      </c>
      <c r="K298" s="11">
        <v>2</v>
      </c>
      <c r="L298" s="11">
        <v>2</v>
      </c>
      <c r="M298" s="15">
        <v>1</v>
      </c>
      <c r="R298" s="20">
        <v>1</v>
      </c>
      <c r="U298" s="17">
        <v>1</v>
      </c>
      <c r="W298" s="23">
        <v>1</v>
      </c>
      <c r="Y298" s="26">
        <v>1</v>
      </c>
    </row>
    <row r="299" spans="1:25" x14ac:dyDescent="0.25">
      <c r="A299" s="7">
        <v>17</v>
      </c>
      <c r="B299" s="6" t="s">
        <v>16</v>
      </c>
      <c r="C299" s="32">
        <v>1.1000000000000001</v>
      </c>
      <c r="D299" s="6" t="s">
        <v>14</v>
      </c>
      <c r="E299" s="29">
        <v>9</v>
      </c>
      <c r="F299" s="13">
        <v>2.9</v>
      </c>
      <c r="G299" s="31">
        <v>2.74</v>
      </c>
      <c r="H299" s="13">
        <v>1</v>
      </c>
      <c r="I299" s="6" t="s">
        <v>19</v>
      </c>
      <c r="J299" s="11">
        <v>2</v>
      </c>
      <c r="K299" s="11">
        <v>8</v>
      </c>
      <c r="L299" s="11">
        <v>2</v>
      </c>
      <c r="M299" s="15">
        <v>1</v>
      </c>
      <c r="R299" s="20">
        <v>1</v>
      </c>
      <c r="U299" s="17">
        <v>1</v>
      </c>
      <c r="W299" s="23">
        <v>1</v>
      </c>
      <c r="Y299" s="26">
        <v>1</v>
      </c>
    </row>
    <row r="300" spans="1:25" x14ac:dyDescent="0.25">
      <c r="A300" s="7">
        <v>13</v>
      </c>
      <c r="B300" s="6" t="s">
        <v>13</v>
      </c>
      <c r="C300" s="32">
        <v>1.3</v>
      </c>
      <c r="D300" s="6" t="s">
        <v>17</v>
      </c>
      <c r="E300" s="29">
        <v>7.8</v>
      </c>
      <c r="F300" s="13">
        <v>2.6</v>
      </c>
      <c r="G300" s="31">
        <v>3.01</v>
      </c>
      <c r="H300" s="13">
        <v>0.3</v>
      </c>
      <c r="I300" s="6" t="s">
        <v>15</v>
      </c>
      <c r="J300" s="11">
        <v>2</v>
      </c>
      <c r="K300" s="11">
        <v>9</v>
      </c>
      <c r="L300" s="11">
        <v>10</v>
      </c>
      <c r="M300" s="15">
        <v>1</v>
      </c>
      <c r="R300" s="20">
        <v>1</v>
      </c>
      <c r="U300" s="17">
        <v>1</v>
      </c>
      <c r="W300" s="23">
        <v>1</v>
      </c>
      <c r="Y300" s="26">
        <v>1</v>
      </c>
    </row>
    <row r="301" spans="1:25" x14ac:dyDescent="0.25">
      <c r="A301" s="7">
        <v>17</v>
      </c>
      <c r="B301" s="6" t="s">
        <v>16</v>
      </c>
      <c r="C301" s="32">
        <v>4.4000000000000004</v>
      </c>
      <c r="D301" s="6" t="s">
        <v>14</v>
      </c>
      <c r="E301" s="29">
        <v>6</v>
      </c>
      <c r="F301" s="13">
        <v>1.2</v>
      </c>
      <c r="G301" s="31">
        <v>2.48</v>
      </c>
      <c r="H301" s="13">
        <v>0.9</v>
      </c>
      <c r="I301" s="6" t="s">
        <v>19</v>
      </c>
      <c r="J301" s="11">
        <v>6</v>
      </c>
      <c r="K301" s="11">
        <v>2</v>
      </c>
      <c r="L301" s="11">
        <v>6</v>
      </c>
      <c r="M301" s="15">
        <v>1</v>
      </c>
      <c r="R301" s="20">
        <v>1</v>
      </c>
      <c r="U301" s="17">
        <v>1</v>
      </c>
      <c r="W301" s="23">
        <v>1</v>
      </c>
      <c r="Y301" s="26">
        <v>1</v>
      </c>
    </row>
    <row r="302" spans="1:25" x14ac:dyDescent="0.25">
      <c r="A302" s="7">
        <v>13</v>
      </c>
      <c r="B302" s="6" t="s">
        <v>13</v>
      </c>
      <c r="C302" s="32">
        <v>7.8</v>
      </c>
      <c r="D302" s="6" t="s">
        <v>14</v>
      </c>
      <c r="E302" s="29">
        <v>5</v>
      </c>
      <c r="F302" s="13">
        <v>1.8</v>
      </c>
      <c r="G302" s="31">
        <v>3.57</v>
      </c>
      <c r="H302" s="13">
        <v>1.5</v>
      </c>
      <c r="I302" s="6" t="s">
        <v>19</v>
      </c>
      <c r="J302" s="11">
        <v>8</v>
      </c>
      <c r="K302" s="11">
        <v>10</v>
      </c>
      <c r="L302" s="11">
        <v>3</v>
      </c>
      <c r="M302" s="15">
        <v>1</v>
      </c>
      <c r="R302" s="20">
        <v>1</v>
      </c>
      <c r="U302" s="17">
        <v>1</v>
      </c>
      <c r="W302" s="23">
        <v>1</v>
      </c>
      <c r="Y302" s="26">
        <v>1</v>
      </c>
    </row>
    <row r="303" spans="1:25" x14ac:dyDescent="0.25">
      <c r="A303" s="7">
        <v>14</v>
      </c>
      <c r="B303" s="6" t="s">
        <v>16</v>
      </c>
      <c r="C303" s="32">
        <v>6.9</v>
      </c>
      <c r="D303" s="6" t="s">
        <v>17</v>
      </c>
      <c r="E303" s="29">
        <v>6.4</v>
      </c>
      <c r="F303" s="13">
        <v>0.9</v>
      </c>
      <c r="G303" s="31">
        <v>2.04</v>
      </c>
      <c r="H303" s="13">
        <v>1.3</v>
      </c>
      <c r="I303" s="6" t="s">
        <v>19</v>
      </c>
      <c r="J303" s="11">
        <v>5</v>
      </c>
      <c r="K303" s="11">
        <v>5</v>
      </c>
      <c r="L303" s="11">
        <v>9</v>
      </c>
      <c r="M303" s="15">
        <v>1</v>
      </c>
      <c r="R303" s="20">
        <v>1</v>
      </c>
      <c r="U303" s="17">
        <v>1</v>
      </c>
      <c r="W303" s="23">
        <v>1</v>
      </c>
      <c r="Y303" s="26">
        <v>1</v>
      </c>
    </row>
    <row r="304" spans="1:25" x14ac:dyDescent="0.25">
      <c r="A304" s="7">
        <v>14</v>
      </c>
      <c r="B304" s="6" t="s">
        <v>16</v>
      </c>
      <c r="C304" s="32">
        <v>4.8</v>
      </c>
      <c r="D304" s="6" t="s">
        <v>14</v>
      </c>
      <c r="E304" s="29">
        <v>6.8</v>
      </c>
      <c r="F304" s="13">
        <v>0.8</v>
      </c>
      <c r="G304" s="31">
        <v>3</v>
      </c>
      <c r="H304" s="13">
        <v>0.9</v>
      </c>
      <c r="I304" s="6" t="s">
        <v>15</v>
      </c>
      <c r="J304" s="11">
        <v>4</v>
      </c>
      <c r="K304" s="11">
        <v>3</v>
      </c>
      <c r="L304" s="11">
        <v>4</v>
      </c>
      <c r="M304" s="15">
        <v>1</v>
      </c>
      <c r="R304" s="20">
        <v>1</v>
      </c>
      <c r="U304" s="17">
        <v>1</v>
      </c>
      <c r="W304" s="23">
        <v>1</v>
      </c>
      <c r="Y304" s="26">
        <v>1</v>
      </c>
    </row>
    <row r="305" spans="1:25" x14ac:dyDescent="0.25">
      <c r="A305" s="7">
        <v>13</v>
      </c>
      <c r="B305" s="6" t="s">
        <v>13</v>
      </c>
      <c r="C305" s="32">
        <v>7.5</v>
      </c>
      <c r="D305" s="6" t="s">
        <v>14</v>
      </c>
      <c r="E305" s="29">
        <v>8.6</v>
      </c>
      <c r="F305" s="13">
        <v>1.9</v>
      </c>
      <c r="G305" s="31">
        <v>3.33</v>
      </c>
      <c r="H305" s="13">
        <v>0.9</v>
      </c>
      <c r="I305" s="6" t="s">
        <v>19</v>
      </c>
      <c r="J305" s="11">
        <v>7</v>
      </c>
      <c r="K305" s="11">
        <v>3</v>
      </c>
      <c r="L305" s="11">
        <v>10</v>
      </c>
      <c r="M305" s="15">
        <v>1</v>
      </c>
      <c r="R305" s="20">
        <v>1</v>
      </c>
      <c r="U305" s="17">
        <v>1</v>
      </c>
      <c r="W305" s="23">
        <v>1</v>
      </c>
      <c r="Y305" s="26">
        <v>1</v>
      </c>
    </row>
    <row r="306" spans="1:25" x14ac:dyDescent="0.25">
      <c r="A306" s="7">
        <v>15</v>
      </c>
      <c r="B306" s="6" t="s">
        <v>16</v>
      </c>
      <c r="C306" s="32">
        <v>6.7</v>
      </c>
      <c r="D306" s="6" t="s">
        <v>14</v>
      </c>
      <c r="E306" s="29">
        <v>7</v>
      </c>
      <c r="F306" s="13">
        <v>2.2000000000000002</v>
      </c>
      <c r="G306" s="31">
        <v>2.61</v>
      </c>
      <c r="H306" s="13">
        <v>0.7</v>
      </c>
      <c r="I306" s="6" t="s">
        <v>18</v>
      </c>
      <c r="J306" s="11">
        <v>2</v>
      </c>
      <c r="K306" s="11">
        <v>7</v>
      </c>
      <c r="L306" s="11">
        <v>8</v>
      </c>
      <c r="M306" s="15">
        <v>1</v>
      </c>
      <c r="R306" s="20">
        <v>1</v>
      </c>
      <c r="U306" s="17">
        <v>1</v>
      </c>
      <c r="W306" s="23">
        <v>1</v>
      </c>
      <c r="Y306" s="26">
        <v>1</v>
      </c>
    </row>
    <row r="307" spans="1:25" x14ac:dyDescent="0.25">
      <c r="A307" s="7">
        <v>14</v>
      </c>
      <c r="B307" s="6" t="s">
        <v>13</v>
      </c>
      <c r="C307" s="32">
        <v>3.8</v>
      </c>
      <c r="D307" s="6" t="s">
        <v>14</v>
      </c>
      <c r="E307" s="29">
        <v>4.8</v>
      </c>
      <c r="F307" s="13">
        <v>1.9</v>
      </c>
      <c r="G307" s="31">
        <v>3.97</v>
      </c>
      <c r="H307" s="13">
        <v>0.2</v>
      </c>
      <c r="I307" s="6" t="s">
        <v>18</v>
      </c>
      <c r="J307" s="11">
        <v>4</v>
      </c>
      <c r="K307" s="11">
        <v>6</v>
      </c>
      <c r="L307" s="11">
        <v>6</v>
      </c>
      <c r="M307" s="15">
        <v>1</v>
      </c>
      <c r="R307" s="20">
        <v>1</v>
      </c>
      <c r="U307" s="17">
        <v>1</v>
      </c>
      <c r="W307" s="23">
        <v>1</v>
      </c>
      <c r="Y307" s="26">
        <v>1</v>
      </c>
    </row>
    <row r="308" spans="1:25" x14ac:dyDescent="0.25">
      <c r="A308" s="7">
        <v>15</v>
      </c>
      <c r="B308" s="6" t="s">
        <v>13</v>
      </c>
      <c r="C308" s="32">
        <v>3</v>
      </c>
      <c r="D308" s="6" t="s">
        <v>14</v>
      </c>
      <c r="E308" s="29">
        <v>8.6</v>
      </c>
      <c r="F308" s="13">
        <v>1.5</v>
      </c>
      <c r="G308" s="31">
        <v>3.27</v>
      </c>
      <c r="H308" s="13">
        <v>0.8</v>
      </c>
      <c r="I308" s="6" t="s">
        <v>19</v>
      </c>
      <c r="J308" s="11">
        <v>10</v>
      </c>
      <c r="K308" s="11">
        <v>10</v>
      </c>
      <c r="L308" s="11">
        <v>4</v>
      </c>
      <c r="M308" s="15">
        <v>1</v>
      </c>
      <c r="R308" s="20">
        <v>1</v>
      </c>
      <c r="U308" s="17">
        <v>1</v>
      </c>
      <c r="W308" s="23">
        <v>1</v>
      </c>
      <c r="Y308" s="26">
        <v>1</v>
      </c>
    </row>
    <row r="309" spans="1:25" x14ac:dyDescent="0.25">
      <c r="A309" s="7">
        <v>17</v>
      </c>
      <c r="B309" s="6" t="s">
        <v>13</v>
      </c>
      <c r="C309" s="32">
        <v>7.8</v>
      </c>
      <c r="D309" s="6" t="s">
        <v>17</v>
      </c>
      <c r="E309" s="29">
        <v>7.1</v>
      </c>
      <c r="F309" s="13">
        <v>0.8</v>
      </c>
      <c r="G309" s="31">
        <v>2.79</v>
      </c>
      <c r="H309" s="13">
        <v>1.4</v>
      </c>
      <c r="I309" s="6" t="s">
        <v>19</v>
      </c>
      <c r="J309" s="11">
        <v>9</v>
      </c>
      <c r="K309" s="11">
        <v>4</v>
      </c>
      <c r="L309" s="11">
        <v>2</v>
      </c>
      <c r="M309" s="15">
        <v>1</v>
      </c>
      <c r="R309" s="20">
        <v>1</v>
      </c>
      <c r="U309" s="17">
        <v>1</v>
      </c>
      <c r="W309" s="23">
        <v>1</v>
      </c>
      <c r="Y309" s="26">
        <v>1</v>
      </c>
    </row>
    <row r="310" spans="1:25" x14ac:dyDescent="0.25">
      <c r="A310" s="7">
        <v>14</v>
      </c>
      <c r="B310" s="6" t="s">
        <v>16</v>
      </c>
      <c r="C310" s="32">
        <v>7.8</v>
      </c>
      <c r="D310" s="6" t="s">
        <v>14</v>
      </c>
      <c r="E310" s="29">
        <v>4.3</v>
      </c>
      <c r="F310" s="13">
        <v>2.6</v>
      </c>
      <c r="G310" s="31">
        <v>3.33</v>
      </c>
      <c r="H310" s="13">
        <v>2</v>
      </c>
      <c r="I310" s="6" t="s">
        <v>18</v>
      </c>
      <c r="J310" s="11">
        <v>3</v>
      </c>
      <c r="K310" s="11">
        <v>7</v>
      </c>
      <c r="L310" s="11">
        <v>3</v>
      </c>
      <c r="M310" s="15">
        <v>1</v>
      </c>
      <c r="R310" s="20">
        <v>1</v>
      </c>
      <c r="U310" s="17">
        <v>1</v>
      </c>
      <c r="W310" s="23">
        <v>1</v>
      </c>
      <c r="Y310" s="26">
        <v>1</v>
      </c>
    </row>
    <row r="311" spans="1:25" x14ac:dyDescent="0.25">
      <c r="A311" s="7">
        <v>15</v>
      </c>
      <c r="B311" s="6" t="s">
        <v>16</v>
      </c>
      <c r="C311" s="32">
        <v>6.6</v>
      </c>
      <c r="D311" s="6" t="s">
        <v>17</v>
      </c>
      <c r="E311" s="29">
        <v>9</v>
      </c>
      <c r="F311" s="13">
        <v>1.5</v>
      </c>
      <c r="G311" s="31">
        <v>3.04</v>
      </c>
      <c r="H311" s="13">
        <v>1.5</v>
      </c>
      <c r="I311" s="6" t="s">
        <v>15</v>
      </c>
      <c r="J311" s="11">
        <v>4</v>
      </c>
      <c r="K311" s="11">
        <v>2</v>
      </c>
      <c r="L311" s="11">
        <v>7</v>
      </c>
      <c r="M311" s="15">
        <v>-1</v>
      </c>
      <c r="R311" s="20">
        <v>-1</v>
      </c>
      <c r="U311" s="17">
        <v>-1</v>
      </c>
      <c r="W311" s="23">
        <v>-1</v>
      </c>
      <c r="Y311" s="26">
        <v>-1</v>
      </c>
    </row>
    <row r="312" spans="1:25" x14ac:dyDescent="0.25">
      <c r="A312" s="7">
        <v>13</v>
      </c>
      <c r="B312" s="6" t="s">
        <v>16</v>
      </c>
      <c r="C312" s="32">
        <v>7.3</v>
      </c>
      <c r="D312" s="6" t="s">
        <v>14</v>
      </c>
      <c r="E312" s="29">
        <v>6.4</v>
      </c>
      <c r="F312" s="13">
        <v>2.2999999999999998</v>
      </c>
      <c r="G312" s="31">
        <v>2.5299999999999998</v>
      </c>
      <c r="H312" s="13">
        <v>0.7</v>
      </c>
      <c r="I312" s="6" t="s">
        <v>15</v>
      </c>
      <c r="J312" s="11">
        <v>9</v>
      </c>
      <c r="K312" s="11">
        <v>9</v>
      </c>
      <c r="L312" s="11">
        <v>4</v>
      </c>
      <c r="M312" s="15">
        <v>-1</v>
      </c>
      <c r="R312" s="20">
        <v>-1</v>
      </c>
      <c r="U312" s="17">
        <v>-1</v>
      </c>
      <c r="W312" s="23">
        <v>-1</v>
      </c>
      <c r="Y312" s="26">
        <v>-1</v>
      </c>
    </row>
    <row r="313" spans="1:25" x14ac:dyDescent="0.25">
      <c r="A313" s="7">
        <v>19</v>
      </c>
      <c r="B313" s="6" t="s">
        <v>13</v>
      </c>
      <c r="C313" s="32">
        <v>6.6</v>
      </c>
      <c r="D313" s="6" t="s">
        <v>14</v>
      </c>
      <c r="E313" s="29">
        <v>4.4000000000000004</v>
      </c>
      <c r="F313" s="13">
        <v>1.1000000000000001</v>
      </c>
      <c r="G313" s="31">
        <v>2.29</v>
      </c>
      <c r="H313" s="13">
        <v>1</v>
      </c>
      <c r="I313" s="6" t="s">
        <v>15</v>
      </c>
      <c r="J313" s="11">
        <v>6</v>
      </c>
      <c r="K313" s="11">
        <v>8</v>
      </c>
      <c r="L313" s="11">
        <v>5</v>
      </c>
      <c r="M313" s="15">
        <v>-1</v>
      </c>
      <c r="R313" s="20">
        <v>-1</v>
      </c>
      <c r="U313" s="17">
        <v>-1</v>
      </c>
      <c r="W313" s="23">
        <v>-1</v>
      </c>
      <c r="Y313" s="26">
        <v>-1</v>
      </c>
    </row>
    <row r="314" spans="1:25" x14ac:dyDescent="0.25">
      <c r="A314" s="7">
        <v>19</v>
      </c>
      <c r="B314" s="6" t="s">
        <v>16</v>
      </c>
      <c r="C314" s="32">
        <v>5.6</v>
      </c>
      <c r="D314" s="6" t="s">
        <v>17</v>
      </c>
      <c r="E314" s="29">
        <v>8.1</v>
      </c>
      <c r="F314" s="13">
        <v>3</v>
      </c>
      <c r="G314" s="31">
        <v>2.75</v>
      </c>
      <c r="H314" s="13">
        <v>0.7</v>
      </c>
      <c r="I314" s="6" t="s">
        <v>19</v>
      </c>
      <c r="J314" s="11">
        <v>6</v>
      </c>
      <c r="K314" s="11">
        <v>3</v>
      </c>
      <c r="L314" s="11">
        <v>4</v>
      </c>
      <c r="M314" s="15">
        <v>-1</v>
      </c>
      <c r="R314" s="20">
        <v>-1</v>
      </c>
      <c r="U314" s="17">
        <v>-1</v>
      </c>
      <c r="W314" s="23">
        <v>-1</v>
      </c>
      <c r="Y314" s="26">
        <v>-1</v>
      </c>
    </row>
    <row r="315" spans="1:25" x14ac:dyDescent="0.25">
      <c r="A315" s="7">
        <v>13</v>
      </c>
      <c r="B315" s="6" t="s">
        <v>16</v>
      </c>
      <c r="C315" s="32">
        <v>8</v>
      </c>
      <c r="D315" s="6" t="s">
        <v>14</v>
      </c>
      <c r="E315" s="29">
        <v>5.4</v>
      </c>
      <c r="F315" s="13">
        <v>2.8</v>
      </c>
      <c r="G315" s="31">
        <v>3.1</v>
      </c>
      <c r="H315" s="13">
        <v>1.9</v>
      </c>
      <c r="I315" s="6" t="s">
        <v>18</v>
      </c>
      <c r="J315" s="11">
        <v>6</v>
      </c>
      <c r="K315" s="11">
        <v>10</v>
      </c>
      <c r="L315" s="11">
        <v>10</v>
      </c>
      <c r="M315" s="15">
        <v>-1</v>
      </c>
      <c r="R315" s="20">
        <v>-1</v>
      </c>
      <c r="U315" s="17">
        <v>-1</v>
      </c>
      <c r="W315" s="23">
        <v>-1</v>
      </c>
      <c r="Y315" s="26">
        <v>-1</v>
      </c>
    </row>
    <row r="316" spans="1:25" x14ac:dyDescent="0.25">
      <c r="A316" s="7">
        <v>13</v>
      </c>
      <c r="B316" s="6" t="s">
        <v>16</v>
      </c>
      <c r="C316" s="32">
        <v>1.3</v>
      </c>
      <c r="D316" s="6" t="s">
        <v>14</v>
      </c>
      <c r="E316" s="29">
        <v>8.9</v>
      </c>
      <c r="F316" s="13">
        <v>2.6</v>
      </c>
      <c r="G316" s="31">
        <v>3.54</v>
      </c>
      <c r="H316" s="13">
        <v>1.2</v>
      </c>
      <c r="I316" s="6" t="s">
        <v>18</v>
      </c>
      <c r="J316" s="11">
        <v>8</v>
      </c>
      <c r="K316" s="11">
        <v>5</v>
      </c>
      <c r="L316" s="11">
        <v>2</v>
      </c>
      <c r="M316" s="15">
        <v>-1</v>
      </c>
      <c r="R316" s="20">
        <v>-1</v>
      </c>
      <c r="U316" s="17">
        <v>-1</v>
      </c>
      <c r="W316" s="23">
        <v>-1</v>
      </c>
      <c r="Y316" s="26">
        <v>-1</v>
      </c>
    </row>
    <row r="317" spans="1:25" x14ac:dyDescent="0.25">
      <c r="A317" s="7">
        <v>15</v>
      </c>
      <c r="B317" s="6" t="s">
        <v>16</v>
      </c>
      <c r="C317" s="32">
        <v>5.9</v>
      </c>
      <c r="D317" s="6" t="s">
        <v>20</v>
      </c>
      <c r="E317" s="29">
        <v>6.9</v>
      </c>
      <c r="F317" s="13">
        <v>1.4</v>
      </c>
      <c r="G317" s="31">
        <v>3.62</v>
      </c>
      <c r="H317" s="13">
        <v>1.5</v>
      </c>
      <c r="I317" s="6" t="s">
        <v>19</v>
      </c>
      <c r="J317" s="11">
        <v>3</v>
      </c>
      <c r="K317" s="11">
        <v>9</v>
      </c>
      <c r="L317" s="11">
        <v>1</v>
      </c>
      <c r="M317" s="15">
        <v>-1</v>
      </c>
      <c r="R317" s="20">
        <v>-1</v>
      </c>
      <c r="U317" s="17">
        <v>-1</v>
      </c>
      <c r="W317" s="23">
        <v>-1</v>
      </c>
      <c r="Y317" s="26">
        <v>-1</v>
      </c>
    </row>
    <row r="318" spans="1:25" x14ac:dyDescent="0.25">
      <c r="A318" s="7">
        <v>14</v>
      </c>
      <c r="B318" s="6" t="s">
        <v>16</v>
      </c>
      <c r="C318" s="32">
        <v>2</v>
      </c>
      <c r="D318" s="6" t="s">
        <v>14</v>
      </c>
      <c r="E318" s="29">
        <v>8.8000000000000007</v>
      </c>
      <c r="F318" s="13">
        <v>0.9</v>
      </c>
      <c r="G318" s="31">
        <v>3.61</v>
      </c>
      <c r="H318" s="13">
        <v>0.7</v>
      </c>
      <c r="I318" s="6" t="s">
        <v>18</v>
      </c>
      <c r="J318" s="11">
        <v>10</v>
      </c>
      <c r="K318" s="11">
        <v>2</v>
      </c>
      <c r="L318" s="11">
        <v>3</v>
      </c>
      <c r="M318" s="15">
        <v>-1</v>
      </c>
      <c r="R318" s="20">
        <v>-1</v>
      </c>
      <c r="U318" s="17">
        <v>-1</v>
      </c>
      <c r="W318" s="23">
        <v>-1</v>
      </c>
      <c r="Y318" s="26">
        <v>-1</v>
      </c>
    </row>
    <row r="319" spans="1:25" x14ac:dyDescent="0.25">
      <c r="A319" s="7">
        <v>19</v>
      </c>
      <c r="B319" s="6" t="s">
        <v>16</v>
      </c>
      <c r="C319" s="32">
        <v>1.4</v>
      </c>
      <c r="D319" s="6" t="s">
        <v>14</v>
      </c>
      <c r="E319" s="29">
        <v>6.6</v>
      </c>
      <c r="F319" s="13">
        <v>1.8</v>
      </c>
      <c r="G319" s="31">
        <v>3.07</v>
      </c>
      <c r="H319" s="13">
        <v>0</v>
      </c>
      <c r="I319" s="6" t="s">
        <v>15</v>
      </c>
      <c r="J319" s="11">
        <v>5</v>
      </c>
      <c r="K319" s="11">
        <v>2</v>
      </c>
      <c r="L319" s="11">
        <v>6</v>
      </c>
      <c r="M319" s="15">
        <v>-1</v>
      </c>
      <c r="R319" s="20">
        <v>-1</v>
      </c>
      <c r="U319" s="17">
        <v>-1</v>
      </c>
      <c r="W319" s="23">
        <v>-1</v>
      </c>
      <c r="Y319" s="26">
        <v>-1</v>
      </c>
    </row>
    <row r="320" spans="1:25" x14ac:dyDescent="0.25">
      <c r="A320" s="7">
        <v>13</v>
      </c>
      <c r="B320" s="6" t="s">
        <v>16</v>
      </c>
      <c r="C320" s="32">
        <v>6.4</v>
      </c>
      <c r="D320" s="6" t="s">
        <v>20</v>
      </c>
      <c r="E320" s="29">
        <v>6.7</v>
      </c>
      <c r="F320" s="13">
        <v>0.8</v>
      </c>
      <c r="G320" s="31">
        <v>3.9</v>
      </c>
      <c r="H320" s="13">
        <v>1.9</v>
      </c>
      <c r="I320" s="6" t="s">
        <v>18</v>
      </c>
      <c r="J320" s="11">
        <v>3</v>
      </c>
      <c r="K320" s="11">
        <v>3</v>
      </c>
      <c r="L320" s="11">
        <v>10</v>
      </c>
      <c r="M320" s="15">
        <v>-1</v>
      </c>
      <c r="R320" s="20">
        <v>-1</v>
      </c>
      <c r="U320" s="17">
        <v>-1</v>
      </c>
      <c r="W320" s="23">
        <v>-1</v>
      </c>
      <c r="Y320" s="26">
        <v>-1</v>
      </c>
    </row>
    <row r="321" spans="1:25" x14ac:dyDescent="0.25">
      <c r="A321" s="7">
        <v>15</v>
      </c>
      <c r="B321" s="6" t="s">
        <v>13</v>
      </c>
      <c r="C321" s="32">
        <v>7.6</v>
      </c>
      <c r="D321" s="6" t="s">
        <v>17</v>
      </c>
      <c r="E321" s="29">
        <v>7.9</v>
      </c>
      <c r="F321" s="13">
        <v>0.8</v>
      </c>
      <c r="G321" s="31">
        <v>3.55</v>
      </c>
      <c r="H321" s="13">
        <v>1.9</v>
      </c>
      <c r="I321" s="6" t="s">
        <v>18</v>
      </c>
      <c r="J321" s="11">
        <v>10</v>
      </c>
      <c r="K321" s="11">
        <v>8</v>
      </c>
      <c r="L321" s="11">
        <v>6</v>
      </c>
      <c r="M321" s="15">
        <v>-1</v>
      </c>
      <c r="R321" s="20">
        <v>-1</v>
      </c>
      <c r="U321" s="17">
        <v>-1</v>
      </c>
      <c r="W321" s="23">
        <v>-1</v>
      </c>
      <c r="Y321" s="26">
        <v>-1</v>
      </c>
    </row>
    <row r="322" spans="1:25" x14ac:dyDescent="0.25">
      <c r="A322" s="7">
        <v>16</v>
      </c>
      <c r="B322" s="6" t="s">
        <v>13</v>
      </c>
      <c r="C322" s="32">
        <v>7.9</v>
      </c>
      <c r="D322" s="6" t="s">
        <v>20</v>
      </c>
      <c r="E322" s="29">
        <v>5.5</v>
      </c>
      <c r="F322" s="13">
        <v>0.6</v>
      </c>
      <c r="G322" s="31">
        <v>3.65</v>
      </c>
      <c r="H322" s="13">
        <v>1.4</v>
      </c>
      <c r="I322" s="6" t="s">
        <v>15</v>
      </c>
      <c r="J322" s="11">
        <v>1</v>
      </c>
      <c r="K322" s="11">
        <v>4</v>
      </c>
      <c r="L322" s="11">
        <v>1</v>
      </c>
      <c r="M322" s="15">
        <v>-1</v>
      </c>
      <c r="R322" s="20">
        <v>-1</v>
      </c>
      <c r="U322" s="17">
        <v>-1</v>
      </c>
      <c r="W322" s="23">
        <v>-1</v>
      </c>
      <c r="Y322" s="26">
        <v>-1</v>
      </c>
    </row>
    <row r="323" spans="1:25" x14ac:dyDescent="0.25">
      <c r="A323" s="7">
        <v>15</v>
      </c>
      <c r="B323" s="6" t="s">
        <v>13</v>
      </c>
      <c r="C323" s="32">
        <v>5.0999999999999996</v>
      </c>
      <c r="D323" s="6" t="s">
        <v>14</v>
      </c>
      <c r="E323" s="29">
        <v>4.0999999999999996</v>
      </c>
      <c r="F323" s="13">
        <v>2.8</v>
      </c>
      <c r="G323" s="31">
        <v>3.79</v>
      </c>
      <c r="H323" s="13">
        <v>0.8</v>
      </c>
      <c r="I323" s="6" t="s">
        <v>19</v>
      </c>
      <c r="J323" s="11">
        <v>9</v>
      </c>
      <c r="K323" s="11">
        <v>7</v>
      </c>
      <c r="L323" s="11">
        <v>3</v>
      </c>
      <c r="M323" s="15">
        <v>-1</v>
      </c>
      <c r="R323" s="20">
        <v>-1</v>
      </c>
      <c r="U323" s="17">
        <v>-1</v>
      </c>
      <c r="W323" s="23">
        <v>-1</v>
      </c>
      <c r="Y323" s="26">
        <v>-1</v>
      </c>
    </row>
    <row r="324" spans="1:25" x14ac:dyDescent="0.25">
      <c r="A324" s="7">
        <v>18</v>
      </c>
      <c r="B324" s="6" t="s">
        <v>13</v>
      </c>
      <c r="C324" s="32">
        <v>6.4</v>
      </c>
      <c r="D324" s="6" t="s">
        <v>17</v>
      </c>
      <c r="E324" s="29">
        <v>7.4</v>
      </c>
      <c r="F324" s="13">
        <v>1.5</v>
      </c>
      <c r="G324" s="31">
        <v>2.92</v>
      </c>
      <c r="H324" s="13">
        <v>0.6</v>
      </c>
      <c r="I324" s="6" t="s">
        <v>15</v>
      </c>
      <c r="J324" s="11">
        <v>9</v>
      </c>
      <c r="K324" s="11">
        <v>2</v>
      </c>
      <c r="L324" s="11">
        <v>5</v>
      </c>
      <c r="M324" s="15">
        <v>-1</v>
      </c>
      <c r="R324" s="20">
        <v>-1</v>
      </c>
      <c r="U324" s="17">
        <v>-1</v>
      </c>
      <c r="W324" s="23">
        <v>-1</v>
      </c>
      <c r="Y324" s="26">
        <v>-1</v>
      </c>
    </row>
    <row r="325" spans="1:25" x14ac:dyDescent="0.25">
      <c r="A325" s="7">
        <v>13</v>
      </c>
      <c r="B325" s="6" t="s">
        <v>16</v>
      </c>
      <c r="C325" s="32">
        <v>7.2</v>
      </c>
      <c r="D325" s="6" t="s">
        <v>20</v>
      </c>
      <c r="E325" s="29">
        <v>6.7</v>
      </c>
      <c r="F325" s="13">
        <v>0.9</v>
      </c>
      <c r="G325" s="31">
        <v>2.36</v>
      </c>
      <c r="H325" s="13">
        <v>0.6</v>
      </c>
      <c r="I325" s="6" t="s">
        <v>15</v>
      </c>
      <c r="J325" s="11">
        <v>8</v>
      </c>
      <c r="K325" s="11">
        <v>8</v>
      </c>
      <c r="L325" s="11">
        <v>1</v>
      </c>
      <c r="M325" s="15">
        <v>-1</v>
      </c>
      <c r="R325" s="20">
        <v>-1</v>
      </c>
      <c r="U325" s="17">
        <v>-1</v>
      </c>
      <c r="W325" s="23">
        <v>-1</v>
      </c>
      <c r="Y325" s="26">
        <v>-1</v>
      </c>
    </row>
    <row r="326" spans="1:25" x14ac:dyDescent="0.25">
      <c r="A326" s="7">
        <v>18</v>
      </c>
      <c r="B326" s="6" t="s">
        <v>16</v>
      </c>
      <c r="C326" s="32">
        <v>2.9</v>
      </c>
      <c r="D326" s="6" t="s">
        <v>20</v>
      </c>
      <c r="E326" s="29">
        <v>4.5999999999999996</v>
      </c>
      <c r="F326" s="13">
        <v>2.2999999999999998</v>
      </c>
      <c r="G326" s="31">
        <v>3.03</v>
      </c>
      <c r="H326" s="13">
        <v>0.3</v>
      </c>
      <c r="I326" s="6" t="s">
        <v>15</v>
      </c>
      <c r="J326" s="11">
        <v>6</v>
      </c>
      <c r="K326" s="11">
        <v>1</v>
      </c>
      <c r="L326" s="11">
        <v>9</v>
      </c>
      <c r="M326" s="15">
        <v>0</v>
      </c>
      <c r="R326" s="20">
        <v>0</v>
      </c>
      <c r="U326" s="17">
        <v>0</v>
      </c>
      <c r="W326" s="23">
        <v>0</v>
      </c>
      <c r="Y326" s="26">
        <v>0</v>
      </c>
    </row>
    <row r="327" spans="1:25" x14ac:dyDescent="0.25">
      <c r="A327" s="7">
        <v>19</v>
      </c>
      <c r="B327" s="6" t="s">
        <v>13</v>
      </c>
      <c r="C327" s="32">
        <v>1.5</v>
      </c>
      <c r="D327" s="6" t="s">
        <v>14</v>
      </c>
      <c r="E327" s="29">
        <v>7.3</v>
      </c>
      <c r="F327" s="13">
        <v>2.7</v>
      </c>
      <c r="G327" s="31">
        <v>2.61</v>
      </c>
      <c r="H327" s="13">
        <v>0.9</v>
      </c>
      <c r="I327" s="6" t="s">
        <v>15</v>
      </c>
      <c r="J327" s="11">
        <v>5</v>
      </c>
      <c r="K327" s="11">
        <v>7</v>
      </c>
      <c r="L327" s="11">
        <v>10</v>
      </c>
      <c r="M327" s="15">
        <v>0</v>
      </c>
      <c r="R327" s="20">
        <v>0</v>
      </c>
      <c r="U327" s="17">
        <v>0</v>
      </c>
      <c r="W327" s="23">
        <v>0</v>
      </c>
      <c r="Y327" s="26">
        <v>0</v>
      </c>
    </row>
    <row r="328" spans="1:25" x14ac:dyDescent="0.25">
      <c r="A328" s="7">
        <v>14</v>
      </c>
      <c r="B328" s="6" t="s">
        <v>13</v>
      </c>
      <c r="C328" s="32">
        <v>5.4</v>
      </c>
      <c r="D328" s="6" t="s">
        <v>20</v>
      </c>
      <c r="E328" s="29">
        <v>8.1</v>
      </c>
      <c r="F328" s="13">
        <v>1.8</v>
      </c>
      <c r="G328" s="31">
        <v>2.5299999999999998</v>
      </c>
      <c r="H328" s="13">
        <v>0.9</v>
      </c>
      <c r="I328" s="6" t="s">
        <v>19</v>
      </c>
      <c r="J328" s="11">
        <v>5</v>
      </c>
      <c r="K328" s="11">
        <v>8</v>
      </c>
      <c r="L328" s="11">
        <v>8</v>
      </c>
      <c r="M328" s="15">
        <v>1</v>
      </c>
      <c r="R328" s="20">
        <v>1</v>
      </c>
      <c r="U328" s="17">
        <v>1</v>
      </c>
      <c r="W328" s="23">
        <v>1</v>
      </c>
      <c r="Y328" s="26">
        <v>1</v>
      </c>
    </row>
    <row r="329" spans="1:25" x14ac:dyDescent="0.25">
      <c r="A329" s="7">
        <v>13</v>
      </c>
      <c r="B329" s="6" t="s">
        <v>13</v>
      </c>
      <c r="C329" s="32">
        <v>7.2</v>
      </c>
      <c r="D329" s="6" t="s">
        <v>17</v>
      </c>
      <c r="E329" s="29">
        <v>4.0999999999999996</v>
      </c>
      <c r="F329" s="13">
        <v>1.3</v>
      </c>
      <c r="G329" s="31">
        <v>2.4900000000000002</v>
      </c>
      <c r="H329" s="13">
        <v>1.8</v>
      </c>
      <c r="I329" s="6" t="s">
        <v>19</v>
      </c>
      <c r="J329" s="11">
        <v>5</v>
      </c>
      <c r="K329" s="11">
        <v>5</v>
      </c>
      <c r="L329" s="11">
        <v>4</v>
      </c>
      <c r="M329" s="15">
        <v>1</v>
      </c>
      <c r="R329" s="20">
        <v>1</v>
      </c>
      <c r="U329" s="17">
        <v>1</v>
      </c>
      <c r="W329" s="23">
        <v>1</v>
      </c>
      <c r="Y329" s="26">
        <v>1</v>
      </c>
    </row>
    <row r="330" spans="1:25" x14ac:dyDescent="0.25">
      <c r="A330" s="7">
        <v>15</v>
      </c>
      <c r="B330" s="6" t="s">
        <v>16</v>
      </c>
      <c r="C330" s="32">
        <v>7</v>
      </c>
      <c r="D330" s="6" t="s">
        <v>14</v>
      </c>
      <c r="E330" s="29">
        <v>5.9</v>
      </c>
      <c r="F330" s="13">
        <v>1.3</v>
      </c>
      <c r="G330" s="31">
        <v>2.91</v>
      </c>
      <c r="H330" s="13">
        <v>1.2</v>
      </c>
      <c r="I330" s="6" t="s">
        <v>15</v>
      </c>
      <c r="J330" s="11">
        <v>10</v>
      </c>
      <c r="K330" s="11">
        <v>2</v>
      </c>
      <c r="L330" s="11">
        <v>6</v>
      </c>
      <c r="M330" s="15">
        <v>1</v>
      </c>
      <c r="R330" s="20">
        <v>1</v>
      </c>
      <c r="U330" s="17">
        <v>1</v>
      </c>
      <c r="W330" s="23">
        <v>1</v>
      </c>
      <c r="Y330" s="26">
        <v>1</v>
      </c>
    </row>
    <row r="331" spans="1:25" x14ac:dyDescent="0.25">
      <c r="A331" s="7">
        <v>17</v>
      </c>
      <c r="B331" s="6" t="s">
        <v>16</v>
      </c>
      <c r="C331" s="32">
        <v>7.5</v>
      </c>
      <c r="D331" s="6" t="s">
        <v>17</v>
      </c>
      <c r="E331" s="29">
        <v>6.7</v>
      </c>
      <c r="F331" s="13">
        <v>1.1000000000000001</v>
      </c>
      <c r="G331" s="31">
        <v>3.77</v>
      </c>
      <c r="H331" s="13">
        <v>0.6</v>
      </c>
      <c r="I331" s="6" t="s">
        <v>18</v>
      </c>
      <c r="J331" s="11">
        <v>3</v>
      </c>
      <c r="K331" s="11">
        <v>8</v>
      </c>
      <c r="L331" s="11">
        <v>6</v>
      </c>
      <c r="M331" s="15">
        <v>1</v>
      </c>
      <c r="R331" s="20">
        <v>1</v>
      </c>
      <c r="U331" s="17">
        <v>1</v>
      </c>
      <c r="W331" s="23">
        <v>1</v>
      </c>
      <c r="Y331" s="26">
        <v>1</v>
      </c>
    </row>
    <row r="332" spans="1:25" x14ac:dyDescent="0.25">
      <c r="A332" s="7">
        <v>14</v>
      </c>
      <c r="B332" s="6" t="s">
        <v>13</v>
      </c>
      <c r="C332" s="32">
        <v>1.4</v>
      </c>
      <c r="D332" s="6" t="s">
        <v>20</v>
      </c>
      <c r="E332" s="29">
        <v>7</v>
      </c>
      <c r="F332" s="13">
        <v>1.8</v>
      </c>
      <c r="G332" s="31">
        <v>2.69</v>
      </c>
      <c r="H332" s="13">
        <v>0.9</v>
      </c>
      <c r="I332" s="6" t="s">
        <v>15</v>
      </c>
      <c r="J332" s="11">
        <v>10</v>
      </c>
      <c r="K332" s="11">
        <v>4</v>
      </c>
      <c r="L332" s="11">
        <v>2</v>
      </c>
      <c r="M332" s="15">
        <v>1</v>
      </c>
      <c r="R332" s="20">
        <v>1</v>
      </c>
      <c r="U332" s="17">
        <v>1</v>
      </c>
      <c r="W332" s="23">
        <v>1</v>
      </c>
      <c r="Y332" s="26">
        <v>1</v>
      </c>
    </row>
    <row r="333" spans="1:25" x14ac:dyDescent="0.25">
      <c r="A333" s="7">
        <v>16</v>
      </c>
      <c r="B333" s="6" t="s">
        <v>16</v>
      </c>
      <c r="C333" s="32">
        <v>6.1</v>
      </c>
      <c r="D333" s="6" t="s">
        <v>14</v>
      </c>
      <c r="E333" s="29">
        <v>8.1</v>
      </c>
      <c r="F333" s="13">
        <v>1.4</v>
      </c>
      <c r="G333" s="31">
        <v>3.27</v>
      </c>
      <c r="H333" s="13">
        <v>1.6</v>
      </c>
      <c r="I333" s="6" t="s">
        <v>15</v>
      </c>
      <c r="J333" s="11">
        <v>10</v>
      </c>
      <c r="K333" s="11">
        <v>1</v>
      </c>
      <c r="L333" s="11">
        <v>4</v>
      </c>
      <c r="M333" s="15">
        <v>1</v>
      </c>
      <c r="R333" s="20">
        <v>1</v>
      </c>
      <c r="U333" s="17">
        <v>1</v>
      </c>
      <c r="W333" s="23">
        <v>1</v>
      </c>
      <c r="Y333" s="26">
        <v>1</v>
      </c>
    </row>
    <row r="334" spans="1:25" x14ac:dyDescent="0.25">
      <c r="A334" s="7">
        <v>16</v>
      </c>
      <c r="B334" s="6" t="s">
        <v>16</v>
      </c>
      <c r="C334" s="32">
        <v>1.4</v>
      </c>
      <c r="D334" s="6" t="s">
        <v>20</v>
      </c>
      <c r="E334" s="29">
        <v>5.2</v>
      </c>
      <c r="F334" s="13">
        <v>1.7</v>
      </c>
      <c r="G334" s="31">
        <v>3.82</v>
      </c>
      <c r="H334" s="13">
        <v>0.7</v>
      </c>
      <c r="I334" s="6" t="s">
        <v>15</v>
      </c>
      <c r="J334" s="11">
        <v>10</v>
      </c>
      <c r="K334" s="11">
        <v>4</v>
      </c>
      <c r="L334" s="11">
        <v>3</v>
      </c>
      <c r="M334" s="15">
        <v>1</v>
      </c>
      <c r="R334" s="20">
        <v>1</v>
      </c>
      <c r="U334" s="17">
        <v>1</v>
      </c>
      <c r="W334" s="23">
        <v>1</v>
      </c>
      <c r="Y334" s="26">
        <v>1</v>
      </c>
    </row>
    <row r="335" spans="1:25" x14ac:dyDescent="0.25">
      <c r="A335" s="7">
        <v>13</v>
      </c>
      <c r="B335" s="6" t="s">
        <v>13</v>
      </c>
      <c r="C335" s="32">
        <v>5.4</v>
      </c>
      <c r="D335" s="6" t="s">
        <v>14</v>
      </c>
      <c r="E335" s="29">
        <v>4.0999999999999996</v>
      </c>
      <c r="F335" s="13">
        <v>2</v>
      </c>
      <c r="G335" s="31">
        <v>3.82</v>
      </c>
      <c r="H335" s="13">
        <v>1.9</v>
      </c>
      <c r="I335" s="6" t="s">
        <v>19</v>
      </c>
      <c r="J335" s="11">
        <v>6</v>
      </c>
      <c r="K335" s="11">
        <v>10</v>
      </c>
      <c r="L335" s="11">
        <v>8</v>
      </c>
      <c r="M335" s="15">
        <v>1</v>
      </c>
      <c r="R335" s="20">
        <v>1</v>
      </c>
      <c r="U335" s="17">
        <v>1</v>
      </c>
      <c r="W335" s="23">
        <v>1</v>
      </c>
      <c r="Y335" s="26">
        <v>1</v>
      </c>
    </row>
    <row r="336" spans="1:25" x14ac:dyDescent="0.25">
      <c r="A336" s="7">
        <v>13</v>
      </c>
      <c r="B336" s="6" t="s">
        <v>16</v>
      </c>
      <c r="C336" s="32">
        <v>2.1</v>
      </c>
      <c r="D336" s="6" t="s">
        <v>14</v>
      </c>
      <c r="E336" s="29">
        <v>8.1999999999999993</v>
      </c>
      <c r="F336" s="13">
        <v>0.9</v>
      </c>
      <c r="G336" s="31">
        <v>2.48</v>
      </c>
      <c r="H336" s="13">
        <v>0.5</v>
      </c>
      <c r="I336" s="6" t="s">
        <v>18</v>
      </c>
      <c r="J336" s="11">
        <v>2</v>
      </c>
      <c r="K336" s="11">
        <v>7</v>
      </c>
      <c r="L336" s="11">
        <v>6</v>
      </c>
      <c r="M336" s="15">
        <v>1</v>
      </c>
      <c r="R336" s="20">
        <v>1</v>
      </c>
      <c r="U336" s="17">
        <v>1</v>
      </c>
      <c r="W336" s="23">
        <v>1</v>
      </c>
      <c r="Y336" s="26">
        <v>1</v>
      </c>
    </row>
    <row r="337" spans="1:25" x14ac:dyDescent="0.25">
      <c r="A337" s="7">
        <v>14</v>
      </c>
      <c r="B337" s="6" t="s">
        <v>13</v>
      </c>
      <c r="C337" s="32">
        <v>5</v>
      </c>
      <c r="D337" s="6" t="s">
        <v>20</v>
      </c>
      <c r="E337" s="29">
        <v>4.3</v>
      </c>
      <c r="F337" s="13">
        <v>1.1000000000000001</v>
      </c>
      <c r="G337" s="31">
        <v>3.8</v>
      </c>
      <c r="H337" s="13">
        <v>0.4</v>
      </c>
      <c r="I337" s="6" t="s">
        <v>19</v>
      </c>
      <c r="J337" s="11">
        <v>9</v>
      </c>
      <c r="K337" s="11">
        <v>4</v>
      </c>
      <c r="L337" s="11">
        <v>10</v>
      </c>
      <c r="M337" s="15">
        <v>1</v>
      </c>
      <c r="R337" s="20">
        <v>1</v>
      </c>
      <c r="U337" s="17">
        <v>1</v>
      </c>
      <c r="W337" s="23">
        <v>1</v>
      </c>
      <c r="Y337" s="26">
        <v>1</v>
      </c>
    </row>
    <row r="338" spans="1:25" x14ac:dyDescent="0.25">
      <c r="A338" s="7">
        <v>13</v>
      </c>
      <c r="B338" s="6" t="s">
        <v>16</v>
      </c>
      <c r="C338" s="32">
        <v>4.4000000000000004</v>
      </c>
      <c r="D338" s="6" t="s">
        <v>14</v>
      </c>
      <c r="E338" s="29">
        <v>4.3</v>
      </c>
      <c r="F338" s="13">
        <v>1.9</v>
      </c>
      <c r="G338" s="31">
        <v>3.51</v>
      </c>
      <c r="H338" s="13">
        <v>0.9</v>
      </c>
      <c r="I338" s="6" t="s">
        <v>19</v>
      </c>
      <c r="J338" s="11">
        <v>8</v>
      </c>
      <c r="K338" s="11">
        <v>4</v>
      </c>
      <c r="L338" s="11">
        <v>3</v>
      </c>
      <c r="M338" s="15">
        <v>1</v>
      </c>
      <c r="R338" s="20">
        <v>1</v>
      </c>
      <c r="U338" s="17">
        <v>1</v>
      </c>
      <c r="W338" s="23">
        <v>1</v>
      </c>
      <c r="Y338" s="26">
        <v>1</v>
      </c>
    </row>
    <row r="339" spans="1:25" x14ac:dyDescent="0.25">
      <c r="A339" s="7">
        <v>13</v>
      </c>
      <c r="B339" s="6" t="s">
        <v>13</v>
      </c>
      <c r="C339" s="32">
        <v>3.4</v>
      </c>
      <c r="D339" s="6" t="s">
        <v>20</v>
      </c>
      <c r="E339" s="29">
        <v>8.6</v>
      </c>
      <c r="F339" s="13">
        <v>0.8</v>
      </c>
      <c r="G339" s="31">
        <v>3.08</v>
      </c>
      <c r="H339" s="13">
        <v>0.4</v>
      </c>
      <c r="I339" s="6" t="s">
        <v>15</v>
      </c>
      <c r="J339" s="11">
        <v>7</v>
      </c>
      <c r="K339" s="11">
        <v>10</v>
      </c>
      <c r="L339" s="11">
        <v>6</v>
      </c>
      <c r="M339" s="15">
        <v>1</v>
      </c>
      <c r="R339" s="20">
        <v>1</v>
      </c>
      <c r="U339" s="17">
        <v>1</v>
      </c>
      <c r="W339" s="23">
        <v>1</v>
      </c>
      <c r="Y339" s="26">
        <v>1</v>
      </c>
    </row>
    <row r="340" spans="1:25" x14ac:dyDescent="0.25">
      <c r="A340" s="7">
        <v>18</v>
      </c>
      <c r="B340" s="6" t="s">
        <v>13</v>
      </c>
      <c r="C340" s="32">
        <v>1.2</v>
      </c>
      <c r="D340" s="6" t="s">
        <v>14</v>
      </c>
      <c r="E340" s="29">
        <v>6.4</v>
      </c>
      <c r="F340" s="13">
        <v>1.3</v>
      </c>
      <c r="G340" s="31">
        <v>3.03</v>
      </c>
      <c r="H340" s="13">
        <v>1</v>
      </c>
      <c r="I340" s="6" t="s">
        <v>15</v>
      </c>
      <c r="J340" s="11">
        <v>5</v>
      </c>
      <c r="K340" s="11">
        <v>9</v>
      </c>
      <c r="L340" s="11">
        <v>10</v>
      </c>
      <c r="M340" s="15">
        <v>1</v>
      </c>
      <c r="R340" s="20">
        <v>1</v>
      </c>
      <c r="U340" s="17">
        <v>1</v>
      </c>
      <c r="W340" s="23">
        <v>1</v>
      </c>
      <c r="Y340" s="26">
        <v>1</v>
      </c>
    </row>
    <row r="341" spans="1:25" x14ac:dyDescent="0.25">
      <c r="A341" s="7">
        <v>14</v>
      </c>
      <c r="B341" s="6" t="s">
        <v>13</v>
      </c>
      <c r="C341" s="32">
        <v>5.5</v>
      </c>
      <c r="D341" s="6" t="s">
        <v>17</v>
      </c>
      <c r="E341" s="29">
        <v>7.3</v>
      </c>
      <c r="F341" s="13">
        <v>1.4</v>
      </c>
      <c r="G341" s="31">
        <v>2.61</v>
      </c>
      <c r="H341" s="13">
        <v>1.2</v>
      </c>
      <c r="I341" s="6" t="s">
        <v>18</v>
      </c>
      <c r="J341" s="11">
        <v>5</v>
      </c>
      <c r="K341" s="11">
        <v>7</v>
      </c>
      <c r="L341" s="11">
        <v>1</v>
      </c>
      <c r="M341" s="15">
        <v>1</v>
      </c>
      <c r="R341" s="20">
        <v>1</v>
      </c>
      <c r="U341" s="17">
        <v>1</v>
      </c>
      <c r="W341" s="23">
        <v>1</v>
      </c>
      <c r="Y341" s="26">
        <v>1</v>
      </c>
    </row>
    <row r="342" spans="1:25" x14ac:dyDescent="0.25">
      <c r="A342" s="7">
        <v>15</v>
      </c>
      <c r="B342" s="6" t="s">
        <v>13</v>
      </c>
      <c r="C342" s="32">
        <v>2.2999999999999998</v>
      </c>
      <c r="D342" s="6" t="s">
        <v>20</v>
      </c>
      <c r="E342" s="29">
        <v>7.8</v>
      </c>
      <c r="F342" s="13">
        <v>3</v>
      </c>
      <c r="G342" s="31">
        <v>2.2999999999999998</v>
      </c>
      <c r="H342" s="13">
        <v>1.4</v>
      </c>
      <c r="I342" s="6" t="s">
        <v>19</v>
      </c>
      <c r="J342" s="11">
        <v>4</v>
      </c>
      <c r="K342" s="11">
        <v>9</v>
      </c>
      <c r="L342" s="11">
        <v>10</v>
      </c>
      <c r="M342" s="15">
        <v>1</v>
      </c>
      <c r="R342" s="20">
        <v>1</v>
      </c>
      <c r="U342" s="17">
        <v>1</v>
      </c>
      <c r="W342" s="23">
        <v>1</v>
      </c>
      <c r="Y342" s="26">
        <v>1</v>
      </c>
    </row>
    <row r="343" spans="1:25" x14ac:dyDescent="0.25">
      <c r="A343" s="7">
        <v>13</v>
      </c>
      <c r="B343" s="6" t="s">
        <v>16</v>
      </c>
      <c r="C343" s="32">
        <v>1.4</v>
      </c>
      <c r="D343" s="6" t="s">
        <v>20</v>
      </c>
      <c r="E343" s="29">
        <v>7.4</v>
      </c>
      <c r="F343" s="13">
        <v>0.5</v>
      </c>
      <c r="G343" s="31">
        <v>2.3199999999999998</v>
      </c>
      <c r="H343" s="13">
        <v>1.3</v>
      </c>
      <c r="I343" s="6" t="s">
        <v>15</v>
      </c>
      <c r="J343" s="11">
        <v>3</v>
      </c>
      <c r="K343" s="11">
        <v>2</v>
      </c>
      <c r="L343" s="11">
        <v>6</v>
      </c>
      <c r="M343" s="15">
        <v>1</v>
      </c>
      <c r="R343" s="20">
        <v>1</v>
      </c>
      <c r="U343" s="17">
        <v>1</v>
      </c>
      <c r="W343" s="23">
        <v>1</v>
      </c>
      <c r="Y343" s="26">
        <v>1</v>
      </c>
    </row>
    <row r="344" spans="1:25" x14ac:dyDescent="0.25">
      <c r="A344" s="7">
        <v>13</v>
      </c>
      <c r="B344" s="6" t="s">
        <v>16</v>
      </c>
      <c r="C344" s="32">
        <v>3</v>
      </c>
      <c r="D344" s="6" t="s">
        <v>14</v>
      </c>
      <c r="E344" s="29">
        <v>7</v>
      </c>
      <c r="F344" s="13">
        <v>0.9</v>
      </c>
      <c r="G344" s="31">
        <v>2.73</v>
      </c>
      <c r="H344" s="13">
        <v>1.7</v>
      </c>
      <c r="I344" s="6" t="s">
        <v>18</v>
      </c>
      <c r="J344" s="11">
        <v>5</v>
      </c>
      <c r="K344" s="11">
        <v>6</v>
      </c>
      <c r="L344" s="11">
        <v>9</v>
      </c>
      <c r="M344" s="15">
        <v>1</v>
      </c>
      <c r="R344" s="20">
        <v>1</v>
      </c>
      <c r="U344" s="17">
        <v>1</v>
      </c>
      <c r="W344" s="23">
        <v>1</v>
      </c>
      <c r="Y344" s="26">
        <v>1</v>
      </c>
    </row>
    <row r="345" spans="1:25" x14ac:dyDescent="0.25">
      <c r="A345" s="7">
        <v>14</v>
      </c>
      <c r="B345" s="6" t="s">
        <v>13</v>
      </c>
      <c r="C345" s="32">
        <v>2.8</v>
      </c>
      <c r="D345" s="6" t="s">
        <v>14</v>
      </c>
      <c r="E345" s="29">
        <v>5</v>
      </c>
      <c r="F345" s="13">
        <v>2.5</v>
      </c>
      <c r="G345" s="31">
        <v>3.92</v>
      </c>
      <c r="H345" s="13">
        <v>1.8</v>
      </c>
      <c r="I345" s="6" t="s">
        <v>18</v>
      </c>
      <c r="J345" s="11">
        <v>1</v>
      </c>
      <c r="K345" s="11">
        <v>3</v>
      </c>
      <c r="L345" s="11">
        <v>4</v>
      </c>
      <c r="M345" s="15">
        <v>1</v>
      </c>
      <c r="R345" s="20">
        <v>1</v>
      </c>
      <c r="U345" s="17">
        <v>1</v>
      </c>
      <c r="W345" s="23">
        <v>1</v>
      </c>
      <c r="Y345" s="26">
        <v>1</v>
      </c>
    </row>
    <row r="346" spans="1:25" x14ac:dyDescent="0.25">
      <c r="A346" s="7">
        <v>14</v>
      </c>
      <c r="B346" s="6" t="s">
        <v>13</v>
      </c>
      <c r="C346" s="32">
        <v>7</v>
      </c>
      <c r="D346" s="6" t="s">
        <v>17</v>
      </c>
      <c r="E346" s="29">
        <v>6.9</v>
      </c>
      <c r="F346" s="13">
        <v>1</v>
      </c>
      <c r="G346" s="31">
        <v>3.93</v>
      </c>
      <c r="H346" s="13">
        <v>1.1000000000000001</v>
      </c>
      <c r="I346" s="6" t="s">
        <v>18</v>
      </c>
      <c r="J346" s="11">
        <v>9</v>
      </c>
      <c r="K346" s="11">
        <v>3</v>
      </c>
      <c r="L346" s="11">
        <v>7</v>
      </c>
      <c r="M346" s="15">
        <v>1</v>
      </c>
      <c r="R346" s="20">
        <v>1</v>
      </c>
      <c r="U346" s="17">
        <v>1</v>
      </c>
      <c r="W346" s="23">
        <v>1</v>
      </c>
      <c r="Y346" s="26">
        <v>1</v>
      </c>
    </row>
    <row r="347" spans="1:25" x14ac:dyDescent="0.25">
      <c r="A347" s="7">
        <v>13</v>
      </c>
      <c r="B347" s="6" t="s">
        <v>16</v>
      </c>
      <c r="C347" s="32">
        <v>1.6</v>
      </c>
      <c r="D347" s="6" t="s">
        <v>20</v>
      </c>
      <c r="E347" s="29">
        <v>8.4</v>
      </c>
      <c r="F347" s="13">
        <v>1.4</v>
      </c>
      <c r="G347" s="31">
        <v>3.47</v>
      </c>
      <c r="H347" s="13">
        <v>0.1</v>
      </c>
      <c r="I347" s="6" t="s">
        <v>19</v>
      </c>
      <c r="J347" s="11">
        <v>1</v>
      </c>
      <c r="K347" s="11">
        <v>6</v>
      </c>
      <c r="L347" s="11">
        <v>6</v>
      </c>
      <c r="M347" s="15">
        <v>1</v>
      </c>
      <c r="R347" s="20">
        <v>1</v>
      </c>
      <c r="U347" s="17">
        <v>1</v>
      </c>
      <c r="W347" s="23">
        <v>1</v>
      </c>
      <c r="Y347" s="26">
        <v>1</v>
      </c>
    </row>
    <row r="348" spans="1:25" x14ac:dyDescent="0.25">
      <c r="A348" s="7">
        <v>15</v>
      </c>
      <c r="B348" s="6" t="s">
        <v>16</v>
      </c>
      <c r="C348" s="32">
        <v>4.2</v>
      </c>
      <c r="D348" s="6" t="s">
        <v>14</v>
      </c>
      <c r="E348" s="29">
        <v>8.4</v>
      </c>
      <c r="F348" s="13">
        <v>1.2</v>
      </c>
      <c r="G348" s="31">
        <v>2.61</v>
      </c>
      <c r="H348" s="13">
        <v>0</v>
      </c>
      <c r="I348" s="6" t="s">
        <v>19</v>
      </c>
      <c r="J348" s="11">
        <v>3</v>
      </c>
      <c r="K348" s="11">
        <v>10</v>
      </c>
      <c r="L348" s="11">
        <v>2</v>
      </c>
      <c r="M348" s="15">
        <v>1</v>
      </c>
      <c r="R348" s="20">
        <v>1</v>
      </c>
      <c r="U348" s="17">
        <v>1</v>
      </c>
      <c r="W348" s="23">
        <v>1</v>
      </c>
      <c r="Y348" s="26">
        <v>1</v>
      </c>
    </row>
    <row r="349" spans="1:25" x14ac:dyDescent="0.25">
      <c r="A349" s="7">
        <v>17</v>
      </c>
      <c r="B349" s="6" t="s">
        <v>13</v>
      </c>
      <c r="C349" s="32">
        <v>4.9000000000000004</v>
      </c>
      <c r="D349" s="6" t="s">
        <v>14</v>
      </c>
      <c r="E349" s="29">
        <v>8.6</v>
      </c>
      <c r="F349" s="13">
        <v>3</v>
      </c>
      <c r="G349" s="31">
        <v>3.62</v>
      </c>
      <c r="H349" s="13">
        <v>1.2</v>
      </c>
      <c r="I349" s="6" t="s">
        <v>15</v>
      </c>
      <c r="J349" s="11">
        <v>6</v>
      </c>
      <c r="K349" s="11">
        <v>6</v>
      </c>
      <c r="L349" s="11">
        <v>9</v>
      </c>
      <c r="M349" s="15">
        <v>1</v>
      </c>
      <c r="R349" s="20">
        <v>1</v>
      </c>
      <c r="U349" s="17">
        <v>1</v>
      </c>
      <c r="W349" s="23">
        <v>1</v>
      </c>
      <c r="Y349" s="26">
        <v>1</v>
      </c>
    </row>
    <row r="350" spans="1:25" x14ac:dyDescent="0.25">
      <c r="A350" s="7">
        <v>14</v>
      </c>
      <c r="B350" s="6" t="s">
        <v>16</v>
      </c>
      <c r="C350" s="32">
        <v>3.6</v>
      </c>
      <c r="D350" s="6" t="s">
        <v>14</v>
      </c>
      <c r="E350" s="29">
        <v>4.0999999999999996</v>
      </c>
      <c r="F350" s="13">
        <v>2.9</v>
      </c>
      <c r="G350" s="31">
        <v>2.83</v>
      </c>
      <c r="H350" s="13">
        <v>0.5</v>
      </c>
      <c r="I350" s="6" t="s">
        <v>19</v>
      </c>
      <c r="J350" s="11">
        <v>10</v>
      </c>
      <c r="K350" s="11">
        <v>6</v>
      </c>
      <c r="L350" s="11">
        <v>7</v>
      </c>
      <c r="M350" s="15">
        <v>1</v>
      </c>
      <c r="R350" s="20">
        <v>1</v>
      </c>
      <c r="U350" s="17">
        <v>1</v>
      </c>
      <c r="W350" s="23">
        <v>1</v>
      </c>
      <c r="Y350" s="26">
        <v>1</v>
      </c>
    </row>
    <row r="351" spans="1:25" x14ac:dyDescent="0.25">
      <c r="A351" s="7">
        <v>19</v>
      </c>
      <c r="B351" s="6" t="s">
        <v>13</v>
      </c>
      <c r="C351" s="32">
        <v>1.8</v>
      </c>
      <c r="D351" s="6" t="s">
        <v>17</v>
      </c>
      <c r="E351" s="29">
        <v>6</v>
      </c>
      <c r="F351" s="13">
        <v>2.2999999999999998</v>
      </c>
      <c r="G351" s="31">
        <v>3.22</v>
      </c>
      <c r="H351" s="13">
        <v>1</v>
      </c>
      <c r="I351" s="6" t="s">
        <v>19</v>
      </c>
      <c r="J351" s="11">
        <v>5</v>
      </c>
      <c r="K351" s="11">
        <v>6</v>
      </c>
      <c r="L351" s="11">
        <v>8</v>
      </c>
      <c r="M351" s="15">
        <v>1</v>
      </c>
      <c r="R351" s="20">
        <v>1</v>
      </c>
      <c r="U351" s="17">
        <v>1</v>
      </c>
      <c r="W351" s="23">
        <v>1</v>
      </c>
      <c r="Y351" s="26">
        <v>1</v>
      </c>
    </row>
    <row r="352" spans="1:25" x14ac:dyDescent="0.25">
      <c r="A352" s="7">
        <v>17</v>
      </c>
      <c r="B352" s="6" t="s">
        <v>16</v>
      </c>
      <c r="C352" s="32">
        <v>2.7</v>
      </c>
      <c r="D352" s="6" t="s">
        <v>14</v>
      </c>
      <c r="E352" s="29">
        <v>5.4</v>
      </c>
      <c r="F352" s="13">
        <v>2.6</v>
      </c>
      <c r="G352" s="31">
        <v>2.0699999999999998</v>
      </c>
      <c r="H352" s="13">
        <v>0</v>
      </c>
      <c r="I352" s="6" t="s">
        <v>19</v>
      </c>
      <c r="J352" s="11">
        <v>6</v>
      </c>
      <c r="K352" s="11">
        <v>5</v>
      </c>
      <c r="L352" s="11">
        <v>6</v>
      </c>
      <c r="M352" s="15">
        <v>1</v>
      </c>
      <c r="R352" s="20">
        <v>1</v>
      </c>
      <c r="U352" s="17">
        <v>1</v>
      </c>
      <c r="W352" s="23">
        <v>1</v>
      </c>
      <c r="Y352" s="26">
        <v>1</v>
      </c>
    </row>
    <row r="353" spans="1:25" x14ac:dyDescent="0.25">
      <c r="A353" s="7">
        <v>15</v>
      </c>
      <c r="B353" s="6" t="s">
        <v>16</v>
      </c>
      <c r="C353" s="32">
        <v>1.2</v>
      </c>
      <c r="D353" s="6" t="s">
        <v>14</v>
      </c>
      <c r="E353" s="29">
        <v>5.2</v>
      </c>
      <c r="F353" s="13">
        <v>1</v>
      </c>
      <c r="G353" s="31">
        <v>2.78</v>
      </c>
      <c r="H353" s="13">
        <v>1.3</v>
      </c>
      <c r="I353" s="6" t="s">
        <v>18</v>
      </c>
      <c r="J353" s="11">
        <v>5</v>
      </c>
      <c r="K353" s="11">
        <v>8</v>
      </c>
      <c r="L353" s="11">
        <v>10</v>
      </c>
      <c r="M353" s="15">
        <v>1</v>
      </c>
      <c r="R353" s="20">
        <v>1</v>
      </c>
      <c r="U353" s="17">
        <v>1</v>
      </c>
      <c r="W353" s="23">
        <v>1</v>
      </c>
      <c r="Y353" s="26">
        <v>1</v>
      </c>
    </row>
    <row r="354" spans="1:25" x14ac:dyDescent="0.25">
      <c r="A354" s="7">
        <v>18</v>
      </c>
      <c r="B354" s="6" t="s">
        <v>16</v>
      </c>
      <c r="C354" s="32">
        <v>6.2</v>
      </c>
      <c r="D354" s="6" t="s">
        <v>20</v>
      </c>
      <c r="E354" s="29">
        <v>6.7</v>
      </c>
      <c r="F354" s="13">
        <v>1.4</v>
      </c>
      <c r="G354" s="31">
        <v>3.42</v>
      </c>
      <c r="H354" s="13">
        <v>0.9</v>
      </c>
      <c r="I354" s="6" t="s">
        <v>15</v>
      </c>
      <c r="J354" s="11">
        <v>6</v>
      </c>
      <c r="K354" s="11">
        <v>8</v>
      </c>
      <c r="L354" s="11">
        <v>6</v>
      </c>
      <c r="M354" s="15">
        <v>1</v>
      </c>
      <c r="R354" s="20">
        <v>1</v>
      </c>
      <c r="U354" s="17">
        <v>1</v>
      </c>
      <c r="W354" s="23">
        <v>1</v>
      </c>
      <c r="Y354" s="26">
        <v>1</v>
      </c>
    </row>
    <row r="355" spans="1:25" x14ac:dyDescent="0.25">
      <c r="A355" s="7">
        <v>18</v>
      </c>
      <c r="B355" s="6" t="s">
        <v>13</v>
      </c>
      <c r="C355" s="32">
        <v>1.6</v>
      </c>
      <c r="D355" s="6" t="s">
        <v>17</v>
      </c>
      <c r="E355" s="29">
        <v>6.2</v>
      </c>
      <c r="F355" s="13">
        <v>1.9</v>
      </c>
      <c r="G355" s="31">
        <v>2.0499999999999998</v>
      </c>
      <c r="H355" s="13">
        <v>0.3</v>
      </c>
      <c r="I355" s="6" t="s">
        <v>15</v>
      </c>
      <c r="J355" s="11">
        <v>8</v>
      </c>
      <c r="K355" s="11">
        <v>9</v>
      </c>
      <c r="L355" s="11">
        <v>9</v>
      </c>
      <c r="M355" s="15">
        <v>1</v>
      </c>
      <c r="R355" s="20">
        <v>1</v>
      </c>
      <c r="U355" s="17">
        <v>1</v>
      </c>
      <c r="W355" s="23">
        <v>1</v>
      </c>
      <c r="Y355" s="26">
        <v>1</v>
      </c>
    </row>
    <row r="356" spans="1:25" x14ac:dyDescent="0.25">
      <c r="A356" s="7">
        <v>18</v>
      </c>
      <c r="B356" s="6" t="s">
        <v>16</v>
      </c>
      <c r="C356" s="32">
        <v>5.0999999999999996</v>
      </c>
      <c r="D356" s="6" t="s">
        <v>17</v>
      </c>
      <c r="E356" s="29">
        <v>7.4</v>
      </c>
      <c r="F356" s="13">
        <v>1.3</v>
      </c>
      <c r="G356" s="31">
        <v>3.5</v>
      </c>
      <c r="H356" s="13">
        <v>1.6</v>
      </c>
      <c r="I356" s="6" t="s">
        <v>18</v>
      </c>
      <c r="J356" s="11">
        <v>1</v>
      </c>
      <c r="K356" s="11">
        <v>5</v>
      </c>
      <c r="L356" s="11">
        <v>5</v>
      </c>
      <c r="M356" s="15">
        <v>1</v>
      </c>
      <c r="R356" s="20">
        <v>1</v>
      </c>
      <c r="U356" s="17">
        <v>1</v>
      </c>
      <c r="W356" s="23">
        <v>1</v>
      </c>
      <c r="Y356" s="26">
        <v>1</v>
      </c>
    </row>
    <row r="357" spans="1:25" x14ac:dyDescent="0.25">
      <c r="A357" s="7">
        <v>13</v>
      </c>
      <c r="B357" s="6" t="s">
        <v>16</v>
      </c>
      <c r="C357" s="32">
        <v>5.2</v>
      </c>
      <c r="D357" s="6" t="s">
        <v>17</v>
      </c>
      <c r="E357" s="29">
        <v>8.1999999999999993</v>
      </c>
      <c r="F357" s="13">
        <v>2.8</v>
      </c>
      <c r="G357" s="31">
        <v>2.12</v>
      </c>
      <c r="H357" s="13">
        <v>1.4</v>
      </c>
      <c r="I357" s="6" t="s">
        <v>19</v>
      </c>
      <c r="J357" s="11">
        <v>1</v>
      </c>
      <c r="K357" s="11">
        <v>8</v>
      </c>
      <c r="L357" s="11">
        <v>1</v>
      </c>
      <c r="M357" s="15">
        <v>1</v>
      </c>
      <c r="R357" s="20">
        <v>1</v>
      </c>
      <c r="U357" s="17">
        <v>1</v>
      </c>
      <c r="W357" s="23">
        <v>1</v>
      </c>
      <c r="Y357" s="26">
        <v>1</v>
      </c>
    </row>
    <row r="358" spans="1:25" x14ac:dyDescent="0.25">
      <c r="A358" s="7">
        <v>14</v>
      </c>
      <c r="B358" s="6" t="s">
        <v>13</v>
      </c>
      <c r="C358" s="32">
        <v>4.0999999999999996</v>
      </c>
      <c r="D358" s="6" t="s">
        <v>17</v>
      </c>
      <c r="E358" s="29">
        <v>5.0999999999999996</v>
      </c>
      <c r="F358" s="13">
        <v>2</v>
      </c>
      <c r="G358" s="31">
        <v>3.51</v>
      </c>
      <c r="H358" s="13">
        <v>0.7</v>
      </c>
      <c r="I358" s="6" t="s">
        <v>18</v>
      </c>
      <c r="J358" s="11">
        <v>2</v>
      </c>
      <c r="K358" s="11">
        <v>9</v>
      </c>
      <c r="L358" s="11">
        <v>1</v>
      </c>
      <c r="M358" s="15">
        <v>1</v>
      </c>
      <c r="R358" s="20">
        <v>1</v>
      </c>
      <c r="U358" s="17">
        <v>1</v>
      </c>
      <c r="W358" s="23">
        <v>1</v>
      </c>
      <c r="Y358" s="26">
        <v>1</v>
      </c>
    </row>
    <row r="359" spans="1:25" x14ac:dyDescent="0.25">
      <c r="A359" s="7">
        <v>19</v>
      </c>
      <c r="B359" s="6" t="s">
        <v>16</v>
      </c>
      <c r="C359" s="32">
        <v>5.4</v>
      </c>
      <c r="D359" s="6" t="s">
        <v>17</v>
      </c>
      <c r="E359" s="29">
        <v>4.4000000000000004</v>
      </c>
      <c r="F359" s="13">
        <v>2.2999999999999998</v>
      </c>
      <c r="G359" s="31">
        <v>3.34</v>
      </c>
      <c r="H359" s="13">
        <v>0.4</v>
      </c>
      <c r="I359" s="6" t="s">
        <v>18</v>
      </c>
      <c r="J359" s="11">
        <v>3</v>
      </c>
      <c r="K359" s="11">
        <v>3</v>
      </c>
      <c r="L359" s="11">
        <v>8</v>
      </c>
      <c r="M359" s="15">
        <v>1</v>
      </c>
      <c r="R359" s="20">
        <v>1</v>
      </c>
      <c r="U359" s="17">
        <v>1</v>
      </c>
      <c r="W359" s="23">
        <v>1</v>
      </c>
      <c r="Y359" s="26">
        <v>1</v>
      </c>
    </row>
    <row r="360" spans="1:25" x14ac:dyDescent="0.25">
      <c r="A360" s="7">
        <v>13</v>
      </c>
      <c r="B360" s="6" t="s">
        <v>13</v>
      </c>
      <c r="C360" s="32">
        <v>2.4</v>
      </c>
      <c r="D360" s="6" t="s">
        <v>17</v>
      </c>
      <c r="E360" s="29">
        <v>8.4</v>
      </c>
      <c r="F360" s="13">
        <v>1.6</v>
      </c>
      <c r="G360" s="31">
        <v>2.82</v>
      </c>
      <c r="H360" s="13">
        <v>1.1000000000000001</v>
      </c>
      <c r="I360" s="6" t="s">
        <v>15</v>
      </c>
      <c r="J360" s="11">
        <v>1</v>
      </c>
      <c r="K360" s="11">
        <v>3</v>
      </c>
      <c r="L360" s="11">
        <v>2</v>
      </c>
      <c r="M360" s="15">
        <v>1</v>
      </c>
      <c r="R360" s="20">
        <v>1</v>
      </c>
      <c r="U360" s="17">
        <v>1</v>
      </c>
      <c r="W360" s="23">
        <v>1</v>
      </c>
      <c r="Y360" s="26">
        <v>1</v>
      </c>
    </row>
    <row r="361" spans="1:25" x14ac:dyDescent="0.25">
      <c r="A361" s="7">
        <v>18</v>
      </c>
      <c r="B361" s="6" t="s">
        <v>13</v>
      </c>
      <c r="C361" s="32">
        <v>1.7</v>
      </c>
      <c r="D361" s="6" t="s">
        <v>20</v>
      </c>
      <c r="E361" s="29">
        <v>5.6</v>
      </c>
      <c r="F361" s="13">
        <v>1.4</v>
      </c>
      <c r="G361" s="31">
        <v>2.85</v>
      </c>
      <c r="H361" s="13">
        <v>1</v>
      </c>
      <c r="I361" s="6" t="s">
        <v>18</v>
      </c>
      <c r="J361" s="11">
        <v>3</v>
      </c>
      <c r="K361" s="11">
        <v>3</v>
      </c>
      <c r="L361" s="11">
        <v>7</v>
      </c>
      <c r="M361" s="15">
        <v>1</v>
      </c>
      <c r="R361" s="20">
        <v>1</v>
      </c>
      <c r="U361" s="17">
        <v>1</v>
      </c>
      <c r="W361" s="23">
        <v>1</v>
      </c>
      <c r="Y361" s="26">
        <v>1</v>
      </c>
    </row>
    <row r="362" spans="1:25" x14ac:dyDescent="0.25">
      <c r="A362" s="7">
        <v>18</v>
      </c>
      <c r="B362" s="6" t="s">
        <v>13</v>
      </c>
      <c r="C362" s="32">
        <v>6</v>
      </c>
      <c r="D362" s="6" t="s">
        <v>20</v>
      </c>
      <c r="E362" s="29">
        <v>6.1</v>
      </c>
      <c r="F362" s="13">
        <v>0.9</v>
      </c>
      <c r="G362" s="31">
        <v>2.68</v>
      </c>
      <c r="H362" s="13">
        <v>0.3</v>
      </c>
      <c r="I362" s="6" t="s">
        <v>19</v>
      </c>
      <c r="J362" s="11">
        <v>2</v>
      </c>
      <c r="K362" s="11">
        <v>10</v>
      </c>
      <c r="L362" s="11">
        <v>10</v>
      </c>
      <c r="M362" s="15">
        <v>1</v>
      </c>
      <c r="R362" s="20">
        <v>1</v>
      </c>
      <c r="U362" s="17">
        <v>1</v>
      </c>
      <c r="W362" s="23">
        <v>1</v>
      </c>
      <c r="Y362" s="26">
        <v>1</v>
      </c>
    </row>
    <row r="363" spans="1:25" x14ac:dyDescent="0.25">
      <c r="A363" s="7">
        <v>17</v>
      </c>
      <c r="B363" s="6" t="s">
        <v>13</v>
      </c>
      <c r="C363" s="32">
        <v>7.2</v>
      </c>
      <c r="D363" s="6" t="s">
        <v>20</v>
      </c>
      <c r="E363" s="29">
        <v>6.1</v>
      </c>
      <c r="F363" s="13">
        <v>0.8</v>
      </c>
      <c r="G363" s="31">
        <v>3.9</v>
      </c>
      <c r="H363" s="13">
        <v>0.2</v>
      </c>
      <c r="I363" s="6" t="s">
        <v>15</v>
      </c>
      <c r="J363" s="11">
        <v>8</v>
      </c>
      <c r="K363" s="11">
        <v>3</v>
      </c>
      <c r="L363" s="11">
        <v>7</v>
      </c>
      <c r="M363" s="15">
        <v>1</v>
      </c>
      <c r="R363" s="20">
        <v>1</v>
      </c>
      <c r="U363" s="17">
        <v>1</v>
      </c>
      <c r="W363" s="23">
        <v>1</v>
      </c>
      <c r="Y363" s="26">
        <v>1</v>
      </c>
    </row>
    <row r="364" spans="1:25" x14ac:dyDescent="0.25">
      <c r="A364" s="7">
        <v>18</v>
      </c>
      <c r="B364" s="6" t="s">
        <v>13</v>
      </c>
      <c r="C364" s="32">
        <v>3.5</v>
      </c>
      <c r="D364" s="6" t="s">
        <v>17</v>
      </c>
      <c r="E364" s="29">
        <v>6.3</v>
      </c>
      <c r="F364" s="13">
        <v>2.9</v>
      </c>
      <c r="G364" s="31">
        <v>3.35</v>
      </c>
      <c r="H364" s="13">
        <v>1.6</v>
      </c>
      <c r="I364" s="6" t="s">
        <v>18</v>
      </c>
      <c r="J364" s="11">
        <v>1</v>
      </c>
      <c r="K364" s="11">
        <v>4</v>
      </c>
      <c r="L364" s="11">
        <v>2</v>
      </c>
      <c r="M364" s="15">
        <v>1</v>
      </c>
      <c r="R364" s="20">
        <v>1</v>
      </c>
      <c r="U364" s="17">
        <v>1</v>
      </c>
      <c r="W364" s="23">
        <v>1</v>
      </c>
      <c r="Y364" s="26">
        <v>1</v>
      </c>
    </row>
    <row r="365" spans="1:25" x14ac:dyDescent="0.25">
      <c r="A365" s="7">
        <v>15</v>
      </c>
      <c r="B365" s="6" t="s">
        <v>16</v>
      </c>
      <c r="C365" s="32">
        <v>3.8</v>
      </c>
      <c r="D365" s="6" t="s">
        <v>14</v>
      </c>
      <c r="E365" s="29">
        <v>4.4000000000000004</v>
      </c>
      <c r="F365" s="13">
        <v>1.9</v>
      </c>
      <c r="G365" s="31">
        <v>2.04</v>
      </c>
      <c r="H365" s="13">
        <v>0.5</v>
      </c>
      <c r="I365" s="6" t="s">
        <v>19</v>
      </c>
      <c r="J365" s="11">
        <v>4</v>
      </c>
      <c r="K365" s="11">
        <v>9</v>
      </c>
      <c r="L365" s="11">
        <v>7</v>
      </c>
      <c r="M365" s="15">
        <v>1</v>
      </c>
      <c r="R365" s="20">
        <v>1</v>
      </c>
      <c r="U365" s="17">
        <v>1</v>
      </c>
      <c r="W365" s="23">
        <v>1</v>
      </c>
      <c r="Y365" s="26">
        <v>1</v>
      </c>
    </row>
    <row r="366" spans="1:25" x14ac:dyDescent="0.25">
      <c r="A366" s="7">
        <v>18</v>
      </c>
      <c r="B366" s="6" t="s">
        <v>16</v>
      </c>
      <c r="C366" s="32">
        <v>4.5</v>
      </c>
      <c r="D366" s="6" t="s">
        <v>20</v>
      </c>
      <c r="E366" s="29">
        <v>8</v>
      </c>
      <c r="F366" s="13">
        <v>1.5</v>
      </c>
      <c r="G366" s="31">
        <v>3.45</v>
      </c>
      <c r="H366" s="13">
        <v>1</v>
      </c>
      <c r="I366" s="6" t="s">
        <v>15</v>
      </c>
      <c r="J366" s="11">
        <v>4</v>
      </c>
      <c r="K366" s="11">
        <v>3</v>
      </c>
      <c r="L366" s="11">
        <v>9</v>
      </c>
      <c r="M366" s="15">
        <v>1</v>
      </c>
      <c r="R366" s="20">
        <v>1</v>
      </c>
      <c r="U366" s="17">
        <v>1</v>
      </c>
      <c r="W366" s="23">
        <v>1</v>
      </c>
      <c r="Y366" s="26">
        <v>1</v>
      </c>
    </row>
    <row r="367" spans="1:25" x14ac:dyDescent="0.25">
      <c r="A367" s="7">
        <v>16</v>
      </c>
      <c r="B367" s="6" t="s">
        <v>16</v>
      </c>
      <c r="C367" s="32">
        <v>7.3</v>
      </c>
      <c r="D367" s="6" t="s">
        <v>20</v>
      </c>
      <c r="E367" s="29">
        <v>7.2</v>
      </c>
      <c r="F367" s="13">
        <v>0.5</v>
      </c>
      <c r="G367" s="31">
        <v>2.78</v>
      </c>
      <c r="H367" s="13">
        <v>1.9</v>
      </c>
      <c r="I367" s="6" t="s">
        <v>15</v>
      </c>
      <c r="J367" s="11">
        <v>7</v>
      </c>
      <c r="K367" s="11">
        <v>3</v>
      </c>
      <c r="L367" s="11">
        <v>9</v>
      </c>
      <c r="M367" s="15">
        <v>1</v>
      </c>
      <c r="R367" s="20">
        <v>1</v>
      </c>
      <c r="U367" s="17">
        <v>1</v>
      </c>
      <c r="W367" s="23">
        <v>1</v>
      </c>
      <c r="Y367" s="26">
        <v>1</v>
      </c>
    </row>
    <row r="368" spans="1:25" x14ac:dyDescent="0.25">
      <c r="A368" s="7">
        <v>18</v>
      </c>
      <c r="B368" s="6" t="s">
        <v>16</v>
      </c>
      <c r="C368" s="32">
        <v>6.4</v>
      </c>
      <c r="D368" s="6" t="s">
        <v>14</v>
      </c>
      <c r="E368" s="29">
        <v>7.7</v>
      </c>
      <c r="F368" s="13">
        <v>0.5</v>
      </c>
      <c r="G368" s="31">
        <v>3.05</v>
      </c>
      <c r="H368" s="13">
        <v>1.2</v>
      </c>
      <c r="I368" s="6" t="s">
        <v>15</v>
      </c>
      <c r="J368" s="11">
        <v>3</v>
      </c>
      <c r="K368" s="11">
        <v>1</v>
      </c>
      <c r="L368" s="11">
        <v>2</v>
      </c>
      <c r="M368" s="15">
        <v>1</v>
      </c>
      <c r="R368" s="20">
        <v>1</v>
      </c>
      <c r="U368" s="17">
        <v>1</v>
      </c>
      <c r="W368" s="23">
        <v>1</v>
      </c>
      <c r="Y368" s="26">
        <v>1</v>
      </c>
    </row>
    <row r="369" spans="1:25" x14ac:dyDescent="0.25">
      <c r="A369" s="7">
        <v>16</v>
      </c>
      <c r="B369" s="6" t="s">
        <v>13</v>
      </c>
      <c r="C369" s="32">
        <v>5.3</v>
      </c>
      <c r="D369" s="6" t="s">
        <v>17</v>
      </c>
      <c r="E369" s="29">
        <v>8.4</v>
      </c>
      <c r="F369" s="13">
        <v>2.2000000000000002</v>
      </c>
      <c r="G369" s="31">
        <v>2.81</v>
      </c>
      <c r="H369" s="13">
        <v>0.6</v>
      </c>
      <c r="I369" s="6" t="s">
        <v>18</v>
      </c>
      <c r="J369" s="11">
        <v>2</v>
      </c>
      <c r="K369" s="11">
        <v>8</v>
      </c>
      <c r="L369" s="11">
        <v>8</v>
      </c>
      <c r="M369" s="15">
        <v>1</v>
      </c>
      <c r="R369" s="20">
        <v>1</v>
      </c>
      <c r="U369" s="17">
        <v>1</v>
      </c>
      <c r="W369" s="23">
        <v>1</v>
      </c>
      <c r="Y369" s="26">
        <v>1</v>
      </c>
    </row>
    <row r="370" spans="1:25" x14ac:dyDescent="0.25">
      <c r="A370" s="7">
        <v>13</v>
      </c>
      <c r="B370" s="6" t="s">
        <v>13</v>
      </c>
      <c r="C370" s="32">
        <v>2.4</v>
      </c>
      <c r="D370" s="6" t="s">
        <v>14</v>
      </c>
      <c r="E370" s="29">
        <v>7.1</v>
      </c>
      <c r="F370" s="13">
        <v>0.7</v>
      </c>
      <c r="G370" s="31">
        <v>3.64</v>
      </c>
      <c r="H370" s="13">
        <v>1.1000000000000001</v>
      </c>
      <c r="I370" s="6" t="s">
        <v>18</v>
      </c>
      <c r="J370" s="11">
        <v>6</v>
      </c>
      <c r="K370" s="11">
        <v>5</v>
      </c>
      <c r="L370" s="11">
        <v>5</v>
      </c>
      <c r="M370" s="15">
        <v>1</v>
      </c>
      <c r="R370" s="20">
        <v>1</v>
      </c>
      <c r="U370" s="17">
        <v>1</v>
      </c>
      <c r="W370" s="23">
        <v>1</v>
      </c>
      <c r="Y370" s="26">
        <v>1</v>
      </c>
    </row>
    <row r="371" spans="1:25" x14ac:dyDescent="0.25">
      <c r="A371" s="7">
        <v>13</v>
      </c>
      <c r="B371" s="6" t="s">
        <v>13</v>
      </c>
      <c r="C371" s="32">
        <v>8</v>
      </c>
      <c r="D371" s="6" t="s">
        <v>20</v>
      </c>
      <c r="E371" s="29">
        <v>8.9</v>
      </c>
      <c r="F371" s="13">
        <v>2.2000000000000002</v>
      </c>
      <c r="G371" s="31">
        <v>3.82</v>
      </c>
      <c r="H371" s="13">
        <v>1.2</v>
      </c>
      <c r="I371" s="6" t="s">
        <v>15</v>
      </c>
      <c r="J371" s="11">
        <v>8</v>
      </c>
      <c r="K371" s="11">
        <v>8</v>
      </c>
      <c r="L371" s="11">
        <v>4</v>
      </c>
      <c r="M371" s="15">
        <v>1</v>
      </c>
      <c r="R371" s="20">
        <v>1</v>
      </c>
      <c r="U371" s="17">
        <v>1</v>
      </c>
      <c r="W371" s="23">
        <v>1</v>
      </c>
      <c r="Y371" s="26">
        <v>1</v>
      </c>
    </row>
    <row r="372" spans="1:25" x14ac:dyDescent="0.25">
      <c r="A372" s="7">
        <v>15</v>
      </c>
      <c r="B372" s="6" t="s">
        <v>13</v>
      </c>
      <c r="C372" s="32">
        <v>7.3</v>
      </c>
      <c r="D372" s="6" t="s">
        <v>20</v>
      </c>
      <c r="E372" s="29">
        <v>4.4000000000000004</v>
      </c>
      <c r="F372" s="13">
        <v>2.2999999999999998</v>
      </c>
      <c r="G372" s="31">
        <v>2.76</v>
      </c>
      <c r="H372" s="13">
        <v>1.8</v>
      </c>
      <c r="I372" s="6" t="s">
        <v>19</v>
      </c>
      <c r="J372" s="11">
        <v>4</v>
      </c>
      <c r="K372" s="11">
        <v>6</v>
      </c>
      <c r="L372" s="11">
        <v>9</v>
      </c>
      <c r="M372" s="15">
        <v>1</v>
      </c>
      <c r="R372" s="20">
        <v>1</v>
      </c>
      <c r="U372" s="17">
        <v>1</v>
      </c>
      <c r="W372" s="23">
        <v>1</v>
      </c>
      <c r="Y372" s="26">
        <v>1</v>
      </c>
    </row>
    <row r="373" spans="1:25" x14ac:dyDescent="0.25">
      <c r="A373" s="7">
        <v>17</v>
      </c>
      <c r="B373" s="6" t="s">
        <v>16</v>
      </c>
      <c r="C373" s="32">
        <v>4.5</v>
      </c>
      <c r="D373" s="6" t="s">
        <v>20</v>
      </c>
      <c r="E373" s="29">
        <v>7.3</v>
      </c>
      <c r="F373" s="13">
        <v>0.9</v>
      </c>
      <c r="G373" s="31">
        <v>2.34</v>
      </c>
      <c r="H373" s="13">
        <v>0.9</v>
      </c>
      <c r="I373" s="6" t="s">
        <v>19</v>
      </c>
      <c r="J373" s="11">
        <v>7</v>
      </c>
      <c r="K373" s="11">
        <v>3</v>
      </c>
      <c r="L373" s="11">
        <v>8</v>
      </c>
      <c r="M373" s="15">
        <v>1</v>
      </c>
      <c r="R373" s="20">
        <v>1</v>
      </c>
      <c r="U373" s="17">
        <v>1</v>
      </c>
      <c r="W373" s="23">
        <v>1</v>
      </c>
      <c r="Y373" s="26">
        <v>1</v>
      </c>
    </row>
    <row r="374" spans="1:25" x14ac:dyDescent="0.25">
      <c r="A374" s="7">
        <v>19</v>
      </c>
      <c r="B374" s="6" t="s">
        <v>13</v>
      </c>
      <c r="C374" s="32">
        <v>5</v>
      </c>
      <c r="D374" s="6" t="s">
        <v>20</v>
      </c>
      <c r="E374" s="29">
        <v>9</v>
      </c>
      <c r="F374" s="13">
        <v>2.4</v>
      </c>
      <c r="G374" s="31">
        <v>2.5299999999999998</v>
      </c>
      <c r="H374" s="13">
        <v>0.4</v>
      </c>
      <c r="I374" s="6" t="s">
        <v>19</v>
      </c>
      <c r="J374" s="11">
        <v>7</v>
      </c>
      <c r="K374" s="11">
        <v>2</v>
      </c>
      <c r="L374" s="11">
        <v>10</v>
      </c>
      <c r="M374" s="15">
        <v>1</v>
      </c>
      <c r="R374" s="20">
        <v>1</v>
      </c>
      <c r="U374" s="17">
        <v>1</v>
      </c>
      <c r="W374" s="23">
        <v>1</v>
      </c>
      <c r="Y374" s="26">
        <v>1</v>
      </c>
    </row>
    <row r="375" spans="1:25" x14ac:dyDescent="0.25">
      <c r="A375" s="7">
        <v>16</v>
      </c>
      <c r="B375" s="6" t="s">
        <v>16</v>
      </c>
      <c r="C375" s="32">
        <v>5.7</v>
      </c>
      <c r="D375" s="6" t="s">
        <v>20</v>
      </c>
      <c r="E375" s="29">
        <v>4.2</v>
      </c>
      <c r="F375" s="13">
        <v>1.4</v>
      </c>
      <c r="G375" s="31">
        <v>2.56</v>
      </c>
      <c r="H375" s="13">
        <v>0.1</v>
      </c>
      <c r="I375" s="6" t="s">
        <v>18</v>
      </c>
      <c r="J375" s="11">
        <v>4</v>
      </c>
      <c r="K375" s="11">
        <v>3</v>
      </c>
      <c r="L375" s="11">
        <v>1</v>
      </c>
      <c r="M375" s="15">
        <v>1</v>
      </c>
      <c r="R375" s="20">
        <v>1</v>
      </c>
      <c r="U375" s="17">
        <v>1</v>
      </c>
      <c r="W375" s="23">
        <v>1</v>
      </c>
      <c r="Y375" s="26">
        <v>1</v>
      </c>
    </row>
    <row r="376" spans="1:25" x14ac:dyDescent="0.25">
      <c r="A376" s="7">
        <v>18</v>
      </c>
      <c r="B376" s="6" t="s">
        <v>16</v>
      </c>
      <c r="C376" s="32">
        <v>2.9</v>
      </c>
      <c r="D376" s="6" t="s">
        <v>14</v>
      </c>
      <c r="E376" s="29">
        <v>8.4</v>
      </c>
      <c r="F376" s="13">
        <v>2.6</v>
      </c>
      <c r="G376" s="31">
        <v>2.57</v>
      </c>
      <c r="H376" s="13">
        <v>1.8</v>
      </c>
      <c r="I376" s="6" t="s">
        <v>19</v>
      </c>
      <c r="J376" s="11">
        <v>4</v>
      </c>
      <c r="K376" s="11">
        <v>1</v>
      </c>
      <c r="L376" s="11">
        <v>3</v>
      </c>
      <c r="M376" s="15">
        <v>1</v>
      </c>
      <c r="R376" s="20">
        <v>1</v>
      </c>
      <c r="U376" s="17">
        <v>1</v>
      </c>
      <c r="W376" s="23">
        <v>1</v>
      </c>
      <c r="Y376" s="26">
        <v>1</v>
      </c>
    </row>
    <row r="377" spans="1:25" x14ac:dyDescent="0.25">
      <c r="A377" s="7">
        <v>13</v>
      </c>
      <c r="B377" s="6" t="s">
        <v>13</v>
      </c>
      <c r="C377" s="32">
        <v>7.9</v>
      </c>
      <c r="D377" s="6" t="s">
        <v>14</v>
      </c>
      <c r="E377" s="29">
        <v>8.8000000000000007</v>
      </c>
      <c r="F377" s="13">
        <v>2.2999999999999998</v>
      </c>
      <c r="G377" s="31">
        <v>3.39</v>
      </c>
      <c r="H377" s="13">
        <v>0.5</v>
      </c>
      <c r="I377" s="6" t="s">
        <v>15</v>
      </c>
      <c r="J377" s="11">
        <v>1</v>
      </c>
      <c r="K377" s="11">
        <v>9</v>
      </c>
      <c r="L377" s="11">
        <v>3</v>
      </c>
      <c r="M377" s="15">
        <v>1</v>
      </c>
      <c r="R377" s="20">
        <v>1</v>
      </c>
      <c r="U377" s="17">
        <v>1</v>
      </c>
      <c r="W377" s="23">
        <v>1</v>
      </c>
      <c r="Y377" s="26">
        <v>1</v>
      </c>
    </row>
    <row r="378" spans="1:25" x14ac:dyDescent="0.25">
      <c r="A378" s="7">
        <v>19</v>
      </c>
      <c r="B378" s="6" t="s">
        <v>13</v>
      </c>
      <c r="C378" s="32">
        <v>4.8</v>
      </c>
      <c r="D378" s="6" t="s">
        <v>17</v>
      </c>
      <c r="E378" s="29">
        <v>5</v>
      </c>
      <c r="F378" s="13">
        <v>2.6</v>
      </c>
      <c r="G378" s="31">
        <v>3.25</v>
      </c>
      <c r="H378" s="13">
        <v>1.6</v>
      </c>
      <c r="I378" s="6" t="s">
        <v>15</v>
      </c>
      <c r="J378" s="11">
        <v>4</v>
      </c>
      <c r="K378" s="11">
        <v>6</v>
      </c>
      <c r="L378" s="11">
        <v>1</v>
      </c>
      <c r="M378" s="15">
        <v>1</v>
      </c>
      <c r="R378" s="20">
        <v>1</v>
      </c>
      <c r="U378" s="17">
        <v>1</v>
      </c>
      <c r="W378" s="23">
        <v>1</v>
      </c>
      <c r="Y378" s="26">
        <v>1</v>
      </c>
    </row>
    <row r="379" spans="1:25" x14ac:dyDescent="0.25">
      <c r="A379" s="7">
        <v>13</v>
      </c>
      <c r="B379" s="6" t="s">
        <v>16</v>
      </c>
      <c r="C379" s="32">
        <v>3</v>
      </c>
      <c r="D379" s="6" t="s">
        <v>20</v>
      </c>
      <c r="E379" s="29">
        <v>6</v>
      </c>
      <c r="F379" s="13">
        <v>1</v>
      </c>
      <c r="G379" s="31">
        <v>2.63</v>
      </c>
      <c r="H379" s="13">
        <v>0.1</v>
      </c>
      <c r="I379" s="6" t="s">
        <v>15</v>
      </c>
      <c r="J379" s="11">
        <v>5</v>
      </c>
      <c r="K379" s="11">
        <v>10</v>
      </c>
      <c r="L379" s="11">
        <v>9</v>
      </c>
      <c r="M379" s="15">
        <v>1</v>
      </c>
      <c r="R379" s="20">
        <v>1</v>
      </c>
      <c r="U379" s="17">
        <v>1</v>
      </c>
      <c r="W379" s="23">
        <v>1</v>
      </c>
      <c r="Y379" s="26">
        <v>1</v>
      </c>
    </row>
    <row r="380" spans="1:25" x14ac:dyDescent="0.25">
      <c r="A380" s="7">
        <v>14</v>
      </c>
      <c r="B380" s="6" t="s">
        <v>16</v>
      </c>
      <c r="C380" s="32">
        <v>4.0999999999999996</v>
      </c>
      <c r="D380" s="6" t="s">
        <v>20</v>
      </c>
      <c r="E380" s="29">
        <v>6.4</v>
      </c>
      <c r="F380" s="13">
        <v>2</v>
      </c>
      <c r="G380" s="31">
        <v>3.69</v>
      </c>
      <c r="H380" s="13">
        <v>1.5</v>
      </c>
      <c r="I380" s="6" t="s">
        <v>19</v>
      </c>
      <c r="J380" s="11">
        <v>7</v>
      </c>
      <c r="K380" s="11">
        <v>7</v>
      </c>
      <c r="L380" s="11">
        <v>9</v>
      </c>
      <c r="M380" s="15">
        <v>1</v>
      </c>
      <c r="R380" s="20">
        <v>1</v>
      </c>
      <c r="U380" s="17">
        <v>1</v>
      </c>
      <c r="W380" s="23">
        <v>1</v>
      </c>
      <c r="Y380" s="26">
        <v>1</v>
      </c>
    </row>
    <row r="381" spans="1:25" x14ac:dyDescent="0.25">
      <c r="A381" s="7">
        <v>19</v>
      </c>
      <c r="B381" s="6" t="s">
        <v>13</v>
      </c>
      <c r="C381" s="32">
        <v>6.9</v>
      </c>
      <c r="D381" s="6" t="s">
        <v>14</v>
      </c>
      <c r="E381" s="29">
        <v>5</v>
      </c>
      <c r="F381" s="13">
        <v>1.2</v>
      </c>
      <c r="G381" s="31">
        <v>2.56</v>
      </c>
      <c r="H381" s="13">
        <v>1.6</v>
      </c>
      <c r="I381" s="6" t="s">
        <v>18</v>
      </c>
      <c r="J381" s="11">
        <v>3</v>
      </c>
      <c r="K381" s="11">
        <v>10</v>
      </c>
      <c r="L381" s="11">
        <v>8</v>
      </c>
      <c r="M381" s="15">
        <v>1</v>
      </c>
      <c r="R381" s="20">
        <v>1</v>
      </c>
      <c r="U381" s="17">
        <v>1</v>
      </c>
      <c r="W381" s="23">
        <v>1</v>
      </c>
      <c r="Y381" s="26">
        <v>1</v>
      </c>
    </row>
    <row r="382" spans="1:25" x14ac:dyDescent="0.25">
      <c r="A382" s="7">
        <v>17</v>
      </c>
      <c r="B382" s="6" t="s">
        <v>16</v>
      </c>
      <c r="C382" s="32">
        <v>3.2</v>
      </c>
      <c r="D382" s="6" t="s">
        <v>14</v>
      </c>
      <c r="E382" s="29">
        <v>6.2</v>
      </c>
      <c r="F382" s="13">
        <v>2.2000000000000002</v>
      </c>
      <c r="G382" s="31">
        <v>2.96</v>
      </c>
      <c r="H382" s="13">
        <v>1.6</v>
      </c>
      <c r="I382" s="6" t="s">
        <v>15</v>
      </c>
      <c r="J382" s="11">
        <v>8</v>
      </c>
      <c r="K382" s="11">
        <v>10</v>
      </c>
      <c r="L382" s="11">
        <v>9</v>
      </c>
      <c r="M382" s="15">
        <v>1</v>
      </c>
      <c r="R382" s="20">
        <v>1</v>
      </c>
      <c r="U382" s="17">
        <v>1</v>
      </c>
      <c r="W382" s="23">
        <v>1</v>
      </c>
      <c r="Y382" s="26">
        <v>1</v>
      </c>
    </row>
    <row r="383" spans="1:25" x14ac:dyDescent="0.25">
      <c r="A383" s="7">
        <v>18</v>
      </c>
      <c r="B383" s="6" t="s">
        <v>16</v>
      </c>
      <c r="C383" s="32">
        <v>1.3</v>
      </c>
      <c r="D383" s="6" t="s">
        <v>20</v>
      </c>
      <c r="E383" s="29">
        <v>4.9000000000000004</v>
      </c>
      <c r="F383" s="13">
        <v>0.9</v>
      </c>
      <c r="G383" s="31">
        <v>3.86</v>
      </c>
      <c r="H383" s="13">
        <v>0</v>
      </c>
      <c r="I383" s="6" t="s">
        <v>19</v>
      </c>
      <c r="J383" s="11">
        <v>4</v>
      </c>
      <c r="K383" s="11">
        <v>9</v>
      </c>
      <c r="L383" s="11">
        <v>8</v>
      </c>
      <c r="M383" s="15">
        <v>1</v>
      </c>
      <c r="R383" s="20">
        <v>1</v>
      </c>
      <c r="U383" s="17">
        <v>1</v>
      </c>
      <c r="W383" s="23">
        <v>1</v>
      </c>
      <c r="Y383" s="26">
        <v>1</v>
      </c>
    </row>
    <row r="384" spans="1:25" x14ac:dyDescent="0.25">
      <c r="A384" s="7">
        <v>15</v>
      </c>
      <c r="B384" s="6" t="s">
        <v>16</v>
      </c>
      <c r="C384" s="32">
        <v>4.2</v>
      </c>
      <c r="D384" s="6" t="s">
        <v>17</v>
      </c>
      <c r="E384" s="29">
        <v>6.8</v>
      </c>
      <c r="F384" s="13">
        <v>1.1000000000000001</v>
      </c>
      <c r="G384" s="31">
        <v>3.37</v>
      </c>
      <c r="H384" s="13">
        <v>0.7</v>
      </c>
      <c r="I384" s="6" t="s">
        <v>18</v>
      </c>
      <c r="J384" s="11">
        <v>3</v>
      </c>
      <c r="K384" s="11">
        <v>6</v>
      </c>
      <c r="L384" s="11">
        <v>8</v>
      </c>
      <c r="M384" s="15">
        <v>1</v>
      </c>
      <c r="R384" s="20">
        <v>1</v>
      </c>
      <c r="U384" s="17">
        <v>1</v>
      </c>
      <c r="W384" s="23">
        <v>1</v>
      </c>
      <c r="Y384" s="26">
        <v>1</v>
      </c>
    </row>
    <row r="385" spans="1:25" x14ac:dyDescent="0.25">
      <c r="A385" s="7">
        <v>19</v>
      </c>
      <c r="B385" s="6" t="s">
        <v>13</v>
      </c>
      <c r="C385" s="32">
        <v>6.6</v>
      </c>
      <c r="D385" s="6" t="s">
        <v>20</v>
      </c>
      <c r="E385" s="29">
        <v>6</v>
      </c>
      <c r="F385" s="13">
        <v>2.1</v>
      </c>
      <c r="G385" s="31">
        <v>2.84</v>
      </c>
      <c r="H385" s="13">
        <v>1.5</v>
      </c>
      <c r="I385" s="6" t="s">
        <v>15</v>
      </c>
      <c r="J385" s="11">
        <v>9</v>
      </c>
      <c r="K385" s="11">
        <v>4</v>
      </c>
      <c r="L385" s="11">
        <v>5</v>
      </c>
      <c r="M385" s="15">
        <v>1</v>
      </c>
      <c r="R385" s="20">
        <v>1</v>
      </c>
      <c r="U385" s="17">
        <v>1</v>
      </c>
      <c r="W385" s="23">
        <v>1</v>
      </c>
      <c r="Y385" s="26">
        <v>1</v>
      </c>
    </row>
    <row r="386" spans="1:25" x14ac:dyDescent="0.25">
      <c r="A386" s="7">
        <v>13</v>
      </c>
      <c r="B386" s="6" t="s">
        <v>13</v>
      </c>
      <c r="C386" s="32">
        <v>7.5</v>
      </c>
      <c r="D386" s="6" t="s">
        <v>17</v>
      </c>
      <c r="E386" s="29">
        <v>4.8</v>
      </c>
      <c r="F386" s="13">
        <v>0.7</v>
      </c>
      <c r="G386" s="31">
        <v>2.91</v>
      </c>
      <c r="H386" s="13">
        <v>2</v>
      </c>
      <c r="I386" s="6" t="s">
        <v>18</v>
      </c>
      <c r="J386" s="11">
        <v>10</v>
      </c>
      <c r="K386" s="11">
        <v>9</v>
      </c>
      <c r="L386" s="11">
        <v>1</v>
      </c>
      <c r="M386" s="15">
        <v>1</v>
      </c>
      <c r="R386" s="20">
        <v>1</v>
      </c>
      <c r="U386" s="17">
        <v>1</v>
      </c>
      <c r="W386" s="23">
        <v>1</v>
      </c>
      <c r="Y386" s="26">
        <v>1</v>
      </c>
    </row>
    <row r="387" spans="1:25" x14ac:dyDescent="0.25">
      <c r="A387" s="7">
        <v>15</v>
      </c>
      <c r="B387" s="6" t="s">
        <v>13</v>
      </c>
      <c r="C387" s="32">
        <v>7</v>
      </c>
      <c r="D387" s="6" t="s">
        <v>20</v>
      </c>
      <c r="E387" s="29">
        <v>8.6999999999999993</v>
      </c>
      <c r="F387" s="13">
        <v>3</v>
      </c>
      <c r="G387" s="31">
        <v>2.84</v>
      </c>
      <c r="H387" s="13">
        <v>1.4</v>
      </c>
      <c r="I387" s="6" t="s">
        <v>19</v>
      </c>
      <c r="J387" s="11">
        <v>5</v>
      </c>
      <c r="K387" s="11">
        <v>3</v>
      </c>
      <c r="L387" s="11">
        <v>2</v>
      </c>
      <c r="M387" s="15">
        <v>1</v>
      </c>
      <c r="R387" s="20">
        <v>1</v>
      </c>
      <c r="U387" s="17">
        <v>1</v>
      </c>
      <c r="W387" s="23">
        <v>1</v>
      </c>
      <c r="Y387" s="26">
        <v>1</v>
      </c>
    </row>
    <row r="388" spans="1:25" x14ac:dyDescent="0.25">
      <c r="A388" s="7">
        <v>15</v>
      </c>
      <c r="B388" s="6" t="s">
        <v>16</v>
      </c>
      <c r="C388" s="32">
        <v>6.7</v>
      </c>
      <c r="D388" s="6" t="s">
        <v>20</v>
      </c>
      <c r="E388" s="29">
        <v>5</v>
      </c>
      <c r="F388" s="13">
        <v>0.6</v>
      </c>
      <c r="G388" s="31">
        <v>2.75</v>
      </c>
      <c r="H388" s="13">
        <v>1.5</v>
      </c>
      <c r="I388" s="6" t="s">
        <v>19</v>
      </c>
      <c r="J388" s="11">
        <v>7</v>
      </c>
      <c r="K388" s="11">
        <v>4</v>
      </c>
      <c r="L388" s="11">
        <v>8</v>
      </c>
      <c r="M388" s="15">
        <v>1</v>
      </c>
      <c r="R388" s="20">
        <v>1</v>
      </c>
      <c r="U388" s="17">
        <v>1</v>
      </c>
      <c r="W388" s="23">
        <v>1</v>
      </c>
      <c r="Y388" s="26">
        <v>1</v>
      </c>
    </row>
    <row r="389" spans="1:25" x14ac:dyDescent="0.25">
      <c r="A389" s="7">
        <v>15</v>
      </c>
      <c r="B389" s="6" t="s">
        <v>16</v>
      </c>
      <c r="C389" s="32">
        <v>2.2999999999999998</v>
      </c>
      <c r="D389" s="6" t="s">
        <v>14</v>
      </c>
      <c r="E389" s="29">
        <v>5.6</v>
      </c>
      <c r="F389" s="13">
        <v>2.9</v>
      </c>
      <c r="G389" s="31">
        <v>2.72</v>
      </c>
      <c r="H389" s="13">
        <v>1</v>
      </c>
      <c r="I389" s="6" t="s">
        <v>18</v>
      </c>
      <c r="J389" s="11">
        <v>6</v>
      </c>
      <c r="K389" s="11">
        <v>6</v>
      </c>
      <c r="L389" s="11">
        <v>2</v>
      </c>
      <c r="M389" s="15">
        <v>1</v>
      </c>
      <c r="R389" s="20">
        <v>1</v>
      </c>
      <c r="U389" s="17">
        <v>1</v>
      </c>
      <c r="W389" s="23">
        <v>1</v>
      </c>
      <c r="Y389" s="26">
        <v>1</v>
      </c>
    </row>
    <row r="390" spans="1:25" x14ac:dyDescent="0.25">
      <c r="A390" s="7">
        <v>14</v>
      </c>
      <c r="B390" s="6" t="s">
        <v>13</v>
      </c>
      <c r="C390" s="32">
        <v>5.3</v>
      </c>
      <c r="D390" s="6" t="s">
        <v>20</v>
      </c>
      <c r="E390" s="29">
        <v>9</v>
      </c>
      <c r="F390" s="13">
        <v>2.8</v>
      </c>
      <c r="G390" s="31">
        <v>3.1</v>
      </c>
      <c r="H390" s="13">
        <v>1.6</v>
      </c>
      <c r="I390" s="6" t="s">
        <v>18</v>
      </c>
      <c r="J390" s="11">
        <v>10</v>
      </c>
      <c r="K390" s="11">
        <v>7</v>
      </c>
      <c r="L390" s="11">
        <v>6</v>
      </c>
      <c r="M390" s="15">
        <v>1</v>
      </c>
      <c r="R390" s="20">
        <v>1</v>
      </c>
      <c r="U390" s="17">
        <v>1</v>
      </c>
      <c r="W390" s="23">
        <v>1</v>
      </c>
      <c r="Y390" s="26">
        <v>1</v>
      </c>
    </row>
    <row r="391" spans="1:25" x14ac:dyDescent="0.25">
      <c r="A391" s="7">
        <v>13</v>
      </c>
      <c r="B391" s="6" t="s">
        <v>16</v>
      </c>
      <c r="C391" s="32">
        <v>2.7</v>
      </c>
      <c r="D391" s="6" t="s">
        <v>17</v>
      </c>
      <c r="E391" s="29">
        <v>6.5</v>
      </c>
      <c r="F391" s="13">
        <v>1.5</v>
      </c>
      <c r="G391" s="31">
        <v>2.58</v>
      </c>
      <c r="H391" s="13">
        <v>0.4</v>
      </c>
      <c r="I391" s="6" t="s">
        <v>18</v>
      </c>
      <c r="J391" s="11">
        <v>1</v>
      </c>
      <c r="K391" s="11">
        <v>1</v>
      </c>
      <c r="L391" s="11">
        <v>6</v>
      </c>
      <c r="M391" s="15">
        <v>1</v>
      </c>
      <c r="R391" s="20">
        <v>1</v>
      </c>
      <c r="U391" s="17">
        <v>1</v>
      </c>
      <c r="W391" s="23">
        <v>1</v>
      </c>
      <c r="Y391" s="26">
        <v>1</v>
      </c>
    </row>
    <row r="392" spans="1:25" x14ac:dyDescent="0.25">
      <c r="A392" s="7">
        <v>13</v>
      </c>
      <c r="B392" s="6" t="s">
        <v>13</v>
      </c>
      <c r="C392" s="32">
        <v>5.4</v>
      </c>
      <c r="D392" s="6" t="s">
        <v>14</v>
      </c>
      <c r="E392" s="29">
        <v>7.8</v>
      </c>
      <c r="F392" s="13">
        <v>1.8</v>
      </c>
      <c r="G392" s="31">
        <v>3.46</v>
      </c>
      <c r="H392" s="13">
        <v>1</v>
      </c>
      <c r="I392" s="6" t="s">
        <v>18</v>
      </c>
      <c r="J392" s="11">
        <v>4</v>
      </c>
      <c r="K392" s="11">
        <v>7</v>
      </c>
      <c r="L392" s="11">
        <v>7</v>
      </c>
      <c r="M392" s="15">
        <v>1</v>
      </c>
      <c r="R392" s="20">
        <v>1</v>
      </c>
      <c r="U392" s="17">
        <v>1</v>
      </c>
      <c r="W392" s="23">
        <v>1</v>
      </c>
      <c r="Y392" s="26">
        <v>1</v>
      </c>
    </row>
    <row r="393" spans="1:25" x14ac:dyDescent="0.25">
      <c r="A393" s="7">
        <v>17</v>
      </c>
      <c r="B393" s="6" t="s">
        <v>13</v>
      </c>
      <c r="C393" s="32">
        <v>7.2</v>
      </c>
      <c r="D393" s="6" t="s">
        <v>14</v>
      </c>
      <c r="E393" s="29">
        <v>8</v>
      </c>
      <c r="F393" s="13">
        <v>1.9</v>
      </c>
      <c r="G393" s="31">
        <v>2.66</v>
      </c>
      <c r="H393" s="13">
        <v>1.4</v>
      </c>
      <c r="I393" s="6" t="s">
        <v>19</v>
      </c>
      <c r="J393" s="11">
        <v>5</v>
      </c>
      <c r="K393" s="11">
        <v>8</v>
      </c>
      <c r="L393" s="11">
        <v>6</v>
      </c>
      <c r="M393" s="15">
        <v>1</v>
      </c>
      <c r="R393" s="20">
        <v>1</v>
      </c>
      <c r="U393" s="17">
        <v>1</v>
      </c>
      <c r="W393" s="23">
        <v>1</v>
      </c>
      <c r="Y393" s="26">
        <v>1</v>
      </c>
    </row>
    <row r="394" spans="1:25" x14ac:dyDescent="0.25">
      <c r="A394" s="7">
        <v>19</v>
      </c>
      <c r="B394" s="6" t="s">
        <v>13</v>
      </c>
      <c r="C394" s="32">
        <v>1.5</v>
      </c>
      <c r="D394" s="6" t="s">
        <v>17</v>
      </c>
      <c r="E394" s="29">
        <v>6.8</v>
      </c>
      <c r="F394" s="13">
        <v>2.5</v>
      </c>
      <c r="G394" s="31">
        <v>2.13</v>
      </c>
      <c r="H394" s="13">
        <v>0.2</v>
      </c>
      <c r="I394" s="6" t="s">
        <v>19</v>
      </c>
      <c r="J394" s="11">
        <v>9</v>
      </c>
      <c r="K394" s="11">
        <v>8</v>
      </c>
      <c r="L394" s="11">
        <v>10</v>
      </c>
      <c r="M394" s="15">
        <v>1</v>
      </c>
      <c r="R394" s="20">
        <v>1</v>
      </c>
      <c r="U394" s="17">
        <v>1</v>
      </c>
      <c r="W394" s="23">
        <v>1</v>
      </c>
      <c r="Y394" s="26">
        <v>1</v>
      </c>
    </row>
    <row r="395" spans="1:25" x14ac:dyDescent="0.25">
      <c r="A395" s="7">
        <v>13</v>
      </c>
      <c r="B395" s="6" t="s">
        <v>13</v>
      </c>
      <c r="C395" s="32">
        <v>4</v>
      </c>
      <c r="D395" s="6" t="s">
        <v>20</v>
      </c>
      <c r="E395" s="29">
        <v>4.2</v>
      </c>
      <c r="F395" s="13">
        <v>0.5</v>
      </c>
      <c r="G395" s="31">
        <v>2.46</v>
      </c>
      <c r="H395" s="13">
        <v>0.6</v>
      </c>
      <c r="I395" s="6" t="s">
        <v>15</v>
      </c>
      <c r="J395" s="11">
        <v>2</v>
      </c>
      <c r="K395" s="11">
        <v>9</v>
      </c>
      <c r="L395" s="11">
        <v>9</v>
      </c>
      <c r="M395" s="15">
        <v>1</v>
      </c>
      <c r="R395" s="20">
        <v>1</v>
      </c>
      <c r="U395" s="17">
        <v>1</v>
      </c>
      <c r="W395" s="23">
        <v>1</v>
      </c>
      <c r="Y395" s="26">
        <v>1</v>
      </c>
    </row>
    <row r="396" spans="1:25" x14ac:dyDescent="0.25">
      <c r="A396" s="7">
        <v>15</v>
      </c>
      <c r="B396" s="6" t="s">
        <v>16</v>
      </c>
      <c r="C396" s="32">
        <v>4.2</v>
      </c>
      <c r="D396" s="6" t="s">
        <v>20</v>
      </c>
      <c r="E396" s="29">
        <v>7.1</v>
      </c>
      <c r="F396" s="13">
        <v>2.1</v>
      </c>
      <c r="G396" s="31">
        <v>2.21</v>
      </c>
      <c r="H396" s="13">
        <v>1.8</v>
      </c>
      <c r="I396" s="6" t="s">
        <v>19</v>
      </c>
      <c r="J396" s="11">
        <v>4</v>
      </c>
      <c r="K396" s="11">
        <v>1</v>
      </c>
      <c r="L396" s="11">
        <v>3</v>
      </c>
      <c r="M396" s="15">
        <v>1</v>
      </c>
      <c r="R396" s="20">
        <v>1</v>
      </c>
      <c r="U396" s="17">
        <v>1</v>
      </c>
      <c r="W396" s="23">
        <v>1</v>
      </c>
      <c r="Y396" s="26">
        <v>1</v>
      </c>
    </row>
    <row r="397" spans="1:25" x14ac:dyDescent="0.25">
      <c r="A397" s="7">
        <v>19</v>
      </c>
      <c r="B397" s="6" t="s">
        <v>13</v>
      </c>
      <c r="C397" s="32">
        <v>1.8</v>
      </c>
      <c r="D397" s="6" t="s">
        <v>17</v>
      </c>
      <c r="E397" s="29">
        <v>7.7</v>
      </c>
      <c r="F397" s="13">
        <v>2.2000000000000002</v>
      </c>
      <c r="G397" s="31">
        <v>3.77</v>
      </c>
      <c r="H397" s="13">
        <v>0.3</v>
      </c>
      <c r="I397" s="6" t="s">
        <v>19</v>
      </c>
      <c r="J397" s="11">
        <v>4</v>
      </c>
      <c r="K397" s="11">
        <v>6</v>
      </c>
      <c r="L397" s="11">
        <v>7</v>
      </c>
      <c r="M397" s="15">
        <v>1</v>
      </c>
      <c r="R397" s="20">
        <v>1</v>
      </c>
      <c r="U397" s="17">
        <v>1</v>
      </c>
      <c r="W397" s="23">
        <v>1</v>
      </c>
      <c r="Y397" s="26">
        <v>1</v>
      </c>
    </row>
    <row r="398" spans="1:25" x14ac:dyDescent="0.25">
      <c r="A398" s="7">
        <v>17</v>
      </c>
      <c r="B398" s="6" t="s">
        <v>16</v>
      </c>
      <c r="C398" s="32">
        <v>3.3</v>
      </c>
      <c r="D398" s="6" t="s">
        <v>14</v>
      </c>
      <c r="E398" s="29">
        <v>8.6</v>
      </c>
      <c r="F398" s="13">
        <v>1.1000000000000001</v>
      </c>
      <c r="G398" s="31">
        <v>2.62</v>
      </c>
      <c r="H398" s="13">
        <v>0.4</v>
      </c>
      <c r="I398" s="6" t="s">
        <v>15</v>
      </c>
      <c r="J398" s="11">
        <v>4</v>
      </c>
      <c r="K398" s="11">
        <v>7</v>
      </c>
      <c r="L398" s="11">
        <v>9</v>
      </c>
      <c r="M398" s="15">
        <v>1</v>
      </c>
      <c r="R398" s="20">
        <v>1</v>
      </c>
      <c r="U398" s="17">
        <v>1</v>
      </c>
      <c r="W398" s="23">
        <v>1</v>
      </c>
      <c r="Y398" s="26">
        <v>1</v>
      </c>
    </row>
    <row r="399" spans="1:25" x14ac:dyDescent="0.25">
      <c r="A399" s="7">
        <v>14</v>
      </c>
      <c r="B399" s="6" t="s">
        <v>16</v>
      </c>
      <c r="C399" s="32">
        <v>1</v>
      </c>
      <c r="D399" s="6" t="s">
        <v>20</v>
      </c>
      <c r="E399" s="29">
        <v>6.6</v>
      </c>
      <c r="F399" s="13">
        <v>1.4</v>
      </c>
      <c r="G399" s="31">
        <v>2.02</v>
      </c>
      <c r="H399" s="13">
        <v>1.9</v>
      </c>
      <c r="I399" s="6" t="s">
        <v>15</v>
      </c>
      <c r="J399" s="11">
        <v>6</v>
      </c>
      <c r="K399" s="11">
        <v>5</v>
      </c>
      <c r="L399" s="11">
        <v>5</v>
      </c>
      <c r="M399" s="15">
        <v>1</v>
      </c>
      <c r="R399" s="20">
        <v>1</v>
      </c>
      <c r="U399" s="17">
        <v>1</v>
      </c>
      <c r="W399" s="23">
        <v>1</v>
      </c>
      <c r="Y399" s="26">
        <v>1</v>
      </c>
    </row>
    <row r="400" spans="1:25" x14ac:dyDescent="0.25">
      <c r="A400" s="7">
        <v>13</v>
      </c>
      <c r="B400" s="6" t="s">
        <v>16</v>
      </c>
      <c r="C400" s="32">
        <v>1.2</v>
      </c>
      <c r="D400" s="6" t="s">
        <v>17</v>
      </c>
      <c r="E400" s="29">
        <v>8</v>
      </c>
      <c r="F400" s="13">
        <v>2.8</v>
      </c>
      <c r="G400" s="31">
        <v>2.1800000000000002</v>
      </c>
      <c r="H400" s="13">
        <v>1.1000000000000001</v>
      </c>
      <c r="I400" s="6" t="s">
        <v>18</v>
      </c>
      <c r="J400" s="11">
        <v>5</v>
      </c>
      <c r="K400" s="11">
        <v>8</v>
      </c>
      <c r="L400" s="11">
        <v>5</v>
      </c>
      <c r="M400" s="15">
        <v>1</v>
      </c>
      <c r="R400" s="20">
        <v>1</v>
      </c>
      <c r="U400" s="17">
        <v>1</v>
      </c>
      <c r="W400" s="23">
        <v>1</v>
      </c>
      <c r="Y400" s="26">
        <v>1</v>
      </c>
    </row>
    <row r="401" spans="1:25" x14ac:dyDescent="0.25">
      <c r="A401" s="7">
        <v>19</v>
      </c>
      <c r="B401" s="6" t="s">
        <v>13</v>
      </c>
      <c r="C401" s="32">
        <v>2</v>
      </c>
      <c r="D401" s="6" t="s">
        <v>14</v>
      </c>
      <c r="E401" s="29">
        <v>4.0999999999999996</v>
      </c>
      <c r="F401" s="13">
        <v>1.3</v>
      </c>
      <c r="G401" s="31">
        <v>3.71</v>
      </c>
      <c r="H401" s="13">
        <v>1.6</v>
      </c>
      <c r="I401" s="6" t="s">
        <v>15</v>
      </c>
      <c r="J401" s="11">
        <v>7</v>
      </c>
      <c r="K401" s="11">
        <v>7</v>
      </c>
      <c r="L401" s="11">
        <v>8</v>
      </c>
      <c r="M401" s="15">
        <v>1</v>
      </c>
      <c r="R401" s="20">
        <v>1</v>
      </c>
      <c r="U401" s="17">
        <v>1</v>
      </c>
      <c r="W401" s="23">
        <v>1</v>
      </c>
      <c r="Y401" s="26">
        <v>1</v>
      </c>
    </row>
    <row r="402" spans="1:25" x14ac:dyDescent="0.25">
      <c r="A402" s="7">
        <v>13</v>
      </c>
      <c r="B402" s="6" t="s">
        <v>16</v>
      </c>
      <c r="C402" s="32">
        <v>7.1</v>
      </c>
      <c r="D402" s="6" t="s">
        <v>20</v>
      </c>
      <c r="E402" s="29">
        <v>6.5</v>
      </c>
      <c r="F402" s="13">
        <v>1.6</v>
      </c>
      <c r="G402" s="31">
        <v>2.0299999999999998</v>
      </c>
      <c r="H402" s="13">
        <v>0.3</v>
      </c>
      <c r="I402" s="6" t="s">
        <v>19</v>
      </c>
      <c r="J402" s="11">
        <v>1</v>
      </c>
      <c r="K402" s="11">
        <v>10</v>
      </c>
      <c r="L402" s="11">
        <v>6</v>
      </c>
      <c r="M402" s="15">
        <v>1</v>
      </c>
      <c r="R402" s="20">
        <v>1</v>
      </c>
      <c r="U402" s="17">
        <v>1</v>
      </c>
      <c r="W402" s="23">
        <v>1</v>
      </c>
      <c r="Y402" s="26">
        <v>1</v>
      </c>
    </row>
    <row r="403" spans="1:25" x14ac:dyDescent="0.25">
      <c r="A403" s="7">
        <v>15</v>
      </c>
      <c r="B403" s="6" t="s">
        <v>16</v>
      </c>
      <c r="C403" s="32">
        <v>5.5</v>
      </c>
      <c r="D403" s="6" t="s">
        <v>17</v>
      </c>
      <c r="E403" s="29">
        <v>7.8</v>
      </c>
      <c r="F403" s="13">
        <v>1.5</v>
      </c>
      <c r="G403" s="31">
        <v>2.79</v>
      </c>
      <c r="H403" s="13">
        <v>0.7</v>
      </c>
      <c r="I403" s="6" t="s">
        <v>18</v>
      </c>
      <c r="J403" s="11">
        <v>9</v>
      </c>
      <c r="K403" s="11">
        <v>10</v>
      </c>
      <c r="L403" s="11">
        <v>7</v>
      </c>
      <c r="M403" s="15">
        <v>1</v>
      </c>
      <c r="R403" s="20">
        <v>1</v>
      </c>
      <c r="U403" s="17">
        <v>1</v>
      </c>
      <c r="W403" s="23">
        <v>1</v>
      </c>
      <c r="Y403" s="26">
        <v>1</v>
      </c>
    </row>
    <row r="404" spans="1:25" x14ac:dyDescent="0.25">
      <c r="A404" s="7">
        <v>17</v>
      </c>
      <c r="B404" s="6" t="s">
        <v>13</v>
      </c>
      <c r="C404" s="32">
        <v>7.7</v>
      </c>
      <c r="D404" s="6" t="s">
        <v>17</v>
      </c>
      <c r="E404" s="29">
        <v>4.7</v>
      </c>
      <c r="F404" s="13">
        <v>2.8</v>
      </c>
      <c r="G404" s="31">
        <v>3.5</v>
      </c>
      <c r="H404" s="13">
        <v>1.5</v>
      </c>
      <c r="I404" s="6" t="s">
        <v>15</v>
      </c>
      <c r="J404" s="11">
        <v>8</v>
      </c>
      <c r="K404" s="11">
        <v>4</v>
      </c>
      <c r="L404" s="11">
        <v>8</v>
      </c>
      <c r="M404" s="15">
        <v>1</v>
      </c>
      <c r="R404" s="20">
        <v>1</v>
      </c>
      <c r="U404" s="17">
        <v>1</v>
      </c>
      <c r="W404" s="23">
        <v>1</v>
      </c>
      <c r="Y404" s="26">
        <v>1</v>
      </c>
    </row>
    <row r="405" spans="1:25" x14ac:dyDescent="0.25">
      <c r="A405" s="7">
        <v>17</v>
      </c>
      <c r="B405" s="6" t="s">
        <v>16</v>
      </c>
      <c r="C405" s="32">
        <v>7.6</v>
      </c>
      <c r="D405" s="6" t="s">
        <v>14</v>
      </c>
      <c r="E405" s="29">
        <v>5.9</v>
      </c>
      <c r="F405" s="13">
        <v>2</v>
      </c>
      <c r="G405" s="31">
        <v>2.52</v>
      </c>
      <c r="H405" s="13">
        <v>1.5</v>
      </c>
      <c r="I405" s="6" t="s">
        <v>19</v>
      </c>
      <c r="J405" s="11">
        <v>1</v>
      </c>
      <c r="K405" s="11">
        <v>5</v>
      </c>
      <c r="L405" s="11">
        <v>1</v>
      </c>
      <c r="M405" s="15">
        <v>1</v>
      </c>
      <c r="R405" s="20">
        <v>1</v>
      </c>
      <c r="U405" s="17">
        <v>1</v>
      </c>
      <c r="W405" s="23">
        <v>1</v>
      </c>
      <c r="Y405" s="26">
        <v>1</v>
      </c>
    </row>
    <row r="406" spans="1:25" x14ac:dyDescent="0.25">
      <c r="A406" s="7">
        <v>13</v>
      </c>
      <c r="B406" s="6" t="s">
        <v>13</v>
      </c>
      <c r="C406" s="32">
        <v>8</v>
      </c>
      <c r="D406" s="6" t="s">
        <v>14</v>
      </c>
      <c r="E406" s="29">
        <v>6.9</v>
      </c>
      <c r="F406" s="13">
        <v>2.5</v>
      </c>
      <c r="G406" s="31">
        <v>2.4500000000000002</v>
      </c>
      <c r="H406" s="13">
        <v>1.7</v>
      </c>
      <c r="I406" s="6" t="s">
        <v>19</v>
      </c>
      <c r="J406" s="11">
        <v>10</v>
      </c>
      <c r="K406" s="11">
        <v>1</v>
      </c>
      <c r="L406" s="11">
        <v>3</v>
      </c>
      <c r="M406" s="15">
        <v>1</v>
      </c>
      <c r="R406" s="20">
        <v>1</v>
      </c>
      <c r="U406" s="17">
        <v>1</v>
      </c>
      <c r="W406" s="23">
        <v>1</v>
      </c>
      <c r="Y406" s="26">
        <v>1</v>
      </c>
    </row>
    <row r="407" spans="1:25" x14ac:dyDescent="0.25">
      <c r="A407" s="7">
        <v>16</v>
      </c>
      <c r="B407" s="6" t="s">
        <v>16</v>
      </c>
      <c r="C407" s="32">
        <v>4.3</v>
      </c>
      <c r="D407" s="6" t="s">
        <v>14</v>
      </c>
      <c r="E407" s="29">
        <v>6</v>
      </c>
      <c r="F407" s="13">
        <v>1.4</v>
      </c>
      <c r="G407" s="31">
        <v>2.98</v>
      </c>
      <c r="H407" s="13">
        <v>1.7</v>
      </c>
      <c r="I407" s="6" t="s">
        <v>15</v>
      </c>
      <c r="J407" s="11">
        <v>8</v>
      </c>
      <c r="K407" s="11">
        <v>7</v>
      </c>
      <c r="L407" s="11">
        <v>4</v>
      </c>
      <c r="M407" s="15">
        <v>1</v>
      </c>
      <c r="R407" s="20">
        <v>1</v>
      </c>
      <c r="U407" s="17">
        <v>1</v>
      </c>
      <c r="W407" s="23">
        <v>1</v>
      </c>
      <c r="Y407" s="26">
        <v>1</v>
      </c>
    </row>
    <row r="408" spans="1:25" x14ac:dyDescent="0.25">
      <c r="A408" s="7">
        <v>13</v>
      </c>
      <c r="B408" s="6" t="s">
        <v>13</v>
      </c>
      <c r="C408" s="32">
        <v>3.8</v>
      </c>
      <c r="D408" s="6" t="s">
        <v>20</v>
      </c>
      <c r="E408" s="29">
        <v>5.3</v>
      </c>
      <c r="F408" s="13">
        <v>2.5</v>
      </c>
      <c r="G408" s="31">
        <v>3.48</v>
      </c>
      <c r="H408" s="13">
        <v>1</v>
      </c>
      <c r="I408" s="6" t="s">
        <v>15</v>
      </c>
      <c r="J408" s="11">
        <v>6</v>
      </c>
      <c r="K408" s="11">
        <v>7</v>
      </c>
      <c r="L408" s="11">
        <v>7</v>
      </c>
      <c r="M408" s="15">
        <v>1</v>
      </c>
      <c r="R408" s="20">
        <v>1</v>
      </c>
      <c r="U408" s="17">
        <v>1</v>
      </c>
      <c r="W408" s="23">
        <v>1</v>
      </c>
      <c r="Y408" s="26">
        <v>1</v>
      </c>
    </row>
    <row r="409" spans="1:25" x14ac:dyDescent="0.25">
      <c r="A409" s="7">
        <v>16</v>
      </c>
      <c r="B409" s="6" t="s">
        <v>16</v>
      </c>
      <c r="C409" s="32">
        <v>2.9</v>
      </c>
      <c r="D409" s="6" t="s">
        <v>17</v>
      </c>
      <c r="E409" s="29">
        <v>6.3</v>
      </c>
      <c r="F409" s="13">
        <v>3</v>
      </c>
      <c r="G409" s="31">
        <v>2.6</v>
      </c>
      <c r="H409" s="13">
        <v>0.4</v>
      </c>
      <c r="I409" s="6" t="s">
        <v>19</v>
      </c>
      <c r="J409" s="11">
        <v>9</v>
      </c>
      <c r="K409" s="11">
        <v>7</v>
      </c>
      <c r="L409" s="11">
        <v>3</v>
      </c>
      <c r="M409" s="15">
        <v>1</v>
      </c>
      <c r="R409" s="20">
        <v>1</v>
      </c>
      <c r="U409" s="17">
        <v>1</v>
      </c>
      <c r="W409" s="23">
        <v>1</v>
      </c>
      <c r="Y409" s="26">
        <v>1</v>
      </c>
    </row>
    <row r="410" spans="1:25" x14ac:dyDescent="0.25">
      <c r="A410" s="7">
        <v>13</v>
      </c>
      <c r="B410" s="6" t="s">
        <v>16</v>
      </c>
      <c r="C410" s="32">
        <v>5.3</v>
      </c>
      <c r="D410" s="6" t="s">
        <v>17</v>
      </c>
      <c r="E410" s="29">
        <v>6.5</v>
      </c>
      <c r="F410" s="13">
        <v>1.1000000000000001</v>
      </c>
      <c r="G410" s="31">
        <v>3.48</v>
      </c>
      <c r="H410" s="13">
        <v>1.8</v>
      </c>
      <c r="I410" s="6" t="s">
        <v>15</v>
      </c>
      <c r="J410" s="11">
        <v>9</v>
      </c>
      <c r="K410" s="11">
        <v>5</v>
      </c>
      <c r="L410" s="11">
        <v>4</v>
      </c>
      <c r="M410" s="15">
        <v>1</v>
      </c>
      <c r="R410" s="20">
        <v>1</v>
      </c>
      <c r="U410" s="17">
        <v>1</v>
      </c>
      <c r="W410" s="23">
        <v>1</v>
      </c>
      <c r="Y410" s="26">
        <v>1</v>
      </c>
    </row>
    <row r="411" spans="1:25" x14ac:dyDescent="0.25">
      <c r="A411" s="7">
        <v>15</v>
      </c>
      <c r="B411" s="6" t="s">
        <v>16</v>
      </c>
      <c r="C411" s="32">
        <v>5.7</v>
      </c>
      <c r="D411" s="6" t="s">
        <v>14</v>
      </c>
      <c r="E411" s="29">
        <v>7.5</v>
      </c>
      <c r="F411" s="13">
        <v>2.4</v>
      </c>
      <c r="G411" s="31">
        <v>2.84</v>
      </c>
      <c r="H411" s="13">
        <v>1.3</v>
      </c>
      <c r="I411" s="6" t="s">
        <v>19</v>
      </c>
      <c r="J411" s="11">
        <v>10</v>
      </c>
      <c r="K411" s="11">
        <v>10</v>
      </c>
      <c r="L411" s="11">
        <v>2</v>
      </c>
      <c r="M411" s="15">
        <v>1</v>
      </c>
      <c r="R411" s="20">
        <v>1</v>
      </c>
      <c r="U411" s="17">
        <v>1</v>
      </c>
      <c r="W411" s="23">
        <v>1</v>
      </c>
      <c r="Y411" s="26">
        <v>1</v>
      </c>
    </row>
    <row r="412" spans="1:25" x14ac:dyDescent="0.25">
      <c r="A412" s="7">
        <v>18</v>
      </c>
      <c r="B412" s="6" t="s">
        <v>16</v>
      </c>
      <c r="C412" s="32">
        <v>2.8</v>
      </c>
      <c r="D412" s="6" t="s">
        <v>14</v>
      </c>
      <c r="E412" s="29">
        <v>7.4</v>
      </c>
      <c r="F412" s="13">
        <v>1</v>
      </c>
      <c r="G412" s="31">
        <v>3.73</v>
      </c>
      <c r="H412" s="13">
        <v>1.9</v>
      </c>
      <c r="I412" s="6" t="s">
        <v>15</v>
      </c>
      <c r="J412" s="11">
        <v>7</v>
      </c>
      <c r="K412" s="11">
        <v>3</v>
      </c>
      <c r="L412" s="11">
        <v>6</v>
      </c>
      <c r="M412" s="15">
        <v>1</v>
      </c>
      <c r="R412" s="20">
        <v>1</v>
      </c>
      <c r="U412" s="17">
        <v>1</v>
      </c>
      <c r="W412" s="23">
        <v>1</v>
      </c>
      <c r="Y412" s="26">
        <v>1</v>
      </c>
    </row>
    <row r="413" spans="1:25" x14ac:dyDescent="0.25">
      <c r="A413" s="7">
        <v>15</v>
      </c>
      <c r="B413" s="6" t="s">
        <v>13</v>
      </c>
      <c r="C413" s="32">
        <v>2.8</v>
      </c>
      <c r="D413" s="6" t="s">
        <v>17</v>
      </c>
      <c r="E413" s="29">
        <v>6.1</v>
      </c>
      <c r="F413" s="13">
        <v>2.9</v>
      </c>
      <c r="G413" s="31">
        <v>2.98</v>
      </c>
      <c r="H413" s="13">
        <v>1.8</v>
      </c>
      <c r="I413" s="6" t="s">
        <v>19</v>
      </c>
      <c r="J413" s="11">
        <v>6</v>
      </c>
      <c r="K413" s="11">
        <v>3</v>
      </c>
      <c r="L413" s="11">
        <v>7</v>
      </c>
      <c r="M413" s="15">
        <v>1</v>
      </c>
      <c r="R413" s="20">
        <v>1</v>
      </c>
      <c r="U413" s="17">
        <v>1</v>
      </c>
      <c r="W413" s="23">
        <v>1</v>
      </c>
      <c r="Y413" s="26">
        <v>1</v>
      </c>
    </row>
    <row r="414" spans="1:25" x14ac:dyDescent="0.25">
      <c r="A414" s="7">
        <v>13</v>
      </c>
      <c r="B414" s="6" t="s">
        <v>16</v>
      </c>
      <c r="C414" s="32">
        <v>1.1000000000000001</v>
      </c>
      <c r="D414" s="6" t="s">
        <v>14</v>
      </c>
      <c r="E414" s="29">
        <v>7</v>
      </c>
      <c r="F414" s="13">
        <v>1.9</v>
      </c>
      <c r="G414" s="31">
        <v>4</v>
      </c>
      <c r="H414" s="13">
        <v>0.9</v>
      </c>
      <c r="I414" s="6" t="s">
        <v>19</v>
      </c>
      <c r="J414" s="11">
        <v>2</v>
      </c>
      <c r="K414" s="11">
        <v>9</v>
      </c>
      <c r="L414" s="11">
        <v>6</v>
      </c>
      <c r="M414" s="15">
        <v>1</v>
      </c>
      <c r="R414" s="20">
        <v>1</v>
      </c>
      <c r="U414" s="17">
        <v>1</v>
      </c>
      <c r="W414" s="23">
        <v>1</v>
      </c>
      <c r="Y414" s="26">
        <v>1</v>
      </c>
    </row>
    <row r="415" spans="1:25" x14ac:dyDescent="0.25">
      <c r="A415" s="7">
        <v>14</v>
      </c>
      <c r="B415" s="6" t="s">
        <v>16</v>
      </c>
      <c r="C415" s="32">
        <v>2</v>
      </c>
      <c r="D415" s="6" t="s">
        <v>20</v>
      </c>
      <c r="E415" s="29">
        <v>5</v>
      </c>
      <c r="F415" s="13">
        <v>2.6</v>
      </c>
      <c r="G415" s="31">
        <v>2.71</v>
      </c>
      <c r="H415" s="13">
        <v>2</v>
      </c>
      <c r="I415" s="6" t="s">
        <v>15</v>
      </c>
      <c r="J415" s="11">
        <v>5</v>
      </c>
      <c r="K415" s="11">
        <v>4</v>
      </c>
      <c r="L415" s="11">
        <v>3</v>
      </c>
      <c r="M415" s="15">
        <v>1</v>
      </c>
      <c r="R415" s="20">
        <v>1</v>
      </c>
      <c r="U415" s="17">
        <v>1</v>
      </c>
      <c r="W415" s="23">
        <v>1</v>
      </c>
      <c r="Y415" s="26">
        <v>1</v>
      </c>
    </row>
    <row r="416" spans="1:25" x14ac:dyDescent="0.25">
      <c r="A416" s="7">
        <v>16</v>
      </c>
      <c r="B416" s="6" t="s">
        <v>16</v>
      </c>
      <c r="C416" s="32">
        <v>6.5</v>
      </c>
      <c r="D416" s="6" t="s">
        <v>17</v>
      </c>
      <c r="E416" s="29">
        <v>5.3</v>
      </c>
      <c r="F416" s="13">
        <v>1.8</v>
      </c>
      <c r="G416" s="31">
        <v>2.29</v>
      </c>
      <c r="H416" s="13">
        <v>0.2</v>
      </c>
      <c r="I416" s="6" t="s">
        <v>18</v>
      </c>
      <c r="J416" s="11">
        <v>4</v>
      </c>
      <c r="K416" s="11">
        <v>10</v>
      </c>
      <c r="L416" s="11">
        <v>2</v>
      </c>
      <c r="M416" s="15">
        <v>1</v>
      </c>
      <c r="R416" s="20">
        <v>1</v>
      </c>
      <c r="U416" s="17">
        <v>1</v>
      </c>
      <c r="W416" s="23">
        <v>1</v>
      </c>
      <c r="Y416" s="26">
        <v>1</v>
      </c>
    </row>
    <row r="417" spans="1:25" x14ac:dyDescent="0.25">
      <c r="A417" s="7">
        <v>16</v>
      </c>
      <c r="B417" s="6" t="s">
        <v>16</v>
      </c>
      <c r="C417" s="32">
        <v>7.5</v>
      </c>
      <c r="D417" s="6" t="s">
        <v>17</v>
      </c>
      <c r="E417" s="29">
        <v>7.8</v>
      </c>
      <c r="F417" s="13">
        <v>1.3</v>
      </c>
      <c r="G417" s="31">
        <v>2.73</v>
      </c>
      <c r="H417" s="13">
        <v>1.5</v>
      </c>
      <c r="I417" s="6" t="s">
        <v>19</v>
      </c>
      <c r="J417" s="11">
        <v>4</v>
      </c>
      <c r="K417" s="11">
        <v>5</v>
      </c>
      <c r="L417" s="11">
        <v>8</v>
      </c>
      <c r="M417" s="15">
        <v>1</v>
      </c>
      <c r="R417" s="20">
        <v>1</v>
      </c>
      <c r="U417" s="17">
        <v>1</v>
      </c>
      <c r="W417" s="23">
        <v>1</v>
      </c>
      <c r="Y417" s="26">
        <v>1</v>
      </c>
    </row>
    <row r="418" spans="1:25" x14ac:dyDescent="0.25">
      <c r="A418" s="7">
        <v>16</v>
      </c>
      <c r="B418" s="6" t="s">
        <v>16</v>
      </c>
      <c r="C418" s="32">
        <v>3.1</v>
      </c>
      <c r="D418" s="6" t="s">
        <v>14</v>
      </c>
      <c r="E418" s="29">
        <v>7.9</v>
      </c>
      <c r="F418" s="13">
        <v>1.2</v>
      </c>
      <c r="G418" s="31">
        <v>2.85</v>
      </c>
      <c r="H418" s="13">
        <v>0.7</v>
      </c>
      <c r="I418" s="6" t="s">
        <v>18</v>
      </c>
      <c r="J418" s="11">
        <v>2</v>
      </c>
      <c r="K418" s="11">
        <v>2</v>
      </c>
      <c r="L418" s="11">
        <v>5</v>
      </c>
      <c r="M418" s="15">
        <v>1</v>
      </c>
      <c r="R418" s="20">
        <v>1</v>
      </c>
      <c r="U418" s="17">
        <v>1</v>
      </c>
      <c r="W418" s="23">
        <v>1</v>
      </c>
      <c r="Y418" s="26">
        <v>1</v>
      </c>
    </row>
    <row r="419" spans="1:25" x14ac:dyDescent="0.25">
      <c r="A419" s="7">
        <v>19</v>
      </c>
      <c r="B419" s="6" t="s">
        <v>13</v>
      </c>
      <c r="C419" s="32">
        <v>5.9</v>
      </c>
      <c r="D419" s="6" t="s">
        <v>20</v>
      </c>
      <c r="E419" s="29">
        <v>7</v>
      </c>
      <c r="F419" s="13">
        <v>2.2999999999999998</v>
      </c>
      <c r="G419" s="31">
        <v>3</v>
      </c>
      <c r="H419" s="13">
        <v>1.6</v>
      </c>
      <c r="I419" s="6" t="s">
        <v>15</v>
      </c>
      <c r="J419" s="11">
        <v>3</v>
      </c>
      <c r="K419" s="11">
        <v>5</v>
      </c>
      <c r="L419" s="11">
        <v>10</v>
      </c>
      <c r="M419" s="15">
        <v>1</v>
      </c>
      <c r="R419" s="20">
        <v>1</v>
      </c>
      <c r="U419" s="17">
        <v>1</v>
      </c>
      <c r="W419" s="23">
        <v>1</v>
      </c>
      <c r="Y419" s="26">
        <v>1</v>
      </c>
    </row>
    <row r="420" spans="1:25" x14ac:dyDescent="0.25">
      <c r="A420" s="7">
        <v>15</v>
      </c>
      <c r="B420" s="6" t="s">
        <v>13</v>
      </c>
      <c r="C420" s="32">
        <v>7.9</v>
      </c>
      <c r="D420" s="6" t="s">
        <v>17</v>
      </c>
      <c r="E420" s="29">
        <v>4.0999999999999996</v>
      </c>
      <c r="F420" s="13">
        <v>0.7</v>
      </c>
      <c r="G420" s="31">
        <v>2.33</v>
      </c>
      <c r="H420" s="13">
        <v>1.2</v>
      </c>
      <c r="I420" s="6" t="s">
        <v>19</v>
      </c>
      <c r="J420" s="11">
        <v>3</v>
      </c>
      <c r="K420" s="11">
        <v>8</v>
      </c>
      <c r="L420" s="11">
        <v>1</v>
      </c>
      <c r="M420" s="15">
        <v>1</v>
      </c>
      <c r="R420" s="20">
        <v>1</v>
      </c>
      <c r="U420" s="17">
        <v>1</v>
      </c>
      <c r="W420" s="23">
        <v>1</v>
      </c>
      <c r="Y420" s="26">
        <v>1</v>
      </c>
    </row>
    <row r="421" spans="1:25" x14ac:dyDescent="0.25">
      <c r="A421" s="7">
        <v>15</v>
      </c>
      <c r="B421" s="6" t="s">
        <v>13</v>
      </c>
      <c r="C421" s="32">
        <v>5.0999999999999996</v>
      </c>
      <c r="D421" s="6" t="s">
        <v>14</v>
      </c>
      <c r="E421" s="29">
        <v>7.4</v>
      </c>
      <c r="F421" s="13">
        <v>0.7</v>
      </c>
      <c r="G421" s="31">
        <v>2.64</v>
      </c>
      <c r="H421" s="13">
        <v>0.2</v>
      </c>
      <c r="I421" s="6" t="s">
        <v>19</v>
      </c>
      <c r="J421" s="11">
        <v>5</v>
      </c>
      <c r="K421" s="11">
        <v>8</v>
      </c>
      <c r="L421" s="11">
        <v>1</v>
      </c>
      <c r="M421" s="15">
        <v>1</v>
      </c>
      <c r="R421" s="20">
        <v>1</v>
      </c>
      <c r="U421" s="17">
        <v>1</v>
      </c>
      <c r="W421" s="23">
        <v>1</v>
      </c>
      <c r="Y421" s="26">
        <v>1</v>
      </c>
    </row>
    <row r="422" spans="1:25" x14ac:dyDescent="0.25">
      <c r="A422" s="7">
        <v>16</v>
      </c>
      <c r="B422" s="6" t="s">
        <v>13</v>
      </c>
      <c r="C422" s="32">
        <v>1.9</v>
      </c>
      <c r="D422" s="6" t="s">
        <v>20</v>
      </c>
      <c r="E422" s="29">
        <v>5.8</v>
      </c>
      <c r="F422" s="13">
        <v>2.1</v>
      </c>
      <c r="G422" s="31">
        <v>2.27</v>
      </c>
      <c r="H422" s="13">
        <v>0.6</v>
      </c>
      <c r="I422" s="6" t="s">
        <v>19</v>
      </c>
      <c r="J422" s="11">
        <v>3</v>
      </c>
      <c r="K422" s="11">
        <v>3</v>
      </c>
      <c r="L422" s="11">
        <v>2</v>
      </c>
      <c r="M422" s="15">
        <v>1</v>
      </c>
      <c r="R422" s="20">
        <v>1</v>
      </c>
      <c r="U422" s="17">
        <v>1</v>
      </c>
      <c r="W422" s="23">
        <v>1</v>
      </c>
      <c r="Y422" s="26">
        <v>1</v>
      </c>
    </row>
    <row r="423" spans="1:25" x14ac:dyDescent="0.25">
      <c r="A423" s="7">
        <v>17</v>
      </c>
      <c r="B423" s="6" t="s">
        <v>13</v>
      </c>
      <c r="C423" s="32">
        <v>8</v>
      </c>
      <c r="D423" s="6" t="s">
        <v>14</v>
      </c>
      <c r="E423" s="29">
        <v>8.6999999999999993</v>
      </c>
      <c r="F423" s="13">
        <v>1.5</v>
      </c>
      <c r="G423" s="31">
        <v>3.7</v>
      </c>
      <c r="H423" s="13">
        <v>2</v>
      </c>
      <c r="I423" s="6" t="s">
        <v>18</v>
      </c>
      <c r="J423" s="11">
        <v>10</v>
      </c>
      <c r="K423" s="11">
        <v>9</v>
      </c>
      <c r="L423" s="11">
        <v>5</v>
      </c>
      <c r="M423" s="15">
        <v>1</v>
      </c>
      <c r="R423" s="20">
        <v>1</v>
      </c>
      <c r="U423" s="17">
        <v>1</v>
      </c>
      <c r="W423" s="23">
        <v>1</v>
      </c>
      <c r="Y423" s="26">
        <v>1</v>
      </c>
    </row>
    <row r="424" spans="1:25" x14ac:dyDescent="0.25">
      <c r="A424" s="7">
        <v>19</v>
      </c>
      <c r="B424" s="6" t="s">
        <v>13</v>
      </c>
      <c r="C424" s="32">
        <v>2.9</v>
      </c>
      <c r="D424" s="6" t="s">
        <v>20</v>
      </c>
      <c r="E424" s="29">
        <v>4</v>
      </c>
      <c r="F424" s="13">
        <v>0.5</v>
      </c>
      <c r="G424" s="31">
        <v>3.16</v>
      </c>
      <c r="H424" s="13">
        <v>0.2</v>
      </c>
      <c r="I424" s="6" t="s">
        <v>18</v>
      </c>
      <c r="J424" s="11">
        <v>7</v>
      </c>
      <c r="K424" s="11">
        <v>6</v>
      </c>
      <c r="L424" s="11">
        <v>3</v>
      </c>
      <c r="M424" s="15">
        <v>1</v>
      </c>
      <c r="R424" s="20">
        <v>1</v>
      </c>
      <c r="U424" s="17">
        <v>1</v>
      </c>
      <c r="W424" s="23">
        <v>1</v>
      </c>
      <c r="Y424" s="26">
        <v>1</v>
      </c>
    </row>
    <row r="425" spans="1:25" x14ac:dyDescent="0.25">
      <c r="A425" s="7">
        <v>14</v>
      </c>
      <c r="B425" s="6" t="s">
        <v>13</v>
      </c>
      <c r="C425" s="32">
        <v>4.3</v>
      </c>
      <c r="D425" s="6" t="s">
        <v>14</v>
      </c>
      <c r="E425" s="29">
        <v>8.4</v>
      </c>
      <c r="F425" s="13">
        <v>0.9</v>
      </c>
      <c r="G425" s="31">
        <v>3.2</v>
      </c>
      <c r="H425" s="13">
        <v>1.6</v>
      </c>
      <c r="I425" s="6" t="s">
        <v>18</v>
      </c>
      <c r="J425" s="11">
        <v>10</v>
      </c>
      <c r="K425" s="11">
        <v>10</v>
      </c>
      <c r="L425" s="11">
        <v>1</v>
      </c>
      <c r="M425" s="15">
        <v>1</v>
      </c>
      <c r="R425" s="20">
        <v>1</v>
      </c>
      <c r="U425" s="17">
        <v>1</v>
      </c>
      <c r="W425" s="23">
        <v>1</v>
      </c>
      <c r="Y425" s="26">
        <v>1</v>
      </c>
    </row>
    <row r="426" spans="1:25" x14ac:dyDescent="0.25">
      <c r="A426" s="7">
        <v>16</v>
      </c>
      <c r="B426" s="6" t="s">
        <v>13</v>
      </c>
      <c r="C426" s="32">
        <v>1.1000000000000001</v>
      </c>
      <c r="D426" s="6" t="s">
        <v>14</v>
      </c>
      <c r="E426" s="29">
        <v>6.4</v>
      </c>
      <c r="F426" s="13">
        <v>3</v>
      </c>
      <c r="G426" s="31">
        <v>2.5099999999999998</v>
      </c>
      <c r="H426" s="13">
        <v>0.1</v>
      </c>
      <c r="I426" s="6" t="s">
        <v>19</v>
      </c>
      <c r="J426" s="11">
        <v>8</v>
      </c>
      <c r="K426" s="11">
        <v>6</v>
      </c>
      <c r="L426" s="11">
        <v>9</v>
      </c>
      <c r="M426" s="15">
        <v>1</v>
      </c>
      <c r="R426" s="20">
        <v>1</v>
      </c>
      <c r="U426" s="17">
        <v>1</v>
      </c>
      <c r="W426" s="23">
        <v>1</v>
      </c>
      <c r="Y426" s="26">
        <v>1</v>
      </c>
    </row>
    <row r="427" spans="1:25" x14ac:dyDescent="0.25">
      <c r="A427" s="7">
        <v>16</v>
      </c>
      <c r="B427" s="6" t="s">
        <v>13</v>
      </c>
      <c r="C427" s="32">
        <v>4.9000000000000004</v>
      </c>
      <c r="D427" s="6" t="s">
        <v>14</v>
      </c>
      <c r="E427" s="29">
        <v>5.7</v>
      </c>
      <c r="F427" s="13">
        <v>1.2</v>
      </c>
      <c r="G427" s="31">
        <v>2.0699999999999998</v>
      </c>
      <c r="H427" s="13">
        <v>0.1</v>
      </c>
      <c r="I427" s="6" t="s">
        <v>19</v>
      </c>
      <c r="J427" s="11">
        <v>8</v>
      </c>
      <c r="K427" s="11">
        <v>2</v>
      </c>
      <c r="L427" s="11">
        <v>1</v>
      </c>
      <c r="M427" s="15">
        <v>1</v>
      </c>
      <c r="R427" s="20">
        <v>1</v>
      </c>
      <c r="U427" s="17">
        <v>1</v>
      </c>
      <c r="W427" s="23">
        <v>1</v>
      </c>
      <c r="Y427" s="26">
        <v>1</v>
      </c>
    </row>
    <row r="428" spans="1:25" x14ac:dyDescent="0.25">
      <c r="A428" s="7">
        <v>14</v>
      </c>
      <c r="B428" s="6" t="s">
        <v>13</v>
      </c>
      <c r="C428" s="32">
        <v>6.1</v>
      </c>
      <c r="D428" s="6" t="s">
        <v>20</v>
      </c>
      <c r="E428" s="29">
        <v>7.6</v>
      </c>
      <c r="F428" s="13">
        <v>1.4</v>
      </c>
      <c r="G428" s="31">
        <v>2.72</v>
      </c>
      <c r="H428" s="13">
        <v>0.9</v>
      </c>
      <c r="I428" s="6" t="s">
        <v>15</v>
      </c>
      <c r="J428" s="11">
        <v>9</v>
      </c>
      <c r="K428" s="11">
        <v>3</v>
      </c>
      <c r="L428" s="11">
        <v>3</v>
      </c>
      <c r="M428" s="15">
        <v>1</v>
      </c>
      <c r="R428" s="20">
        <v>1</v>
      </c>
      <c r="U428" s="17">
        <v>1</v>
      </c>
      <c r="W428" s="23">
        <v>1</v>
      </c>
      <c r="Y428" s="26">
        <v>1</v>
      </c>
    </row>
    <row r="429" spans="1:25" x14ac:dyDescent="0.25">
      <c r="A429" s="7">
        <v>15</v>
      </c>
      <c r="B429" s="6" t="s">
        <v>16</v>
      </c>
      <c r="C429" s="32">
        <v>2.7</v>
      </c>
      <c r="D429" s="6" t="s">
        <v>20</v>
      </c>
      <c r="E429" s="29">
        <v>6.5</v>
      </c>
      <c r="F429" s="13">
        <v>1.6</v>
      </c>
      <c r="G429" s="31">
        <v>2.14</v>
      </c>
      <c r="H429" s="13">
        <v>0.4</v>
      </c>
      <c r="I429" s="6" t="s">
        <v>18</v>
      </c>
      <c r="J429" s="11">
        <v>6</v>
      </c>
      <c r="K429" s="11">
        <v>6</v>
      </c>
      <c r="L429" s="11">
        <v>6</v>
      </c>
      <c r="M429" s="15">
        <v>1</v>
      </c>
      <c r="R429" s="20">
        <v>1</v>
      </c>
      <c r="U429" s="17">
        <v>1</v>
      </c>
      <c r="W429" s="23">
        <v>1</v>
      </c>
      <c r="Y429" s="26">
        <v>1</v>
      </c>
    </row>
    <row r="430" spans="1:25" x14ac:dyDescent="0.25">
      <c r="A430" s="7">
        <v>16</v>
      </c>
      <c r="B430" s="6" t="s">
        <v>16</v>
      </c>
      <c r="C430" s="32">
        <v>7.8</v>
      </c>
      <c r="D430" s="6" t="s">
        <v>20</v>
      </c>
      <c r="E430" s="29">
        <v>7.4</v>
      </c>
      <c r="F430" s="13">
        <v>0.7</v>
      </c>
      <c r="G430" s="31">
        <v>2.54</v>
      </c>
      <c r="H430" s="13">
        <v>1.2</v>
      </c>
      <c r="I430" s="6" t="s">
        <v>19</v>
      </c>
      <c r="J430" s="11">
        <v>10</v>
      </c>
      <c r="K430" s="11">
        <v>4</v>
      </c>
      <c r="L430" s="11">
        <v>9</v>
      </c>
      <c r="M430" s="15">
        <v>1</v>
      </c>
      <c r="R430" s="20">
        <v>1</v>
      </c>
      <c r="U430" s="17">
        <v>1</v>
      </c>
      <c r="W430" s="23">
        <v>1</v>
      </c>
      <c r="Y430" s="26">
        <v>1</v>
      </c>
    </row>
    <row r="431" spans="1:25" x14ac:dyDescent="0.25">
      <c r="A431" s="7">
        <v>18</v>
      </c>
      <c r="B431" s="6" t="s">
        <v>13</v>
      </c>
      <c r="C431" s="32">
        <v>4.2</v>
      </c>
      <c r="D431" s="6" t="s">
        <v>17</v>
      </c>
      <c r="E431" s="29">
        <v>6.5</v>
      </c>
      <c r="F431" s="13">
        <v>1.4</v>
      </c>
      <c r="G431" s="31">
        <v>2.91</v>
      </c>
      <c r="H431" s="13">
        <v>1.5</v>
      </c>
      <c r="I431" s="6" t="s">
        <v>15</v>
      </c>
      <c r="J431" s="11">
        <v>5</v>
      </c>
      <c r="K431" s="11">
        <v>6</v>
      </c>
      <c r="L431" s="11">
        <v>4</v>
      </c>
      <c r="M431" s="15">
        <v>1</v>
      </c>
      <c r="R431" s="20">
        <v>1</v>
      </c>
      <c r="U431" s="17">
        <v>1</v>
      </c>
      <c r="W431" s="23">
        <v>1</v>
      </c>
      <c r="Y431" s="26">
        <v>1</v>
      </c>
    </row>
    <row r="432" spans="1:25" x14ac:dyDescent="0.25">
      <c r="A432" s="7">
        <v>13</v>
      </c>
      <c r="B432" s="6" t="s">
        <v>16</v>
      </c>
      <c r="C432" s="32">
        <v>4.4000000000000004</v>
      </c>
      <c r="D432" s="6" t="s">
        <v>14</v>
      </c>
      <c r="E432" s="29">
        <v>5.5</v>
      </c>
      <c r="F432" s="13">
        <v>2.7</v>
      </c>
      <c r="G432" s="31">
        <v>3.17</v>
      </c>
      <c r="H432" s="13">
        <v>0.3</v>
      </c>
      <c r="I432" s="6" t="s">
        <v>15</v>
      </c>
      <c r="J432" s="11">
        <v>5</v>
      </c>
      <c r="K432" s="11">
        <v>1</v>
      </c>
      <c r="L432" s="11">
        <v>5</v>
      </c>
      <c r="M432" s="15">
        <v>1</v>
      </c>
      <c r="R432" s="20">
        <v>1</v>
      </c>
      <c r="U432" s="17">
        <v>1</v>
      </c>
      <c r="W432" s="23">
        <v>1</v>
      </c>
      <c r="Y432" s="26">
        <v>1</v>
      </c>
    </row>
    <row r="433" spans="1:25" x14ac:dyDescent="0.25">
      <c r="A433" s="7">
        <v>13</v>
      </c>
      <c r="B433" s="6" t="s">
        <v>16</v>
      </c>
      <c r="C433" s="32">
        <v>1.4</v>
      </c>
      <c r="D433" s="6" t="s">
        <v>20</v>
      </c>
      <c r="E433" s="29">
        <v>7.8</v>
      </c>
      <c r="F433" s="13">
        <v>0.6</v>
      </c>
      <c r="G433" s="31">
        <v>3.42</v>
      </c>
      <c r="H433" s="13">
        <v>1.6</v>
      </c>
      <c r="I433" s="6" t="s">
        <v>19</v>
      </c>
      <c r="J433" s="11">
        <v>10</v>
      </c>
      <c r="K433" s="11">
        <v>4</v>
      </c>
      <c r="L433" s="11">
        <v>6</v>
      </c>
      <c r="M433" s="15">
        <v>1</v>
      </c>
      <c r="R433" s="20">
        <v>1</v>
      </c>
      <c r="U433" s="17">
        <v>1</v>
      </c>
      <c r="W433" s="23">
        <v>1</v>
      </c>
      <c r="Y433" s="26">
        <v>1</v>
      </c>
    </row>
    <row r="434" spans="1:25" x14ac:dyDescent="0.25">
      <c r="A434" s="7">
        <v>17</v>
      </c>
      <c r="B434" s="6" t="s">
        <v>13</v>
      </c>
      <c r="C434" s="32">
        <v>3.7</v>
      </c>
      <c r="D434" s="6" t="s">
        <v>17</v>
      </c>
      <c r="E434" s="29">
        <v>7.2</v>
      </c>
      <c r="F434" s="13">
        <v>0.6</v>
      </c>
      <c r="G434" s="31">
        <v>3.34</v>
      </c>
      <c r="H434" s="13">
        <v>1.8</v>
      </c>
      <c r="I434" s="6" t="s">
        <v>18</v>
      </c>
      <c r="J434" s="11">
        <v>2</v>
      </c>
      <c r="K434" s="11">
        <v>6</v>
      </c>
      <c r="L434" s="11">
        <v>2</v>
      </c>
      <c r="M434" s="15">
        <v>1</v>
      </c>
      <c r="R434" s="20">
        <v>1</v>
      </c>
      <c r="U434" s="17">
        <v>1</v>
      </c>
      <c r="W434" s="23">
        <v>1</v>
      </c>
      <c r="Y434" s="26">
        <v>1</v>
      </c>
    </row>
    <row r="435" spans="1:25" x14ac:dyDescent="0.25">
      <c r="A435" s="7">
        <v>14</v>
      </c>
      <c r="B435" s="6" t="s">
        <v>13</v>
      </c>
      <c r="C435" s="32">
        <v>3.8</v>
      </c>
      <c r="D435" s="6" t="s">
        <v>14</v>
      </c>
      <c r="E435" s="29">
        <v>8.9</v>
      </c>
      <c r="F435" s="13">
        <v>1.9</v>
      </c>
      <c r="G435" s="31">
        <v>2.77</v>
      </c>
      <c r="H435" s="13">
        <v>0.2</v>
      </c>
      <c r="I435" s="6" t="s">
        <v>19</v>
      </c>
      <c r="J435" s="11">
        <v>6</v>
      </c>
      <c r="K435" s="11">
        <v>2</v>
      </c>
      <c r="L435" s="11">
        <v>2</v>
      </c>
      <c r="M435" s="15">
        <v>1</v>
      </c>
      <c r="R435" s="20">
        <v>1</v>
      </c>
      <c r="U435" s="17">
        <v>1</v>
      </c>
      <c r="W435" s="23">
        <v>1</v>
      </c>
      <c r="Y435" s="26">
        <v>1</v>
      </c>
    </row>
    <row r="436" spans="1:25" x14ac:dyDescent="0.25">
      <c r="A436" s="7">
        <v>15</v>
      </c>
      <c r="B436" s="6" t="s">
        <v>16</v>
      </c>
      <c r="C436" s="32">
        <v>5.4</v>
      </c>
      <c r="D436" s="6" t="s">
        <v>17</v>
      </c>
      <c r="E436" s="29">
        <v>7</v>
      </c>
      <c r="F436" s="13">
        <v>1.8</v>
      </c>
      <c r="G436" s="31">
        <v>2.54</v>
      </c>
      <c r="H436" s="13">
        <v>0.1</v>
      </c>
      <c r="I436" s="6" t="s">
        <v>15</v>
      </c>
      <c r="J436" s="11">
        <v>1</v>
      </c>
      <c r="K436" s="11">
        <v>4</v>
      </c>
      <c r="L436" s="11">
        <v>4</v>
      </c>
      <c r="M436" s="15">
        <v>1</v>
      </c>
      <c r="R436" s="20">
        <v>1</v>
      </c>
      <c r="U436" s="17">
        <v>1</v>
      </c>
      <c r="W436" s="23">
        <v>1</v>
      </c>
      <c r="Y436" s="26">
        <v>1</v>
      </c>
    </row>
    <row r="437" spans="1:25" x14ac:dyDescent="0.25">
      <c r="A437" s="7">
        <v>17</v>
      </c>
      <c r="B437" s="6" t="s">
        <v>13</v>
      </c>
      <c r="C437" s="32">
        <v>4</v>
      </c>
      <c r="D437" s="6" t="s">
        <v>20</v>
      </c>
      <c r="E437" s="29">
        <v>4.3</v>
      </c>
      <c r="F437" s="13">
        <v>1.8</v>
      </c>
      <c r="G437" s="31">
        <v>2.17</v>
      </c>
      <c r="H437" s="13">
        <v>0.9</v>
      </c>
      <c r="I437" s="6" t="s">
        <v>18</v>
      </c>
      <c r="J437" s="11">
        <v>8</v>
      </c>
      <c r="K437" s="11">
        <v>8</v>
      </c>
      <c r="L437" s="11">
        <v>3</v>
      </c>
      <c r="M437" s="15">
        <v>1</v>
      </c>
      <c r="R437" s="20">
        <v>1</v>
      </c>
      <c r="U437" s="17">
        <v>1</v>
      </c>
      <c r="W437" s="23">
        <v>1</v>
      </c>
      <c r="Y437" s="26">
        <v>1</v>
      </c>
    </row>
    <row r="438" spans="1:25" x14ac:dyDescent="0.25">
      <c r="A438" s="7">
        <v>19</v>
      </c>
      <c r="B438" s="6" t="s">
        <v>13</v>
      </c>
      <c r="C438" s="32">
        <v>3.5</v>
      </c>
      <c r="D438" s="6" t="s">
        <v>17</v>
      </c>
      <c r="E438" s="29">
        <v>5.8</v>
      </c>
      <c r="F438" s="13">
        <v>1.8</v>
      </c>
      <c r="G438" s="31">
        <v>3.3</v>
      </c>
      <c r="H438" s="13">
        <v>0.9</v>
      </c>
      <c r="I438" s="6" t="s">
        <v>15</v>
      </c>
      <c r="J438" s="11">
        <v>7</v>
      </c>
      <c r="K438" s="11">
        <v>6</v>
      </c>
      <c r="L438" s="11">
        <v>9</v>
      </c>
      <c r="M438" s="15">
        <v>1</v>
      </c>
      <c r="R438" s="20">
        <v>1</v>
      </c>
      <c r="U438" s="17">
        <v>1</v>
      </c>
      <c r="W438" s="23">
        <v>1</v>
      </c>
      <c r="Y438" s="26">
        <v>1</v>
      </c>
    </row>
    <row r="439" spans="1:25" x14ac:dyDescent="0.25">
      <c r="A439" s="7">
        <v>17</v>
      </c>
      <c r="B439" s="6" t="s">
        <v>13</v>
      </c>
      <c r="C439" s="32">
        <v>1.3</v>
      </c>
      <c r="D439" s="6" t="s">
        <v>20</v>
      </c>
      <c r="E439" s="29">
        <v>8.3000000000000007</v>
      </c>
      <c r="F439" s="13">
        <v>1</v>
      </c>
      <c r="G439" s="31">
        <v>3.95</v>
      </c>
      <c r="H439" s="13">
        <v>1.2</v>
      </c>
      <c r="I439" s="6" t="s">
        <v>19</v>
      </c>
      <c r="J439" s="11">
        <v>4</v>
      </c>
      <c r="K439" s="11">
        <v>1</v>
      </c>
      <c r="L439" s="11">
        <v>1</v>
      </c>
      <c r="M439" s="15">
        <v>1</v>
      </c>
      <c r="R439" s="20">
        <v>1</v>
      </c>
      <c r="U439" s="17">
        <v>1</v>
      </c>
      <c r="W439" s="23">
        <v>1</v>
      </c>
      <c r="Y439" s="26">
        <v>1</v>
      </c>
    </row>
    <row r="440" spans="1:25" x14ac:dyDescent="0.25">
      <c r="A440" s="7">
        <v>14</v>
      </c>
      <c r="B440" s="6" t="s">
        <v>13</v>
      </c>
      <c r="C440" s="32">
        <v>5.6</v>
      </c>
      <c r="D440" s="6" t="s">
        <v>14</v>
      </c>
      <c r="E440" s="29">
        <v>8.8000000000000007</v>
      </c>
      <c r="F440" s="13">
        <v>0.9</v>
      </c>
      <c r="G440" s="31">
        <v>3.03</v>
      </c>
      <c r="H440" s="13">
        <v>2</v>
      </c>
      <c r="I440" s="6" t="s">
        <v>15</v>
      </c>
      <c r="J440" s="11">
        <v>8</v>
      </c>
      <c r="K440" s="11">
        <v>10</v>
      </c>
      <c r="L440" s="11">
        <v>3</v>
      </c>
      <c r="M440" s="15">
        <v>1</v>
      </c>
      <c r="R440" s="20">
        <v>1</v>
      </c>
      <c r="U440" s="17">
        <v>1</v>
      </c>
      <c r="W440" s="23">
        <v>1</v>
      </c>
      <c r="Y440" s="26">
        <v>1</v>
      </c>
    </row>
    <row r="441" spans="1:25" x14ac:dyDescent="0.25">
      <c r="A441" s="7">
        <v>13</v>
      </c>
      <c r="B441" s="6" t="s">
        <v>16</v>
      </c>
      <c r="C441" s="32">
        <v>2.4</v>
      </c>
      <c r="D441" s="6" t="s">
        <v>14</v>
      </c>
      <c r="E441" s="29">
        <v>5.5</v>
      </c>
      <c r="F441" s="13">
        <v>0.6</v>
      </c>
      <c r="G441" s="31">
        <v>3.56</v>
      </c>
      <c r="H441" s="13">
        <v>1.6</v>
      </c>
      <c r="I441" s="6" t="s">
        <v>19</v>
      </c>
      <c r="J441" s="11">
        <v>4</v>
      </c>
      <c r="K441" s="11">
        <v>8</v>
      </c>
      <c r="L441" s="11">
        <v>7</v>
      </c>
      <c r="M441" s="15">
        <v>1</v>
      </c>
      <c r="R441" s="20">
        <v>1</v>
      </c>
      <c r="U441" s="17">
        <v>1</v>
      </c>
      <c r="W441" s="23">
        <v>1</v>
      </c>
      <c r="Y441" s="26">
        <v>1</v>
      </c>
    </row>
    <row r="442" spans="1:25" x14ac:dyDescent="0.25">
      <c r="A442" s="7">
        <v>16</v>
      </c>
      <c r="B442" s="6" t="s">
        <v>13</v>
      </c>
      <c r="C442" s="32">
        <v>2</v>
      </c>
      <c r="D442" s="6" t="s">
        <v>20</v>
      </c>
      <c r="E442" s="29">
        <v>7.8</v>
      </c>
      <c r="F442" s="13">
        <v>2.8</v>
      </c>
      <c r="G442" s="31">
        <v>2.1</v>
      </c>
      <c r="H442" s="13">
        <v>0.6</v>
      </c>
      <c r="I442" s="6" t="s">
        <v>19</v>
      </c>
      <c r="J442" s="11">
        <v>2</v>
      </c>
      <c r="K442" s="11">
        <v>6</v>
      </c>
      <c r="L442" s="11">
        <v>8</v>
      </c>
      <c r="M442" s="15">
        <v>1</v>
      </c>
      <c r="R442" s="20">
        <v>1</v>
      </c>
      <c r="U442" s="17">
        <v>1</v>
      </c>
      <c r="W442" s="23">
        <v>1</v>
      </c>
      <c r="Y442" s="26">
        <v>1</v>
      </c>
    </row>
    <row r="443" spans="1:25" x14ac:dyDescent="0.25">
      <c r="A443" s="7">
        <v>15</v>
      </c>
      <c r="B443" s="6" t="s">
        <v>13</v>
      </c>
      <c r="C443" s="32">
        <v>6.6</v>
      </c>
      <c r="D443" s="6" t="s">
        <v>14</v>
      </c>
      <c r="E443" s="29">
        <v>8.6</v>
      </c>
      <c r="F443" s="13">
        <v>1.5</v>
      </c>
      <c r="G443" s="31">
        <v>2.63</v>
      </c>
      <c r="H443" s="13">
        <v>1.1000000000000001</v>
      </c>
      <c r="I443" s="6" t="s">
        <v>15</v>
      </c>
      <c r="J443" s="11">
        <v>1</v>
      </c>
      <c r="K443" s="11">
        <v>9</v>
      </c>
      <c r="L443" s="11">
        <v>9</v>
      </c>
      <c r="M443" s="15">
        <v>1</v>
      </c>
      <c r="R443" s="20">
        <v>1</v>
      </c>
      <c r="U443" s="17">
        <v>1</v>
      </c>
      <c r="W443" s="23">
        <v>1</v>
      </c>
      <c r="Y443" s="26">
        <v>1</v>
      </c>
    </row>
    <row r="444" spans="1:25" x14ac:dyDescent="0.25">
      <c r="A444" s="7">
        <v>17</v>
      </c>
      <c r="B444" s="6" t="s">
        <v>16</v>
      </c>
      <c r="C444" s="32">
        <v>2.2999999999999998</v>
      </c>
      <c r="D444" s="6" t="s">
        <v>17</v>
      </c>
      <c r="E444" s="29">
        <v>6.4</v>
      </c>
      <c r="F444" s="13">
        <v>2.4</v>
      </c>
      <c r="G444" s="31">
        <v>3.61</v>
      </c>
      <c r="H444" s="13">
        <v>0.6</v>
      </c>
      <c r="I444" s="6" t="s">
        <v>19</v>
      </c>
      <c r="J444" s="11">
        <v>2</v>
      </c>
      <c r="K444" s="11">
        <v>1</v>
      </c>
      <c r="L444" s="11">
        <v>1</v>
      </c>
      <c r="M444" s="15">
        <v>1</v>
      </c>
      <c r="R444" s="20">
        <v>1</v>
      </c>
      <c r="U444" s="17">
        <v>1</v>
      </c>
      <c r="W444" s="23">
        <v>1</v>
      </c>
      <c r="Y444" s="26">
        <v>1</v>
      </c>
    </row>
    <row r="445" spans="1:25" x14ac:dyDescent="0.25">
      <c r="A445" s="7">
        <v>16</v>
      </c>
      <c r="B445" s="6" t="s">
        <v>13</v>
      </c>
      <c r="C445" s="32">
        <v>6.4</v>
      </c>
      <c r="D445" s="6" t="s">
        <v>17</v>
      </c>
      <c r="E445" s="29">
        <v>5.4</v>
      </c>
      <c r="F445" s="13">
        <v>1.4</v>
      </c>
      <c r="G445" s="31">
        <v>2.42</v>
      </c>
      <c r="H445" s="13">
        <v>1.9</v>
      </c>
      <c r="I445" s="6" t="s">
        <v>19</v>
      </c>
      <c r="J445" s="11">
        <v>4</v>
      </c>
      <c r="K445" s="11">
        <v>9</v>
      </c>
      <c r="L445" s="11">
        <v>5</v>
      </c>
      <c r="M445" s="15">
        <v>1</v>
      </c>
      <c r="R445" s="20">
        <v>1</v>
      </c>
      <c r="U445" s="17">
        <v>1</v>
      </c>
      <c r="W445" s="23">
        <v>1</v>
      </c>
      <c r="Y445" s="26">
        <v>1</v>
      </c>
    </row>
    <row r="446" spans="1:25" x14ac:dyDescent="0.25">
      <c r="A446" s="7">
        <v>18</v>
      </c>
      <c r="B446" s="6" t="s">
        <v>16</v>
      </c>
      <c r="C446" s="32">
        <v>3.5</v>
      </c>
      <c r="D446" s="6" t="s">
        <v>20</v>
      </c>
      <c r="E446" s="29">
        <v>5.9</v>
      </c>
      <c r="F446" s="13">
        <v>1.3</v>
      </c>
      <c r="G446" s="31">
        <v>3.68</v>
      </c>
      <c r="H446" s="13">
        <v>2</v>
      </c>
      <c r="I446" s="6" t="s">
        <v>19</v>
      </c>
      <c r="J446" s="11">
        <v>7</v>
      </c>
      <c r="K446" s="11">
        <v>4</v>
      </c>
      <c r="L446" s="11">
        <v>10</v>
      </c>
      <c r="M446" s="15">
        <v>1</v>
      </c>
      <c r="R446" s="20">
        <v>1</v>
      </c>
      <c r="U446" s="17">
        <v>1</v>
      </c>
      <c r="W446" s="23">
        <v>1</v>
      </c>
      <c r="Y446" s="26">
        <v>1</v>
      </c>
    </row>
    <row r="447" spans="1:25" x14ac:dyDescent="0.25">
      <c r="A447" s="7">
        <v>18</v>
      </c>
      <c r="B447" s="6" t="s">
        <v>16</v>
      </c>
      <c r="C447" s="32">
        <v>1.7</v>
      </c>
      <c r="D447" s="6" t="s">
        <v>14</v>
      </c>
      <c r="E447" s="29">
        <v>8.5</v>
      </c>
      <c r="F447" s="13">
        <v>1</v>
      </c>
      <c r="G447" s="31">
        <v>3.32</v>
      </c>
      <c r="H447" s="13">
        <v>1.3</v>
      </c>
      <c r="I447" s="6" t="s">
        <v>19</v>
      </c>
      <c r="J447" s="11">
        <v>1</v>
      </c>
      <c r="K447" s="11">
        <v>1</v>
      </c>
      <c r="L447" s="11">
        <v>7</v>
      </c>
      <c r="M447" s="15">
        <v>1</v>
      </c>
      <c r="R447" s="20">
        <v>1</v>
      </c>
      <c r="U447" s="17">
        <v>1</v>
      </c>
      <c r="W447" s="23">
        <v>1</v>
      </c>
      <c r="Y447" s="26">
        <v>1</v>
      </c>
    </row>
    <row r="448" spans="1:25" x14ac:dyDescent="0.25">
      <c r="A448" s="7">
        <v>14</v>
      </c>
      <c r="B448" s="6" t="s">
        <v>13</v>
      </c>
      <c r="C448" s="32">
        <v>4.0999999999999996</v>
      </c>
      <c r="D448" s="6" t="s">
        <v>14</v>
      </c>
      <c r="E448" s="29">
        <v>8.1999999999999993</v>
      </c>
      <c r="F448" s="13">
        <v>1.7</v>
      </c>
      <c r="G448" s="31">
        <v>2.3199999999999998</v>
      </c>
      <c r="H448" s="13">
        <v>1.4</v>
      </c>
      <c r="I448" s="6" t="s">
        <v>18</v>
      </c>
      <c r="J448" s="11">
        <v>9</v>
      </c>
      <c r="K448" s="11">
        <v>2</v>
      </c>
      <c r="L448" s="11">
        <v>4</v>
      </c>
      <c r="M448" s="15">
        <v>1</v>
      </c>
      <c r="R448" s="20">
        <v>1</v>
      </c>
      <c r="U448" s="17">
        <v>1</v>
      </c>
      <c r="W448" s="23">
        <v>1</v>
      </c>
      <c r="Y448" s="26">
        <v>1</v>
      </c>
    </row>
    <row r="449" spans="1:25" x14ac:dyDescent="0.25">
      <c r="A449" s="7">
        <v>14</v>
      </c>
      <c r="B449" s="6" t="s">
        <v>13</v>
      </c>
      <c r="C449" s="32">
        <v>3.3</v>
      </c>
      <c r="D449" s="6" t="s">
        <v>14</v>
      </c>
      <c r="E449" s="29">
        <v>6.5</v>
      </c>
      <c r="F449" s="13">
        <v>0.8</v>
      </c>
      <c r="G449" s="31">
        <v>2.54</v>
      </c>
      <c r="H449" s="13">
        <v>0.8</v>
      </c>
      <c r="I449" s="6" t="s">
        <v>15</v>
      </c>
      <c r="J449" s="11">
        <v>1</v>
      </c>
      <c r="K449" s="11">
        <v>2</v>
      </c>
      <c r="L449" s="11">
        <v>3</v>
      </c>
      <c r="M449" s="15">
        <v>1</v>
      </c>
      <c r="R449" s="20">
        <v>1</v>
      </c>
      <c r="U449" s="17">
        <v>1</v>
      </c>
      <c r="W449" s="23">
        <v>1</v>
      </c>
      <c r="Y449" s="26">
        <v>1</v>
      </c>
    </row>
    <row r="450" spans="1:25" x14ac:dyDescent="0.25">
      <c r="A450" s="7">
        <v>14</v>
      </c>
      <c r="B450" s="6" t="s">
        <v>16</v>
      </c>
      <c r="C450" s="32">
        <v>5</v>
      </c>
      <c r="D450" s="6" t="s">
        <v>17</v>
      </c>
      <c r="E450" s="29">
        <v>4.9000000000000004</v>
      </c>
      <c r="F450" s="13">
        <v>2.6</v>
      </c>
      <c r="G450" s="31">
        <v>3.82</v>
      </c>
      <c r="H450" s="13">
        <v>1.9</v>
      </c>
      <c r="I450" s="6" t="s">
        <v>19</v>
      </c>
      <c r="J450" s="11">
        <v>3</v>
      </c>
      <c r="K450" s="11">
        <v>10</v>
      </c>
      <c r="L450" s="11">
        <v>10</v>
      </c>
      <c r="M450" s="15">
        <v>1</v>
      </c>
      <c r="R450" s="20">
        <v>1</v>
      </c>
      <c r="U450" s="17">
        <v>1</v>
      </c>
      <c r="W450" s="23">
        <v>1</v>
      </c>
      <c r="Y450" s="26">
        <v>1</v>
      </c>
    </row>
    <row r="451" spans="1:25" x14ac:dyDescent="0.25">
      <c r="A451" s="7">
        <v>19</v>
      </c>
      <c r="B451" s="6" t="s">
        <v>16</v>
      </c>
      <c r="C451" s="32">
        <v>1.5</v>
      </c>
      <c r="D451" s="6" t="s">
        <v>14</v>
      </c>
      <c r="E451" s="29">
        <v>8.4</v>
      </c>
      <c r="F451" s="13">
        <v>3</v>
      </c>
      <c r="G451" s="31">
        <v>2.46</v>
      </c>
      <c r="H451" s="13">
        <v>1.5</v>
      </c>
      <c r="I451" s="6" t="s">
        <v>18</v>
      </c>
      <c r="J451" s="11">
        <v>1</v>
      </c>
      <c r="K451" s="11">
        <v>7</v>
      </c>
      <c r="L451" s="11">
        <v>6</v>
      </c>
      <c r="M451" s="15">
        <v>1</v>
      </c>
      <c r="R451" s="20">
        <v>1</v>
      </c>
      <c r="U451" s="17">
        <v>1</v>
      </c>
      <c r="W451" s="23">
        <v>1</v>
      </c>
      <c r="Y451" s="26">
        <v>1</v>
      </c>
    </row>
    <row r="452" spans="1:25" x14ac:dyDescent="0.25">
      <c r="A452" s="7">
        <v>17</v>
      </c>
      <c r="B452" s="6" t="s">
        <v>16</v>
      </c>
      <c r="C452" s="32">
        <v>3.3</v>
      </c>
      <c r="D452" s="6" t="s">
        <v>17</v>
      </c>
      <c r="E452" s="29">
        <v>8.4</v>
      </c>
      <c r="F452" s="13">
        <v>2.1</v>
      </c>
      <c r="G452" s="31">
        <v>3.4</v>
      </c>
      <c r="H452" s="13">
        <v>0.2</v>
      </c>
      <c r="I452" s="6" t="s">
        <v>18</v>
      </c>
      <c r="J452" s="11">
        <v>1</v>
      </c>
      <c r="K452" s="11">
        <v>3</v>
      </c>
      <c r="L452" s="11">
        <v>10</v>
      </c>
      <c r="M452" s="15">
        <v>1</v>
      </c>
      <c r="R452" s="20">
        <v>1</v>
      </c>
      <c r="U452" s="17">
        <v>1</v>
      </c>
      <c r="W452" s="23">
        <v>1</v>
      </c>
      <c r="Y452" s="26">
        <v>1</v>
      </c>
    </row>
    <row r="453" spans="1:25" x14ac:dyDescent="0.25">
      <c r="A453" s="7">
        <v>13</v>
      </c>
      <c r="B453" s="6" t="s">
        <v>13</v>
      </c>
      <c r="C453" s="32">
        <v>6.4</v>
      </c>
      <c r="D453" s="6" t="s">
        <v>20</v>
      </c>
      <c r="E453" s="29">
        <v>4.0999999999999996</v>
      </c>
      <c r="F453" s="13">
        <v>1.3</v>
      </c>
      <c r="G453" s="31">
        <v>2.77</v>
      </c>
      <c r="H453" s="13">
        <v>1.3</v>
      </c>
      <c r="I453" s="6" t="s">
        <v>15</v>
      </c>
      <c r="J453" s="11">
        <v>10</v>
      </c>
      <c r="K453" s="11">
        <v>6</v>
      </c>
      <c r="L453" s="11">
        <v>1</v>
      </c>
      <c r="M453" s="15">
        <v>1</v>
      </c>
      <c r="R453" s="20">
        <v>1</v>
      </c>
      <c r="U453" s="17">
        <v>1</v>
      </c>
      <c r="W453" s="23">
        <v>1</v>
      </c>
      <c r="Y453" s="26">
        <v>1</v>
      </c>
    </row>
    <row r="454" spans="1:25" x14ac:dyDescent="0.25">
      <c r="A454" s="7">
        <v>17</v>
      </c>
      <c r="B454" s="6" t="s">
        <v>16</v>
      </c>
      <c r="C454" s="32">
        <v>8</v>
      </c>
      <c r="D454" s="6" t="s">
        <v>14</v>
      </c>
      <c r="E454" s="29">
        <v>8.1</v>
      </c>
      <c r="F454" s="13">
        <v>1.2</v>
      </c>
      <c r="G454" s="31">
        <v>2.13</v>
      </c>
      <c r="H454" s="13">
        <v>1</v>
      </c>
      <c r="I454" s="6" t="s">
        <v>15</v>
      </c>
      <c r="J454" s="11">
        <v>1</v>
      </c>
      <c r="K454" s="11">
        <v>8</v>
      </c>
      <c r="L454" s="11">
        <v>7</v>
      </c>
      <c r="M454" s="15">
        <v>1</v>
      </c>
      <c r="R454" s="20">
        <v>1</v>
      </c>
      <c r="U454" s="17">
        <v>1</v>
      </c>
      <c r="W454" s="23">
        <v>1</v>
      </c>
      <c r="Y454" s="26">
        <v>1</v>
      </c>
    </row>
    <row r="455" spans="1:25" x14ac:dyDescent="0.25">
      <c r="A455" s="7">
        <v>16</v>
      </c>
      <c r="B455" s="6" t="s">
        <v>16</v>
      </c>
      <c r="C455" s="32">
        <v>1</v>
      </c>
      <c r="D455" s="6" t="s">
        <v>20</v>
      </c>
      <c r="E455" s="29">
        <v>4.0999999999999996</v>
      </c>
      <c r="F455" s="13">
        <v>1.3</v>
      </c>
      <c r="G455" s="31">
        <v>2.2200000000000002</v>
      </c>
      <c r="H455" s="13">
        <v>0.4</v>
      </c>
      <c r="I455" s="6" t="s">
        <v>15</v>
      </c>
      <c r="J455" s="11">
        <v>2</v>
      </c>
      <c r="K455" s="11">
        <v>1</v>
      </c>
      <c r="L455" s="11">
        <v>8</v>
      </c>
      <c r="M455" s="15">
        <v>1</v>
      </c>
      <c r="R455" s="20">
        <v>1</v>
      </c>
      <c r="U455" s="17">
        <v>1</v>
      </c>
      <c r="W455" s="23">
        <v>1</v>
      </c>
      <c r="Y455" s="26">
        <v>1</v>
      </c>
    </row>
    <row r="456" spans="1:25" x14ac:dyDescent="0.25">
      <c r="A456" s="7">
        <v>18</v>
      </c>
      <c r="B456" s="6" t="s">
        <v>16</v>
      </c>
      <c r="C456" s="32">
        <v>4.2</v>
      </c>
      <c r="D456" s="6" t="s">
        <v>14</v>
      </c>
      <c r="E456" s="29">
        <v>5.4</v>
      </c>
      <c r="F456" s="13">
        <v>1.1000000000000001</v>
      </c>
      <c r="G456" s="31">
        <v>2.31</v>
      </c>
      <c r="H456" s="13">
        <v>0.3</v>
      </c>
      <c r="I456" s="6" t="s">
        <v>15</v>
      </c>
      <c r="J456" s="11">
        <v>4</v>
      </c>
      <c r="K456" s="11">
        <v>9</v>
      </c>
      <c r="L456" s="11">
        <v>1</v>
      </c>
      <c r="M456" s="15">
        <v>1</v>
      </c>
      <c r="R456" s="20">
        <v>1</v>
      </c>
      <c r="U456" s="17">
        <v>1</v>
      </c>
      <c r="W456" s="23">
        <v>1</v>
      </c>
      <c r="Y456" s="26">
        <v>1</v>
      </c>
    </row>
    <row r="457" spans="1:25" x14ac:dyDescent="0.25">
      <c r="A457" s="7">
        <v>18</v>
      </c>
      <c r="B457" s="6" t="s">
        <v>16</v>
      </c>
      <c r="C457" s="32">
        <v>4.5999999999999996</v>
      </c>
      <c r="D457" s="6" t="s">
        <v>17</v>
      </c>
      <c r="E457" s="29">
        <v>7.3</v>
      </c>
      <c r="F457" s="13">
        <v>2.8</v>
      </c>
      <c r="G457" s="31">
        <v>3.22</v>
      </c>
      <c r="H457" s="13">
        <v>0.6</v>
      </c>
      <c r="I457" s="6" t="s">
        <v>18</v>
      </c>
      <c r="J457" s="11">
        <v>1</v>
      </c>
      <c r="K457" s="11">
        <v>3</v>
      </c>
      <c r="L457" s="11">
        <v>6</v>
      </c>
      <c r="M457" s="15">
        <v>0</v>
      </c>
      <c r="R457" s="20">
        <v>0</v>
      </c>
      <c r="U457" s="17">
        <v>0</v>
      </c>
      <c r="W457" s="23">
        <v>0</v>
      </c>
      <c r="Y457" s="26">
        <v>0</v>
      </c>
    </row>
    <row r="458" spans="1:25" x14ac:dyDescent="0.25">
      <c r="A458" s="7">
        <v>17</v>
      </c>
      <c r="B458" s="6" t="s">
        <v>16</v>
      </c>
      <c r="C458" s="32">
        <v>2.8</v>
      </c>
      <c r="D458" s="6" t="s">
        <v>20</v>
      </c>
      <c r="E458" s="29">
        <v>6.2</v>
      </c>
      <c r="F458" s="13">
        <v>2.4</v>
      </c>
      <c r="G458" s="31">
        <v>2.58</v>
      </c>
      <c r="H458" s="13">
        <v>0.4</v>
      </c>
      <c r="I458" s="6" t="s">
        <v>18</v>
      </c>
      <c r="J458" s="11">
        <v>4</v>
      </c>
      <c r="K458" s="11">
        <v>10</v>
      </c>
      <c r="L458" s="11">
        <v>9</v>
      </c>
      <c r="M458" s="15">
        <v>0</v>
      </c>
      <c r="R458" s="20">
        <v>0</v>
      </c>
      <c r="U458" s="17">
        <v>0</v>
      </c>
      <c r="W458" s="23">
        <v>0</v>
      </c>
      <c r="Y458" s="26">
        <v>0</v>
      </c>
    </row>
    <row r="459" spans="1:25" x14ac:dyDescent="0.25">
      <c r="A459" s="7">
        <v>16</v>
      </c>
      <c r="B459" s="6" t="s">
        <v>16</v>
      </c>
      <c r="C459" s="32">
        <v>6.3</v>
      </c>
      <c r="D459" s="6" t="s">
        <v>14</v>
      </c>
      <c r="E459" s="29">
        <v>6.9</v>
      </c>
      <c r="F459" s="13">
        <v>1.3</v>
      </c>
      <c r="G459" s="31">
        <v>2.15</v>
      </c>
      <c r="H459" s="13">
        <v>1.4</v>
      </c>
      <c r="I459" s="6" t="s">
        <v>15</v>
      </c>
      <c r="J459" s="11">
        <v>9</v>
      </c>
      <c r="K459" s="11">
        <v>2</v>
      </c>
      <c r="L459" s="11">
        <v>10</v>
      </c>
      <c r="M459" s="15">
        <v>0</v>
      </c>
      <c r="R459" s="20">
        <v>0</v>
      </c>
      <c r="U459" s="17">
        <v>0</v>
      </c>
      <c r="W459" s="23">
        <v>0</v>
      </c>
      <c r="Y459" s="26">
        <v>0</v>
      </c>
    </row>
    <row r="460" spans="1:25" x14ac:dyDescent="0.25">
      <c r="A460" s="7">
        <v>17</v>
      </c>
      <c r="B460" s="6" t="s">
        <v>16</v>
      </c>
      <c r="C460" s="32">
        <v>7.2</v>
      </c>
      <c r="D460" s="6" t="s">
        <v>17</v>
      </c>
      <c r="E460" s="29">
        <v>7</v>
      </c>
      <c r="F460" s="13">
        <v>1.3</v>
      </c>
      <c r="G460" s="31">
        <v>3.86</v>
      </c>
      <c r="H460" s="13">
        <v>0.9</v>
      </c>
      <c r="I460" s="6" t="s">
        <v>15</v>
      </c>
      <c r="J460" s="11">
        <v>7</v>
      </c>
      <c r="K460" s="11">
        <v>8</v>
      </c>
      <c r="L460" s="11">
        <v>4</v>
      </c>
      <c r="M460" s="15">
        <v>0</v>
      </c>
      <c r="R460" s="20">
        <v>0</v>
      </c>
      <c r="U460" s="17">
        <v>0</v>
      </c>
      <c r="W460" s="23">
        <v>0</v>
      </c>
      <c r="Y460" s="26">
        <v>0</v>
      </c>
    </row>
    <row r="461" spans="1:25" x14ac:dyDescent="0.25">
      <c r="A461" s="7">
        <v>13</v>
      </c>
      <c r="B461" s="6" t="s">
        <v>13</v>
      </c>
      <c r="C461" s="32">
        <v>4.5</v>
      </c>
      <c r="D461" s="6" t="s">
        <v>20</v>
      </c>
      <c r="E461" s="29">
        <v>6.7</v>
      </c>
      <c r="F461" s="13">
        <v>2.2000000000000002</v>
      </c>
      <c r="G461" s="31">
        <v>3.73</v>
      </c>
      <c r="H461" s="13">
        <v>0.3</v>
      </c>
      <c r="I461" s="6" t="s">
        <v>15</v>
      </c>
      <c r="J461" s="11">
        <v>3</v>
      </c>
      <c r="K461" s="11">
        <v>5</v>
      </c>
      <c r="L461" s="11">
        <v>10</v>
      </c>
      <c r="M461" s="15">
        <v>0</v>
      </c>
      <c r="R461" s="20">
        <v>0</v>
      </c>
      <c r="U461" s="17">
        <v>0</v>
      </c>
      <c r="W461" s="23">
        <v>0</v>
      </c>
      <c r="Y461" s="26">
        <v>0</v>
      </c>
    </row>
    <row r="462" spans="1:25" x14ac:dyDescent="0.25">
      <c r="A462" s="7">
        <v>18</v>
      </c>
      <c r="B462" s="6" t="s">
        <v>13</v>
      </c>
      <c r="C462" s="32">
        <v>5.3</v>
      </c>
      <c r="D462" s="6" t="s">
        <v>20</v>
      </c>
      <c r="E462" s="29">
        <v>5.0999999999999996</v>
      </c>
      <c r="F462" s="13">
        <v>1.2</v>
      </c>
      <c r="G462" s="31">
        <v>3.32</v>
      </c>
      <c r="H462" s="13">
        <v>1.8</v>
      </c>
      <c r="I462" s="6" t="s">
        <v>15</v>
      </c>
      <c r="J462" s="11">
        <v>7</v>
      </c>
      <c r="K462" s="11">
        <v>3</v>
      </c>
      <c r="L462" s="11">
        <v>8</v>
      </c>
      <c r="M462" s="15">
        <v>0</v>
      </c>
      <c r="R462" s="20">
        <v>0</v>
      </c>
      <c r="U462" s="17">
        <v>0</v>
      </c>
      <c r="W462" s="23">
        <v>0</v>
      </c>
      <c r="Y462" s="26">
        <v>0</v>
      </c>
    </row>
    <row r="463" spans="1:25" x14ac:dyDescent="0.25">
      <c r="A463" s="7">
        <v>13</v>
      </c>
      <c r="B463" s="6" t="s">
        <v>13</v>
      </c>
      <c r="C463" s="32">
        <v>5.2</v>
      </c>
      <c r="D463" s="6" t="s">
        <v>17</v>
      </c>
      <c r="E463" s="29">
        <v>6.7</v>
      </c>
      <c r="F463" s="13">
        <v>2.5</v>
      </c>
      <c r="G463" s="31">
        <v>3.82</v>
      </c>
      <c r="H463" s="13">
        <v>0.9</v>
      </c>
      <c r="I463" s="6" t="s">
        <v>19</v>
      </c>
      <c r="J463" s="11">
        <v>8</v>
      </c>
      <c r="K463" s="11">
        <v>8</v>
      </c>
      <c r="L463" s="11">
        <v>6</v>
      </c>
      <c r="M463" s="15">
        <v>1</v>
      </c>
      <c r="R463" s="20">
        <v>1</v>
      </c>
      <c r="U463" s="17">
        <v>1</v>
      </c>
      <c r="W463" s="23">
        <v>1</v>
      </c>
      <c r="Y463" s="26">
        <v>1</v>
      </c>
    </row>
    <row r="464" spans="1:25" x14ac:dyDescent="0.25">
      <c r="A464" s="7">
        <v>13</v>
      </c>
      <c r="B464" s="6" t="s">
        <v>13</v>
      </c>
      <c r="C464" s="32">
        <v>7.9</v>
      </c>
      <c r="D464" s="6" t="s">
        <v>17</v>
      </c>
      <c r="E464" s="29">
        <v>6</v>
      </c>
      <c r="F464" s="13">
        <v>2.7</v>
      </c>
      <c r="G464" s="31">
        <v>2.85</v>
      </c>
      <c r="H464" s="13">
        <v>0.3</v>
      </c>
      <c r="I464" s="6" t="s">
        <v>15</v>
      </c>
      <c r="J464" s="11">
        <v>9</v>
      </c>
      <c r="K464" s="11">
        <v>10</v>
      </c>
      <c r="L464" s="11">
        <v>3</v>
      </c>
      <c r="M464" s="15">
        <v>1</v>
      </c>
      <c r="R464" s="20">
        <v>1</v>
      </c>
      <c r="U464" s="17">
        <v>1</v>
      </c>
      <c r="W464" s="23">
        <v>1</v>
      </c>
      <c r="Y464" s="26">
        <v>1</v>
      </c>
    </row>
    <row r="465" spans="1:25" x14ac:dyDescent="0.25">
      <c r="A465" s="7">
        <v>19</v>
      </c>
      <c r="B465" s="6" t="s">
        <v>13</v>
      </c>
      <c r="C465" s="32">
        <v>6.9</v>
      </c>
      <c r="D465" s="6" t="s">
        <v>17</v>
      </c>
      <c r="E465" s="29">
        <v>8.5</v>
      </c>
      <c r="F465" s="13">
        <v>1.5</v>
      </c>
      <c r="G465" s="31">
        <v>3.55</v>
      </c>
      <c r="H465" s="13">
        <v>1.3</v>
      </c>
      <c r="I465" s="6" t="s">
        <v>15</v>
      </c>
      <c r="J465" s="11">
        <v>5</v>
      </c>
      <c r="K465" s="11">
        <v>6</v>
      </c>
      <c r="L465" s="11">
        <v>1</v>
      </c>
      <c r="M465" s="15">
        <v>1</v>
      </c>
      <c r="R465" s="20">
        <v>1</v>
      </c>
      <c r="U465" s="17">
        <v>1</v>
      </c>
      <c r="W465" s="23">
        <v>1</v>
      </c>
      <c r="Y465" s="26">
        <v>1</v>
      </c>
    </row>
    <row r="466" spans="1:25" x14ac:dyDescent="0.25">
      <c r="A466" s="7">
        <v>17</v>
      </c>
      <c r="B466" s="6" t="s">
        <v>16</v>
      </c>
      <c r="C466" s="32">
        <v>5.8</v>
      </c>
      <c r="D466" s="6" t="s">
        <v>14</v>
      </c>
      <c r="E466" s="29">
        <v>4.0999999999999996</v>
      </c>
      <c r="F466" s="13">
        <v>2.9</v>
      </c>
      <c r="G466" s="31">
        <v>2.33</v>
      </c>
      <c r="H466" s="13">
        <v>0.4</v>
      </c>
      <c r="I466" s="6" t="s">
        <v>18</v>
      </c>
      <c r="J466" s="11">
        <v>9</v>
      </c>
      <c r="K466" s="11">
        <v>6</v>
      </c>
      <c r="L466" s="11">
        <v>8</v>
      </c>
      <c r="M466" s="15">
        <v>1</v>
      </c>
      <c r="R466" s="20">
        <v>1</v>
      </c>
      <c r="U466" s="17">
        <v>1</v>
      </c>
      <c r="W466" s="23">
        <v>1</v>
      </c>
      <c r="Y466" s="26">
        <v>1</v>
      </c>
    </row>
    <row r="467" spans="1:25" x14ac:dyDescent="0.25">
      <c r="A467" s="7">
        <v>19</v>
      </c>
      <c r="B467" s="6" t="s">
        <v>13</v>
      </c>
      <c r="C467" s="32">
        <v>7</v>
      </c>
      <c r="D467" s="6" t="s">
        <v>14</v>
      </c>
      <c r="E467" s="29">
        <v>8.3000000000000007</v>
      </c>
      <c r="F467" s="13">
        <v>2.1</v>
      </c>
      <c r="G467" s="31">
        <v>3.09</v>
      </c>
      <c r="H467" s="13">
        <v>1.5</v>
      </c>
      <c r="I467" s="6" t="s">
        <v>15</v>
      </c>
      <c r="J467" s="11">
        <v>9</v>
      </c>
      <c r="K467" s="11">
        <v>7</v>
      </c>
      <c r="L467" s="11">
        <v>3</v>
      </c>
      <c r="M467" s="15">
        <v>1</v>
      </c>
      <c r="R467" s="20">
        <v>1</v>
      </c>
      <c r="U467" s="17">
        <v>1</v>
      </c>
      <c r="W467" s="23">
        <v>1</v>
      </c>
      <c r="Y467" s="26">
        <v>1</v>
      </c>
    </row>
    <row r="468" spans="1:25" x14ac:dyDescent="0.25">
      <c r="A468" s="7">
        <v>14</v>
      </c>
      <c r="B468" s="6" t="s">
        <v>16</v>
      </c>
      <c r="C468" s="32">
        <v>3</v>
      </c>
      <c r="D468" s="6" t="s">
        <v>17</v>
      </c>
      <c r="E468" s="29">
        <v>8.3000000000000007</v>
      </c>
      <c r="F468" s="13">
        <v>2.7</v>
      </c>
      <c r="G468" s="31">
        <v>3.9</v>
      </c>
      <c r="H468" s="13">
        <v>0.7</v>
      </c>
      <c r="I468" s="6" t="s">
        <v>18</v>
      </c>
      <c r="J468" s="11">
        <v>3</v>
      </c>
      <c r="K468" s="11">
        <v>1</v>
      </c>
      <c r="L468" s="11">
        <v>5</v>
      </c>
      <c r="M468" s="15">
        <v>-1</v>
      </c>
      <c r="R468" s="20">
        <v>-1</v>
      </c>
      <c r="U468" s="17">
        <v>-1</v>
      </c>
      <c r="W468" s="23">
        <v>-1</v>
      </c>
      <c r="Y468" s="26">
        <v>-1</v>
      </c>
    </row>
    <row r="469" spans="1:25" x14ac:dyDescent="0.25">
      <c r="A469" s="7">
        <v>18</v>
      </c>
      <c r="B469" s="6" t="s">
        <v>13</v>
      </c>
      <c r="C469" s="32">
        <v>6.3</v>
      </c>
      <c r="D469" s="6" t="s">
        <v>20</v>
      </c>
      <c r="E469" s="29">
        <v>7.9</v>
      </c>
      <c r="F469" s="13">
        <v>1.7</v>
      </c>
      <c r="G469" s="31">
        <v>2.85</v>
      </c>
      <c r="H469" s="13">
        <v>0.3</v>
      </c>
      <c r="I469" s="6" t="s">
        <v>19</v>
      </c>
      <c r="J469" s="11">
        <v>1</v>
      </c>
      <c r="K469" s="11">
        <v>1</v>
      </c>
      <c r="L469" s="11">
        <v>2</v>
      </c>
      <c r="M469" s="15">
        <v>-1</v>
      </c>
      <c r="R469" s="20">
        <v>-1</v>
      </c>
      <c r="U469" s="17">
        <v>-1</v>
      </c>
      <c r="W469" s="23">
        <v>-1</v>
      </c>
      <c r="Y469" s="26">
        <v>-1</v>
      </c>
    </row>
    <row r="470" spans="1:25" x14ac:dyDescent="0.25">
      <c r="A470" s="7">
        <v>17</v>
      </c>
      <c r="B470" s="6" t="s">
        <v>16</v>
      </c>
      <c r="C470" s="32">
        <v>5.5</v>
      </c>
      <c r="D470" s="6" t="s">
        <v>14</v>
      </c>
      <c r="E470" s="29">
        <v>4.9000000000000004</v>
      </c>
      <c r="F470" s="13">
        <v>2.6</v>
      </c>
      <c r="G470" s="31">
        <v>3.64</v>
      </c>
      <c r="H470" s="13">
        <v>0.8</v>
      </c>
      <c r="I470" s="6" t="s">
        <v>19</v>
      </c>
      <c r="J470" s="11">
        <v>6</v>
      </c>
      <c r="K470" s="11">
        <v>8</v>
      </c>
      <c r="L470" s="11">
        <v>3</v>
      </c>
      <c r="M470" s="15">
        <v>-1</v>
      </c>
      <c r="R470" s="20">
        <v>-1</v>
      </c>
      <c r="U470" s="17">
        <v>-1</v>
      </c>
      <c r="W470" s="23">
        <v>-1</v>
      </c>
      <c r="Y470" s="26">
        <v>-1</v>
      </c>
    </row>
    <row r="471" spans="1:25" x14ac:dyDescent="0.25">
      <c r="A471" s="7">
        <v>17</v>
      </c>
      <c r="B471" s="6" t="s">
        <v>16</v>
      </c>
      <c r="C471" s="32">
        <v>2.2000000000000002</v>
      </c>
      <c r="D471" s="6" t="s">
        <v>20</v>
      </c>
      <c r="E471" s="29">
        <v>7.5</v>
      </c>
      <c r="F471" s="13">
        <v>2.2000000000000002</v>
      </c>
      <c r="G471" s="31">
        <v>2.95</v>
      </c>
      <c r="H471" s="13">
        <v>1.6</v>
      </c>
      <c r="I471" s="6" t="s">
        <v>15</v>
      </c>
      <c r="J471" s="11">
        <v>9</v>
      </c>
      <c r="K471" s="11">
        <v>7</v>
      </c>
      <c r="L471" s="11">
        <v>4</v>
      </c>
      <c r="M471" s="15">
        <v>-1</v>
      </c>
      <c r="R471" s="20">
        <v>-1</v>
      </c>
      <c r="U471" s="17">
        <v>-1</v>
      </c>
      <c r="W471" s="23">
        <v>-1</v>
      </c>
      <c r="Y471" s="26">
        <v>-1</v>
      </c>
    </row>
    <row r="472" spans="1:25" x14ac:dyDescent="0.25">
      <c r="A472" s="7">
        <v>14</v>
      </c>
      <c r="B472" s="6" t="s">
        <v>13</v>
      </c>
      <c r="C472" s="32">
        <v>1.4</v>
      </c>
      <c r="D472" s="6" t="s">
        <v>20</v>
      </c>
      <c r="E472" s="29">
        <v>4.5</v>
      </c>
      <c r="F472" s="13">
        <v>1.4</v>
      </c>
      <c r="G472" s="31">
        <v>3.17</v>
      </c>
      <c r="H472" s="13">
        <v>1.7</v>
      </c>
      <c r="I472" s="6" t="s">
        <v>18</v>
      </c>
      <c r="J472" s="11">
        <v>9</v>
      </c>
      <c r="K472" s="11">
        <v>10</v>
      </c>
      <c r="L472" s="11">
        <v>9</v>
      </c>
      <c r="M472" s="15">
        <v>-1</v>
      </c>
      <c r="R472" s="20">
        <v>-1</v>
      </c>
      <c r="U472" s="17">
        <v>-1</v>
      </c>
      <c r="W472" s="23">
        <v>-1</v>
      </c>
      <c r="Y472" s="26">
        <v>-1</v>
      </c>
    </row>
    <row r="473" spans="1:25" x14ac:dyDescent="0.25">
      <c r="A473" s="7">
        <v>18</v>
      </c>
      <c r="B473" s="6" t="s">
        <v>13</v>
      </c>
      <c r="C473" s="32">
        <v>4.5</v>
      </c>
      <c r="D473" s="6" t="s">
        <v>14</v>
      </c>
      <c r="E473" s="29">
        <v>4.4000000000000004</v>
      </c>
      <c r="F473" s="13">
        <v>1.9</v>
      </c>
      <c r="G473" s="31">
        <v>2.2599999999999998</v>
      </c>
      <c r="H473" s="13">
        <v>0</v>
      </c>
      <c r="I473" s="6" t="s">
        <v>15</v>
      </c>
      <c r="J473" s="11">
        <v>7</v>
      </c>
      <c r="K473" s="11">
        <v>8</v>
      </c>
      <c r="L473" s="11">
        <v>10</v>
      </c>
      <c r="M473" s="15">
        <v>-1</v>
      </c>
      <c r="R473" s="20">
        <v>-1</v>
      </c>
      <c r="U473" s="17">
        <v>-1</v>
      </c>
      <c r="W473" s="23">
        <v>-1</v>
      </c>
      <c r="Y473" s="26">
        <v>-1</v>
      </c>
    </row>
    <row r="474" spans="1:25" x14ac:dyDescent="0.25">
      <c r="A474" s="7">
        <v>14</v>
      </c>
      <c r="B474" s="6" t="s">
        <v>16</v>
      </c>
      <c r="C474" s="32">
        <v>6.1</v>
      </c>
      <c r="D474" s="6" t="s">
        <v>14</v>
      </c>
      <c r="E474" s="29">
        <v>5.7</v>
      </c>
      <c r="F474" s="13">
        <v>2</v>
      </c>
      <c r="G474" s="31">
        <v>3.9</v>
      </c>
      <c r="H474" s="13">
        <v>1</v>
      </c>
      <c r="I474" s="6" t="s">
        <v>15</v>
      </c>
      <c r="J474" s="11">
        <v>8</v>
      </c>
      <c r="K474" s="11">
        <v>4</v>
      </c>
      <c r="L474" s="11">
        <v>6</v>
      </c>
      <c r="M474" s="15">
        <v>1</v>
      </c>
      <c r="R474" s="20">
        <v>1</v>
      </c>
      <c r="U474" s="17">
        <v>1</v>
      </c>
      <c r="W474" s="23">
        <v>1</v>
      </c>
      <c r="Y474" s="26">
        <v>1</v>
      </c>
    </row>
    <row r="475" spans="1:25" x14ac:dyDescent="0.25">
      <c r="A475" s="7">
        <v>17</v>
      </c>
      <c r="B475" s="6" t="s">
        <v>13</v>
      </c>
      <c r="C475" s="32">
        <v>3.3</v>
      </c>
      <c r="D475" s="6" t="s">
        <v>17</v>
      </c>
      <c r="E475" s="29">
        <v>5.7</v>
      </c>
      <c r="F475" s="13">
        <v>2</v>
      </c>
      <c r="G475" s="31">
        <v>3.71</v>
      </c>
      <c r="H475" s="13">
        <v>0.1</v>
      </c>
      <c r="I475" s="6" t="s">
        <v>15</v>
      </c>
      <c r="J475" s="11">
        <v>6</v>
      </c>
      <c r="K475" s="11">
        <v>6</v>
      </c>
      <c r="L475" s="11">
        <v>8</v>
      </c>
      <c r="M475" s="15">
        <v>1</v>
      </c>
      <c r="R475" s="20">
        <v>1</v>
      </c>
      <c r="U475" s="17">
        <v>1</v>
      </c>
      <c r="W475" s="23">
        <v>1</v>
      </c>
      <c r="Y475" s="26">
        <v>1</v>
      </c>
    </row>
    <row r="476" spans="1:25" x14ac:dyDescent="0.25">
      <c r="A476" s="7">
        <v>15</v>
      </c>
      <c r="B476" s="6" t="s">
        <v>13</v>
      </c>
      <c r="C476" s="32">
        <v>5.2</v>
      </c>
      <c r="D476" s="6" t="s">
        <v>20</v>
      </c>
      <c r="E476" s="29">
        <v>5.6</v>
      </c>
      <c r="F476" s="13">
        <v>1.1000000000000001</v>
      </c>
      <c r="G476" s="31">
        <v>2.88</v>
      </c>
      <c r="H476" s="13">
        <v>0.1</v>
      </c>
      <c r="I476" s="6" t="s">
        <v>19</v>
      </c>
      <c r="J476" s="11">
        <v>4</v>
      </c>
      <c r="K476" s="11">
        <v>8</v>
      </c>
      <c r="L476" s="11">
        <v>7</v>
      </c>
      <c r="M476" s="15">
        <v>1</v>
      </c>
      <c r="R476" s="20">
        <v>1</v>
      </c>
      <c r="U476" s="17">
        <v>1</v>
      </c>
      <c r="W476" s="23">
        <v>1</v>
      </c>
      <c r="Y476" s="26">
        <v>1</v>
      </c>
    </row>
    <row r="477" spans="1:25" x14ac:dyDescent="0.25">
      <c r="A477" s="7">
        <v>18</v>
      </c>
      <c r="B477" s="6" t="s">
        <v>13</v>
      </c>
      <c r="C477" s="32">
        <v>5</v>
      </c>
      <c r="D477" s="6" t="s">
        <v>20</v>
      </c>
      <c r="E477" s="29">
        <v>5.8</v>
      </c>
      <c r="F477" s="13">
        <v>1.3</v>
      </c>
      <c r="G477" s="31">
        <v>2.12</v>
      </c>
      <c r="H477" s="13">
        <v>0.1</v>
      </c>
      <c r="I477" s="6" t="s">
        <v>15</v>
      </c>
      <c r="J477" s="11">
        <v>1</v>
      </c>
      <c r="K477" s="11">
        <v>9</v>
      </c>
      <c r="L477" s="11">
        <v>2</v>
      </c>
      <c r="M477" s="15">
        <v>1</v>
      </c>
      <c r="R477" s="20">
        <v>1</v>
      </c>
      <c r="U477" s="17">
        <v>1</v>
      </c>
      <c r="W477" s="23">
        <v>1</v>
      </c>
      <c r="Y477" s="26">
        <v>1</v>
      </c>
    </row>
    <row r="478" spans="1:25" x14ac:dyDescent="0.25">
      <c r="A478" s="7">
        <v>17</v>
      </c>
      <c r="B478" s="6" t="s">
        <v>16</v>
      </c>
      <c r="C478" s="32">
        <v>1.8</v>
      </c>
      <c r="D478" s="6" t="s">
        <v>17</v>
      </c>
      <c r="E478" s="29">
        <v>5.9</v>
      </c>
      <c r="F478" s="13">
        <v>1.9</v>
      </c>
      <c r="G478" s="31">
        <v>2.89</v>
      </c>
      <c r="H478" s="13">
        <v>0.6</v>
      </c>
      <c r="I478" s="6" t="s">
        <v>15</v>
      </c>
      <c r="J478" s="11">
        <v>8</v>
      </c>
      <c r="K478" s="11">
        <v>8</v>
      </c>
      <c r="L478" s="11">
        <v>5</v>
      </c>
      <c r="M478" s="15">
        <v>1</v>
      </c>
      <c r="R478" s="20">
        <v>1</v>
      </c>
      <c r="U478" s="17">
        <v>1</v>
      </c>
      <c r="W478" s="23">
        <v>1</v>
      </c>
      <c r="Y478" s="26">
        <v>1</v>
      </c>
    </row>
    <row r="479" spans="1:25" x14ac:dyDescent="0.25">
      <c r="A479" s="7">
        <v>13</v>
      </c>
      <c r="B479" s="6" t="s">
        <v>13</v>
      </c>
      <c r="C479" s="32">
        <v>2.2999999999999998</v>
      </c>
      <c r="D479" s="6" t="s">
        <v>17</v>
      </c>
      <c r="E479" s="29">
        <v>4.5</v>
      </c>
      <c r="F479" s="13">
        <v>0.7</v>
      </c>
      <c r="G479" s="31">
        <v>2.71</v>
      </c>
      <c r="H479" s="13">
        <v>0.2</v>
      </c>
      <c r="I479" s="6" t="s">
        <v>15</v>
      </c>
      <c r="J479" s="11">
        <v>6</v>
      </c>
      <c r="K479" s="11">
        <v>3</v>
      </c>
      <c r="L479" s="11">
        <v>7</v>
      </c>
      <c r="M479" s="15">
        <v>1</v>
      </c>
      <c r="R479" s="20">
        <v>1</v>
      </c>
      <c r="U479" s="17">
        <v>1</v>
      </c>
      <c r="W479" s="23">
        <v>1</v>
      </c>
      <c r="Y479" s="26">
        <v>1</v>
      </c>
    </row>
    <row r="480" spans="1:25" x14ac:dyDescent="0.25">
      <c r="A480" s="7">
        <v>14</v>
      </c>
      <c r="B480" s="6" t="s">
        <v>13</v>
      </c>
      <c r="C480" s="32">
        <v>2.7</v>
      </c>
      <c r="D480" s="6" t="s">
        <v>20</v>
      </c>
      <c r="E480" s="29">
        <v>6.3</v>
      </c>
      <c r="F480" s="13">
        <v>0.6</v>
      </c>
      <c r="G480" s="31">
        <v>3.88</v>
      </c>
      <c r="H480" s="13">
        <v>0.3</v>
      </c>
      <c r="I480" s="6" t="s">
        <v>19</v>
      </c>
      <c r="J480" s="11">
        <v>6</v>
      </c>
      <c r="K480" s="11">
        <v>6</v>
      </c>
      <c r="L480" s="11">
        <v>6</v>
      </c>
      <c r="M480" s="15">
        <v>1</v>
      </c>
      <c r="R480" s="20">
        <v>1</v>
      </c>
      <c r="U480" s="17">
        <v>1</v>
      </c>
      <c r="W480" s="23">
        <v>1</v>
      </c>
      <c r="Y480" s="26">
        <v>1</v>
      </c>
    </row>
    <row r="481" spans="1:25" x14ac:dyDescent="0.25">
      <c r="A481" s="7">
        <v>16</v>
      </c>
      <c r="B481" s="6" t="s">
        <v>13</v>
      </c>
      <c r="C481" s="32">
        <v>7.4</v>
      </c>
      <c r="D481" s="6" t="s">
        <v>17</v>
      </c>
      <c r="E481" s="29">
        <v>7.5</v>
      </c>
      <c r="F481" s="13">
        <v>1.7</v>
      </c>
      <c r="G481" s="31">
        <v>3.16</v>
      </c>
      <c r="H481" s="13">
        <v>1.8</v>
      </c>
      <c r="I481" s="6" t="s">
        <v>19</v>
      </c>
      <c r="J481" s="11">
        <v>2</v>
      </c>
      <c r="K481" s="11">
        <v>3</v>
      </c>
      <c r="L481" s="11">
        <v>2</v>
      </c>
      <c r="M481" s="15">
        <v>1</v>
      </c>
      <c r="R481" s="20">
        <v>1</v>
      </c>
      <c r="U481" s="17">
        <v>1</v>
      </c>
      <c r="W481" s="23">
        <v>1</v>
      </c>
      <c r="Y481" s="26">
        <v>1</v>
      </c>
    </row>
    <row r="482" spans="1:25" x14ac:dyDescent="0.25">
      <c r="A482" s="7">
        <v>15</v>
      </c>
      <c r="B482" s="6" t="s">
        <v>13</v>
      </c>
      <c r="C482" s="32">
        <v>6.2</v>
      </c>
      <c r="D482" s="6" t="s">
        <v>17</v>
      </c>
      <c r="E482" s="29">
        <v>4.5999999999999996</v>
      </c>
      <c r="F482" s="13">
        <v>1.1000000000000001</v>
      </c>
      <c r="G482" s="31">
        <v>2.94</v>
      </c>
      <c r="H482" s="13">
        <v>1.8</v>
      </c>
      <c r="I482" s="6" t="s">
        <v>18</v>
      </c>
      <c r="J482" s="11">
        <v>4</v>
      </c>
      <c r="K482" s="11">
        <v>2</v>
      </c>
      <c r="L482" s="11">
        <v>3</v>
      </c>
      <c r="M482" s="15">
        <v>1</v>
      </c>
      <c r="R482" s="20">
        <v>1</v>
      </c>
      <c r="U482" s="17">
        <v>1</v>
      </c>
      <c r="W482" s="23">
        <v>1</v>
      </c>
      <c r="Y482" s="26">
        <v>1</v>
      </c>
    </row>
    <row r="483" spans="1:25" x14ac:dyDescent="0.25">
      <c r="A483" s="7">
        <v>16</v>
      </c>
      <c r="B483" s="6" t="s">
        <v>13</v>
      </c>
      <c r="C483" s="32">
        <v>2.2999999999999998</v>
      </c>
      <c r="D483" s="6" t="s">
        <v>17</v>
      </c>
      <c r="E483" s="29">
        <v>8.8000000000000007</v>
      </c>
      <c r="F483" s="13">
        <v>1</v>
      </c>
      <c r="G483" s="31">
        <v>2.5099999999999998</v>
      </c>
      <c r="H483" s="13">
        <v>2</v>
      </c>
      <c r="I483" s="6" t="s">
        <v>19</v>
      </c>
      <c r="J483" s="11">
        <v>6</v>
      </c>
      <c r="K483" s="11">
        <v>10</v>
      </c>
      <c r="L483" s="11">
        <v>10</v>
      </c>
      <c r="M483" s="15">
        <v>1</v>
      </c>
      <c r="R483" s="20">
        <v>1</v>
      </c>
      <c r="U483" s="17">
        <v>1</v>
      </c>
      <c r="W483" s="23">
        <v>1</v>
      </c>
      <c r="Y483" s="26">
        <v>1</v>
      </c>
    </row>
    <row r="484" spans="1:25" x14ac:dyDescent="0.25">
      <c r="A484" s="7">
        <v>18</v>
      </c>
      <c r="B484" s="6" t="s">
        <v>13</v>
      </c>
      <c r="C484" s="32">
        <v>1.8</v>
      </c>
      <c r="D484" s="6" t="s">
        <v>17</v>
      </c>
      <c r="E484" s="29">
        <v>5.2</v>
      </c>
      <c r="F484" s="13">
        <v>1.4</v>
      </c>
      <c r="G484" s="31">
        <v>2.68</v>
      </c>
      <c r="H484" s="13">
        <v>0.1</v>
      </c>
      <c r="I484" s="6" t="s">
        <v>18</v>
      </c>
      <c r="J484" s="11">
        <v>6</v>
      </c>
      <c r="K484" s="11">
        <v>2</v>
      </c>
      <c r="L484" s="11">
        <v>10</v>
      </c>
      <c r="M484" s="15">
        <v>1</v>
      </c>
      <c r="R484" s="20">
        <v>1</v>
      </c>
      <c r="U484" s="17">
        <v>1</v>
      </c>
      <c r="W484" s="23">
        <v>1</v>
      </c>
      <c r="Y484" s="26">
        <v>1</v>
      </c>
    </row>
    <row r="485" spans="1:25" x14ac:dyDescent="0.25">
      <c r="A485" s="7">
        <v>16</v>
      </c>
      <c r="B485" s="6" t="s">
        <v>16</v>
      </c>
      <c r="C485" s="32">
        <v>1.3</v>
      </c>
      <c r="D485" s="6" t="s">
        <v>14</v>
      </c>
      <c r="E485" s="29">
        <v>4.9000000000000004</v>
      </c>
      <c r="F485" s="13">
        <v>2.6</v>
      </c>
      <c r="G485" s="31">
        <v>2.89</v>
      </c>
      <c r="H485" s="13">
        <v>0.2</v>
      </c>
      <c r="I485" s="6" t="s">
        <v>15</v>
      </c>
      <c r="J485" s="11">
        <v>2</v>
      </c>
      <c r="K485" s="11">
        <v>5</v>
      </c>
      <c r="L485" s="11">
        <v>2</v>
      </c>
      <c r="M485" s="15">
        <v>1</v>
      </c>
      <c r="R485" s="20">
        <v>1</v>
      </c>
      <c r="U485" s="17">
        <v>1</v>
      </c>
      <c r="W485" s="23">
        <v>1</v>
      </c>
      <c r="Y485" s="26">
        <v>1</v>
      </c>
    </row>
    <row r="486" spans="1:25" x14ac:dyDescent="0.25">
      <c r="A486" s="7">
        <v>15</v>
      </c>
      <c r="B486" s="6" t="s">
        <v>13</v>
      </c>
      <c r="C486" s="32">
        <v>2.1</v>
      </c>
      <c r="D486" s="6" t="s">
        <v>14</v>
      </c>
      <c r="E486" s="29">
        <v>4.4000000000000004</v>
      </c>
      <c r="F486" s="13">
        <v>2.1</v>
      </c>
      <c r="G486" s="31">
        <v>3.43</v>
      </c>
      <c r="H486" s="13">
        <v>1.9</v>
      </c>
      <c r="I486" s="6" t="s">
        <v>15</v>
      </c>
      <c r="J486" s="11">
        <v>6</v>
      </c>
      <c r="K486" s="11">
        <v>6</v>
      </c>
      <c r="L486" s="11">
        <v>7</v>
      </c>
      <c r="M486" s="15">
        <v>1</v>
      </c>
      <c r="R486" s="20">
        <v>1</v>
      </c>
      <c r="U486" s="17">
        <v>1</v>
      </c>
      <c r="W486" s="23">
        <v>1</v>
      </c>
      <c r="Y486" s="26">
        <v>1</v>
      </c>
    </row>
    <row r="487" spans="1:25" x14ac:dyDescent="0.25">
      <c r="A487" s="7">
        <v>14</v>
      </c>
      <c r="B487" s="6" t="s">
        <v>13</v>
      </c>
      <c r="C487" s="32">
        <v>3.9</v>
      </c>
      <c r="D487" s="6" t="s">
        <v>14</v>
      </c>
      <c r="E487" s="29">
        <v>7.7</v>
      </c>
      <c r="F487" s="13">
        <v>1.4</v>
      </c>
      <c r="G487" s="31">
        <v>2.86</v>
      </c>
      <c r="H487" s="13">
        <v>1.7</v>
      </c>
      <c r="I487" s="6" t="s">
        <v>18</v>
      </c>
      <c r="J487" s="11">
        <v>3</v>
      </c>
      <c r="K487" s="11">
        <v>5</v>
      </c>
      <c r="L487" s="11">
        <v>1</v>
      </c>
      <c r="M487" s="15">
        <v>1</v>
      </c>
      <c r="R487" s="20">
        <v>1</v>
      </c>
      <c r="U487" s="17">
        <v>1</v>
      </c>
      <c r="W487" s="23">
        <v>1</v>
      </c>
      <c r="Y487" s="26">
        <v>1</v>
      </c>
    </row>
    <row r="488" spans="1:25" x14ac:dyDescent="0.25">
      <c r="A488" s="7">
        <v>18</v>
      </c>
      <c r="B488" s="6" t="s">
        <v>16</v>
      </c>
      <c r="C488" s="32">
        <v>3.8</v>
      </c>
      <c r="D488" s="6" t="s">
        <v>20</v>
      </c>
      <c r="E488" s="29">
        <v>4.5</v>
      </c>
      <c r="F488" s="13">
        <v>1.3</v>
      </c>
      <c r="G488" s="31">
        <v>3.06</v>
      </c>
      <c r="H488" s="13">
        <v>0.3</v>
      </c>
      <c r="I488" s="6" t="s">
        <v>19</v>
      </c>
      <c r="J488" s="11">
        <v>7</v>
      </c>
      <c r="K488" s="11">
        <v>8</v>
      </c>
      <c r="L488" s="11">
        <v>1</v>
      </c>
      <c r="M488" s="15">
        <v>1</v>
      </c>
      <c r="R488" s="20">
        <v>1</v>
      </c>
      <c r="U488" s="17">
        <v>1</v>
      </c>
      <c r="W488" s="23">
        <v>1</v>
      </c>
      <c r="Y488" s="26">
        <v>1</v>
      </c>
    </row>
    <row r="489" spans="1:25" x14ac:dyDescent="0.25">
      <c r="A489" s="7">
        <v>15</v>
      </c>
      <c r="B489" s="6" t="s">
        <v>13</v>
      </c>
      <c r="C489" s="32">
        <v>6.4</v>
      </c>
      <c r="D489" s="6" t="s">
        <v>14</v>
      </c>
      <c r="E489" s="29">
        <v>7.8</v>
      </c>
      <c r="F489" s="13">
        <v>0.7</v>
      </c>
      <c r="G489" s="31">
        <v>2.6</v>
      </c>
      <c r="H489" s="13">
        <v>0.7</v>
      </c>
      <c r="I489" s="6" t="s">
        <v>18</v>
      </c>
      <c r="J489" s="11">
        <v>4</v>
      </c>
      <c r="K489" s="11">
        <v>4</v>
      </c>
      <c r="L489" s="11">
        <v>2</v>
      </c>
      <c r="M489" s="15">
        <v>1</v>
      </c>
      <c r="R489" s="20">
        <v>1</v>
      </c>
      <c r="U489" s="17">
        <v>1</v>
      </c>
      <c r="W489" s="23">
        <v>1</v>
      </c>
      <c r="Y489" s="26">
        <v>1</v>
      </c>
    </row>
    <row r="490" spans="1:25" x14ac:dyDescent="0.25">
      <c r="A490" s="7">
        <v>19</v>
      </c>
      <c r="B490" s="6" t="s">
        <v>13</v>
      </c>
      <c r="C490" s="32">
        <v>3.2</v>
      </c>
      <c r="D490" s="6" t="s">
        <v>14</v>
      </c>
      <c r="E490" s="29">
        <v>6.2</v>
      </c>
      <c r="F490" s="13">
        <v>2.6</v>
      </c>
      <c r="G490" s="31">
        <v>3.72</v>
      </c>
      <c r="H490" s="13">
        <v>1.9</v>
      </c>
      <c r="I490" s="6" t="s">
        <v>18</v>
      </c>
      <c r="J490" s="11">
        <v>9</v>
      </c>
      <c r="K490" s="11">
        <v>5</v>
      </c>
      <c r="L490" s="11">
        <v>7</v>
      </c>
      <c r="M490" s="15">
        <v>1</v>
      </c>
      <c r="R490" s="20">
        <v>1</v>
      </c>
      <c r="U490" s="17">
        <v>1</v>
      </c>
      <c r="W490" s="23">
        <v>1</v>
      </c>
      <c r="Y490" s="26">
        <v>1</v>
      </c>
    </row>
    <row r="491" spans="1:25" x14ac:dyDescent="0.25">
      <c r="A491" s="7">
        <v>13</v>
      </c>
      <c r="B491" s="6" t="s">
        <v>13</v>
      </c>
      <c r="C491" s="32">
        <v>4.4000000000000004</v>
      </c>
      <c r="D491" s="6" t="s">
        <v>20</v>
      </c>
      <c r="E491" s="29">
        <v>8.1999999999999993</v>
      </c>
      <c r="F491" s="13">
        <v>1.5</v>
      </c>
      <c r="G491" s="31">
        <v>3.98</v>
      </c>
      <c r="H491" s="13">
        <v>1.4</v>
      </c>
      <c r="I491" s="6" t="s">
        <v>18</v>
      </c>
      <c r="J491" s="11">
        <v>9</v>
      </c>
      <c r="K491" s="11">
        <v>6</v>
      </c>
      <c r="L491" s="11">
        <v>6</v>
      </c>
      <c r="M491" s="15">
        <v>1</v>
      </c>
      <c r="R491" s="20">
        <v>1</v>
      </c>
      <c r="U491" s="17">
        <v>1</v>
      </c>
      <c r="W491" s="23">
        <v>1</v>
      </c>
      <c r="Y491" s="26">
        <v>1</v>
      </c>
    </row>
    <row r="492" spans="1:25" x14ac:dyDescent="0.25">
      <c r="A492" s="7">
        <v>15</v>
      </c>
      <c r="B492" s="6" t="s">
        <v>13</v>
      </c>
      <c r="C492" s="32">
        <v>1.3</v>
      </c>
      <c r="D492" s="6" t="s">
        <v>17</v>
      </c>
      <c r="E492" s="29">
        <v>7.5</v>
      </c>
      <c r="F492" s="13">
        <v>1.3</v>
      </c>
      <c r="G492" s="31">
        <v>2.99</v>
      </c>
      <c r="H492" s="13">
        <v>1.4</v>
      </c>
      <c r="I492" s="6" t="s">
        <v>15</v>
      </c>
      <c r="J492" s="11">
        <v>1</v>
      </c>
      <c r="K492" s="11">
        <v>5</v>
      </c>
      <c r="L492" s="11">
        <v>2</v>
      </c>
      <c r="M492" s="15">
        <v>1</v>
      </c>
      <c r="R492" s="20">
        <v>1</v>
      </c>
      <c r="U492" s="17">
        <v>1</v>
      </c>
      <c r="W492" s="23">
        <v>1</v>
      </c>
      <c r="Y492" s="26">
        <v>1</v>
      </c>
    </row>
    <row r="493" spans="1:25" x14ac:dyDescent="0.25">
      <c r="A493" s="7">
        <v>18</v>
      </c>
      <c r="B493" s="6" t="s">
        <v>16</v>
      </c>
      <c r="C493" s="32">
        <v>5.7</v>
      </c>
      <c r="D493" s="6" t="s">
        <v>17</v>
      </c>
      <c r="E493" s="29">
        <v>6.2</v>
      </c>
      <c r="F493" s="13">
        <v>0.5</v>
      </c>
      <c r="G493" s="31">
        <v>3.98</v>
      </c>
      <c r="H493" s="13">
        <v>1.7</v>
      </c>
      <c r="I493" s="6" t="s">
        <v>19</v>
      </c>
      <c r="J493" s="11">
        <v>7</v>
      </c>
      <c r="K493" s="11">
        <v>6</v>
      </c>
      <c r="L493" s="11">
        <v>3</v>
      </c>
      <c r="M493" s="15">
        <v>1</v>
      </c>
      <c r="R493" s="20">
        <v>1</v>
      </c>
      <c r="U493" s="17">
        <v>1</v>
      </c>
      <c r="W493" s="23">
        <v>1</v>
      </c>
      <c r="Y493" s="26">
        <v>1</v>
      </c>
    </row>
    <row r="494" spans="1:25" x14ac:dyDescent="0.25">
      <c r="A494" s="7">
        <v>13</v>
      </c>
      <c r="B494" s="6" t="s">
        <v>13</v>
      </c>
      <c r="C494" s="32">
        <v>4</v>
      </c>
      <c r="D494" s="6" t="s">
        <v>17</v>
      </c>
      <c r="E494" s="29">
        <v>5</v>
      </c>
      <c r="F494" s="13">
        <v>2.9</v>
      </c>
      <c r="G494" s="31">
        <v>3.84</v>
      </c>
      <c r="H494" s="13">
        <v>0.1</v>
      </c>
      <c r="I494" s="6" t="s">
        <v>15</v>
      </c>
      <c r="J494" s="11">
        <v>7</v>
      </c>
      <c r="K494" s="11">
        <v>8</v>
      </c>
      <c r="L494" s="11">
        <v>10</v>
      </c>
      <c r="M494" s="15">
        <v>1</v>
      </c>
      <c r="R494" s="20">
        <v>1</v>
      </c>
      <c r="U494" s="17">
        <v>1</v>
      </c>
      <c r="W494" s="23">
        <v>1</v>
      </c>
      <c r="Y494" s="26">
        <v>1</v>
      </c>
    </row>
    <row r="495" spans="1:25" x14ac:dyDescent="0.25">
      <c r="A495" s="7">
        <v>16</v>
      </c>
      <c r="B495" s="6" t="s">
        <v>16</v>
      </c>
      <c r="C495" s="32">
        <v>4.8</v>
      </c>
      <c r="D495" s="6" t="s">
        <v>14</v>
      </c>
      <c r="E495" s="29">
        <v>6.7</v>
      </c>
      <c r="F495" s="13">
        <v>1.4</v>
      </c>
      <c r="G495" s="31">
        <v>2.44</v>
      </c>
      <c r="H495" s="13">
        <v>0.3</v>
      </c>
      <c r="I495" s="6" t="s">
        <v>15</v>
      </c>
      <c r="J495" s="11">
        <v>1</v>
      </c>
      <c r="K495" s="11">
        <v>3</v>
      </c>
      <c r="L495" s="11">
        <v>1</v>
      </c>
      <c r="M495" s="15">
        <v>1</v>
      </c>
      <c r="R495" s="20">
        <v>1</v>
      </c>
      <c r="U495" s="17">
        <v>1</v>
      </c>
      <c r="W495" s="23">
        <v>1</v>
      </c>
      <c r="Y495" s="26">
        <v>1</v>
      </c>
    </row>
    <row r="496" spans="1:25" x14ac:dyDescent="0.25">
      <c r="A496" s="7">
        <v>19</v>
      </c>
      <c r="B496" s="6" t="s">
        <v>13</v>
      </c>
      <c r="C496" s="32">
        <v>5.8</v>
      </c>
      <c r="D496" s="6" t="s">
        <v>20</v>
      </c>
      <c r="E496" s="29">
        <v>7.5</v>
      </c>
      <c r="F496" s="13">
        <v>1.9</v>
      </c>
      <c r="G496" s="31">
        <v>2.08</v>
      </c>
      <c r="H496" s="13">
        <v>0.1</v>
      </c>
      <c r="I496" s="6" t="s">
        <v>18</v>
      </c>
      <c r="J496" s="11">
        <v>2</v>
      </c>
      <c r="K496" s="11">
        <v>1</v>
      </c>
      <c r="L496" s="11">
        <v>3</v>
      </c>
      <c r="M496" s="15">
        <v>1</v>
      </c>
      <c r="R496" s="20">
        <v>1</v>
      </c>
      <c r="U496" s="17">
        <v>1</v>
      </c>
      <c r="W496" s="23">
        <v>1</v>
      </c>
      <c r="Y496" s="26">
        <v>1</v>
      </c>
    </row>
    <row r="497" spans="1:25" x14ac:dyDescent="0.25">
      <c r="A497" s="7">
        <v>16</v>
      </c>
      <c r="B497" s="6" t="s">
        <v>13</v>
      </c>
      <c r="C497" s="32">
        <v>5.8</v>
      </c>
      <c r="D497" s="6" t="s">
        <v>20</v>
      </c>
      <c r="E497" s="29">
        <v>8.9</v>
      </c>
      <c r="F497" s="13">
        <v>1.1000000000000001</v>
      </c>
      <c r="G497" s="31">
        <v>2.08</v>
      </c>
      <c r="H497" s="13">
        <v>1.9</v>
      </c>
      <c r="I497" s="6" t="s">
        <v>19</v>
      </c>
      <c r="J497" s="11">
        <v>8</v>
      </c>
      <c r="K497" s="11">
        <v>5</v>
      </c>
      <c r="L497" s="11">
        <v>9</v>
      </c>
      <c r="M497" s="15">
        <v>1</v>
      </c>
      <c r="R497" s="20">
        <v>1</v>
      </c>
      <c r="U497" s="17">
        <v>1</v>
      </c>
      <c r="W497" s="23">
        <v>1</v>
      </c>
      <c r="Y497" s="26">
        <v>1</v>
      </c>
    </row>
    <row r="498" spans="1:25" x14ac:dyDescent="0.25">
      <c r="A498" s="7">
        <v>13</v>
      </c>
      <c r="B498" s="6" t="s">
        <v>13</v>
      </c>
      <c r="C498" s="32">
        <v>3.2</v>
      </c>
      <c r="D498" s="6" t="s">
        <v>17</v>
      </c>
      <c r="E498" s="29">
        <v>5.0999999999999996</v>
      </c>
      <c r="F498" s="13">
        <v>1.6</v>
      </c>
      <c r="G498" s="31">
        <v>2.87</v>
      </c>
      <c r="H498" s="13">
        <v>1.8</v>
      </c>
      <c r="I498" s="6" t="s">
        <v>19</v>
      </c>
      <c r="J498" s="11">
        <v>4</v>
      </c>
      <c r="K498" s="11">
        <v>9</v>
      </c>
      <c r="L498" s="11">
        <v>8</v>
      </c>
      <c r="M498" s="15">
        <v>1</v>
      </c>
      <c r="R498" s="20">
        <v>1</v>
      </c>
      <c r="U498" s="17">
        <v>1</v>
      </c>
      <c r="W498" s="23">
        <v>1</v>
      </c>
      <c r="Y498" s="26">
        <v>1</v>
      </c>
    </row>
    <row r="499" spans="1:25" x14ac:dyDescent="0.25">
      <c r="A499" s="7">
        <v>16</v>
      </c>
      <c r="B499" s="6" t="s">
        <v>16</v>
      </c>
      <c r="C499" s="32">
        <v>5.2</v>
      </c>
      <c r="D499" s="6" t="s">
        <v>20</v>
      </c>
      <c r="E499" s="29">
        <v>4</v>
      </c>
      <c r="F499" s="13">
        <v>2.4</v>
      </c>
      <c r="G499" s="31">
        <v>2.35</v>
      </c>
      <c r="H499" s="13">
        <v>1.6</v>
      </c>
      <c r="I499" s="6" t="s">
        <v>15</v>
      </c>
      <c r="J499" s="11">
        <v>10</v>
      </c>
      <c r="K499" s="11">
        <v>5</v>
      </c>
      <c r="L499" s="11">
        <v>2</v>
      </c>
      <c r="M499" s="15">
        <v>1</v>
      </c>
      <c r="R499" s="20">
        <v>1</v>
      </c>
      <c r="U499" s="17">
        <v>1</v>
      </c>
      <c r="W499" s="23">
        <v>1</v>
      </c>
      <c r="Y499" s="26">
        <v>1</v>
      </c>
    </row>
    <row r="500" spans="1:25" x14ac:dyDescent="0.25">
      <c r="A500" s="7">
        <v>17</v>
      </c>
      <c r="B500" s="6" t="s">
        <v>13</v>
      </c>
      <c r="C500" s="32">
        <v>2.4</v>
      </c>
      <c r="D500" s="6" t="s">
        <v>17</v>
      </c>
      <c r="E500" s="29">
        <v>6</v>
      </c>
      <c r="F500" s="13">
        <v>0.7</v>
      </c>
      <c r="G500" s="31">
        <v>3.67</v>
      </c>
      <c r="H500" s="13">
        <v>1.5</v>
      </c>
      <c r="I500" s="6" t="s">
        <v>15</v>
      </c>
      <c r="J500" s="11">
        <v>7</v>
      </c>
      <c r="K500" s="11">
        <v>9</v>
      </c>
      <c r="L500" s="11">
        <v>2</v>
      </c>
      <c r="M500" s="15">
        <v>1</v>
      </c>
      <c r="R500" s="20">
        <v>1</v>
      </c>
      <c r="U500" s="17">
        <v>1</v>
      </c>
      <c r="W500" s="23">
        <v>1</v>
      </c>
      <c r="Y500" s="26">
        <v>1</v>
      </c>
    </row>
    <row r="501" spans="1:25" x14ac:dyDescent="0.25">
      <c r="A501" s="7">
        <v>15</v>
      </c>
      <c r="B501" s="6" t="s">
        <v>13</v>
      </c>
      <c r="C501" s="32">
        <v>7.4</v>
      </c>
      <c r="D501" s="6" t="s">
        <v>20</v>
      </c>
      <c r="E501" s="29">
        <v>5.9</v>
      </c>
      <c r="F501" s="13">
        <v>2.6</v>
      </c>
      <c r="G501" s="31">
        <v>2.89</v>
      </c>
      <c r="H501" s="13">
        <v>1.9</v>
      </c>
      <c r="I501" s="6" t="s">
        <v>19</v>
      </c>
      <c r="J501" s="11">
        <v>7</v>
      </c>
      <c r="K501" s="11">
        <v>3</v>
      </c>
      <c r="L501" s="11">
        <v>8</v>
      </c>
      <c r="M501" s="15">
        <v>1</v>
      </c>
      <c r="R501" s="20">
        <v>1</v>
      </c>
      <c r="U501" s="17">
        <v>1</v>
      </c>
      <c r="W501" s="23">
        <v>1</v>
      </c>
      <c r="Y501" s="26">
        <v>1</v>
      </c>
    </row>
    <row r="502" spans="1:25" x14ac:dyDescent="0.25">
      <c r="A502" s="7">
        <v>18</v>
      </c>
      <c r="B502" s="6" t="s">
        <v>16</v>
      </c>
      <c r="C502" s="32">
        <v>7.1</v>
      </c>
      <c r="D502" s="6" t="s">
        <v>14</v>
      </c>
      <c r="E502" s="29">
        <v>4.8</v>
      </c>
      <c r="F502" s="13">
        <v>2.1</v>
      </c>
      <c r="G502" s="31">
        <v>2.5099999999999998</v>
      </c>
      <c r="H502" s="13">
        <v>0.9</v>
      </c>
      <c r="I502" s="6" t="s">
        <v>18</v>
      </c>
      <c r="J502" s="11">
        <v>1</v>
      </c>
      <c r="K502" s="11">
        <v>1</v>
      </c>
      <c r="L502" s="11">
        <v>10</v>
      </c>
      <c r="M502" s="15">
        <v>1</v>
      </c>
      <c r="R502" s="20">
        <v>1</v>
      </c>
      <c r="U502" s="17">
        <v>1</v>
      </c>
      <c r="W502" s="23">
        <v>1</v>
      </c>
      <c r="Y502" s="26">
        <v>1</v>
      </c>
    </row>
    <row r="503" spans="1:25" x14ac:dyDescent="0.25">
      <c r="A503" s="7">
        <v>16</v>
      </c>
      <c r="B503" s="6" t="s">
        <v>13</v>
      </c>
      <c r="C503" s="32">
        <v>6.5</v>
      </c>
      <c r="D503" s="6" t="s">
        <v>17</v>
      </c>
      <c r="E503" s="29">
        <v>7.4</v>
      </c>
      <c r="F503" s="13">
        <v>1.9</v>
      </c>
      <c r="G503" s="31">
        <v>2.2200000000000002</v>
      </c>
      <c r="H503" s="13">
        <v>1.1000000000000001</v>
      </c>
      <c r="I503" s="6" t="s">
        <v>19</v>
      </c>
      <c r="J503" s="11">
        <v>10</v>
      </c>
      <c r="K503" s="11">
        <v>10</v>
      </c>
      <c r="L503" s="11">
        <v>2</v>
      </c>
      <c r="M503" s="15">
        <v>1</v>
      </c>
      <c r="R503" s="20">
        <v>1</v>
      </c>
      <c r="U503" s="17">
        <v>1</v>
      </c>
      <c r="W503" s="23">
        <v>1</v>
      </c>
      <c r="Y503" s="26">
        <v>1</v>
      </c>
    </row>
    <row r="504" spans="1:25" x14ac:dyDescent="0.25">
      <c r="A504" s="7">
        <v>13</v>
      </c>
      <c r="B504" s="6" t="s">
        <v>13</v>
      </c>
      <c r="C504" s="32">
        <v>7.4</v>
      </c>
      <c r="D504" s="6" t="s">
        <v>20</v>
      </c>
      <c r="E504" s="29">
        <v>7</v>
      </c>
      <c r="F504" s="13">
        <v>1.8</v>
      </c>
      <c r="G504" s="31">
        <v>2.17</v>
      </c>
      <c r="H504" s="13">
        <v>1.4</v>
      </c>
      <c r="I504" s="6" t="s">
        <v>19</v>
      </c>
      <c r="J504" s="11">
        <v>9</v>
      </c>
      <c r="K504" s="11">
        <v>10</v>
      </c>
      <c r="L504" s="11">
        <v>5</v>
      </c>
      <c r="M504" s="15">
        <v>1</v>
      </c>
      <c r="R504" s="20">
        <v>1</v>
      </c>
      <c r="U504" s="17">
        <v>1</v>
      </c>
      <c r="W504" s="23">
        <v>1</v>
      </c>
      <c r="Y504" s="26">
        <v>1</v>
      </c>
    </row>
    <row r="505" spans="1:25" x14ac:dyDescent="0.25">
      <c r="A505" s="7">
        <v>15</v>
      </c>
      <c r="B505" s="6" t="s">
        <v>16</v>
      </c>
      <c r="C505" s="32">
        <v>3.9</v>
      </c>
      <c r="D505" s="6" t="s">
        <v>14</v>
      </c>
      <c r="E505" s="29">
        <v>6.4</v>
      </c>
      <c r="F505" s="13">
        <v>1.7</v>
      </c>
      <c r="G505" s="31">
        <v>2.87</v>
      </c>
      <c r="H505" s="13">
        <v>1.8</v>
      </c>
      <c r="I505" s="6" t="s">
        <v>18</v>
      </c>
      <c r="J505" s="11">
        <v>6</v>
      </c>
      <c r="K505" s="11">
        <v>6</v>
      </c>
      <c r="L505" s="11">
        <v>6</v>
      </c>
      <c r="M505" s="15">
        <v>1</v>
      </c>
      <c r="R505" s="20">
        <v>1</v>
      </c>
      <c r="U505" s="17">
        <v>1</v>
      </c>
      <c r="W505" s="23">
        <v>1</v>
      </c>
      <c r="Y505" s="26">
        <v>1</v>
      </c>
    </row>
    <row r="506" spans="1:25" x14ac:dyDescent="0.25">
      <c r="A506" s="7">
        <v>15</v>
      </c>
      <c r="B506" s="6" t="s">
        <v>16</v>
      </c>
      <c r="C506" s="32">
        <v>4.5999999999999996</v>
      </c>
      <c r="D506" s="6" t="s">
        <v>20</v>
      </c>
      <c r="E506" s="29">
        <v>8.6</v>
      </c>
      <c r="F506" s="13">
        <v>2</v>
      </c>
      <c r="G506" s="31">
        <v>3.01</v>
      </c>
      <c r="H506" s="13">
        <v>0</v>
      </c>
      <c r="I506" s="6" t="s">
        <v>15</v>
      </c>
      <c r="J506" s="11">
        <v>1</v>
      </c>
      <c r="K506" s="11">
        <v>8</v>
      </c>
      <c r="L506" s="11">
        <v>3</v>
      </c>
      <c r="M506" s="15">
        <v>1</v>
      </c>
      <c r="R506" s="20">
        <v>1</v>
      </c>
      <c r="U506" s="17">
        <v>1</v>
      </c>
      <c r="W506" s="23">
        <v>1</v>
      </c>
      <c r="Y506" s="26">
        <v>1</v>
      </c>
    </row>
    <row r="507" spans="1:25" x14ac:dyDescent="0.25">
      <c r="A507" s="7">
        <v>19</v>
      </c>
      <c r="B507" s="6" t="s">
        <v>13</v>
      </c>
      <c r="C507" s="32">
        <v>1.5</v>
      </c>
      <c r="D507" s="6" t="s">
        <v>17</v>
      </c>
      <c r="E507" s="29">
        <v>6.7</v>
      </c>
      <c r="F507" s="13">
        <v>1</v>
      </c>
      <c r="G507" s="31">
        <v>3.9</v>
      </c>
      <c r="H507" s="13">
        <v>0.4</v>
      </c>
      <c r="I507" s="6" t="s">
        <v>15</v>
      </c>
      <c r="J507" s="11">
        <v>4</v>
      </c>
      <c r="K507" s="11">
        <v>3</v>
      </c>
      <c r="L507" s="11">
        <v>3</v>
      </c>
      <c r="M507" s="15">
        <v>1</v>
      </c>
      <c r="R507" s="20">
        <v>1</v>
      </c>
      <c r="U507" s="17">
        <v>1</v>
      </c>
      <c r="W507" s="23">
        <v>1</v>
      </c>
      <c r="Y507" s="26">
        <v>1</v>
      </c>
    </row>
    <row r="508" spans="1:25" x14ac:dyDescent="0.25">
      <c r="A508" s="7">
        <v>15</v>
      </c>
      <c r="B508" s="6" t="s">
        <v>16</v>
      </c>
      <c r="C508" s="32">
        <v>5.8</v>
      </c>
      <c r="D508" s="6" t="s">
        <v>14</v>
      </c>
      <c r="E508" s="29">
        <v>7.1</v>
      </c>
      <c r="F508" s="13">
        <v>1.1000000000000001</v>
      </c>
      <c r="G508" s="31">
        <v>3.72</v>
      </c>
      <c r="H508" s="13">
        <v>1.5</v>
      </c>
      <c r="I508" s="6" t="s">
        <v>15</v>
      </c>
      <c r="J508" s="11">
        <v>9</v>
      </c>
      <c r="K508" s="11">
        <v>6</v>
      </c>
      <c r="L508" s="11">
        <v>6</v>
      </c>
      <c r="M508" s="15">
        <v>1</v>
      </c>
      <c r="R508" s="20">
        <v>1</v>
      </c>
      <c r="U508" s="17">
        <v>1</v>
      </c>
      <c r="W508" s="23">
        <v>1</v>
      </c>
      <c r="Y508" s="26">
        <v>1</v>
      </c>
    </row>
    <row r="509" spans="1:25" x14ac:dyDescent="0.25">
      <c r="A509" s="7">
        <v>17</v>
      </c>
      <c r="B509" s="6" t="s">
        <v>16</v>
      </c>
      <c r="C509" s="32">
        <v>6.4</v>
      </c>
      <c r="D509" s="6" t="s">
        <v>17</v>
      </c>
      <c r="E509" s="29">
        <v>4.9000000000000004</v>
      </c>
      <c r="F509" s="13">
        <v>2.1</v>
      </c>
      <c r="G509" s="31">
        <v>2.78</v>
      </c>
      <c r="H509" s="13">
        <v>1</v>
      </c>
      <c r="I509" s="6" t="s">
        <v>18</v>
      </c>
      <c r="J509" s="11">
        <v>2</v>
      </c>
      <c r="K509" s="11">
        <v>2</v>
      </c>
      <c r="L509" s="11">
        <v>6</v>
      </c>
      <c r="M509" s="15">
        <v>1</v>
      </c>
      <c r="R509" s="20">
        <v>1</v>
      </c>
      <c r="U509" s="17">
        <v>1</v>
      </c>
      <c r="W509" s="23">
        <v>1</v>
      </c>
      <c r="Y509" s="26">
        <v>1</v>
      </c>
    </row>
    <row r="510" spans="1:25" x14ac:dyDescent="0.25">
      <c r="A510" s="7">
        <v>16</v>
      </c>
      <c r="B510" s="6" t="s">
        <v>16</v>
      </c>
      <c r="C510" s="32">
        <v>2.1</v>
      </c>
      <c r="D510" s="6" t="s">
        <v>17</v>
      </c>
      <c r="E510" s="29">
        <v>8.1999999999999993</v>
      </c>
      <c r="F510" s="13">
        <v>2.4</v>
      </c>
      <c r="G510" s="31">
        <v>3.25</v>
      </c>
      <c r="H510" s="13">
        <v>0.1</v>
      </c>
      <c r="I510" s="6" t="s">
        <v>18</v>
      </c>
      <c r="J510" s="11">
        <v>1</v>
      </c>
      <c r="K510" s="11">
        <v>1</v>
      </c>
      <c r="L510" s="11">
        <v>8</v>
      </c>
      <c r="M510" s="15">
        <v>1</v>
      </c>
      <c r="R510" s="20">
        <v>1</v>
      </c>
      <c r="U510" s="17">
        <v>1</v>
      </c>
      <c r="W510" s="23">
        <v>1</v>
      </c>
      <c r="Y510" s="26">
        <v>1</v>
      </c>
    </row>
    <row r="511" spans="1:25" x14ac:dyDescent="0.25">
      <c r="A511" s="7">
        <v>17</v>
      </c>
      <c r="B511" s="6" t="s">
        <v>16</v>
      </c>
      <c r="C511" s="32">
        <v>2.2000000000000002</v>
      </c>
      <c r="D511" s="6" t="s">
        <v>17</v>
      </c>
      <c r="E511" s="29">
        <v>6.5</v>
      </c>
      <c r="F511" s="13">
        <v>3</v>
      </c>
      <c r="G511" s="31">
        <v>2.4900000000000002</v>
      </c>
      <c r="H511" s="13">
        <v>0.2</v>
      </c>
      <c r="I511" s="6" t="s">
        <v>19</v>
      </c>
      <c r="J511" s="11">
        <v>5</v>
      </c>
      <c r="K511" s="11">
        <v>8</v>
      </c>
      <c r="L511" s="11">
        <v>4</v>
      </c>
      <c r="M511" s="15">
        <v>1</v>
      </c>
      <c r="R511" s="20">
        <v>1</v>
      </c>
      <c r="U511" s="17">
        <v>1</v>
      </c>
      <c r="W511" s="23">
        <v>1</v>
      </c>
      <c r="Y511" s="26">
        <v>1</v>
      </c>
    </row>
    <row r="512" spans="1:25" x14ac:dyDescent="0.25">
      <c r="A512" s="7">
        <v>14</v>
      </c>
      <c r="B512" s="6" t="s">
        <v>13</v>
      </c>
      <c r="C512" s="32">
        <v>5.5</v>
      </c>
      <c r="D512" s="6" t="s">
        <v>17</v>
      </c>
      <c r="E512" s="29">
        <v>7.4</v>
      </c>
      <c r="F512" s="13">
        <v>2.9</v>
      </c>
      <c r="G512" s="31">
        <v>3.54</v>
      </c>
      <c r="H512" s="13">
        <v>1.1000000000000001</v>
      </c>
      <c r="I512" s="6" t="s">
        <v>18</v>
      </c>
      <c r="J512" s="11">
        <v>8</v>
      </c>
      <c r="K512" s="11">
        <v>4</v>
      </c>
      <c r="L512" s="11">
        <v>10</v>
      </c>
      <c r="M512" s="15">
        <v>1</v>
      </c>
      <c r="R512" s="20">
        <v>1</v>
      </c>
      <c r="U512" s="17">
        <v>1</v>
      </c>
      <c r="W512" s="23">
        <v>1</v>
      </c>
      <c r="Y512" s="26">
        <v>1</v>
      </c>
    </row>
    <row r="513" spans="1:25" x14ac:dyDescent="0.25">
      <c r="A513" s="7">
        <v>17</v>
      </c>
      <c r="B513" s="6" t="s">
        <v>16</v>
      </c>
      <c r="C513" s="32">
        <v>6.6</v>
      </c>
      <c r="D513" s="6" t="s">
        <v>20</v>
      </c>
      <c r="E513" s="29">
        <v>7.4</v>
      </c>
      <c r="F513" s="13">
        <v>2.2000000000000002</v>
      </c>
      <c r="G513" s="31">
        <v>2.63</v>
      </c>
      <c r="H513" s="13">
        <v>0.6</v>
      </c>
      <c r="I513" s="6" t="s">
        <v>18</v>
      </c>
      <c r="J513" s="11">
        <v>7</v>
      </c>
      <c r="K513" s="11">
        <v>4</v>
      </c>
      <c r="L513" s="11">
        <v>9</v>
      </c>
      <c r="M513" s="15">
        <v>1</v>
      </c>
      <c r="R513" s="20">
        <v>1</v>
      </c>
      <c r="U513" s="17">
        <v>1</v>
      </c>
      <c r="W513" s="23">
        <v>1</v>
      </c>
      <c r="Y513" s="26">
        <v>1</v>
      </c>
    </row>
    <row r="514" spans="1:25" x14ac:dyDescent="0.25">
      <c r="A514" s="7">
        <v>19</v>
      </c>
      <c r="B514" s="6" t="s">
        <v>16</v>
      </c>
      <c r="C514" s="32">
        <v>5.2</v>
      </c>
      <c r="D514" s="6" t="s">
        <v>14</v>
      </c>
      <c r="E514" s="29">
        <v>6.6</v>
      </c>
      <c r="F514" s="13">
        <v>1.6</v>
      </c>
      <c r="G514" s="31">
        <v>2.36</v>
      </c>
      <c r="H514" s="13">
        <v>1.4</v>
      </c>
      <c r="I514" s="6" t="s">
        <v>15</v>
      </c>
      <c r="J514" s="11">
        <v>2</v>
      </c>
      <c r="K514" s="11">
        <v>6</v>
      </c>
      <c r="L514" s="11">
        <v>10</v>
      </c>
      <c r="M514" s="15">
        <v>1</v>
      </c>
      <c r="R514" s="20">
        <v>1</v>
      </c>
      <c r="U514" s="17">
        <v>1</v>
      </c>
      <c r="W514" s="23">
        <v>1</v>
      </c>
      <c r="Y514" s="26">
        <v>1</v>
      </c>
    </row>
    <row r="515" spans="1:25" x14ac:dyDescent="0.25">
      <c r="A515" s="7">
        <v>17</v>
      </c>
      <c r="B515" s="6" t="s">
        <v>13</v>
      </c>
      <c r="C515" s="32">
        <v>4.7</v>
      </c>
      <c r="D515" s="6" t="s">
        <v>17</v>
      </c>
      <c r="E515" s="29">
        <v>5.0999999999999996</v>
      </c>
      <c r="F515" s="13">
        <v>2</v>
      </c>
      <c r="G515" s="31">
        <v>2.35</v>
      </c>
      <c r="H515" s="13">
        <v>1.8</v>
      </c>
      <c r="I515" s="6" t="s">
        <v>15</v>
      </c>
      <c r="J515" s="11">
        <v>8</v>
      </c>
      <c r="K515" s="11">
        <v>9</v>
      </c>
      <c r="L515" s="11">
        <v>1</v>
      </c>
      <c r="M515" s="15">
        <v>1</v>
      </c>
      <c r="R515" s="20">
        <v>1</v>
      </c>
      <c r="U515" s="17">
        <v>1</v>
      </c>
      <c r="W515" s="23">
        <v>1</v>
      </c>
      <c r="Y515" s="26">
        <v>1</v>
      </c>
    </row>
    <row r="516" spans="1:25" x14ac:dyDescent="0.25">
      <c r="A516" s="7">
        <v>19</v>
      </c>
      <c r="B516" s="6" t="s">
        <v>16</v>
      </c>
      <c r="C516" s="32">
        <v>7.1</v>
      </c>
      <c r="D516" s="6" t="s">
        <v>20</v>
      </c>
      <c r="E516" s="29">
        <v>6.3</v>
      </c>
      <c r="F516" s="13">
        <v>2.2000000000000002</v>
      </c>
      <c r="G516" s="31">
        <v>3.88</v>
      </c>
      <c r="H516" s="13">
        <v>0.8</v>
      </c>
      <c r="I516" s="6" t="s">
        <v>18</v>
      </c>
      <c r="J516" s="11">
        <v>10</v>
      </c>
      <c r="K516" s="11">
        <v>4</v>
      </c>
      <c r="L516" s="11">
        <v>9</v>
      </c>
      <c r="M516" s="15">
        <v>1</v>
      </c>
      <c r="R516" s="20">
        <v>1</v>
      </c>
      <c r="U516" s="17">
        <v>1</v>
      </c>
      <c r="W516" s="23">
        <v>1</v>
      </c>
      <c r="Y516" s="26">
        <v>1</v>
      </c>
    </row>
    <row r="517" spans="1:25" x14ac:dyDescent="0.25">
      <c r="A517" s="7">
        <v>19</v>
      </c>
      <c r="B517" s="6" t="s">
        <v>16</v>
      </c>
      <c r="C517" s="32">
        <v>4.2</v>
      </c>
      <c r="D517" s="6" t="s">
        <v>20</v>
      </c>
      <c r="E517" s="29">
        <v>8.1</v>
      </c>
      <c r="F517" s="13">
        <v>1.4</v>
      </c>
      <c r="G517" s="31">
        <v>2.66</v>
      </c>
      <c r="H517" s="13">
        <v>1.9</v>
      </c>
      <c r="I517" s="6" t="s">
        <v>15</v>
      </c>
      <c r="J517" s="11">
        <v>9</v>
      </c>
      <c r="K517" s="11">
        <v>4</v>
      </c>
      <c r="L517" s="11">
        <v>2</v>
      </c>
      <c r="M517" s="15">
        <v>1</v>
      </c>
      <c r="R517" s="20">
        <v>1</v>
      </c>
      <c r="U517" s="17">
        <v>1</v>
      </c>
      <c r="W517" s="23">
        <v>1</v>
      </c>
      <c r="Y517" s="26">
        <v>1</v>
      </c>
    </row>
    <row r="518" spans="1:25" x14ac:dyDescent="0.25">
      <c r="A518" s="7">
        <v>17</v>
      </c>
      <c r="B518" s="6" t="s">
        <v>16</v>
      </c>
      <c r="C518" s="32">
        <v>1.3</v>
      </c>
      <c r="D518" s="6" t="s">
        <v>14</v>
      </c>
      <c r="E518" s="29">
        <v>5.0999999999999996</v>
      </c>
      <c r="F518" s="13">
        <v>2.2000000000000002</v>
      </c>
      <c r="G518" s="31">
        <v>3.44</v>
      </c>
      <c r="H518" s="13">
        <v>0.6</v>
      </c>
      <c r="I518" s="6" t="s">
        <v>18</v>
      </c>
      <c r="J518" s="11">
        <v>7</v>
      </c>
      <c r="K518" s="11">
        <v>8</v>
      </c>
      <c r="L518" s="11">
        <v>6</v>
      </c>
      <c r="M518" s="15">
        <v>1</v>
      </c>
      <c r="R518" s="20">
        <v>1</v>
      </c>
      <c r="U518" s="17">
        <v>1</v>
      </c>
      <c r="W518" s="23">
        <v>1</v>
      </c>
      <c r="Y518" s="26">
        <v>1</v>
      </c>
    </row>
    <row r="519" spans="1:25" x14ac:dyDescent="0.25">
      <c r="A519" s="7">
        <v>18</v>
      </c>
      <c r="B519" s="6" t="s">
        <v>13</v>
      </c>
      <c r="C519" s="32">
        <v>2.6</v>
      </c>
      <c r="D519" s="6" t="s">
        <v>20</v>
      </c>
      <c r="E519" s="29">
        <v>7.8</v>
      </c>
      <c r="F519" s="13">
        <v>1.9</v>
      </c>
      <c r="G519" s="31">
        <v>3.15</v>
      </c>
      <c r="H519" s="13">
        <v>0.4</v>
      </c>
      <c r="I519" s="6" t="s">
        <v>19</v>
      </c>
      <c r="J519" s="11">
        <v>8</v>
      </c>
      <c r="K519" s="11">
        <v>3</v>
      </c>
      <c r="L519" s="11">
        <v>2</v>
      </c>
      <c r="M519" s="15">
        <v>1</v>
      </c>
      <c r="R519" s="20">
        <v>1</v>
      </c>
      <c r="U519" s="17">
        <v>1</v>
      </c>
      <c r="W519" s="23">
        <v>1</v>
      </c>
      <c r="Y519" s="26">
        <v>1</v>
      </c>
    </row>
    <row r="520" spans="1:25" x14ac:dyDescent="0.25">
      <c r="A520" s="7">
        <v>15</v>
      </c>
      <c r="B520" s="6" t="s">
        <v>13</v>
      </c>
      <c r="C520" s="32">
        <v>6.2</v>
      </c>
      <c r="D520" s="6" t="s">
        <v>14</v>
      </c>
      <c r="E520" s="29">
        <v>8.1</v>
      </c>
      <c r="F520" s="13">
        <v>2.2999999999999998</v>
      </c>
      <c r="G520" s="31">
        <v>3.46</v>
      </c>
      <c r="H520" s="13">
        <v>1.3</v>
      </c>
      <c r="I520" s="6" t="s">
        <v>15</v>
      </c>
      <c r="J520" s="11">
        <v>5</v>
      </c>
      <c r="K520" s="11">
        <v>4</v>
      </c>
      <c r="L520" s="11">
        <v>9</v>
      </c>
      <c r="M520" s="15">
        <v>1</v>
      </c>
      <c r="R520" s="20">
        <v>1</v>
      </c>
      <c r="U520" s="17">
        <v>1</v>
      </c>
      <c r="W520" s="23">
        <v>1</v>
      </c>
      <c r="Y520" s="26">
        <v>1</v>
      </c>
    </row>
    <row r="521" spans="1:25" x14ac:dyDescent="0.25">
      <c r="A521" s="7">
        <v>14</v>
      </c>
      <c r="B521" s="6" t="s">
        <v>16</v>
      </c>
      <c r="C521" s="32">
        <v>6.2</v>
      </c>
      <c r="D521" s="6" t="s">
        <v>17</v>
      </c>
      <c r="E521" s="29">
        <v>5.0999999999999996</v>
      </c>
      <c r="F521" s="13">
        <v>1.5</v>
      </c>
      <c r="G521" s="31">
        <v>3.85</v>
      </c>
      <c r="H521" s="13">
        <v>0.2</v>
      </c>
      <c r="I521" s="6" t="s">
        <v>18</v>
      </c>
      <c r="J521" s="11">
        <v>3</v>
      </c>
      <c r="K521" s="11">
        <v>4</v>
      </c>
      <c r="L521" s="11">
        <v>10</v>
      </c>
      <c r="M521" s="15">
        <v>1</v>
      </c>
      <c r="R521" s="20">
        <v>1</v>
      </c>
      <c r="U521" s="17">
        <v>1</v>
      </c>
      <c r="W521" s="23">
        <v>1</v>
      </c>
      <c r="Y521" s="26">
        <v>1</v>
      </c>
    </row>
    <row r="522" spans="1:25" x14ac:dyDescent="0.25">
      <c r="A522" s="7">
        <v>18</v>
      </c>
      <c r="B522" s="6" t="s">
        <v>13</v>
      </c>
      <c r="C522" s="32">
        <v>4.8</v>
      </c>
      <c r="D522" s="6" t="s">
        <v>17</v>
      </c>
      <c r="E522" s="29">
        <v>8.5</v>
      </c>
      <c r="F522" s="13">
        <v>2.8</v>
      </c>
      <c r="G522" s="31">
        <v>3.77</v>
      </c>
      <c r="H522" s="13">
        <v>1.3</v>
      </c>
      <c r="I522" s="6" t="s">
        <v>15</v>
      </c>
      <c r="J522" s="11">
        <v>5</v>
      </c>
      <c r="K522" s="11">
        <v>4</v>
      </c>
      <c r="L522" s="11">
        <v>3</v>
      </c>
      <c r="M522" s="15">
        <v>1</v>
      </c>
      <c r="R522" s="20">
        <v>1</v>
      </c>
      <c r="U522" s="17">
        <v>1</v>
      </c>
      <c r="W522" s="23">
        <v>1</v>
      </c>
      <c r="Y522" s="26">
        <v>1</v>
      </c>
    </row>
    <row r="523" spans="1:25" x14ac:dyDescent="0.25">
      <c r="A523" s="7">
        <v>18</v>
      </c>
      <c r="B523" s="6" t="s">
        <v>16</v>
      </c>
      <c r="C523" s="32">
        <v>3</v>
      </c>
      <c r="D523" s="6" t="s">
        <v>20</v>
      </c>
      <c r="E523" s="29">
        <v>4.5999999999999996</v>
      </c>
      <c r="F523" s="13">
        <v>2</v>
      </c>
      <c r="G523" s="31">
        <v>2.2400000000000002</v>
      </c>
      <c r="H523" s="13">
        <v>1.5</v>
      </c>
      <c r="I523" s="6" t="s">
        <v>19</v>
      </c>
      <c r="J523" s="11">
        <v>10</v>
      </c>
      <c r="K523" s="11">
        <v>2</v>
      </c>
      <c r="L523" s="11">
        <v>5</v>
      </c>
      <c r="M523" s="15">
        <v>1</v>
      </c>
      <c r="R523" s="20">
        <v>1</v>
      </c>
      <c r="U523" s="17">
        <v>1</v>
      </c>
      <c r="W523" s="23">
        <v>1</v>
      </c>
      <c r="Y523" s="26">
        <v>1</v>
      </c>
    </row>
    <row r="524" spans="1:25" x14ac:dyDescent="0.25">
      <c r="A524" s="7">
        <v>16</v>
      </c>
      <c r="B524" s="6" t="s">
        <v>13</v>
      </c>
      <c r="C524" s="32">
        <v>4.7</v>
      </c>
      <c r="D524" s="6" t="s">
        <v>14</v>
      </c>
      <c r="E524" s="29">
        <v>8.1999999999999993</v>
      </c>
      <c r="F524" s="13">
        <v>2.7</v>
      </c>
      <c r="G524" s="31">
        <v>3.04</v>
      </c>
      <c r="H524" s="13">
        <v>0.3</v>
      </c>
      <c r="I524" s="6" t="s">
        <v>18</v>
      </c>
      <c r="J524" s="11">
        <v>1</v>
      </c>
      <c r="K524" s="11">
        <v>3</v>
      </c>
      <c r="L524" s="11">
        <v>4</v>
      </c>
      <c r="M524" s="15">
        <v>1</v>
      </c>
      <c r="R524" s="20">
        <v>1</v>
      </c>
      <c r="U524" s="17">
        <v>1</v>
      </c>
      <c r="W524" s="23">
        <v>1</v>
      </c>
      <c r="Y524" s="26">
        <v>1</v>
      </c>
    </row>
    <row r="525" spans="1:25" x14ac:dyDescent="0.25">
      <c r="A525" s="7">
        <v>18</v>
      </c>
      <c r="B525" s="6" t="s">
        <v>16</v>
      </c>
      <c r="C525" s="32">
        <v>4.4000000000000004</v>
      </c>
      <c r="D525" s="6" t="s">
        <v>20</v>
      </c>
      <c r="E525" s="29">
        <v>5.0999999999999996</v>
      </c>
      <c r="F525" s="13">
        <v>1.4</v>
      </c>
      <c r="G525" s="31">
        <v>2.33</v>
      </c>
      <c r="H525" s="13">
        <v>0.6</v>
      </c>
      <c r="I525" s="6" t="s">
        <v>15</v>
      </c>
      <c r="J525" s="11">
        <v>2</v>
      </c>
      <c r="K525" s="11">
        <v>7</v>
      </c>
      <c r="L525" s="11">
        <v>4</v>
      </c>
      <c r="M525" s="15">
        <v>1</v>
      </c>
      <c r="R525" s="20">
        <v>1</v>
      </c>
      <c r="U525" s="17">
        <v>1</v>
      </c>
      <c r="W525" s="23">
        <v>1</v>
      </c>
      <c r="Y525" s="26">
        <v>1</v>
      </c>
    </row>
    <row r="526" spans="1:25" x14ac:dyDescent="0.25">
      <c r="A526" s="7">
        <v>14</v>
      </c>
      <c r="B526" s="6" t="s">
        <v>16</v>
      </c>
      <c r="C526" s="32">
        <v>2.2999999999999998</v>
      </c>
      <c r="D526" s="6" t="s">
        <v>17</v>
      </c>
      <c r="E526" s="29">
        <v>7.3</v>
      </c>
      <c r="F526" s="13">
        <v>2.2999999999999998</v>
      </c>
      <c r="G526" s="31">
        <v>2.8</v>
      </c>
      <c r="H526" s="13">
        <v>1.5</v>
      </c>
      <c r="I526" s="6" t="s">
        <v>19</v>
      </c>
      <c r="J526" s="11">
        <v>4</v>
      </c>
      <c r="K526" s="11">
        <v>6</v>
      </c>
      <c r="L526" s="11">
        <v>5</v>
      </c>
      <c r="M526" s="15">
        <v>1</v>
      </c>
      <c r="R526" s="20">
        <v>1</v>
      </c>
      <c r="U526" s="17">
        <v>1</v>
      </c>
      <c r="W526" s="23">
        <v>1</v>
      </c>
      <c r="Y526" s="26">
        <v>1</v>
      </c>
    </row>
    <row r="527" spans="1:25" x14ac:dyDescent="0.25">
      <c r="A527" s="7">
        <v>14</v>
      </c>
      <c r="B527" s="6" t="s">
        <v>16</v>
      </c>
      <c r="C527" s="32">
        <v>3.1</v>
      </c>
      <c r="D527" s="6" t="s">
        <v>14</v>
      </c>
      <c r="E527" s="29">
        <v>6.9</v>
      </c>
      <c r="F527" s="13">
        <v>1.9</v>
      </c>
      <c r="G527" s="31">
        <v>2.2000000000000002</v>
      </c>
      <c r="H527" s="13">
        <v>1.2</v>
      </c>
      <c r="I527" s="6" t="s">
        <v>19</v>
      </c>
      <c r="J527" s="11">
        <v>3</v>
      </c>
      <c r="K527" s="11">
        <v>4</v>
      </c>
      <c r="L527" s="11">
        <v>2</v>
      </c>
      <c r="M527" s="15">
        <v>1</v>
      </c>
      <c r="R527" s="20">
        <v>1</v>
      </c>
      <c r="U527" s="17">
        <v>1</v>
      </c>
      <c r="W527" s="23">
        <v>1</v>
      </c>
      <c r="Y527" s="26">
        <v>1</v>
      </c>
    </row>
    <row r="528" spans="1:25" x14ac:dyDescent="0.25">
      <c r="A528" s="7">
        <v>18</v>
      </c>
      <c r="B528" s="6" t="s">
        <v>13</v>
      </c>
      <c r="C528" s="32">
        <v>2.9</v>
      </c>
      <c r="D528" s="6" t="s">
        <v>17</v>
      </c>
      <c r="E528" s="29">
        <v>7.5</v>
      </c>
      <c r="F528" s="13">
        <v>0.6</v>
      </c>
      <c r="G528" s="31">
        <v>2.25</v>
      </c>
      <c r="H528" s="13">
        <v>1</v>
      </c>
      <c r="I528" s="6" t="s">
        <v>18</v>
      </c>
      <c r="J528" s="11">
        <v>4</v>
      </c>
      <c r="K528" s="11">
        <v>7</v>
      </c>
      <c r="L528" s="11">
        <v>4</v>
      </c>
      <c r="M528" s="15">
        <v>1</v>
      </c>
      <c r="R528" s="20">
        <v>1</v>
      </c>
      <c r="U528" s="17">
        <v>1</v>
      </c>
      <c r="W528" s="23">
        <v>1</v>
      </c>
      <c r="Y528" s="26">
        <v>1</v>
      </c>
    </row>
    <row r="529" spans="1:25" x14ac:dyDescent="0.25">
      <c r="A529" s="7">
        <v>13</v>
      </c>
      <c r="B529" s="6" t="s">
        <v>13</v>
      </c>
      <c r="C529" s="32">
        <v>1.8</v>
      </c>
      <c r="D529" s="6" t="s">
        <v>14</v>
      </c>
      <c r="E529" s="29">
        <v>4.4000000000000004</v>
      </c>
      <c r="F529" s="13">
        <v>0.6</v>
      </c>
      <c r="G529" s="31">
        <v>3.48</v>
      </c>
      <c r="H529" s="13">
        <v>1.7</v>
      </c>
      <c r="I529" s="6" t="s">
        <v>19</v>
      </c>
      <c r="J529" s="11">
        <v>3</v>
      </c>
      <c r="K529" s="11">
        <v>1</v>
      </c>
      <c r="L529" s="11">
        <v>10</v>
      </c>
      <c r="M529" s="15">
        <v>1</v>
      </c>
      <c r="R529" s="20">
        <v>1</v>
      </c>
      <c r="U529" s="17">
        <v>1</v>
      </c>
      <c r="W529" s="23">
        <v>1</v>
      </c>
      <c r="Y529" s="26">
        <v>1</v>
      </c>
    </row>
    <row r="530" spans="1:25" x14ac:dyDescent="0.25">
      <c r="A530" s="7">
        <v>15</v>
      </c>
      <c r="B530" s="6" t="s">
        <v>16</v>
      </c>
      <c r="C530" s="32">
        <v>2</v>
      </c>
      <c r="D530" s="6" t="s">
        <v>14</v>
      </c>
      <c r="E530" s="29">
        <v>4.7</v>
      </c>
      <c r="F530" s="13">
        <v>1.3</v>
      </c>
      <c r="G530" s="31">
        <v>3.55</v>
      </c>
      <c r="H530" s="13">
        <v>1.3</v>
      </c>
      <c r="I530" s="6" t="s">
        <v>15</v>
      </c>
      <c r="J530" s="11">
        <v>2</v>
      </c>
      <c r="K530" s="11">
        <v>6</v>
      </c>
      <c r="L530" s="11">
        <v>5</v>
      </c>
      <c r="M530" s="15">
        <v>1</v>
      </c>
      <c r="R530" s="20">
        <v>1</v>
      </c>
      <c r="U530" s="17">
        <v>1</v>
      </c>
      <c r="W530" s="23">
        <v>1</v>
      </c>
      <c r="Y530" s="26">
        <v>1</v>
      </c>
    </row>
    <row r="531" spans="1:25" x14ac:dyDescent="0.25">
      <c r="A531" s="7">
        <v>13</v>
      </c>
      <c r="B531" s="6" t="s">
        <v>16</v>
      </c>
      <c r="C531" s="32">
        <v>4.2</v>
      </c>
      <c r="D531" s="6" t="s">
        <v>14</v>
      </c>
      <c r="E531" s="29">
        <v>7.9</v>
      </c>
      <c r="F531" s="13">
        <v>2.7</v>
      </c>
      <c r="G531" s="31">
        <v>3.76</v>
      </c>
      <c r="H531" s="13">
        <v>0.1</v>
      </c>
      <c r="I531" s="6" t="s">
        <v>19</v>
      </c>
      <c r="J531" s="11">
        <v>10</v>
      </c>
      <c r="K531" s="11">
        <v>7</v>
      </c>
      <c r="L531" s="11">
        <v>2</v>
      </c>
      <c r="M531" s="15">
        <v>1</v>
      </c>
      <c r="R531" s="20">
        <v>1</v>
      </c>
      <c r="U531" s="17">
        <v>1</v>
      </c>
      <c r="W531" s="23">
        <v>1</v>
      </c>
      <c r="Y531" s="26">
        <v>1</v>
      </c>
    </row>
    <row r="532" spans="1:25" x14ac:dyDescent="0.25">
      <c r="A532" s="7">
        <v>17</v>
      </c>
      <c r="B532" s="6" t="s">
        <v>16</v>
      </c>
      <c r="C532" s="32">
        <v>6.7</v>
      </c>
      <c r="D532" s="6" t="s">
        <v>20</v>
      </c>
      <c r="E532" s="29">
        <v>7.9</v>
      </c>
      <c r="F532" s="13">
        <v>1.4</v>
      </c>
      <c r="G532" s="31">
        <v>3.91</v>
      </c>
      <c r="H532" s="13">
        <v>0.4</v>
      </c>
      <c r="I532" s="6" t="s">
        <v>18</v>
      </c>
      <c r="J532" s="11">
        <v>3</v>
      </c>
      <c r="K532" s="11">
        <v>3</v>
      </c>
      <c r="L532" s="11">
        <v>1</v>
      </c>
      <c r="M532" s="15">
        <v>1</v>
      </c>
      <c r="R532" s="20">
        <v>1</v>
      </c>
      <c r="U532" s="17">
        <v>1</v>
      </c>
      <c r="W532" s="23">
        <v>1</v>
      </c>
      <c r="Y532" s="26">
        <v>1</v>
      </c>
    </row>
    <row r="533" spans="1:25" x14ac:dyDescent="0.25">
      <c r="A533" s="7">
        <v>17</v>
      </c>
      <c r="B533" s="6" t="s">
        <v>16</v>
      </c>
      <c r="C533" s="32">
        <v>2.2000000000000002</v>
      </c>
      <c r="D533" s="6" t="s">
        <v>20</v>
      </c>
      <c r="E533" s="29">
        <v>7.2</v>
      </c>
      <c r="F533" s="13">
        <v>0.5</v>
      </c>
      <c r="G533" s="31">
        <v>2.38</v>
      </c>
      <c r="H533" s="13">
        <v>1.2</v>
      </c>
      <c r="I533" s="6" t="s">
        <v>19</v>
      </c>
      <c r="J533" s="11">
        <v>10</v>
      </c>
      <c r="K533" s="11">
        <v>4</v>
      </c>
      <c r="L533" s="11">
        <v>8</v>
      </c>
      <c r="M533" s="15">
        <v>1</v>
      </c>
      <c r="R533" s="20">
        <v>1</v>
      </c>
      <c r="U533" s="17">
        <v>1</v>
      </c>
      <c r="W533" s="23">
        <v>1</v>
      </c>
      <c r="Y533" s="26">
        <v>1</v>
      </c>
    </row>
    <row r="534" spans="1:25" x14ac:dyDescent="0.25">
      <c r="A534" s="7">
        <v>17</v>
      </c>
      <c r="B534" s="6" t="s">
        <v>16</v>
      </c>
      <c r="C534" s="32">
        <v>1.1000000000000001</v>
      </c>
      <c r="D534" s="6" t="s">
        <v>17</v>
      </c>
      <c r="E534" s="29">
        <v>6.8</v>
      </c>
      <c r="F534" s="13">
        <v>0.6</v>
      </c>
      <c r="G534" s="31">
        <v>2.2799999999999998</v>
      </c>
      <c r="H534" s="13">
        <v>1.6</v>
      </c>
      <c r="I534" s="6" t="s">
        <v>19</v>
      </c>
      <c r="J534" s="11">
        <v>9</v>
      </c>
      <c r="K534" s="11">
        <v>3</v>
      </c>
      <c r="L534" s="11">
        <v>7</v>
      </c>
      <c r="M534" s="15">
        <v>1</v>
      </c>
      <c r="R534" s="20">
        <v>1</v>
      </c>
      <c r="U534" s="17">
        <v>1</v>
      </c>
      <c r="W534" s="23">
        <v>1</v>
      </c>
      <c r="Y534" s="26">
        <v>1</v>
      </c>
    </row>
    <row r="535" spans="1:25" x14ac:dyDescent="0.25">
      <c r="A535" s="7">
        <v>16</v>
      </c>
      <c r="B535" s="6" t="s">
        <v>16</v>
      </c>
      <c r="C535" s="32">
        <v>6.4</v>
      </c>
      <c r="D535" s="6" t="s">
        <v>17</v>
      </c>
      <c r="E535" s="29">
        <v>5.9</v>
      </c>
      <c r="F535" s="13">
        <v>2.8</v>
      </c>
      <c r="G535" s="31">
        <v>3.81</v>
      </c>
      <c r="H535" s="13">
        <v>1.3</v>
      </c>
      <c r="I535" s="6" t="s">
        <v>18</v>
      </c>
      <c r="J535" s="11">
        <v>1</v>
      </c>
      <c r="K535" s="11">
        <v>3</v>
      </c>
      <c r="L535" s="11">
        <v>7</v>
      </c>
      <c r="M535" s="15">
        <v>1</v>
      </c>
      <c r="R535" s="20">
        <v>1</v>
      </c>
      <c r="U535" s="17">
        <v>1</v>
      </c>
      <c r="W535" s="23">
        <v>1</v>
      </c>
      <c r="Y535" s="26">
        <v>1</v>
      </c>
    </row>
    <row r="536" spans="1:25" x14ac:dyDescent="0.25">
      <c r="A536" s="7">
        <v>19</v>
      </c>
      <c r="B536" s="6" t="s">
        <v>16</v>
      </c>
      <c r="C536" s="32">
        <v>2.8</v>
      </c>
      <c r="D536" s="6" t="s">
        <v>14</v>
      </c>
      <c r="E536" s="29">
        <v>5.9</v>
      </c>
      <c r="F536" s="13">
        <v>1.5</v>
      </c>
      <c r="G536" s="31">
        <v>2.85</v>
      </c>
      <c r="H536" s="13">
        <v>0.6</v>
      </c>
      <c r="I536" s="6" t="s">
        <v>18</v>
      </c>
      <c r="J536" s="11">
        <v>10</v>
      </c>
      <c r="K536" s="11">
        <v>9</v>
      </c>
      <c r="L536" s="11">
        <v>4</v>
      </c>
      <c r="M536" s="15">
        <v>1</v>
      </c>
      <c r="R536" s="20">
        <v>1</v>
      </c>
      <c r="U536" s="17">
        <v>1</v>
      </c>
      <c r="W536" s="23">
        <v>1</v>
      </c>
      <c r="Y536" s="26">
        <v>1</v>
      </c>
    </row>
    <row r="537" spans="1:25" x14ac:dyDescent="0.25">
      <c r="A537" s="7">
        <v>13</v>
      </c>
      <c r="B537" s="6" t="s">
        <v>13</v>
      </c>
      <c r="C537" s="32">
        <v>2.2000000000000002</v>
      </c>
      <c r="D537" s="6" t="s">
        <v>20</v>
      </c>
      <c r="E537" s="29">
        <v>5.8</v>
      </c>
      <c r="F537" s="13">
        <v>2</v>
      </c>
      <c r="G537" s="31">
        <v>3.63</v>
      </c>
      <c r="H537" s="13">
        <v>1.9</v>
      </c>
      <c r="I537" s="6" t="s">
        <v>15</v>
      </c>
      <c r="J537" s="11">
        <v>4</v>
      </c>
      <c r="K537" s="11">
        <v>4</v>
      </c>
      <c r="L537" s="11">
        <v>10</v>
      </c>
      <c r="M537" s="15">
        <v>1</v>
      </c>
      <c r="R537" s="20">
        <v>1</v>
      </c>
      <c r="U537" s="17">
        <v>1</v>
      </c>
      <c r="W537" s="23">
        <v>1</v>
      </c>
      <c r="Y537" s="26">
        <v>1</v>
      </c>
    </row>
    <row r="538" spans="1:25" x14ac:dyDescent="0.25">
      <c r="A538" s="7">
        <v>19</v>
      </c>
      <c r="B538" s="6" t="s">
        <v>13</v>
      </c>
      <c r="C538" s="32">
        <v>5.7</v>
      </c>
      <c r="D538" s="6" t="s">
        <v>14</v>
      </c>
      <c r="E538" s="29">
        <v>4.8</v>
      </c>
      <c r="F538" s="13">
        <v>2.2000000000000002</v>
      </c>
      <c r="G538" s="31">
        <v>3.66</v>
      </c>
      <c r="H538" s="13">
        <v>0.9</v>
      </c>
      <c r="I538" s="6" t="s">
        <v>15</v>
      </c>
      <c r="J538" s="11">
        <v>3</v>
      </c>
      <c r="K538" s="11">
        <v>7</v>
      </c>
      <c r="L538" s="11">
        <v>5</v>
      </c>
      <c r="M538" s="15">
        <v>1</v>
      </c>
      <c r="R538" s="20">
        <v>1</v>
      </c>
      <c r="U538" s="17">
        <v>1</v>
      </c>
      <c r="W538" s="23">
        <v>1</v>
      </c>
      <c r="Y538" s="26">
        <v>1</v>
      </c>
    </row>
    <row r="539" spans="1:25" x14ac:dyDescent="0.25">
      <c r="A539" s="7">
        <v>15</v>
      </c>
      <c r="B539" s="6" t="s">
        <v>13</v>
      </c>
      <c r="C539" s="32">
        <v>5.3</v>
      </c>
      <c r="D539" s="6" t="s">
        <v>20</v>
      </c>
      <c r="E539" s="29">
        <v>7.3</v>
      </c>
      <c r="F539" s="13">
        <v>1.9</v>
      </c>
      <c r="G539" s="31">
        <v>2.5099999999999998</v>
      </c>
      <c r="H539" s="13">
        <v>1.4</v>
      </c>
      <c r="I539" s="6" t="s">
        <v>18</v>
      </c>
      <c r="J539" s="11">
        <v>10</v>
      </c>
      <c r="K539" s="11">
        <v>4</v>
      </c>
      <c r="L539" s="11">
        <v>2</v>
      </c>
      <c r="M539" s="15">
        <v>1</v>
      </c>
      <c r="R539" s="20">
        <v>1</v>
      </c>
      <c r="U539" s="17">
        <v>1</v>
      </c>
      <c r="W539" s="23">
        <v>1</v>
      </c>
      <c r="Y539" s="26">
        <v>1</v>
      </c>
    </row>
    <row r="540" spans="1:25" x14ac:dyDescent="0.25">
      <c r="A540" s="7">
        <v>14</v>
      </c>
      <c r="B540" s="6" t="s">
        <v>13</v>
      </c>
      <c r="C540" s="32">
        <v>3.1</v>
      </c>
      <c r="D540" s="6" t="s">
        <v>17</v>
      </c>
      <c r="E540" s="29">
        <v>8.8000000000000007</v>
      </c>
      <c r="F540" s="13">
        <v>1.5</v>
      </c>
      <c r="G540" s="31">
        <v>3.91</v>
      </c>
      <c r="H540" s="13">
        <v>0.6</v>
      </c>
      <c r="I540" s="6" t="s">
        <v>19</v>
      </c>
      <c r="J540" s="11">
        <v>4</v>
      </c>
      <c r="K540" s="11">
        <v>9</v>
      </c>
      <c r="L540" s="11">
        <v>6</v>
      </c>
      <c r="M540" s="15">
        <v>1</v>
      </c>
      <c r="R540" s="20">
        <v>1</v>
      </c>
      <c r="U540" s="17">
        <v>1</v>
      </c>
      <c r="W540" s="23">
        <v>1</v>
      </c>
      <c r="Y540" s="26">
        <v>1</v>
      </c>
    </row>
    <row r="541" spans="1:25" x14ac:dyDescent="0.25">
      <c r="A541" s="7">
        <v>16</v>
      </c>
      <c r="B541" s="6" t="s">
        <v>13</v>
      </c>
      <c r="C541" s="32">
        <v>1.7</v>
      </c>
      <c r="D541" s="6" t="s">
        <v>17</v>
      </c>
      <c r="E541" s="29">
        <v>4.9000000000000004</v>
      </c>
      <c r="F541" s="13">
        <v>0.6</v>
      </c>
      <c r="G541" s="31">
        <v>3.38</v>
      </c>
      <c r="H541" s="13">
        <v>1.1000000000000001</v>
      </c>
      <c r="I541" s="6" t="s">
        <v>19</v>
      </c>
      <c r="J541" s="11">
        <v>10</v>
      </c>
      <c r="K541" s="11">
        <v>4</v>
      </c>
      <c r="L541" s="11">
        <v>6</v>
      </c>
      <c r="M541" s="15">
        <v>1</v>
      </c>
      <c r="R541" s="20">
        <v>1</v>
      </c>
      <c r="U541" s="17">
        <v>1</v>
      </c>
      <c r="W541" s="23">
        <v>1</v>
      </c>
      <c r="Y541" s="26">
        <v>1</v>
      </c>
    </row>
    <row r="542" spans="1:25" x14ac:dyDescent="0.25">
      <c r="A542" s="7">
        <v>19</v>
      </c>
      <c r="B542" s="6" t="s">
        <v>16</v>
      </c>
      <c r="C542" s="32">
        <v>6.7</v>
      </c>
      <c r="D542" s="6" t="s">
        <v>14</v>
      </c>
      <c r="E542" s="29">
        <v>7.3</v>
      </c>
      <c r="F542" s="13">
        <v>2.8</v>
      </c>
      <c r="G542" s="31">
        <v>2.2599999999999998</v>
      </c>
      <c r="H542" s="13">
        <v>1.4</v>
      </c>
      <c r="I542" s="6" t="s">
        <v>18</v>
      </c>
      <c r="J542" s="11">
        <v>7</v>
      </c>
      <c r="K542" s="11">
        <v>6</v>
      </c>
      <c r="L542" s="11">
        <v>8</v>
      </c>
      <c r="M542" s="15">
        <v>1</v>
      </c>
      <c r="R542" s="20">
        <v>1</v>
      </c>
      <c r="U542" s="17">
        <v>1</v>
      </c>
      <c r="W542" s="23">
        <v>1</v>
      </c>
      <c r="Y542" s="26">
        <v>1</v>
      </c>
    </row>
    <row r="543" spans="1:25" x14ac:dyDescent="0.25">
      <c r="A543" s="7">
        <v>13</v>
      </c>
      <c r="B543" s="6" t="s">
        <v>16</v>
      </c>
      <c r="C543" s="32">
        <v>7.8</v>
      </c>
      <c r="D543" s="6" t="s">
        <v>14</v>
      </c>
      <c r="E543" s="29">
        <v>7.4</v>
      </c>
      <c r="F543" s="13">
        <v>1.7</v>
      </c>
      <c r="G543" s="31">
        <v>2.76</v>
      </c>
      <c r="H543" s="13">
        <v>1.1000000000000001</v>
      </c>
      <c r="I543" s="6" t="s">
        <v>15</v>
      </c>
      <c r="J543" s="11">
        <v>10</v>
      </c>
      <c r="K543" s="11">
        <v>1</v>
      </c>
      <c r="L543" s="11">
        <v>4</v>
      </c>
      <c r="M543" s="15">
        <v>1</v>
      </c>
      <c r="R543" s="20">
        <v>1</v>
      </c>
      <c r="U543" s="17">
        <v>1</v>
      </c>
      <c r="W543" s="23">
        <v>1</v>
      </c>
      <c r="Y543" s="26">
        <v>1</v>
      </c>
    </row>
    <row r="544" spans="1:25" x14ac:dyDescent="0.25">
      <c r="A544" s="7">
        <v>18</v>
      </c>
      <c r="B544" s="6" t="s">
        <v>16</v>
      </c>
      <c r="C544" s="32">
        <v>2.1</v>
      </c>
      <c r="D544" s="6" t="s">
        <v>20</v>
      </c>
      <c r="E544" s="29">
        <v>6.7</v>
      </c>
      <c r="F544" s="13">
        <v>0.9</v>
      </c>
      <c r="G544" s="31">
        <v>3.73</v>
      </c>
      <c r="H544" s="13">
        <v>0.7</v>
      </c>
      <c r="I544" s="6" t="s">
        <v>15</v>
      </c>
      <c r="J544" s="11">
        <v>3</v>
      </c>
      <c r="K544" s="11">
        <v>5</v>
      </c>
      <c r="L544" s="11">
        <v>7</v>
      </c>
      <c r="M544" s="15">
        <v>1</v>
      </c>
      <c r="R544" s="20">
        <v>1</v>
      </c>
      <c r="U544" s="17">
        <v>1</v>
      </c>
      <c r="W544" s="23">
        <v>1</v>
      </c>
      <c r="Y544" s="26">
        <v>1</v>
      </c>
    </row>
    <row r="545" spans="1:25" x14ac:dyDescent="0.25">
      <c r="A545" s="7">
        <v>17</v>
      </c>
      <c r="B545" s="6" t="s">
        <v>16</v>
      </c>
      <c r="C545" s="32">
        <v>5.0999999999999996</v>
      </c>
      <c r="D545" s="6" t="s">
        <v>17</v>
      </c>
      <c r="E545" s="29">
        <v>8.6</v>
      </c>
      <c r="F545" s="13">
        <v>1.9</v>
      </c>
      <c r="G545" s="31">
        <v>3.33</v>
      </c>
      <c r="H545" s="13">
        <v>1.1000000000000001</v>
      </c>
      <c r="I545" s="6" t="s">
        <v>15</v>
      </c>
      <c r="J545" s="11">
        <v>1</v>
      </c>
      <c r="K545" s="11">
        <v>7</v>
      </c>
      <c r="L545" s="11">
        <v>8</v>
      </c>
      <c r="M545" s="15">
        <v>1</v>
      </c>
      <c r="R545" s="20">
        <v>1</v>
      </c>
      <c r="U545" s="17">
        <v>1</v>
      </c>
      <c r="W545" s="23">
        <v>1</v>
      </c>
      <c r="Y545" s="26">
        <v>1</v>
      </c>
    </row>
    <row r="546" spans="1:25" x14ac:dyDescent="0.25">
      <c r="A546" s="7">
        <v>18</v>
      </c>
      <c r="B546" s="6" t="s">
        <v>16</v>
      </c>
      <c r="C546" s="32">
        <v>3.6</v>
      </c>
      <c r="D546" s="6" t="s">
        <v>14</v>
      </c>
      <c r="E546" s="29">
        <v>5.4</v>
      </c>
      <c r="F546" s="13">
        <v>0.9</v>
      </c>
      <c r="G546" s="31">
        <v>3.45</v>
      </c>
      <c r="H546" s="13">
        <v>0.5</v>
      </c>
      <c r="I546" s="6" t="s">
        <v>19</v>
      </c>
      <c r="J546" s="11">
        <v>1</v>
      </c>
      <c r="K546" s="11">
        <v>10</v>
      </c>
      <c r="L546" s="11">
        <v>2</v>
      </c>
      <c r="M546" s="15">
        <v>1</v>
      </c>
      <c r="R546" s="20">
        <v>1</v>
      </c>
      <c r="U546" s="17">
        <v>1</v>
      </c>
      <c r="W546" s="23">
        <v>1</v>
      </c>
      <c r="Y546" s="26">
        <v>1</v>
      </c>
    </row>
    <row r="547" spans="1:25" x14ac:dyDescent="0.25">
      <c r="A547" s="7">
        <v>18</v>
      </c>
      <c r="B547" s="6" t="s">
        <v>13</v>
      </c>
      <c r="C547" s="32">
        <v>5</v>
      </c>
      <c r="D547" s="6" t="s">
        <v>20</v>
      </c>
      <c r="E547" s="29">
        <v>7.6</v>
      </c>
      <c r="F547" s="13">
        <v>2</v>
      </c>
      <c r="G547" s="31">
        <v>3.94</v>
      </c>
      <c r="H547" s="13">
        <v>0.5</v>
      </c>
      <c r="I547" s="6" t="s">
        <v>15</v>
      </c>
      <c r="J547" s="11">
        <v>4</v>
      </c>
      <c r="K547" s="11">
        <v>3</v>
      </c>
      <c r="L547" s="11">
        <v>3</v>
      </c>
      <c r="M547" s="15">
        <v>1</v>
      </c>
      <c r="R547" s="20">
        <v>1</v>
      </c>
      <c r="U547" s="17">
        <v>1</v>
      </c>
      <c r="W547" s="23">
        <v>1</v>
      </c>
      <c r="Y547" s="26">
        <v>1</v>
      </c>
    </row>
    <row r="548" spans="1:25" x14ac:dyDescent="0.25">
      <c r="A548" s="7">
        <v>17</v>
      </c>
      <c r="B548" s="6" t="s">
        <v>13</v>
      </c>
      <c r="C548" s="32">
        <v>1.7</v>
      </c>
      <c r="D548" s="6" t="s">
        <v>20</v>
      </c>
      <c r="E548" s="29">
        <v>8.6</v>
      </c>
      <c r="F548" s="13">
        <v>0.9</v>
      </c>
      <c r="G548" s="31">
        <v>2.36</v>
      </c>
      <c r="H548" s="13">
        <v>1.7</v>
      </c>
      <c r="I548" s="6" t="s">
        <v>15</v>
      </c>
      <c r="J548" s="11">
        <v>9</v>
      </c>
      <c r="K548" s="11">
        <v>1</v>
      </c>
      <c r="L548" s="11">
        <v>3</v>
      </c>
      <c r="M548" s="15">
        <v>1</v>
      </c>
      <c r="R548" s="20">
        <v>1</v>
      </c>
      <c r="U548" s="17">
        <v>1</v>
      </c>
      <c r="W548" s="23">
        <v>1</v>
      </c>
      <c r="Y548" s="26">
        <v>1</v>
      </c>
    </row>
    <row r="549" spans="1:25" x14ac:dyDescent="0.25">
      <c r="A549" s="7">
        <v>17</v>
      </c>
      <c r="B549" s="6" t="s">
        <v>13</v>
      </c>
      <c r="C549" s="32">
        <v>6.8</v>
      </c>
      <c r="D549" s="6" t="s">
        <v>14</v>
      </c>
      <c r="E549" s="29">
        <v>4.7</v>
      </c>
      <c r="F549" s="13">
        <v>0.6</v>
      </c>
      <c r="G549" s="31">
        <v>3.4</v>
      </c>
      <c r="H549" s="13">
        <v>0.9</v>
      </c>
      <c r="I549" s="6" t="s">
        <v>15</v>
      </c>
      <c r="J549" s="11">
        <v>3</v>
      </c>
      <c r="K549" s="11">
        <v>9</v>
      </c>
      <c r="L549" s="11">
        <v>7</v>
      </c>
      <c r="M549" s="15">
        <v>1</v>
      </c>
      <c r="R549" s="20">
        <v>1</v>
      </c>
      <c r="U549" s="17">
        <v>1</v>
      </c>
      <c r="W549" s="23">
        <v>1</v>
      </c>
      <c r="Y549" s="26">
        <v>1</v>
      </c>
    </row>
    <row r="550" spans="1:25" x14ac:dyDescent="0.25">
      <c r="A550" s="7">
        <v>14</v>
      </c>
      <c r="B550" s="6" t="s">
        <v>13</v>
      </c>
      <c r="C550" s="32">
        <v>3.8</v>
      </c>
      <c r="D550" s="6" t="s">
        <v>20</v>
      </c>
      <c r="E550" s="29">
        <v>7.5</v>
      </c>
      <c r="F550" s="13">
        <v>0.5</v>
      </c>
      <c r="G550" s="31">
        <v>2.1800000000000002</v>
      </c>
      <c r="H550" s="13">
        <v>1</v>
      </c>
      <c r="I550" s="6" t="s">
        <v>19</v>
      </c>
      <c r="J550" s="11">
        <v>5</v>
      </c>
      <c r="K550" s="11">
        <v>2</v>
      </c>
      <c r="L550" s="11">
        <v>2</v>
      </c>
      <c r="M550" s="15">
        <v>1</v>
      </c>
      <c r="R550" s="20">
        <v>1</v>
      </c>
      <c r="U550" s="17">
        <v>1</v>
      </c>
      <c r="W550" s="23">
        <v>1</v>
      </c>
      <c r="Y550" s="26">
        <v>1</v>
      </c>
    </row>
    <row r="551" spans="1:25" x14ac:dyDescent="0.25">
      <c r="A551" s="7">
        <v>16</v>
      </c>
      <c r="B551" s="6" t="s">
        <v>13</v>
      </c>
      <c r="C551" s="32">
        <v>2.1</v>
      </c>
      <c r="D551" s="6" t="s">
        <v>14</v>
      </c>
      <c r="E551" s="29">
        <v>7.7</v>
      </c>
      <c r="F551" s="13">
        <v>1.1000000000000001</v>
      </c>
      <c r="G551" s="31">
        <v>2.27</v>
      </c>
      <c r="H551" s="13">
        <v>1.1000000000000001</v>
      </c>
      <c r="I551" s="6" t="s">
        <v>19</v>
      </c>
      <c r="J551" s="11">
        <v>3</v>
      </c>
      <c r="K551" s="11">
        <v>2</v>
      </c>
      <c r="L551" s="11">
        <v>4</v>
      </c>
      <c r="M551" s="15">
        <v>1</v>
      </c>
      <c r="R551" s="20">
        <v>1</v>
      </c>
      <c r="U551" s="17">
        <v>1</v>
      </c>
      <c r="W551" s="23">
        <v>1</v>
      </c>
      <c r="Y551" s="26">
        <v>1</v>
      </c>
    </row>
    <row r="552" spans="1:25" x14ac:dyDescent="0.25">
      <c r="A552" s="7">
        <v>15</v>
      </c>
      <c r="B552" s="6" t="s">
        <v>16</v>
      </c>
      <c r="C552" s="32">
        <v>3.2</v>
      </c>
      <c r="D552" s="6" t="s">
        <v>14</v>
      </c>
      <c r="E552" s="29">
        <v>4</v>
      </c>
      <c r="F552" s="13">
        <v>2</v>
      </c>
      <c r="G552" s="31">
        <v>3.25</v>
      </c>
      <c r="H552" s="13">
        <v>0.7</v>
      </c>
      <c r="I552" s="6" t="s">
        <v>15</v>
      </c>
      <c r="J552" s="11">
        <v>8</v>
      </c>
      <c r="K552" s="11">
        <v>4</v>
      </c>
      <c r="L552" s="11">
        <v>8</v>
      </c>
      <c r="M552" s="15">
        <v>1</v>
      </c>
      <c r="R552" s="20">
        <v>1</v>
      </c>
      <c r="U552" s="17">
        <v>1</v>
      </c>
      <c r="W552" s="23">
        <v>1</v>
      </c>
      <c r="Y552" s="26">
        <v>1</v>
      </c>
    </row>
    <row r="553" spans="1:25" x14ac:dyDescent="0.25">
      <c r="A553" s="7">
        <v>18</v>
      </c>
      <c r="B553" s="6" t="s">
        <v>13</v>
      </c>
      <c r="C553" s="32">
        <v>1.9</v>
      </c>
      <c r="D553" s="6" t="s">
        <v>14</v>
      </c>
      <c r="E553" s="29">
        <v>5.6</v>
      </c>
      <c r="F553" s="13">
        <v>2.2999999999999998</v>
      </c>
      <c r="G553" s="31">
        <v>2.8</v>
      </c>
      <c r="H553" s="13">
        <v>1.9</v>
      </c>
      <c r="I553" s="6" t="s">
        <v>19</v>
      </c>
      <c r="J553" s="11">
        <v>8</v>
      </c>
      <c r="K553" s="11">
        <v>1</v>
      </c>
      <c r="L553" s="11">
        <v>8</v>
      </c>
      <c r="M553" s="15">
        <v>1</v>
      </c>
      <c r="R553" s="20">
        <v>1</v>
      </c>
      <c r="U553" s="17">
        <v>1</v>
      </c>
      <c r="W553" s="23">
        <v>1</v>
      </c>
      <c r="Y553" s="26">
        <v>1</v>
      </c>
    </row>
    <row r="554" spans="1:25" x14ac:dyDescent="0.25">
      <c r="A554" s="7">
        <v>13</v>
      </c>
      <c r="B554" s="6" t="s">
        <v>16</v>
      </c>
      <c r="C554" s="32">
        <v>3.5</v>
      </c>
      <c r="D554" s="6" t="s">
        <v>14</v>
      </c>
      <c r="E554" s="29">
        <v>6.8</v>
      </c>
      <c r="F554" s="13">
        <v>1.5</v>
      </c>
      <c r="G554" s="31">
        <v>2.35</v>
      </c>
      <c r="H554" s="13">
        <v>1.8</v>
      </c>
      <c r="I554" s="6" t="s">
        <v>19</v>
      </c>
      <c r="J554" s="11">
        <v>7</v>
      </c>
      <c r="K554" s="11">
        <v>3</v>
      </c>
      <c r="L554" s="11">
        <v>2</v>
      </c>
      <c r="M554" s="15">
        <v>-1</v>
      </c>
      <c r="R554" s="20">
        <v>-1</v>
      </c>
      <c r="U554" s="17">
        <v>-1</v>
      </c>
      <c r="W554" s="23">
        <v>-1</v>
      </c>
      <c r="Y554" s="26">
        <v>-1</v>
      </c>
    </row>
    <row r="555" spans="1:25" x14ac:dyDescent="0.25">
      <c r="A555" s="7">
        <v>15</v>
      </c>
      <c r="B555" s="6" t="s">
        <v>16</v>
      </c>
      <c r="C555" s="32">
        <v>4.5</v>
      </c>
      <c r="D555" s="6" t="s">
        <v>14</v>
      </c>
      <c r="E555" s="29">
        <v>7.7</v>
      </c>
      <c r="F555" s="13">
        <v>0.9</v>
      </c>
      <c r="G555" s="31">
        <v>2.61</v>
      </c>
      <c r="H555" s="13">
        <v>1.1000000000000001</v>
      </c>
      <c r="I555" s="6" t="s">
        <v>19</v>
      </c>
      <c r="J555" s="11">
        <v>9</v>
      </c>
      <c r="K555" s="11">
        <v>10</v>
      </c>
      <c r="L555" s="11">
        <v>4</v>
      </c>
      <c r="M555" s="15">
        <v>-1</v>
      </c>
      <c r="R555" s="20">
        <v>-1</v>
      </c>
      <c r="U555" s="17">
        <v>-1</v>
      </c>
      <c r="W555" s="23">
        <v>-1</v>
      </c>
      <c r="Y555" s="26">
        <v>-1</v>
      </c>
    </row>
    <row r="556" spans="1:25" x14ac:dyDescent="0.25">
      <c r="A556" s="7">
        <v>13</v>
      </c>
      <c r="B556" s="6" t="s">
        <v>16</v>
      </c>
      <c r="C556" s="32">
        <v>6</v>
      </c>
      <c r="D556" s="6" t="s">
        <v>17</v>
      </c>
      <c r="E556" s="29">
        <v>5</v>
      </c>
      <c r="F556" s="13">
        <v>2.5</v>
      </c>
      <c r="G556" s="31">
        <v>2.5499999999999998</v>
      </c>
      <c r="H556" s="13">
        <v>1.8</v>
      </c>
      <c r="I556" s="6" t="s">
        <v>18</v>
      </c>
      <c r="J556" s="11">
        <v>4</v>
      </c>
      <c r="K556" s="11">
        <v>9</v>
      </c>
      <c r="L556" s="11">
        <v>2</v>
      </c>
      <c r="M556" s="15">
        <v>-1</v>
      </c>
      <c r="R556" s="20">
        <v>-1</v>
      </c>
      <c r="U556" s="17">
        <v>-1</v>
      </c>
      <c r="W556" s="23">
        <v>-1</v>
      </c>
      <c r="Y556" s="26">
        <v>-1</v>
      </c>
    </row>
    <row r="557" spans="1:25" x14ac:dyDescent="0.25">
      <c r="A557" s="7">
        <v>13</v>
      </c>
      <c r="B557" s="6" t="s">
        <v>16</v>
      </c>
      <c r="C557" s="32">
        <v>3.6</v>
      </c>
      <c r="D557" s="6" t="s">
        <v>17</v>
      </c>
      <c r="E557" s="29">
        <v>4.8</v>
      </c>
      <c r="F557" s="13">
        <v>2.2000000000000002</v>
      </c>
      <c r="G557" s="31">
        <v>3.58</v>
      </c>
      <c r="H557" s="13">
        <v>1.2</v>
      </c>
      <c r="I557" s="6" t="s">
        <v>19</v>
      </c>
      <c r="J557" s="11">
        <v>4</v>
      </c>
      <c r="K557" s="11">
        <v>4</v>
      </c>
      <c r="L557" s="11">
        <v>7</v>
      </c>
      <c r="M557" s="15">
        <v>1</v>
      </c>
      <c r="R557" s="20">
        <v>1</v>
      </c>
      <c r="U557" s="17">
        <v>1</v>
      </c>
      <c r="W557" s="23">
        <v>1</v>
      </c>
      <c r="Y557" s="26">
        <v>1</v>
      </c>
    </row>
    <row r="558" spans="1:25" x14ac:dyDescent="0.25">
      <c r="A558" s="7">
        <v>19</v>
      </c>
      <c r="B558" s="6" t="s">
        <v>13</v>
      </c>
      <c r="C558" s="32">
        <v>5.2</v>
      </c>
      <c r="D558" s="6" t="s">
        <v>17</v>
      </c>
      <c r="E558" s="29">
        <v>6.9</v>
      </c>
      <c r="F558" s="13">
        <v>2.2999999999999998</v>
      </c>
      <c r="G558" s="31">
        <v>2.09</v>
      </c>
      <c r="H558" s="13">
        <v>0.2</v>
      </c>
      <c r="I558" s="6" t="s">
        <v>18</v>
      </c>
      <c r="J558" s="11">
        <v>6</v>
      </c>
      <c r="K558" s="11">
        <v>4</v>
      </c>
      <c r="L558" s="11">
        <v>8</v>
      </c>
      <c r="M558" s="15">
        <v>1</v>
      </c>
      <c r="R558" s="20">
        <v>1</v>
      </c>
      <c r="U558" s="17">
        <v>1</v>
      </c>
      <c r="W558" s="23">
        <v>1</v>
      </c>
      <c r="Y558" s="26">
        <v>1</v>
      </c>
    </row>
    <row r="559" spans="1:25" x14ac:dyDescent="0.25">
      <c r="A559" s="7">
        <v>13</v>
      </c>
      <c r="B559" s="6" t="s">
        <v>13</v>
      </c>
      <c r="C559" s="32">
        <v>2.7</v>
      </c>
      <c r="D559" s="6" t="s">
        <v>20</v>
      </c>
      <c r="E559" s="29">
        <v>6.9</v>
      </c>
      <c r="F559" s="13">
        <v>1.4</v>
      </c>
      <c r="G559" s="31">
        <v>2.87</v>
      </c>
      <c r="H559" s="13">
        <v>1.5</v>
      </c>
      <c r="I559" s="6" t="s">
        <v>15</v>
      </c>
      <c r="J559" s="11">
        <v>2</v>
      </c>
      <c r="K559" s="11">
        <v>6</v>
      </c>
      <c r="L559" s="11">
        <v>3</v>
      </c>
      <c r="M559" s="15">
        <v>1</v>
      </c>
      <c r="R559" s="20">
        <v>1</v>
      </c>
      <c r="U559" s="17">
        <v>1</v>
      </c>
      <c r="W559" s="23">
        <v>1</v>
      </c>
      <c r="Y559" s="26">
        <v>1</v>
      </c>
    </row>
    <row r="560" spans="1:25" x14ac:dyDescent="0.25">
      <c r="A560" s="7">
        <v>16</v>
      </c>
      <c r="B560" s="6" t="s">
        <v>16</v>
      </c>
      <c r="C560" s="32">
        <v>2.8</v>
      </c>
      <c r="D560" s="6" t="s">
        <v>17</v>
      </c>
      <c r="E560" s="29">
        <v>7.1</v>
      </c>
      <c r="F560" s="13">
        <v>1.4</v>
      </c>
      <c r="G560" s="31">
        <v>3.85</v>
      </c>
      <c r="H560" s="13">
        <v>0.4</v>
      </c>
      <c r="I560" s="6" t="s">
        <v>18</v>
      </c>
      <c r="J560" s="11">
        <v>7</v>
      </c>
      <c r="K560" s="11">
        <v>9</v>
      </c>
      <c r="L560" s="11">
        <v>8</v>
      </c>
      <c r="M560" s="15">
        <v>1</v>
      </c>
      <c r="R560" s="20">
        <v>1</v>
      </c>
      <c r="U560" s="17">
        <v>1</v>
      </c>
      <c r="W560" s="23">
        <v>1</v>
      </c>
      <c r="Y560" s="26">
        <v>1</v>
      </c>
    </row>
    <row r="561" spans="1:25" x14ac:dyDescent="0.25">
      <c r="A561" s="7">
        <v>14</v>
      </c>
      <c r="B561" s="6" t="s">
        <v>13</v>
      </c>
      <c r="C561" s="32">
        <v>5.6</v>
      </c>
      <c r="D561" s="6" t="s">
        <v>14</v>
      </c>
      <c r="E561" s="29">
        <v>7</v>
      </c>
      <c r="F561" s="13">
        <v>1.9</v>
      </c>
      <c r="G561" s="31">
        <v>2.58</v>
      </c>
      <c r="H561" s="13">
        <v>0.4</v>
      </c>
      <c r="I561" s="6" t="s">
        <v>15</v>
      </c>
      <c r="J561" s="11">
        <v>5</v>
      </c>
      <c r="K561" s="11">
        <v>7</v>
      </c>
      <c r="L561" s="11">
        <v>3</v>
      </c>
      <c r="M561" s="15">
        <v>1</v>
      </c>
      <c r="R561" s="20">
        <v>1</v>
      </c>
      <c r="U561" s="17">
        <v>1</v>
      </c>
      <c r="W561" s="23">
        <v>1</v>
      </c>
      <c r="Y561" s="26">
        <v>1</v>
      </c>
    </row>
    <row r="562" spans="1:25" x14ac:dyDescent="0.25">
      <c r="A562" s="7">
        <v>16</v>
      </c>
      <c r="B562" s="6" t="s">
        <v>13</v>
      </c>
      <c r="C562" s="32">
        <v>2.7</v>
      </c>
      <c r="D562" s="6" t="s">
        <v>20</v>
      </c>
      <c r="E562" s="29">
        <v>7.2</v>
      </c>
      <c r="F562" s="13">
        <v>0.6</v>
      </c>
      <c r="G562" s="31">
        <v>3.98</v>
      </c>
      <c r="H562" s="13">
        <v>1.7</v>
      </c>
      <c r="I562" s="6" t="s">
        <v>15</v>
      </c>
      <c r="J562" s="11">
        <v>6</v>
      </c>
      <c r="K562" s="11">
        <v>1</v>
      </c>
      <c r="L562" s="11">
        <v>5</v>
      </c>
      <c r="M562" s="15">
        <v>1</v>
      </c>
      <c r="R562" s="20">
        <v>1</v>
      </c>
      <c r="U562" s="17">
        <v>1</v>
      </c>
      <c r="W562" s="23">
        <v>1</v>
      </c>
      <c r="Y562" s="26">
        <v>1</v>
      </c>
    </row>
    <row r="563" spans="1:25" x14ac:dyDescent="0.25">
      <c r="A563" s="7">
        <v>14</v>
      </c>
      <c r="B563" s="6" t="s">
        <v>13</v>
      </c>
      <c r="C563" s="32">
        <v>4.2</v>
      </c>
      <c r="D563" s="6" t="s">
        <v>20</v>
      </c>
      <c r="E563" s="29">
        <v>7</v>
      </c>
      <c r="F563" s="13">
        <v>1.1000000000000001</v>
      </c>
      <c r="G563" s="31">
        <v>2.12</v>
      </c>
      <c r="H563" s="13">
        <v>0.9</v>
      </c>
      <c r="I563" s="6" t="s">
        <v>18</v>
      </c>
      <c r="J563" s="11">
        <v>4</v>
      </c>
      <c r="K563" s="11">
        <v>8</v>
      </c>
      <c r="L563" s="11">
        <v>1</v>
      </c>
      <c r="M563" s="15">
        <v>1</v>
      </c>
      <c r="R563" s="20">
        <v>1</v>
      </c>
      <c r="U563" s="17">
        <v>1</v>
      </c>
      <c r="W563" s="23">
        <v>1</v>
      </c>
      <c r="Y563" s="26">
        <v>1</v>
      </c>
    </row>
    <row r="564" spans="1:25" x14ac:dyDescent="0.25">
      <c r="A564" s="7">
        <v>18</v>
      </c>
      <c r="B564" s="6" t="s">
        <v>16</v>
      </c>
      <c r="C564" s="32">
        <v>5.0999999999999996</v>
      </c>
      <c r="D564" s="6" t="s">
        <v>17</v>
      </c>
      <c r="E564" s="29">
        <v>8.1999999999999993</v>
      </c>
      <c r="F564" s="13">
        <v>2.8</v>
      </c>
      <c r="G564" s="31">
        <v>2.1800000000000002</v>
      </c>
      <c r="H564" s="13">
        <v>0.5</v>
      </c>
      <c r="I564" s="6" t="s">
        <v>18</v>
      </c>
      <c r="J564" s="11">
        <v>8</v>
      </c>
      <c r="K564" s="11">
        <v>8</v>
      </c>
      <c r="L564" s="11">
        <v>8</v>
      </c>
      <c r="M564" s="15">
        <v>1</v>
      </c>
      <c r="R564" s="20">
        <v>1</v>
      </c>
      <c r="U564" s="17">
        <v>1</v>
      </c>
      <c r="W564" s="23">
        <v>1</v>
      </c>
      <c r="Y564" s="26">
        <v>1</v>
      </c>
    </row>
    <row r="565" spans="1:25" x14ac:dyDescent="0.25">
      <c r="A565" s="7">
        <v>15</v>
      </c>
      <c r="B565" s="6" t="s">
        <v>16</v>
      </c>
      <c r="C565" s="32">
        <v>5.7</v>
      </c>
      <c r="D565" s="6" t="s">
        <v>14</v>
      </c>
      <c r="E565" s="29">
        <v>6.1</v>
      </c>
      <c r="F565" s="13">
        <v>0.7</v>
      </c>
      <c r="G565" s="31">
        <v>3.08</v>
      </c>
      <c r="H565" s="13">
        <v>0.6</v>
      </c>
      <c r="I565" s="6" t="s">
        <v>19</v>
      </c>
      <c r="J565" s="11">
        <v>5</v>
      </c>
      <c r="K565" s="11">
        <v>9</v>
      </c>
      <c r="L565" s="11">
        <v>7</v>
      </c>
      <c r="M565" s="15">
        <v>1</v>
      </c>
      <c r="R565" s="20">
        <v>1</v>
      </c>
      <c r="U565" s="17">
        <v>1</v>
      </c>
      <c r="W565" s="23">
        <v>1</v>
      </c>
      <c r="Y565" s="26">
        <v>1</v>
      </c>
    </row>
    <row r="566" spans="1:25" x14ac:dyDescent="0.25">
      <c r="A566" s="7">
        <v>13</v>
      </c>
      <c r="B566" s="6" t="s">
        <v>16</v>
      </c>
      <c r="C566" s="32">
        <v>1.5</v>
      </c>
      <c r="D566" s="6" t="s">
        <v>20</v>
      </c>
      <c r="E566" s="29">
        <v>7.9</v>
      </c>
      <c r="F566" s="13">
        <v>1.8</v>
      </c>
      <c r="G566" s="31">
        <v>2.85</v>
      </c>
      <c r="H566" s="13">
        <v>1.1000000000000001</v>
      </c>
      <c r="I566" s="6" t="s">
        <v>19</v>
      </c>
      <c r="J566" s="11">
        <v>5</v>
      </c>
      <c r="K566" s="11">
        <v>7</v>
      </c>
      <c r="L566" s="11">
        <v>1</v>
      </c>
      <c r="M566" s="15">
        <v>1</v>
      </c>
      <c r="R566" s="20">
        <v>1</v>
      </c>
      <c r="U566" s="17">
        <v>1</v>
      </c>
      <c r="W566" s="23">
        <v>1</v>
      </c>
      <c r="Y566" s="26">
        <v>1</v>
      </c>
    </row>
    <row r="567" spans="1:25" x14ac:dyDescent="0.25">
      <c r="A567" s="7">
        <v>15</v>
      </c>
      <c r="B567" s="6" t="s">
        <v>16</v>
      </c>
      <c r="C567" s="32">
        <v>6.9</v>
      </c>
      <c r="D567" s="6" t="s">
        <v>17</v>
      </c>
      <c r="E567" s="29">
        <v>8.3000000000000007</v>
      </c>
      <c r="F567" s="13">
        <v>2.4</v>
      </c>
      <c r="G567" s="31">
        <v>3.34</v>
      </c>
      <c r="H567" s="13">
        <v>1.2</v>
      </c>
      <c r="I567" s="6" t="s">
        <v>18</v>
      </c>
      <c r="J567" s="11">
        <v>2</v>
      </c>
      <c r="K567" s="11">
        <v>4</v>
      </c>
      <c r="L567" s="11">
        <v>9</v>
      </c>
      <c r="M567" s="15">
        <v>1</v>
      </c>
      <c r="R567" s="20">
        <v>1</v>
      </c>
      <c r="U567" s="17">
        <v>1</v>
      </c>
      <c r="W567" s="23">
        <v>1</v>
      </c>
      <c r="Y567" s="26">
        <v>1</v>
      </c>
    </row>
    <row r="568" spans="1:25" x14ac:dyDescent="0.25">
      <c r="A568" s="7">
        <v>14</v>
      </c>
      <c r="B568" s="6" t="s">
        <v>13</v>
      </c>
      <c r="C568" s="32">
        <v>4.7</v>
      </c>
      <c r="D568" s="6" t="s">
        <v>17</v>
      </c>
      <c r="E568" s="29">
        <v>7.9</v>
      </c>
      <c r="F568" s="13">
        <v>2.9</v>
      </c>
      <c r="G568" s="31">
        <v>2.54</v>
      </c>
      <c r="H568" s="13">
        <v>0.7</v>
      </c>
      <c r="I568" s="6" t="s">
        <v>18</v>
      </c>
      <c r="J568" s="11">
        <v>5</v>
      </c>
      <c r="K568" s="11">
        <v>8</v>
      </c>
      <c r="L568" s="11">
        <v>7</v>
      </c>
      <c r="M568" s="15">
        <v>1</v>
      </c>
      <c r="R568" s="20">
        <v>1</v>
      </c>
      <c r="U568" s="17">
        <v>1</v>
      </c>
      <c r="W568" s="23">
        <v>1</v>
      </c>
      <c r="Y568" s="26">
        <v>1</v>
      </c>
    </row>
    <row r="569" spans="1:25" x14ac:dyDescent="0.25">
      <c r="A569" s="7">
        <v>15</v>
      </c>
      <c r="B569" s="6" t="s">
        <v>16</v>
      </c>
      <c r="C569" s="32">
        <v>2.7</v>
      </c>
      <c r="D569" s="6" t="s">
        <v>20</v>
      </c>
      <c r="E569" s="29">
        <v>8.5</v>
      </c>
      <c r="F569" s="13">
        <v>0.8</v>
      </c>
      <c r="G569" s="31">
        <v>2.91</v>
      </c>
      <c r="H569" s="13">
        <v>1.3</v>
      </c>
      <c r="I569" s="6" t="s">
        <v>15</v>
      </c>
      <c r="J569" s="11">
        <v>6</v>
      </c>
      <c r="K569" s="11">
        <v>3</v>
      </c>
      <c r="L569" s="11">
        <v>1</v>
      </c>
      <c r="M569" s="15">
        <v>1</v>
      </c>
      <c r="R569" s="20">
        <v>1</v>
      </c>
      <c r="U569" s="17">
        <v>1</v>
      </c>
      <c r="W569" s="23">
        <v>1</v>
      </c>
      <c r="Y569" s="26">
        <v>1</v>
      </c>
    </row>
    <row r="570" spans="1:25" x14ac:dyDescent="0.25">
      <c r="A570" s="7">
        <v>13</v>
      </c>
      <c r="B570" s="6" t="s">
        <v>16</v>
      </c>
      <c r="C570" s="32">
        <v>6.1</v>
      </c>
      <c r="D570" s="6" t="s">
        <v>20</v>
      </c>
      <c r="E570" s="29">
        <v>6.4</v>
      </c>
      <c r="F570" s="13">
        <v>2.8</v>
      </c>
      <c r="G570" s="31">
        <v>2.5099999999999998</v>
      </c>
      <c r="H570" s="13">
        <v>1.9</v>
      </c>
      <c r="I570" s="6" t="s">
        <v>15</v>
      </c>
      <c r="J570" s="11">
        <v>6</v>
      </c>
      <c r="K570" s="11">
        <v>1</v>
      </c>
      <c r="L570" s="11">
        <v>9</v>
      </c>
      <c r="M570" s="15">
        <v>1</v>
      </c>
      <c r="R570" s="20">
        <v>1</v>
      </c>
      <c r="U570" s="17">
        <v>1</v>
      </c>
      <c r="W570" s="23">
        <v>1</v>
      </c>
      <c r="Y570" s="26">
        <v>1</v>
      </c>
    </row>
    <row r="571" spans="1:25" x14ac:dyDescent="0.25">
      <c r="A571" s="7">
        <v>17</v>
      </c>
      <c r="B571" s="6" t="s">
        <v>16</v>
      </c>
      <c r="C571" s="32">
        <v>5</v>
      </c>
      <c r="D571" s="6" t="s">
        <v>17</v>
      </c>
      <c r="E571" s="29">
        <v>7.3</v>
      </c>
      <c r="F571" s="13">
        <v>1.9</v>
      </c>
      <c r="G571" s="31">
        <v>3.83</v>
      </c>
      <c r="H571" s="13">
        <v>0.4</v>
      </c>
      <c r="I571" s="6" t="s">
        <v>18</v>
      </c>
      <c r="J571" s="11">
        <v>8</v>
      </c>
      <c r="K571" s="11">
        <v>9</v>
      </c>
      <c r="L571" s="11">
        <v>9</v>
      </c>
      <c r="M571" s="15">
        <v>1</v>
      </c>
      <c r="R571" s="20">
        <v>1</v>
      </c>
      <c r="U571" s="17">
        <v>1</v>
      </c>
      <c r="W571" s="23">
        <v>1</v>
      </c>
      <c r="Y571" s="26">
        <v>1</v>
      </c>
    </row>
    <row r="572" spans="1:25" x14ac:dyDescent="0.25">
      <c r="A572" s="7">
        <v>17</v>
      </c>
      <c r="B572" s="6" t="s">
        <v>16</v>
      </c>
      <c r="C572" s="32">
        <v>5.3</v>
      </c>
      <c r="D572" s="6" t="s">
        <v>20</v>
      </c>
      <c r="E572" s="29">
        <v>6.8</v>
      </c>
      <c r="F572" s="13">
        <v>1.9</v>
      </c>
      <c r="G572" s="31">
        <v>3.39</v>
      </c>
      <c r="H572" s="13">
        <v>1.6</v>
      </c>
      <c r="I572" s="6" t="s">
        <v>15</v>
      </c>
      <c r="J572" s="11">
        <v>10</v>
      </c>
      <c r="K572" s="11">
        <v>6</v>
      </c>
      <c r="L572" s="11">
        <v>8</v>
      </c>
      <c r="M572" s="15">
        <v>1</v>
      </c>
      <c r="R572" s="20">
        <v>1</v>
      </c>
      <c r="U572" s="17">
        <v>1</v>
      </c>
      <c r="W572" s="23">
        <v>1</v>
      </c>
      <c r="Y572" s="26">
        <v>1</v>
      </c>
    </row>
    <row r="573" spans="1:25" x14ac:dyDescent="0.25">
      <c r="A573" s="7">
        <v>19</v>
      </c>
      <c r="B573" s="6" t="s">
        <v>13</v>
      </c>
      <c r="C573" s="32">
        <v>7.2</v>
      </c>
      <c r="D573" s="6" t="s">
        <v>17</v>
      </c>
      <c r="E573" s="29">
        <v>6.6</v>
      </c>
      <c r="F573" s="13">
        <v>2.9</v>
      </c>
      <c r="G573" s="31">
        <v>2.74</v>
      </c>
      <c r="H573" s="13">
        <v>0.3</v>
      </c>
      <c r="I573" s="6" t="s">
        <v>19</v>
      </c>
      <c r="J573" s="11">
        <v>1</v>
      </c>
      <c r="K573" s="11">
        <v>10</v>
      </c>
      <c r="L573" s="11">
        <v>9</v>
      </c>
      <c r="M573" s="15">
        <v>0</v>
      </c>
      <c r="R573" s="20">
        <v>0</v>
      </c>
      <c r="U573" s="17">
        <v>0</v>
      </c>
      <c r="W573" s="23">
        <v>0</v>
      </c>
      <c r="Y573" s="26">
        <v>0</v>
      </c>
    </row>
    <row r="574" spans="1:25" x14ac:dyDescent="0.25">
      <c r="A574" s="7">
        <v>15</v>
      </c>
      <c r="B574" s="6" t="s">
        <v>13</v>
      </c>
      <c r="C574" s="32">
        <v>2.2999999999999998</v>
      </c>
      <c r="D574" s="6" t="s">
        <v>20</v>
      </c>
      <c r="E574" s="29">
        <v>5.7</v>
      </c>
      <c r="F574" s="13">
        <v>2.8</v>
      </c>
      <c r="G574" s="31">
        <v>2.79</v>
      </c>
      <c r="H574" s="13">
        <v>1.9</v>
      </c>
      <c r="I574" s="6" t="s">
        <v>19</v>
      </c>
      <c r="J574" s="11">
        <v>4</v>
      </c>
      <c r="K574" s="11">
        <v>1</v>
      </c>
      <c r="L574" s="11">
        <v>4</v>
      </c>
      <c r="M574" s="15">
        <v>0</v>
      </c>
      <c r="R574" s="20">
        <v>0</v>
      </c>
      <c r="U574" s="17">
        <v>0</v>
      </c>
      <c r="W574" s="23">
        <v>0</v>
      </c>
      <c r="Y574" s="26">
        <v>0</v>
      </c>
    </row>
    <row r="575" spans="1:25" x14ac:dyDescent="0.25">
      <c r="A575" s="7">
        <v>17</v>
      </c>
      <c r="B575" s="6" t="s">
        <v>16</v>
      </c>
      <c r="C575" s="32">
        <v>7.3</v>
      </c>
      <c r="D575" s="6" t="s">
        <v>20</v>
      </c>
      <c r="E575" s="29">
        <v>7.8</v>
      </c>
      <c r="F575" s="13">
        <v>1.1000000000000001</v>
      </c>
      <c r="G575" s="31">
        <v>2.0299999999999998</v>
      </c>
      <c r="H575" s="13">
        <v>1.1000000000000001</v>
      </c>
      <c r="I575" s="6" t="s">
        <v>15</v>
      </c>
      <c r="J575" s="11">
        <v>3</v>
      </c>
      <c r="K575" s="11">
        <v>10</v>
      </c>
      <c r="L575" s="11">
        <v>6</v>
      </c>
      <c r="M575" s="15">
        <v>1</v>
      </c>
      <c r="R575" s="20">
        <v>1</v>
      </c>
      <c r="U575" s="17">
        <v>1</v>
      </c>
      <c r="W575" s="23">
        <v>1</v>
      </c>
      <c r="Y575" s="26">
        <v>1</v>
      </c>
    </row>
    <row r="576" spans="1:25" x14ac:dyDescent="0.25">
      <c r="A576" s="7">
        <v>16</v>
      </c>
      <c r="B576" s="6" t="s">
        <v>16</v>
      </c>
      <c r="C576" s="32">
        <v>1.5</v>
      </c>
      <c r="D576" s="6" t="s">
        <v>14</v>
      </c>
      <c r="E576" s="29">
        <v>8</v>
      </c>
      <c r="F576" s="13">
        <v>0.7</v>
      </c>
      <c r="G576" s="31">
        <v>2.1800000000000002</v>
      </c>
      <c r="H576" s="13">
        <v>0.6</v>
      </c>
      <c r="I576" s="6" t="s">
        <v>19</v>
      </c>
      <c r="J576" s="11">
        <v>4</v>
      </c>
      <c r="K576" s="11">
        <v>7</v>
      </c>
      <c r="L576" s="11">
        <v>5</v>
      </c>
      <c r="M576" s="15">
        <v>1</v>
      </c>
      <c r="R576" s="20">
        <v>1</v>
      </c>
      <c r="U576" s="17">
        <v>1</v>
      </c>
      <c r="W576" s="23">
        <v>1</v>
      </c>
      <c r="Y576" s="26">
        <v>1</v>
      </c>
    </row>
    <row r="577" spans="1:25" x14ac:dyDescent="0.25">
      <c r="A577" s="7">
        <v>18</v>
      </c>
      <c r="B577" s="6" t="s">
        <v>16</v>
      </c>
      <c r="C577" s="32">
        <v>2.2000000000000002</v>
      </c>
      <c r="D577" s="6" t="s">
        <v>14</v>
      </c>
      <c r="E577" s="29">
        <v>6.5</v>
      </c>
      <c r="F577" s="13">
        <v>1.9</v>
      </c>
      <c r="G577" s="31">
        <v>3.79</v>
      </c>
      <c r="H577" s="13">
        <v>0.2</v>
      </c>
      <c r="I577" s="6" t="s">
        <v>15</v>
      </c>
      <c r="J577" s="11">
        <v>1</v>
      </c>
      <c r="K577" s="11">
        <v>6</v>
      </c>
      <c r="L577" s="11">
        <v>2</v>
      </c>
      <c r="M577" s="15">
        <v>1</v>
      </c>
      <c r="R577" s="20">
        <v>1</v>
      </c>
      <c r="U577" s="17">
        <v>1</v>
      </c>
      <c r="W577" s="23">
        <v>1</v>
      </c>
      <c r="Y577" s="26">
        <v>1</v>
      </c>
    </row>
    <row r="578" spans="1:25" x14ac:dyDescent="0.25">
      <c r="A578" s="7">
        <v>13</v>
      </c>
      <c r="B578" s="6" t="s">
        <v>16</v>
      </c>
      <c r="C578" s="32">
        <v>5.5</v>
      </c>
      <c r="D578" s="6" t="s">
        <v>20</v>
      </c>
      <c r="E578" s="29">
        <v>6.7</v>
      </c>
      <c r="F578" s="13">
        <v>1.6</v>
      </c>
      <c r="G578" s="31">
        <v>3.09</v>
      </c>
      <c r="H578" s="13">
        <v>1.7</v>
      </c>
      <c r="I578" s="6" t="s">
        <v>18</v>
      </c>
      <c r="J578" s="11">
        <v>10</v>
      </c>
      <c r="K578" s="11">
        <v>1</v>
      </c>
      <c r="L578" s="11">
        <v>6</v>
      </c>
      <c r="M578" s="15">
        <v>1</v>
      </c>
      <c r="R578" s="20">
        <v>1</v>
      </c>
      <c r="U578" s="17">
        <v>1</v>
      </c>
      <c r="W578" s="23">
        <v>1</v>
      </c>
      <c r="Y578" s="26">
        <v>1</v>
      </c>
    </row>
    <row r="579" spans="1:25" x14ac:dyDescent="0.25">
      <c r="A579" s="7">
        <v>19</v>
      </c>
      <c r="B579" s="6" t="s">
        <v>13</v>
      </c>
      <c r="C579" s="32">
        <v>2.1</v>
      </c>
      <c r="D579" s="6" t="s">
        <v>17</v>
      </c>
      <c r="E579" s="29">
        <v>5.2</v>
      </c>
      <c r="F579" s="13">
        <v>2.5</v>
      </c>
      <c r="G579" s="31">
        <v>3.1</v>
      </c>
      <c r="H579" s="13">
        <v>0.3</v>
      </c>
      <c r="I579" s="6" t="s">
        <v>15</v>
      </c>
      <c r="J579" s="11">
        <v>9</v>
      </c>
      <c r="K579" s="11">
        <v>9</v>
      </c>
      <c r="L579" s="11">
        <v>3</v>
      </c>
      <c r="M579" s="15">
        <v>1</v>
      </c>
      <c r="R579" s="20">
        <v>1</v>
      </c>
      <c r="U579" s="17">
        <v>1</v>
      </c>
      <c r="W579" s="23">
        <v>1</v>
      </c>
      <c r="Y579" s="26">
        <v>1</v>
      </c>
    </row>
    <row r="580" spans="1:25" x14ac:dyDescent="0.25">
      <c r="A580" s="7">
        <v>15</v>
      </c>
      <c r="B580" s="6" t="s">
        <v>16</v>
      </c>
      <c r="C580" s="32">
        <v>4.5</v>
      </c>
      <c r="D580" s="6" t="s">
        <v>20</v>
      </c>
      <c r="E580" s="29">
        <v>5.4</v>
      </c>
      <c r="F580" s="13">
        <v>1.2</v>
      </c>
      <c r="G580" s="31">
        <v>3.76</v>
      </c>
      <c r="H580" s="13">
        <v>1.7</v>
      </c>
      <c r="I580" s="6" t="s">
        <v>18</v>
      </c>
      <c r="J580" s="11">
        <v>1</v>
      </c>
      <c r="K580" s="11">
        <v>8</v>
      </c>
      <c r="L580" s="11">
        <v>7</v>
      </c>
      <c r="M580" s="15">
        <v>1</v>
      </c>
      <c r="R580" s="20">
        <v>1</v>
      </c>
      <c r="U580" s="17">
        <v>1</v>
      </c>
      <c r="W580" s="23">
        <v>1</v>
      </c>
      <c r="Y580" s="26">
        <v>1</v>
      </c>
    </row>
    <row r="581" spans="1:25" x14ac:dyDescent="0.25">
      <c r="A581" s="7">
        <v>13</v>
      </c>
      <c r="B581" s="6" t="s">
        <v>13</v>
      </c>
      <c r="C581" s="32">
        <v>3.9</v>
      </c>
      <c r="D581" s="6" t="s">
        <v>20</v>
      </c>
      <c r="E581" s="29">
        <v>5.8</v>
      </c>
      <c r="F581" s="13">
        <v>0.7</v>
      </c>
      <c r="G581" s="31">
        <v>2.77</v>
      </c>
      <c r="H581" s="13">
        <v>1.3</v>
      </c>
      <c r="I581" s="6" t="s">
        <v>19</v>
      </c>
      <c r="J581" s="11">
        <v>10</v>
      </c>
      <c r="K581" s="11">
        <v>3</v>
      </c>
      <c r="L581" s="11">
        <v>1</v>
      </c>
      <c r="M581" s="15">
        <v>1</v>
      </c>
      <c r="R581" s="20">
        <v>1</v>
      </c>
      <c r="U581" s="17">
        <v>1</v>
      </c>
      <c r="W581" s="23">
        <v>1</v>
      </c>
      <c r="Y581" s="26">
        <v>1</v>
      </c>
    </row>
    <row r="582" spans="1:25" x14ac:dyDescent="0.25">
      <c r="A582" s="7">
        <v>14</v>
      </c>
      <c r="B582" s="6" t="s">
        <v>13</v>
      </c>
      <c r="C582" s="32">
        <v>5.8</v>
      </c>
      <c r="D582" s="6" t="s">
        <v>14</v>
      </c>
      <c r="E582" s="29">
        <v>5.0999999999999996</v>
      </c>
      <c r="F582" s="13">
        <v>2.6</v>
      </c>
      <c r="G582" s="31">
        <v>2.06</v>
      </c>
      <c r="H582" s="13">
        <v>1.5</v>
      </c>
      <c r="I582" s="6" t="s">
        <v>19</v>
      </c>
      <c r="J582" s="11">
        <v>7</v>
      </c>
      <c r="K582" s="11">
        <v>5</v>
      </c>
      <c r="L582" s="11">
        <v>2</v>
      </c>
      <c r="M582" s="15">
        <v>1</v>
      </c>
      <c r="R582" s="20">
        <v>1</v>
      </c>
      <c r="U582" s="17">
        <v>1</v>
      </c>
      <c r="W582" s="23">
        <v>1</v>
      </c>
      <c r="Y582" s="26">
        <v>1</v>
      </c>
    </row>
    <row r="583" spans="1:25" x14ac:dyDescent="0.25">
      <c r="A583" s="7">
        <v>13</v>
      </c>
      <c r="B583" s="6" t="s">
        <v>16</v>
      </c>
      <c r="C583" s="32">
        <v>7.2</v>
      </c>
      <c r="D583" s="6" t="s">
        <v>20</v>
      </c>
      <c r="E583" s="29">
        <v>4.2</v>
      </c>
      <c r="F583" s="13">
        <v>2.5</v>
      </c>
      <c r="G583" s="31">
        <v>2.65</v>
      </c>
      <c r="H583" s="13">
        <v>1.6</v>
      </c>
      <c r="I583" s="6" t="s">
        <v>15</v>
      </c>
      <c r="J583" s="11">
        <v>10</v>
      </c>
      <c r="K583" s="11">
        <v>9</v>
      </c>
      <c r="L583" s="11">
        <v>3</v>
      </c>
      <c r="M583" s="15">
        <v>1</v>
      </c>
      <c r="R583" s="20">
        <v>1</v>
      </c>
      <c r="U583" s="17">
        <v>1</v>
      </c>
      <c r="W583" s="23">
        <v>1</v>
      </c>
      <c r="Y583" s="26">
        <v>1</v>
      </c>
    </row>
    <row r="584" spans="1:25" x14ac:dyDescent="0.25">
      <c r="A584" s="7">
        <v>17</v>
      </c>
      <c r="B584" s="6" t="s">
        <v>16</v>
      </c>
      <c r="C584" s="32">
        <v>2.9</v>
      </c>
      <c r="D584" s="6" t="s">
        <v>20</v>
      </c>
      <c r="E584" s="29">
        <v>7.5</v>
      </c>
      <c r="F584" s="13">
        <v>1.4</v>
      </c>
      <c r="G584" s="31">
        <v>3.42</v>
      </c>
      <c r="H584" s="13">
        <v>1.7</v>
      </c>
      <c r="I584" s="6" t="s">
        <v>15</v>
      </c>
      <c r="J584" s="11">
        <v>5</v>
      </c>
      <c r="K584" s="11">
        <v>6</v>
      </c>
      <c r="L584" s="11">
        <v>3</v>
      </c>
      <c r="M584" s="15">
        <v>1</v>
      </c>
      <c r="R584" s="20">
        <v>1</v>
      </c>
      <c r="U584" s="17">
        <v>1</v>
      </c>
      <c r="W584" s="23">
        <v>1</v>
      </c>
      <c r="Y584" s="26">
        <v>1</v>
      </c>
    </row>
    <row r="585" spans="1:25" x14ac:dyDescent="0.25">
      <c r="A585" s="7">
        <v>17</v>
      </c>
      <c r="B585" s="6" t="s">
        <v>13</v>
      </c>
      <c r="C585" s="32">
        <v>6.2</v>
      </c>
      <c r="D585" s="6" t="s">
        <v>14</v>
      </c>
      <c r="E585" s="29">
        <v>7.4</v>
      </c>
      <c r="F585" s="13">
        <v>0.6</v>
      </c>
      <c r="G585" s="31">
        <v>3.38</v>
      </c>
      <c r="H585" s="13">
        <v>1.5</v>
      </c>
      <c r="I585" s="6" t="s">
        <v>15</v>
      </c>
      <c r="J585" s="11">
        <v>4</v>
      </c>
      <c r="K585" s="11">
        <v>7</v>
      </c>
      <c r="L585" s="11">
        <v>9</v>
      </c>
      <c r="M585" s="15">
        <v>0</v>
      </c>
      <c r="R585" s="20">
        <v>0</v>
      </c>
      <c r="U585" s="17">
        <v>0</v>
      </c>
      <c r="W585" s="23">
        <v>0</v>
      </c>
      <c r="Y585" s="26">
        <v>0</v>
      </c>
    </row>
    <row r="586" spans="1:25" x14ac:dyDescent="0.25">
      <c r="A586" s="7">
        <v>18</v>
      </c>
      <c r="B586" s="6" t="s">
        <v>16</v>
      </c>
      <c r="C586" s="32">
        <v>1.1000000000000001</v>
      </c>
      <c r="D586" s="6" t="s">
        <v>20</v>
      </c>
      <c r="E586" s="29">
        <v>4.9000000000000004</v>
      </c>
      <c r="F586" s="13">
        <v>2.6</v>
      </c>
      <c r="G586" s="31">
        <v>2.4300000000000002</v>
      </c>
      <c r="H586" s="13">
        <v>1.3</v>
      </c>
      <c r="I586" s="6" t="s">
        <v>18</v>
      </c>
      <c r="J586" s="11">
        <v>9</v>
      </c>
      <c r="K586" s="11">
        <v>7</v>
      </c>
      <c r="L586" s="11">
        <v>6</v>
      </c>
      <c r="M586" s="15">
        <v>1</v>
      </c>
      <c r="R586" s="20">
        <v>1</v>
      </c>
      <c r="U586" s="17">
        <v>1</v>
      </c>
      <c r="W586" s="23">
        <v>1</v>
      </c>
      <c r="Y586" s="26">
        <v>1</v>
      </c>
    </row>
    <row r="587" spans="1:25" x14ac:dyDescent="0.25">
      <c r="A587" s="7">
        <v>19</v>
      </c>
      <c r="B587" s="6" t="s">
        <v>13</v>
      </c>
      <c r="C587" s="32">
        <v>5.2</v>
      </c>
      <c r="D587" s="6" t="s">
        <v>14</v>
      </c>
      <c r="E587" s="29">
        <v>4.3</v>
      </c>
      <c r="F587" s="13">
        <v>1.3</v>
      </c>
      <c r="G587" s="31">
        <v>2.29</v>
      </c>
      <c r="H587" s="13">
        <v>1.3</v>
      </c>
      <c r="I587" s="6" t="s">
        <v>19</v>
      </c>
      <c r="J587" s="11">
        <v>10</v>
      </c>
      <c r="K587" s="11">
        <v>8</v>
      </c>
      <c r="L587" s="11">
        <v>10</v>
      </c>
      <c r="M587" s="15">
        <v>1</v>
      </c>
      <c r="R587" s="20">
        <v>1</v>
      </c>
      <c r="U587" s="17">
        <v>1</v>
      </c>
      <c r="W587" s="23">
        <v>1</v>
      </c>
      <c r="Y587" s="26">
        <v>1</v>
      </c>
    </row>
    <row r="588" spans="1:25" x14ac:dyDescent="0.25">
      <c r="A588" s="7">
        <v>15</v>
      </c>
      <c r="B588" s="6" t="s">
        <v>16</v>
      </c>
      <c r="C588" s="32">
        <v>5</v>
      </c>
      <c r="D588" s="6" t="s">
        <v>14</v>
      </c>
      <c r="E588" s="29">
        <v>7.6</v>
      </c>
      <c r="F588" s="13">
        <v>1.8</v>
      </c>
      <c r="G588" s="31">
        <v>2.52</v>
      </c>
      <c r="H588" s="13">
        <v>1.4</v>
      </c>
      <c r="I588" s="6" t="s">
        <v>18</v>
      </c>
      <c r="J588" s="11">
        <v>1</v>
      </c>
      <c r="K588" s="11">
        <v>4</v>
      </c>
      <c r="L588" s="11">
        <v>3</v>
      </c>
      <c r="M588" s="15">
        <v>1</v>
      </c>
      <c r="R588" s="20">
        <v>1</v>
      </c>
      <c r="U588" s="17">
        <v>1</v>
      </c>
      <c r="W588" s="23">
        <v>1</v>
      </c>
      <c r="Y588" s="26">
        <v>1</v>
      </c>
    </row>
    <row r="589" spans="1:25" x14ac:dyDescent="0.25">
      <c r="A589" s="7">
        <v>13</v>
      </c>
      <c r="B589" s="6" t="s">
        <v>16</v>
      </c>
      <c r="C589" s="32">
        <v>2.2999999999999998</v>
      </c>
      <c r="D589" s="6" t="s">
        <v>17</v>
      </c>
      <c r="E589" s="29">
        <v>8.6999999999999993</v>
      </c>
      <c r="F589" s="13">
        <v>1.2</v>
      </c>
      <c r="G589" s="31">
        <v>3.25</v>
      </c>
      <c r="H589" s="13">
        <v>1.5</v>
      </c>
      <c r="I589" s="6" t="s">
        <v>18</v>
      </c>
      <c r="J589" s="11">
        <v>9</v>
      </c>
      <c r="K589" s="11">
        <v>9</v>
      </c>
      <c r="L589" s="11">
        <v>1</v>
      </c>
      <c r="M589" s="15">
        <v>1</v>
      </c>
      <c r="R589" s="20">
        <v>1</v>
      </c>
      <c r="U589" s="17">
        <v>1</v>
      </c>
      <c r="W589" s="23">
        <v>1</v>
      </c>
      <c r="Y589" s="26">
        <v>1</v>
      </c>
    </row>
    <row r="590" spans="1:25" x14ac:dyDescent="0.25">
      <c r="A590" s="7">
        <v>15</v>
      </c>
      <c r="B590" s="6" t="s">
        <v>16</v>
      </c>
      <c r="C590" s="32">
        <v>5.2</v>
      </c>
      <c r="D590" s="6" t="s">
        <v>17</v>
      </c>
      <c r="E590" s="29">
        <v>5.6</v>
      </c>
      <c r="F590" s="13">
        <v>1.5</v>
      </c>
      <c r="G590" s="31">
        <v>3.13</v>
      </c>
      <c r="H590" s="13">
        <v>0.1</v>
      </c>
      <c r="I590" s="6" t="s">
        <v>15</v>
      </c>
      <c r="J590" s="11">
        <v>7</v>
      </c>
      <c r="K590" s="11">
        <v>9</v>
      </c>
      <c r="L590" s="11">
        <v>4</v>
      </c>
      <c r="M590" s="15">
        <v>1</v>
      </c>
      <c r="R590" s="20">
        <v>1</v>
      </c>
      <c r="U590" s="17">
        <v>1</v>
      </c>
      <c r="W590" s="23">
        <v>1</v>
      </c>
      <c r="Y590" s="26">
        <v>1</v>
      </c>
    </row>
    <row r="591" spans="1:25" x14ac:dyDescent="0.25">
      <c r="A591" s="7">
        <v>13</v>
      </c>
      <c r="B591" s="6" t="s">
        <v>16</v>
      </c>
      <c r="C591" s="32">
        <v>3.5</v>
      </c>
      <c r="D591" s="6" t="s">
        <v>20</v>
      </c>
      <c r="E591" s="29">
        <v>8.6999999999999993</v>
      </c>
      <c r="F591" s="13">
        <v>1.4</v>
      </c>
      <c r="G591" s="31">
        <v>3.5</v>
      </c>
      <c r="H591" s="13">
        <v>1.3</v>
      </c>
      <c r="I591" s="6" t="s">
        <v>18</v>
      </c>
      <c r="J591" s="11">
        <v>9</v>
      </c>
      <c r="K591" s="11">
        <v>4</v>
      </c>
      <c r="L591" s="11">
        <v>5</v>
      </c>
      <c r="M591" s="15">
        <v>1</v>
      </c>
      <c r="R591" s="20">
        <v>1</v>
      </c>
      <c r="U591" s="17">
        <v>1</v>
      </c>
      <c r="W591" s="23">
        <v>1</v>
      </c>
      <c r="Y591" s="26">
        <v>1</v>
      </c>
    </row>
    <row r="592" spans="1:25" x14ac:dyDescent="0.25">
      <c r="A592" s="7">
        <v>16</v>
      </c>
      <c r="B592" s="6" t="s">
        <v>16</v>
      </c>
      <c r="C592" s="32">
        <v>3.5</v>
      </c>
      <c r="D592" s="6" t="s">
        <v>20</v>
      </c>
      <c r="E592" s="29">
        <v>4.2</v>
      </c>
      <c r="F592" s="13">
        <v>1.5</v>
      </c>
      <c r="G592" s="31">
        <v>3.98</v>
      </c>
      <c r="H592" s="13">
        <v>0.4</v>
      </c>
      <c r="I592" s="6" t="s">
        <v>19</v>
      </c>
      <c r="J592" s="11">
        <v>1</v>
      </c>
      <c r="K592" s="11">
        <v>7</v>
      </c>
      <c r="L592" s="11">
        <v>2</v>
      </c>
      <c r="M592" s="15">
        <v>1</v>
      </c>
      <c r="R592" s="20">
        <v>1</v>
      </c>
      <c r="U592" s="17">
        <v>1</v>
      </c>
      <c r="W592" s="23">
        <v>1</v>
      </c>
      <c r="Y592" s="26">
        <v>1</v>
      </c>
    </row>
    <row r="593" spans="1:25" x14ac:dyDescent="0.25">
      <c r="A593" s="7">
        <v>19</v>
      </c>
      <c r="B593" s="6" t="s">
        <v>13</v>
      </c>
      <c r="C593" s="32">
        <v>7.7</v>
      </c>
      <c r="D593" s="6" t="s">
        <v>14</v>
      </c>
      <c r="E593" s="29">
        <v>4.2</v>
      </c>
      <c r="F593" s="13">
        <v>2.6</v>
      </c>
      <c r="G593" s="31">
        <v>2.2000000000000002</v>
      </c>
      <c r="H593" s="13">
        <v>1.8</v>
      </c>
      <c r="I593" s="6" t="s">
        <v>15</v>
      </c>
      <c r="J593" s="11">
        <v>8</v>
      </c>
      <c r="K593" s="11">
        <v>9</v>
      </c>
      <c r="L593" s="11">
        <v>4</v>
      </c>
      <c r="M593" s="15">
        <v>1</v>
      </c>
      <c r="R593" s="20">
        <v>1</v>
      </c>
      <c r="U593" s="17">
        <v>1</v>
      </c>
      <c r="W593" s="23">
        <v>1</v>
      </c>
      <c r="Y593" s="26">
        <v>1</v>
      </c>
    </row>
    <row r="594" spans="1:25" x14ac:dyDescent="0.25">
      <c r="A594" s="7">
        <v>18</v>
      </c>
      <c r="B594" s="6" t="s">
        <v>16</v>
      </c>
      <c r="C594" s="32">
        <v>2</v>
      </c>
      <c r="D594" s="6" t="s">
        <v>20</v>
      </c>
      <c r="E594" s="29">
        <v>8.6</v>
      </c>
      <c r="F594" s="13">
        <v>2.2000000000000002</v>
      </c>
      <c r="G594" s="31">
        <v>3.53</v>
      </c>
      <c r="H594" s="13">
        <v>1.9</v>
      </c>
      <c r="I594" s="6" t="s">
        <v>15</v>
      </c>
      <c r="J594" s="11">
        <v>2</v>
      </c>
      <c r="K594" s="11">
        <v>5</v>
      </c>
      <c r="L594" s="11">
        <v>8</v>
      </c>
      <c r="M594" s="15">
        <v>0</v>
      </c>
      <c r="R594" s="20">
        <v>0</v>
      </c>
      <c r="U594" s="17">
        <v>0</v>
      </c>
      <c r="W594" s="23">
        <v>0</v>
      </c>
      <c r="Y594" s="26">
        <v>0</v>
      </c>
    </row>
    <row r="595" spans="1:25" x14ac:dyDescent="0.25">
      <c r="A595" s="7">
        <v>13</v>
      </c>
      <c r="B595" s="6" t="s">
        <v>16</v>
      </c>
      <c r="C595" s="32">
        <v>5.0999999999999996</v>
      </c>
      <c r="D595" s="6" t="s">
        <v>17</v>
      </c>
      <c r="E595" s="29">
        <v>4.5</v>
      </c>
      <c r="F595" s="13">
        <v>2.7</v>
      </c>
      <c r="G595" s="31">
        <v>2.54</v>
      </c>
      <c r="H595" s="13">
        <v>1.4</v>
      </c>
      <c r="I595" s="6" t="s">
        <v>18</v>
      </c>
      <c r="J595" s="11">
        <v>2</v>
      </c>
      <c r="K595" s="11">
        <v>3</v>
      </c>
      <c r="L595" s="11">
        <v>10</v>
      </c>
      <c r="M595" s="15">
        <v>0</v>
      </c>
      <c r="R595" s="20">
        <v>0</v>
      </c>
      <c r="U595" s="17">
        <v>0</v>
      </c>
      <c r="W595" s="23">
        <v>0</v>
      </c>
      <c r="Y595" s="26">
        <v>0</v>
      </c>
    </row>
    <row r="596" spans="1:25" x14ac:dyDescent="0.25">
      <c r="A596" s="7">
        <v>16</v>
      </c>
      <c r="B596" s="6" t="s">
        <v>13</v>
      </c>
      <c r="C596" s="32">
        <v>2</v>
      </c>
      <c r="D596" s="6" t="s">
        <v>14</v>
      </c>
      <c r="E596" s="29">
        <v>7.9</v>
      </c>
      <c r="F596" s="13">
        <v>2.4</v>
      </c>
      <c r="G596" s="31">
        <v>2.81</v>
      </c>
      <c r="H596" s="13">
        <v>1.9</v>
      </c>
      <c r="I596" s="6" t="s">
        <v>15</v>
      </c>
      <c r="J596" s="11">
        <v>10</v>
      </c>
      <c r="K596" s="11">
        <v>6</v>
      </c>
      <c r="L596" s="11">
        <v>6</v>
      </c>
      <c r="M596" s="15">
        <v>0</v>
      </c>
      <c r="R596" s="20">
        <v>0</v>
      </c>
      <c r="U596" s="17">
        <v>0</v>
      </c>
      <c r="W596" s="23">
        <v>0</v>
      </c>
      <c r="Y596" s="26">
        <v>0</v>
      </c>
    </row>
    <row r="597" spans="1:25" x14ac:dyDescent="0.25">
      <c r="A597" s="7">
        <v>15</v>
      </c>
      <c r="B597" s="6" t="s">
        <v>13</v>
      </c>
      <c r="C597" s="32">
        <v>4.7</v>
      </c>
      <c r="D597" s="6" t="s">
        <v>14</v>
      </c>
      <c r="E597" s="29">
        <v>8.4</v>
      </c>
      <c r="F597" s="13">
        <v>1.9</v>
      </c>
      <c r="G597" s="31">
        <v>3.9</v>
      </c>
      <c r="H597" s="13">
        <v>1</v>
      </c>
      <c r="I597" s="6" t="s">
        <v>18</v>
      </c>
      <c r="J597" s="11">
        <v>4</v>
      </c>
      <c r="K597" s="11">
        <v>10</v>
      </c>
      <c r="L597" s="11">
        <v>6</v>
      </c>
      <c r="M597" s="15">
        <v>0</v>
      </c>
      <c r="R597" s="20">
        <v>0</v>
      </c>
      <c r="U597" s="17">
        <v>0</v>
      </c>
      <c r="W597" s="23">
        <v>0</v>
      </c>
      <c r="Y597" s="26">
        <v>0</v>
      </c>
    </row>
    <row r="598" spans="1:25" x14ac:dyDescent="0.25">
      <c r="A598" s="7">
        <v>17</v>
      </c>
      <c r="B598" s="6" t="s">
        <v>16</v>
      </c>
      <c r="C598" s="32">
        <v>6.9</v>
      </c>
      <c r="D598" s="6" t="s">
        <v>17</v>
      </c>
      <c r="E598" s="29">
        <v>6.1</v>
      </c>
      <c r="F598" s="13">
        <v>2.4</v>
      </c>
      <c r="G598" s="31">
        <v>3.77</v>
      </c>
      <c r="H598" s="13">
        <v>1.1000000000000001</v>
      </c>
      <c r="I598" s="6" t="s">
        <v>19</v>
      </c>
      <c r="J598" s="11">
        <v>9</v>
      </c>
      <c r="K598" s="11">
        <v>4</v>
      </c>
      <c r="L598" s="11">
        <v>9</v>
      </c>
      <c r="M598" s="15">
        <v>0</v>
      </c>
      <c r="R598" s="20">
        <v>0</v>
      </c>
      <c r="U598" s="17">
        <v>0</v>
      </c>
      <c r="W598" s="23">
        <v>0</v>
      </c>
      <c r="Y598" s="26">
        <v>0</v>
      </c>
    </row>
    <row r="599" spans="1:25" x14ac:dyDescent="0.25">
      <c r="A599" s="7">
        <v>18</v>
      </c>
      <c r="B599" s="6" t="s">
        <v>13</v>
      </c>
      <c r="C599" s="32">
        <v>5.9</v>
      </c>
      <c r="D599" s="6" t="s">
        <v>14</v>
      </c>
      <c r="E599" s="29">
        <v>4.4000000000000004</v>
      </c>
      <c r="F599" s="13">
        <v>2.7</v>
      </c>
      <c r="G599" s="31">
        <v>2.09</v>
      </c>
      <c r="H599" s="13">
        <v>1.8</v>
      </c>
      <c r="I599" s="6" t="s">
        <v>18</v>
      </c>
      <c r="J599" s="11">
        <v>1</v>
      </c>
      <c r="K599" s="11">
        <v>6</v>
      </c>
      <c r="L599" s="11">
        <v>6</v>
      </c>
      <c r="M599" s="15">
        <v>0</v>
      </c>
      <c r="R599" s="20">
        <v>0</v>
      </c>
      <c r="U599" s="17">
        <v>0</v>
      </c>
      <c r="W599" s="23">
        <v>0</v>
      </c>
      <c r="Y599" s="26">
        <v>0</v>
      </c>
    </row>
    <row r="600" spans="1:25" x14ac:dyDescent="0.25">
      <c r="A600" s="7">
        <v>19</v>
      </c>
      <c r="B600" s="6" t="s">
        <v>13</v>
      </c>
      <c r="C600" s="32">
        <v>2.7</v>
      </c>
      <c r="D600" s="6" t="s">
        <v>14</v>
      </c>
      <c r="E600" s="29">
        <v>6.3</v>
      </c>
      <c r="F600" s="13">
        <v>1.3</v>
      </c>
      <c r="G600" s="31">
        <v>3.91</v>
      </c>
      <c r="H600" s="13">
        <v>1.2</v>
      </c>
      <c r="I600" s="6" t="s">
        <v>18</v>
      </c>
      <c r="J600" s="11">
        <v>7</v>
      </c>
      <c r="K600" s="11">
        <v>5</v>
      </c>
      <c r="L600" s="11">
        <v>7</v>
      </c>
      <c r="M600" s="15">
        <v>0</v>
      </c>
      <c r="R600" s="20">
        <v>0</v>
      </c>
      <c r="U600" s="17">
        <v>0</v>
      </c>
      <c r="W600" s="23">
        <v>0</v>
      </c>
      <c r="Y600" s="26">
        <v>0</v>
      </c>
    </row>
    <row r="601" spans="1:25" x14ac:dyDescent="0.25">
      <c r="A601" s="7">
        <v>16</v>
      </c>
      <c r="B601" s="6" t="s">
        <v>13</v>
      </c>
      <c r="C601" s="32">
        <v>7.9</v>
      </c>
      <c r="D601" s="6" t="s">
        <v>17</v>
      </c>
      <c r="E601" s="29">
        <v>8</v>
      </c>
      <c r="F601" s="13">
        <v>1.6</v>
      </c>
      <c r="G601" s="31">
        <v>3.47</v>
      </c>
      <c r="H601" s="13">
        <v>1.5</v>
      </c>
      <c r="I601" s="6" t="s">
        <v>18</v>
      </c>
      <c r="J601" s="11">
        <v>3</v>
      </c>
      <c r="K601" s="11">
        <v>5</v>
      </c>
      <c r="L601" s="11">
        <v>6</v>
      </c>
      <c r="M601" s="15">
        <v>0</v>
      </c>
      <c r="R601" s="20">
        <v>0</v>
      </c>
      <c r="U601" s="17">
        <v>0</v>
      </c>
      <c r="W601" s="23">
        <v>0</v>
      </c>
      <c r="Y601" s="26">
        <v>0</v>
      </c>
    </row>
    <row r="602" spans="1:25" x14ac:dyDescent="0.25">
      <c r="A602" s="7">
        <v>16</v>
      </c>
      <c r="B602" s="6" t="s">
        <v>16</v>
      </c>
      <c r="C602" s="32">
        <v>7.4</v>
      </c>
      <c r="D602" s="6" t="s">
        <v>17</v>
      </c>
      <c r="E602" s="29">
        <v>5.5</v>
      </c>
      <c r="F602" s="13">
        <v>1.8</v>
      </c>
      <c r="G602" s="31">
        <v>2.13</v>
      </c>
      <c r="H602" s="13">
        <v>0.3</v>
      </c>
      <c r="I602" s="6" t="s">
        <v>18</v>
      </c>
      <c r="J602" s="11">
        <v>7</v>
      </c>
      <c r="K602" s="11">
        <v>9</v>
      </c>
      <c r="L602" s="11">
        <v>9</v>
      </c>
      <c r="M602" s="15">
        <v>1</v>
      </c>
      <c r="R602" s="20">
        <v>1</v>
      </c>
      <c r="U602" s="17">
        <v>1</v>
      </c>
      <c r="W602" s="23">
        <v>1</v>
      </c>
      <c r="Y602" s="26">
        <v>1</v>
      </c>
    </row>
    <row r="603" spans="1:25" x14ac:dyDescent="0.25">
      <c r="A603" s="7">
        <v>17</v>
      </c>
      <c r="B603" s="6" t="s">
        <v>16</v>
      </c>
      <c r="C603" s="32">
        <v>2.2999999999999998</v>
      </c>
      <c r="D603" s="6" t="s">
        <v>14</v>
      </c>
      <c r="E603" s="29">
        <v>4.9000000000000004</v>
      </c>
      <c r="F603" s="13">
        <v>1.7</v>
      </c>
      <c r="G603" s="31">
        <v>2.0699999999999998</v>
      </c>
      <c r="H603" s="13">
        <v>0.3</v>
      </c>
      <c r="I603" s="6" t="s">
        <v>19</v>
      </c>
      <c r="J603" s="11">
        <v>3</v>
      </c>
      <c r="K603" s="11">
        <v>7</v>
      </c>
      <c r="L603" s="11">
        <v>7</v>
      </c>
      <c r="M603" s="15">
        <v>0</v>
      </c>
      <c r="R603" s="20">
        <v>0</v>
      </c>
      <c r="U603" s="17">
        <v>0</v>
      </c>
      <c r="W603" s="23">
        <v>0</v>
      </c>
      <c r="Y603" s="26">
        <v>0</v>
      </c>
    </row>
    <row r="604" spans="1:25" x14ac:dyDescent="0.25">
      <c r="A604" s="7">
        <v>13</v>
      </c>
      <c r="B604" s="6" t="s">
        <v>13</v>
      </c>
      <c r="C604" s="32">
        <v>7.1</v>
      </c>
      <c r="D604" s="6" t="s">
        <v>20</v>
      </c>
      <c r="E604" s="29">
        <v>5.7</v>
      </c>
      <c r="F604" s="13">
        <v>2.1</v>
      </c>
      <c r="G604" s="31">
        <v>3.52</v>
      </c>
      <c r="H604" s="13">
        <v>1.7</v>
      </c>
      <c r="I604" s="6" t="s">
        <v>15</v>
      </c>
      <c r="J604" s="11">
        <v>1</v>
      </c>
      <c r="K604" s="11">
        <v>1</v>
      </c>
      <c r="L604" s="11">
        <v>3</v>
      </c>
      <c r="M604" s="15">
        <v>0</v>
      </c>
      <c r="R604" s="20">
        <v>0</v>
      </c>
      <c r="U604" s="17">
        <v>0</v>
      </c>
      <c r="W604" s="23">
        <v>0</v>
      </c>
      <c r="Y604" s="26">
        <v>0</v>
      </c>
    </row>
    <row r="605" spans="1:25" x14ac:dyDescent="0.25">
      <c r="A605" s="7">
        <v>16</v>
      </c>
      <c r="B605" s="6" t="s">
        <v>13</v>
      </c>
      <c r="C605" s="32">
        <v>6.9</v>
      </c>
      <c r="D605" s="6" t="s">
        <v>14</v>
      </c>
      <c r="E605" s="29">
        <v>6.8</v>
      </c>
      <c r="F605" s="13">
        <v>1.1000000000000001</v>
      </c>
      <c r="G605" s="31">
        <v>3.33</v>
      </c>
      <c r="H605" s="13">
        <v>1</v>
      </c>
      <c r="I605" s="6" t="s">
        <v>19</v>
      </c>
      <c r="J605" s="11">
        <v>7</v>
      </c>
      <c r="K605" s="11">
        <v>9</v>
      </c>
      <c r="L605" s="11">
        <v>4</v>
      </c>
      <c r="M605" s="15">
        <v>0</v>
      </c>
      <c r="R605" s="20">
        <v>0</v>
      </c>
      <c r="U605" s="17">
        <v>0</v>
      </c>
      <c r="W605" s="23">
        <v>0</v>
      </c>
      <c r="Y605" s="26">
        <v>0</v>
      </c>
    </row>
    <row r="606" spans="1:25" x14ac:dyDescent="0.25">
      <c r="A606" s="7">
        <v>16</v>
      </c>
      <c r="B606" s="6" t="s">
        <v>16</v>
      </c>
      <c r="C606" s="32">
        <v>5.6</v>
      </c>
      <c r="D606" s="6" t="s">
        <v>17</v>
      </c>
      <c r="E606" s="29">
        <v>7.9</v>
      </c>
      <c r="F606" s="13">
        <v>2</v>
      </c>
      <c r="G606" s="31">
        <v>3.91</v>
      </c>
      <c r="H606" s="13">
        <v>0.6</v>
      </c>
      <c r="I606" s="6" t="s">
        <v>19</v>
      </c>
      <c r="J606" s="11">
        <v>7</v>
      </c>
      <c r="K606" s="11">
        <v>3</v>
      </c>
      <c r="L606" s="11">
        <v>10</v>
      </c>
      <c r="M606" s="15">
        <v>0</v>
      </c>
      <c r="R606" s="20">
        <v>0</v>
      </c>
      <c r="U606" s="17">
        <v>0</v>
      </c>
      <c r="W606" s="23">
        <v>0</v>
      </c>
      <c r="Y606" s="26">
        <v>0</v>
      </c>
    </row>
    <row r="607" spans="1:25" x14ac:dyDescent="0.25">
      <c r="A607" s="7">
        <v>16</v>
      </c>
      <c r="B607" s="6" t="s">
        <v>16</v>
      </c>
      <c r="C607" s="32">
        <v>5.2</v>
      </c>
      <c r="D607" s="6" t="s">
        <v>17</v>
      </c>
      <c r="E607" s="29">
        <v>8.1</v>
      </c>
      <c r="F607" s="13">
        <v>2.1</v>
      </c>
      <c r="G607" s="31">
        <v>2.67</v>
      </c>
      <c r="H607" s="13">
        <v>1.7</v>
      </c>
      <c r="I607" s="6" t="s">
        <v>19</v>
      </c>
      <c r="J607" s="11">
        <v>9</v>
      </c>
      <c r="K607" s="11">
        <v>10</v>
      </c>
      <c r="L607" s="11">
        <v>10</v>
      </c>
      <c r="M607" s="15">
        <v>0</v>
      </c>
      <c r="R607" s="20">
        <v>0</v>
      </c>
      <c r="U607" s="17">
        <v>0</v>
      </c>
      <c r="W607" s="23">
        <v>0</v>
      </c>
      <c r="Y607" s="26">
        <v>0</v>
      </c>
    </row>
    <row r="608" spans="1:25" x14ac:dyDescent="0.25">
      <c r="A608" s="7">
        <v>17</v>
      </c>
      <c r="B608" s="6" t="s">
        <v>13</v>
      </c>
      <c r="C608" s="32">
        <v>4.5</v>
      </c>
      <c r="D608" s="6" t="s">
        <v>20</v>
      </c>
      <c r="E608" s="29">
        <v>4.9000000000000004</v>
      </c>
      <c r="F608" s="13">
        <v>0.5</v>
      </c>
      <c r="G608" s="31">
        <v>3.44</v>
      </c>
      <c r="H608" s="13">
        <v>1.2</v>
      </c>
      <c r="I608" s="6" t="s">
        <v>19</v>
      </c>
      <c r="J608" s="11">
        <v>5</v>
      </c>
      <c r="K608" s="11">
        <v>3</v>
      </c>
      <c r="L608" s="11">
        <v>1</v>
      </c>
      <c r="M608" s="15">
        <v>0</v>
      </c>
      <c r="R608" s="20">
        <v>0</v>
      </c>
      <c r="U608" s="17">
        <v>0</v>
      </c>
      <c r="W608" s="23">
        <v>0</v>
      </c>
      <c r="Y608" s="26">
        <v>0</v>
      </c>
    </row>
    <row r="609" spans="1:25" x14ac:dyDescent="0.25">
      <c r="A609" s="7">
        <v>14</v>
      </c>
      <c r="B609" s="6" t="s">
        <v>13</v>
      </c>
      <c r="C609" s="32">
        <v>3.6</v>
      </c>
      <c r="D609" s="6" t="s">
        <v>17</v>
      </c>
      <c r="E609" s="29">
        <v>4</v>
      </c>
      <c r="F609" s="13">
        <v>1.4</v>
      </c>
      <c r="G609" s="31">
        <v>3.83</v>
      </c>
      <c r="H609" s="13">
        <v>0.5</v>
      </c>
      <c r="I609" s="6" t="s">
        <v>19</v>
      </c>
      <c r="J609" s="11">
        <v>1</v>
      </c>
      <c r="K609" s="11">
        <v>5</v>
      </c>
      <c r="L609" s="11">
        <v>2</v>
      </c>
      <c r="M609" s="15">
        <v>0</v>
      </c>
      <c r="R609" s="20">
        <v>0</v>
      </c>
      <c r="U609" s="17">
        <v>0</v>
      </c>
      <c r="W609" s="23">
        <v>0</v>
      </c>
      <c r="Y609" s="26">
        <v>0</v>
      </c>
    </row>
    <row r="610" spans="1:25" x14ac:dyDescent="0.25">
      <c r="A610" s="7">
        <v>19</v>
      </c>
      <c r="B610" s="6" t="s">
        <v>13</v>
      </c>
      <c r="C610" s="32">
        <v>7.2</v>
      </c>
      <c r="D610" s="6" t="s">
        <v>14</v>
      </c>
      <c r="E610" s="29">
        <v>5</v>
      </c>
      <c r="F610" s="13">
        <v>2.2000000000000002</v>
      </c>
      <c r="G610" s="31">
        <v>2.5</v>
      </c>
      <c r="H610" s="13">
        <v>0.7</v>
      </c>
      <c r="I610" s="6" t="s">
        <v>18</v>
      </c>
      <c r="J610" s="11">
        <v>6</v>
      </c>
      <c r="K610" s="11">
        <v>9</v>
      </c>
      <c r="L610" s="11">
        <v>2</v>
      </c>
      <c r="M610" s="15">
        <v>0</v>
      </c>
      <c r="R610" s="20">
        <v>0</v>
      </c>
      <c r="U610" s="17">
        <v>0</v>
      </c>
      <c r="W610" s="23">
        <v>0</v>
      </c>
      <c r="Y610" s="26">
        <v>0</v>
      </c>
    </row>
    <row r="611" spans="1:25" x14ac:dyDescent="0.25">
      <c r="A611" s="7">
        <v>17</v>
      </c>
      <c r="B611" s="6" t="s">
        <v>13</v>
      </c>
      <c r="C611" s="32">
        <v>6.4</v>
      </c>
      <c r="D611" s="6" t="s">
        <v>17</v>
      </c>
      <c r="E611" s="29">
        <v>8.6</v>
      </c>
      <c r="F611" s="13">
        <v>2.2999999999999998</v>
      </c>
      <c r="G611" s="31">
        <v>2.57</v>
      </c>
      <c r="H611" s="13">
        <v>1.3</v>
      </c>
      <c r="I611" s="6" t="s">
        <v>15</v>
      </c>
      <c r="J611" s="11">
        <v>9</v>
      </c>
      <c r="K611" s="11">
        <v>10</v>
      </c>
      <c r="L611" s="11">
        <v>5</v>
      </c>
      <c r="M611" s="15">
        <v>0</v>
      </c>
      <c r="R611" s="20">
        <v>0</v>
      </c>
      <c r="U611" s="17">
        <v>0</v>
      </c>
      <c r="W611" s="23">
        <v>0</v>
      </c>
      <c r="Y611" s="26">
        <v>0</v>
      </c>
    </row>
    <row r="612" spans="1:25" x14ac:dyDescent="0.25">
      <c r="A612" s="7">
        <v>15</v>
      </c>
      <c r="B612" s="6" t="s">
        <v>13</v>
      </c>
      <c r="C612" s="32">
        <v>7.1</v>
      </c>
      <c r="D612" s="6" t="s">
        <v>20</v>
      </c>
      <c r="E612" s="29">
        <v>6.5</v>
      </c>
      <c r="F612" s="13">
        <v>0.7</v>
      </c>
      <c r="G612" s="31">
        <v>3.94</v>
      </c>
      <c r="H612" s="13">
        <v>0.2</v>
      </c>
      <c r="I612" s="6" t="s">
        <v>19</v>
      </c>
      <c r="J612" s="11">
        <v>4</v>
      </c>
      <c r="K612" s="11">
        <v>7</v>
      </c>
      <c r="L612" s="11">
        <v>1</v>
      </c>
      <c r="M612" s="15">
        <v>0</v>
      </c>
      <c r="R612" s="20">
        <v>0</v>
      </c>
      <c r="U612" s="17">
        <v>0</v>
      </c>
      <c r="W612" s="23">
        <v>0</v>
      </c>
      <c r="Y612" s="26">
        <v>0</v>
      </c>
    </row>
    <row r="613" spans="1:25" x14ac:dyDescent="0.25">
      <c r="A613" s="7">
        <v>18</v>
      </c>
      <c r="B613" s="6" t="s">
        <v>13</v>
      </c>
      <c r="C613" s="32">
        <v>1.2</v>
      </c>
      <c r="D613" s="6" t="s">
        <v>20</v>
      </c>
      <c r="E613" s="29">
        <v>4.0999999999999996</v>
      </c>
      <c r="F613" s="13">
        <v>1.1000000000000001</v>
      </c>
      <c r="G613" s="31">
        <v>3.04</v>
      </c>
      <c r="H613" s="13">
        <v>1.6</v>
      </c>
      <c r="I613" s="6" t="s">
        <v>15</v>
      </c>
      <c r="J613" s="11">
        <v>1</v>
      </c>
      <c r="K613" s="11">
        <v>3</v>
      </c>
      <c r="L613" s="11">
        <v>6</v>
      </c>
      <c r="M613" s="15">
        <v>0</v>
      </c>
      <c r="R613" s="20">
        <v>0</v>
      </c>
      <c r="U613" s="17">
        <v>0</v>
      </c>
      <c r="W613" s="23">
        <v>0</v>
      </c>
      <c r="Y613" s="26">
        <v>0</v>
      </c>
    </row>
    <row r="614" spans="1:25" x14ac:dyDescent="0.25">
      <c r="A614" s="7">
        <v>19</v>
      </c>
      <c r="B614" s="6" t="s">
        <v>13</v>
      </c>
      <c r="C614" s="32">
        <v>6.6</v>
      </c>
      <c r="D614" s="6" t="s">
        <v>17</v>
      </c>
      <c r="E614" s="29">
        <v>8.8000000000000007</v>
      </c>
      <c r="F614" s="13">
        <v>0.9</v>
      </c>
      <c r="G614" s="31">
        <v>3.84</v>
      </c>
      <c r="H614" s="13">
        <v>0.3</v>
      </c>
      <c r="I614" s="6" t="s">
        <v>18</v>
      </c>
      <c r="J614" s="11">
        <v>10</v>
      </c>
      <c r="K614" s="11">
        <v>10</v>
      </c>
      <c r="L614" s="11">
        <v>6</v>
      </c>
      <c r="M614" s="15">
        <v>0</v>
      </c>
      <c r="R614" s="20">
        <v>0</v>
      </c>
      <c r="U614" s="17">
        <v>0</v>
      </c>
      <c r="W614" s="23">
        <v>0</v>
      </c>
      <c r="Y614" s="26">
        <v>0</v>
      </c>
    </row>
    <row r="615" spans="1:25" x14ac:dyDescent="0.25">
      <c r="A615" s="7">
        <v>19</v>
      </c>
      <c r="B615" s="6" t="s">
        <v>16</v>
      </c>
      <c r="C615" s="32">
        <v>6.5</v>
      </c>
      <c r="D615" s="6" t="s">
        <v>17</v>
      </c>
      <c r="E615" s="29">
        <v>6.4</v>
      </c>
      <c r="F615" s="13">
        <v>1.1000000000000001</v>
      </c>
      <c r="G615" s="31">
        <v>3.71</v>
      </c>
      <c r="H615" s="13">
        <v>1.2</v>
      </c>
      <c r="I615" s="6" t="s">
        <v>15</v>
      </c>
      <c r="J615" s="11">
        <v>8</v>
      </c>
      <c r="K615" s="11">
        <v>9</v>
      </c>
      <c r="L615" s="11">
        <v>8</v>
      </c>
      <c r="M615" s="15">
        <v>0</v>
      </c>
      <c r="R615" s="20">
        <v>0</v>
      </c>
      <c r="U615" s="17">
        <v>0</v>
      </c>
      <c r="W615" s="23">
        <v>0</v>
      </c>
      <c r="Y615" s="26">
        <v>0</v>
      </c>
    </row>
    <row r="616" spans="1:25" x14ac:dyDescent="0.25">
      <c r="A616" s="7">
        <v>16</v>
      </c>
      <c r="B616" s="6" t="s">
        <v>13</v>
      </c>
      <c r="C616" s="32">
        <v>2</v>
      </c>
      <c r="D616" s="6" t="s">
        <v>17</v>
      </c>
      <c r="E616" s="29">
        <v>4.4000000000000004</v>
      </c>
      <c r="F616" s="13">
        <v>0.7</v>
      </c>
      <c r="G616" s="31">
        <v>2.68</v>
      </c>
      <c r="H616" s="13">
        <v>0.8</v>
      </c>
      <c r="I616" s="6" t="s">
        <v>19</v>
      </c>
      <c r="J616" s="11">
        <v>1</v>
      </c>
      <c r="K616" s="11">
        <v>4</v>
      </c>
      <c r="L616" s="11">
        <v>10</v>
      </c>
      <c r="M616" s="15">
        <v>0</v>
      </c>
      <c r="R616" s="20">
        <v>0</v>
      </c>
      <c r="U616" s="17">
        <v>0</v>
      </c>
      <c r="W616" s="23">
        <v>0</v>
      </c>
      <c r="Y616" s="26">
        <v>0</v>
      </c>
    </row>
    <row r="617" spans="1:25" x14ac:dyDescent="0.25">
      <c r="A617" s="7">
        <v>13</v>
      </c>
      <c r="B617" s="6" t="s">
        <v>13</v>
      </c>
      <c r="C617" s="32">
        <v>2.5</v>
      </c>
      <c r="D617" s="6" t="s">
        <v>14</v>
      </c>
      <c r="E617" s="29">
        <v>5.3</v>
      </c>
      <c r="F617" s="13">
        <v>0.8</v>
      </c>
      <c r="G617" s="31">
        <v>3.12</v>
      </c>
      <c r="H617" s="13">
        <v>0.4</v>
      </c>
      <c r="I617" s="6" t="s">
        <v>18</v>
      </c>
      <c r="J617" s="11">
        <v>3</v>
      </c>
      <c r="K617" s="11">
        <v>5</v>
      </c>
      <c r="L617" s="11">
        <v>3</v>
      </c>
      <c r="M617" s="15">
        <v>0</v>
      </c>
      <c r="R617" s="20">
        <v>0</v>
      </c>
      <c r="U617" s="17">
        <v>0</v>
      </c>
      <c r="W617" s="23">
        <v>0</v>
      </c>
      <c r="Y617" s="26">
        <v>0</v>
      </c>
    </row>
    <row r="618" spans="1:25" x14ac:dyDescent="0.25">
      <c r="A618" s="7">
        <v>19</v>
      </c>
      <c r="B618" s="6" t="s">
        <v>13</v>
      </c>
      <c r="C618" s="32">
        <v>2.1</v>
      </c>
      <c r="D618" s="6" t="s">
        <v>14</v>
      </c>
      <c r="E618" s="29">
        <v>8.8000000000000007</v>
      </c>
      <c r="F618" s="13">
        <v>2.2999999999999998</v>
      </c>
      <c r="G618" s="31">
        <v>2.2200000000000002</v>
      </c>
      <c r="H618" s="13">
        <v>1.2</v>
      </c>
      <c r="I618" s="6" t="s">
        <v>18</v>
      </c>
      <c r="J618" s="11">
        <v>5</v>
      </c>
      <c r="K618" s="11">
        <v>5</v>
      </c>
      <c r="L618" s="11">
        <v>3</v>
      </c>
      <c r="M618" s="15">
        <v>0</v>
      </c>
      <c r="R618" s="20">
        <v>0</v>
      </c>
      <c r="U618" s="17">
        <v>0</v>
      </c>
      <c r="W618" s="23">
        <v>0</v>
      </c>
      <c r="Y618" s="26">
        <v>0</v>
      </c>
    </row>
    <row r="619" spans="1:25" x14ac:dyDescent="0.25">
      <c r="A619" s="7">
        <v>16</v>
      </c>
      <c r="B619" s="6" t="s">
        <v>16</v>
      </c>
      <c r="C619" s="32">
        <v>7.1</v>
      </c>
      <c r="D619" s="6" t="s">
        <v>17</v>
      </c>
      <c r="E619" s="29">
        <v>8.8000000000000007</v>
      </c>
      <c r="F619" s="13">
        <v>1.8</v>
      </c>
      <c r="G619" s="31">
        <v>3.99</v>
      </c>
      <c r="H619" s="13">
        <v>0.8</v>
      </c>
      <c r="I619" s="6" t="s">
        <v>15</v>
      </c>
      <c r="J619" s="11">
        <v>6</v>
      </c>
      <c r="K619" s="11">
        <v>10</v>
      </c>
      <c r="L619" s="11">
        <v>8</v>
      </c>
      <c r="M619" s="15">
        <v>0</v>
      </c>
      <c r="R619" s="20">
        <v>0</v>
      </c>
      <c r="U619" s="17">
        <v>0</v>
      </c>
      <c r="W619" s="23">
        <v>0</v>
      </c>
      <c r="Y619" s="26">
        <v>0</v>
      </c>
    </row>
    <row r="620" spans="1:25" x14ac:dyDescent="0.25">
      <c r="A620" s="7">
        <v>19</v>
      </c>
      <c r="B620" s="6" t="s">
        <v>16</v>
      </c>
      <c r="C620" s="32">
        <v>6.8</v>
      </c>
      <c r="D620" s="6" t="s">
        <v>20</v>
      </c>
      <c r="E620" s="29">
        <v>4.4000000000000004</v>
      </c>
      <c r="F620" s="13">
        <v>2.1</v>
      </c>
      <c r="G620" s="31">
        <v>3.69</v>
      </c>
      <c r="H620" s="13">
        <v>0.4</v>
      </c>
      <c r="I620" s="6" t="s">
        <v>18</v>
      </c>
      <c r="J620" s="11">
        <v>3</v>
      </c>
      <c r="K620" s="11">
        <v>2</v>
      </c>
      <c r="L620" s="11">
        <v>8</v>
      </c>
      <c r="M620" s="15">
        <v>0</v>
      </c>
      <c r="R620" s="20">
        <v>0</v>
      </c>
      <c r="U620" s="17">
        <v>0</v>
      </c>
      <c r="W620" s="23">
        <v>0</v>
      </c>
      <c r="Y620" s="26">
        <v>0</v>
      </c>
    </row>
    <row r="621" spans="1:25" x14ac:dyDescent="0.25">
      <c r="A621" s="7">
        <v>13</v>
      </c>
      <c r="B621" s="6" t="s">
        <v>13</v>
      </c>
      <c r="C621" s="32">
        <v>5.2</v>
      </c>
      <c r="D621" s="6" t="s">
        <v>20</v>
      </c>
      <c r="E621" s="29">
        <v>5.4</v>
      </c>
      <c r="F621" s="13">
        <v>0.8</v>
      </c>
      <c r="G621" s="31">
        <v>2.39</v>
      </c>
      <c r="H621" s="13">
        <v>2</v>
      </c>
      <c r="I621" s="6" t="s">
        <v>15</v>
      </c>
      <c r="J621" s="11">
        <v>8</v>
      </c>
      <c r="K621" s="11">
        <v>3</v>
      </c>
      <c r="L621" s="11">
        <v>10</v>
      </c>
      <c r="M621" s="15">
        <v>0</v>
      </c>
      <c r="R621" s="20">
        <v>0</v>
      </c>
      <c r="U621" s="17">
        <v>0</v>
      </c>
      <c r="W621" s="23">
        <v>0</v>
      </c>
      <c r="Y621" s="26">
        <v>0</v>
      </c>
    </row>
    <row r="622" spans="1:25" x14ac:dyDescent="0.25">
      <c r="A622" s="7">
        <v>19</v>
      </c>
      <c r="B622" s="6" t="s">
        <v>13</v>
      </c>
      <c r="C622" s="32">
        <v>7</v>
      </c>
      <c r="D622" s="6" t="s">
        <v>17</v>
      </c>
      <c r="E622" s="29">
        <v>4.5</v>
      </c>
      <c r="F622" s="13">
        <v>2.2999999999999998</v>
      </c>
      <c r="G622" s="31">
        <v>3.26</v>
      </c>
      <c r="H622" s="13">
        <v>1.7</v>
      </c>
      <c r="I622" s="6" t="s">
        <v>18</v>
      </c>
      <c r="J622" s="11">
        <v>9</v>
      </c>
      <c r="K622" s="11">
        <v>10</v>
      </c>
      <c r="L622" s="11">
        <v>3</v>
      </c>
      <c r="M622" s="15">
        <v>1</v>
      </c>
      <c r="R622" s="20">
        <v>1</v>
      </c>
      <c r="U622" s="17">
        <v>1</v>
      </c>
      <c r="W622" s="23">
        <v>1</v>
      </c>
      <c r="Y622" s="26">
        <v>1</v>
      </c>
    </row>
    <row r="623" spans="1:25" x14ac:dyDescent="0.25">
      <c r="A623" s="7">
        <v>19</v>
      </c>
      <c r="B623" s="6" t="s">
        <v>13</v>
      </c>
      <c r="C623" s="32">
        <v>6.8</v>
      </c>
      <c r="D623" s="6" t="s">
        <v>17</v>
      </c>
      <c r="E623" s="29">
        <v>8.4</v>
      </c>
      <c r="F623" s="13">
        <v>2</v>
      </c>
      <c r="G623" s="31">
        <v>2.6</v>
      </c>
      <c r="H623" s="13">
        <v>1.5</v>
      </c>
      <c r="I623" s="6" t="s">
        <v>15</v>
      </c>
      <c r="J623" s="11">
        <v>7</v>
      </c>
      <c r="K623" s="11">
        <v>2</v>
      </c>
      <c r="L623" s="11">
        <v>2</v>
      </c>
      <c r="M623" s="15">
        <v>0</v>
      </c>
      <c r="R623" s="20">
        <v>0</v>
      </c>
      <c r="U623" s="17">
        <v>0</v>
      </c>
      <c r="W623" s="23">
        <v>0</v>
      </c>
      <c r="Y623" s="26">
        <v>0</v>
      </c>
    </row>
    <row r="624" spans="1:25" x14ac:dyDescent="0.25">
      <c r="A624" s="7">
        <v>16</v>
      </c>
      <c r="B624" s="6" t="s">
        <v>16</v>
      </c>
      <c r="C624" s="32">
        <v>3.8</v>
      </c>
      <c r="D624" s="6" t="s">
        <v>17</v>
      </c>
      <c r="E624" s="29">
        <v>5.3</v>
      </c>
      <c r="F624" s="13">
        <v>1.5</v>
      </c>
      <c r="G624" s="31">
        <v>2.04</v>
      </c>
      <c r="H624" s="13">
        <v>1.5</v>
      </c>
      <c r="I624" s="6" t="s">
        <v>18</v>
      </c>
      <c r="J624" s="11">
        <v>5</v>
      </c>
      <c r="K624" s="11">
        <v>10</v>
      </c>
      <c r="L624" s="11">
        <v>5</v>
      </c>
      <c r="M624" s="15">
        <v>0</v>
      </c>
      <c r="R624" s="20">
        <v>0</v>
      </c>
      <c r="U624" s="17">
        <v>0</v>
      </c>
      <c r="W624" s="23">
        <v>0</v>
      </c>
      <c r="Y624" s="26">
        <v>0</v>
      </c>
    </row>
    <row r="625" spans="1:25" x14ac:dyDescent="0.25">
      <c r="A625" s="7">
        <v>14</v>
      </c>
      <c r="B625" s="6" t="s">
        <v>13</v>
      </c>
      <c r="C625" s="32">
        <v>2.9</v>
      </c>
      <c r="D625" s="6" t="s">
        <v>14</v>
      </c>
      <c r="E625" s="29">
        <v>7.2</v>
      </c>
      <c r="F625" s="13">
        <v>2</v>
      </c>
      <c r="G625" s="31">
        <v>3.96</v>
      </c>
      <c r="H625" s="13">
        <v>1.5</v>
      </c>
      <c r="I625" s="6" t="s">
        <v>19</v>
      </c>
      <c r="J625" s="11">
        <v>9</v>
      </c>
      <c r="K625" s="11">
        <v>10</v>
      </c>
      <c r="L625" s="11">
        <v>4</v>
      </c>
      <c r="M625" s="15">
        <v>0</v>
      </c>
      <c r="R625" s="20">
        <v>0</v>
      </c>
      <c r="U625" s="17">
        <v>0</v>
      </c>
      <c r="W625" s="23">
        <v>0</v>
      </c>
      <c r="Y625" s="26">
        <v>0</v>
      </c>
    </row>
    <row r="626" spans="1:25" x14ac:dyDescent="0.25">
      <c r="A626" s="7">
        <v>16</v>
      </c>
      <c r="B626" s="6" t="s">
        <v>13</v>
      </c>
      <c r="C626" s="32">
        <v>3.6</v>
      </c>
      <c r="D626" s="6" t="s">
        <v>14</v>
      </c>
      <c r="E626" s="29">
        <v>6.6</v>
      </c>
      <c r="F626" s="13">
        <v>0.7</v>
      </c>
      <c r="G626" s="31">
        <v>2.25</v>
      </c>
      <c r="H626" s="13">
        <v>1.9</v>
      </c>
      <c r="I626" s="6" t="s">
        <v>15</v>
      </c>
      <c r="J626" s="11">
        <v>4</v>
      </c>
      <c r="K626" s="11">
        <v>1</v>
      </c>
      <c r="L626" s="11">
        <v>8</v>
      </c>
      <c r="M626" s="15">
        <v>0</v>
      </c>
      <c r="R626" s="20">
        <v>0</v>
      </c>
      <c r="U626" s="17">
        <v>0</v>
      </c>
      <c r="W626" s="23">
        <v>0</v>
      </c>
      <c r="Y626" s="26">
        <v>0</v>
      </c>
    </row>
    <row r="627" spans="1:25" x14ac:dyDescent="0.25">
      <c r="A627" s="7">
        <v>13</v>
      </c>
      <c r="B627" s="6" t="s">
        <v>13</v>
      </c>
      <c r="C627" s="32">
        <v>4</v>
      </c>
      <c r="D627" s="6" t="s">
        <v>20</v>
      </c>
      <c r="E627" s="29">
        <v>8.3000000000000007</v>
      </c>
      <c r="F627" s="13">
        <v>0.6</v>
      </c>
      <c r="G627" s="31">
        <v>3.71</v>
      </c>
      <c r="H627" s="13">
        <v>0.1</v>
      </c>
      <c r="I627" s="6" t="s">
        <v>15</v>
      </c>
      <c r="J627" s="11">
        <v>2</v>
      </c>
      <c r="K627" s="11">
        <v>6</v>
      </c>
      <c r="L627" s="11">
        <v>1</v>
      </c>
      <c r="M627" s="15">
        <v>0</v>
      </c>
      <c r="R627" s="20">
        <v>0</v>
      </c>
      <c r="U627" s="17">
        <v>0</v>
      </c>
      <c r="W627" s="23">
        <v>0</v>
      </c>
      <c r="Y627" s="26">
        <v>0</v>
      </c>
    </row>
    <row r="628" spans="1:25" x14ac:dyDescent="0.25">
      <c r="A628" s="7">
        <v>17</v>
      </c>
      <c r="B628" s="6" t="s">
        <v>16</v>
      </c>
      <c r="C628" s="32">
        <v>7.5</v>
      </c>
      <c r="D628" s="6" t="s">
        <v>20</v>
      </c>
      <c r="E628" s="29">
        <v>4.7</v>
      </c>
      <c r="F628" s="13">
        <v>2.1</v>
      </c>
      <c r="G628" s="31">
        <v>2.5499999999999998</v>
      </c>
      <c r="H628" s="13">
        <v>0.1</v>
      </c>
      <c r="I628" s="6" t="s">
        <v>18</v>
      </c>
      <c r="J628" s="11">
        <v>3</v>
      </c>
      <c r="K628" s="11">
        <v>9</v>
      </c>
      <c r="L628" s="11">
        <v>1</v>
      </c>
      <c r="M628" s="15">
        <v>0</v>
      </c>
      <c r="R628" s="20">
        <v>0</v>
      </c>
      <c r="U628" s="17">
        <v>0</v>
      </c>
      <c r="W628" s="23">
        <v>0</v>
      </c>
      <c r="Y628" s="26">
        <v>0</v>
      </c>
    </row>
    <row r="629" spans="1:25" x14ac:dyDescent="0.25">
      <c r="A629" s="7">
        <v>16</v>
      </c>
      <c r="B629" s="6" t="s">
        <v>16</v>
      </c>
      <c r="C629" s="32">
        <v>6</v>
      </c>
      <c r="D629" s="6" t="s">
        <v>20</v>
      </c>
      <c r="E629" s="29">
        <v>8.6999999999999993</v>
      </c>
      <c r="F629" s="13">
        <v>1.5</v>
      </c>
      <c r="G629" s="31">
        <v>3.76</v>
      </c>
      <c r="H629" s="13">
        <v>0.1</v>
      </c>
      <c r="I629" s="6" t="s">
        <v>19</v>
      </c>
      <c r="J629" s="11">
        <v>2</v>
      </c>
      <c r="K629" s="11">
        <v>5</v>
      </c>
      <c r="L629" s="11">
        <v>4</v>
      </c>
      <c r="M629" s="15">
        <v>0</v>
      </c>
      <c r="R629" s="20">
        <v>0</v>
      </c>
      <c r="U629" s="17">
        <v>0</v>
      </c>
      <c r="W629" s="23">
        <v>0</v>
      </c>
      <c r="Y629" s="26">
        <v>0</v>
      </c>
    </row>
    <row r="630" spans="1:25" x14ac:dyDescent="0.25">
      <c r="A630" s="7">
        <v>16</v>
      </c>
      <c r="B630" s="6" t="s">
        <v>16</v>
      </c>
      <c r="C630" s="32">
        <v>3.6</v>
      </c>
      <c r="D630" s="6" t="s">
        <v>14</v>
      </c>
      <c r="E630" s="29">
        <v>6.1</v>
      </c>
      <c r="F630" s="13">
        <v>2.8</v>
      </c>
      <c r="G630" s="31">
        <v>3.8</v>
      </c>
      <c r="H630" s="13">
        <v>0.1</v>
      </c>
      <c r="I630" s="6" t="s">
        <v>18</v>
      </c>
      <c r="J630" s="11">
        <v>2</v>
      </c>
      <c r="K630" s="11">
        <v>1</v>
      </c>
      <c r="L630" s="11">
        <v>7</v>
      </c>
      <c r="M630" s="15">
        <v>0</v>
      </c>
      <c r="R630" s="20">
        <v>0</v>
      </c>
      <c r="U630" s="17">
        <v>0</v>
      </c>
      <c r="W630" s="23">
        <v>0</v>
      </c>
      <c r="Y630" s="26">
        <v>0</v>
      </c>
    </row>
    <row r="631" spans="1:25" x14ac:dyDescent="0.25">
      <c r="A631" s="7">
        <v>19</v>
      </c>
      <c r="B631" s="6" t="s">
        <v>13</v>
      </c>
      <c r="C631" s="32">
        <v>4.7</v>
      </c>
      <c r="D631" s="6" t="s">
        <v>20</v>
      </c>
      <c r="E631" s="29">
        <v>8.1999999999999993</v>
      </c>
      <c r="F631" s="13">
        <v>1.2</v>
      </c>
      <c r="G631" s="31">
        <v>2.83</v>
      </c>
      <c r="H631" s="13">
        <v>1.2</v>
      </c>
      <c r="I631" s="6" t="s">
        <v>18</v>
      </c>
      <c r="J631" s="11">
        <v>5</v>
      </c>
      <c r="K631" s="11">
        <v>9</v>
      </c>
      <c r="L631" s="11">
        <v>9</v>
      </c>
      <c r="M631" s="15">
        <v>0</v>
      </c>
      <c r="R631" s="20">
        <v>0</v>
      </c>
      <c r="U631" s="17">
        <v>0</v>
      </c>
      <c r="W631" s="23">
        <v>0</v>
      </c>
      <c r="Y631" s="26">
        <v>0</v>
      </c>
    </row>
    <row r="632" spans="1:25" x14ac:dyDescent="0.25">
      <c r="A632" s="7">
        <v>13</v>
      </c>
      <c r="B632" s="6" t="s">
        <v>13</v>
      </c>
      <c r="C632" s="32">
        <v>2</v>
      </c>
      <c r="D632" s="6" t="s">
        <v>14</v>
      </c>
      <c r="E632" s="29">
        <v>6.6</v>
      </c>
      <c r="F632" s="13">
        <v>0.9</v>
      </c>
      <c r="G632" s="31">
        <v>3.34</v>
      </c>
      <c r="H632" s="13">
        <v>1.5</v>
      </c>
      <c r="I632" s="6" t="s">
        <v>18</v>
      </c>
      <c r="J632" s="11">
        <v>5</v>
      </c>
      <c r="K632" s="11">
        <v>9</v>
      </c>
      <c r="L632" s="11">
        <v>4</v>
      </c>
      <c r="M632" s="15">
        <v>0</v>
      </c>
      <c r="R632" s="20">
        <v>0</v>
      </c>
      <c r="U632" s="17">
        <v>0</v>
      </c>
      <c r="W632" s="23">
        <v>0</v>
      </c>
      <c r="Y632" s="26">
        <v>0</v>
      </c>
    </row>
    <row r="633" spans="1:25" x14ac:dyDescent="0.25">
      <c r="A633" s="7">
        <v>13</v>
      </c>
      <c r="B633" s="6" t="s">
        <v>13</v>
      </c>
      <c r="C633" s="32">
        <v>7.8</v>
      </c>
      <c r="D633" s="6" t="s">
        <v>17</v>
      </c>
      <c r="E633" s="29">
        <v>7.2</v>
      </c>
      <c r="F633" s="13">
        <v>1.3</v>
      </c>
      <c r="G633" s="31">
        <v>3.31</v>
      </c>
      <c r="H633" s="13">
        <v>0.8</v>
      </c>
      <c r="I633" s="6" t="s">
        <v>18</v>
      </c>
      <c r="J633" s="11">
        <v>9</v>
      </c>
      <c r="K633" s="11">
        <v>2</v>
      </c>
      <c r="L633" s="11">
        <v>4</v>
      </c>
      <c r="M633" s="15">
        <v>0</v>
      </c>
      <c r="R633" s="20">
        <v>0</v>
      </c>
      <c r="U633" s="17">
        <v>0</v>
      </c>
      <c r="W633" s="23">
        <v>0</v>
      </c>
      <c r="Y633" s="26">
        <v>0</v>
      </c>
    </row>
    <row r="634" spans="1:25" x14ac:dyDescent="0.25">
      <c r="A634" s="7">
        <v>19</v>
      </c>
      <c r="B634" s="6" t="s">
        <v>13</v>
      </c>
      <c r="C634" s="32">
        <v>5.9</v>
      </c>
      <c r="D634" s="6" t="s">
        <v>17</v>
      </c>
      <c r="E634" s="29">
        <v>7.4</v>
      </c>
      <c r="F634" s="13">
        <v>0.7</v>
      </c>
      <c r="G634" s="31">
        <v>3.27</v>
      </c>
      <c r="H634" s="13">
        <v>1.7</v>
      </c>
      <c r="I634" s="6" t="s">
        <v>18</v>
      </c>
      <c r="J634" s="11">
        <v>1</v>
      </c>
      <c r="K634" s="11">
        <v>9</v>
      </c>
      <c r="L634" s="11">
        <v>9</v>
      </c>
      <c r="M634" s="15">
        <v>0</v>
      </c>
      <c r="R634" s="20">
        <v>0</v>
      </c>
      <c r="U634" s="17">
        <v>0</v>
      </c>
      <c r="W634" s="23">
        <v>0</v>
      </c>
      <c r="Y634" s="26">
        <v>0</v>
      </c>
    </row>
    <row r="635" spans="1:25" x14ac:dyDescent="0.25">
      <c r="A635" s="7">
        <v>19</v>
      </c>
      <c r="B635" s="6" t="s">
        <v>13</v>
      </c>
      <c r="C635" s="32">
        <v>7.7</v>
      </c>
      <c r="D635" s="6" t="s">
        <v>17</v>
      </c>
      <c r="E635" s="29">
        <v>8.4</v>
      </c>
      <c r="F635" s="13">
        <v>2.8</v>
      </c>
      <c r="G635" s="31">
        <v>3.43</v>
      </c>
      <c r="H635" s="13">
        <v>0.2</v>
      </c>
      <c r="I635" s="6" t="s">
        <v>19</v>
      </c>
      <c r="J635" s="11">
        <v>7</v>
      </c>
      <c r="K635" s="11">
        <v>6</v>
      </c>
      <c r="L635" s="11">
        <v>6</v>
      </c>
      <c r="M635" s="15">
        <v>0</v>
      </c>
      <c r="R635" s="20">
        <v>0</v>
      </c>
      <c r="U635" s="17">
        <v>0</v>
      </c>
      <c r="W635" s="23">
        <v>0</v>
      </c>
      <c r="Y635" s="26">
        <v>0</v>
      </c>
    </row>
    <row r="636" spans="1:25" x14ac:dyDescent="0.25">
      <c r="A636" s="7">
        <v>13</v>
      </c>
      <c r="B636" s="6" t="s">
        <v>13</v>
      </c>
      <c r="C636" s="32">
        <v>2.2000000000000002</v>
      </c>
      <c r="D636" s="6" t="s">
        <v>17</v>
      </c>
      <c r="E636" s="29">
        <v>5.4</v>
      </c>
      <c r="F636" s="13">
        <v>1.2</v>
      </c>
      <c r="G636" s="31">
        <v>2.33</v>
      </c>
      <c r="H636" s="13">
        <v>0.8</v>
      </c>
      <c r="I636" s="6" t="s">
        <v>19</v>
      </c>
      <c r="J636" s="11">
        <v>10</v>
      </c>
      <c r="K636" s="11">
        <v>3</v>
      </c>
      <c r="L636" s="11">
        <v>4</v>
      </c>
      <c r="M636" s="15">
        <v>0</v>
      </c>
      <c r="R636" s="20">
        <v>0</v>
      </c>
      <c r="U636" s="17">
        <v>0</v>
      </c>
      <c r="W636" s="23">
        <v>0</v>
      </c>
      <c r="Y636" s="26">
        <v>0</v>
      </c>
    </row>
    <row r="637" spans="1:25" x14ac:dyDescent="0.25">
      <c r="A637" s="7">
        <v>18</v>
      </c>
      <c r="B637" s="6" t="s">
        <v>16</v>
      </c>
      <c r="C637" s="32">
        <v>7.7</v>
      </c>
      <c r="D637" s="6" t="s">
        <v>17</v>
      </c>
      <c r="E637" s="29">
        <v>7.6</v>
      </c>
      <c r="F637" s="13">
        <v>2.9</v>
      </c>
      <c r="G637" s="31">
        <v>3.81</v>
      </c>
      <c r="H637" s="13">
        <v>0.5</v>
      </c>
      <c r="I637" s="6" t="s">
        <v>18</v>
      </c>
      <c r="J637" s="11">
        <v>10</v>
      </c>
      <c r="K637" s="11">
        <v>3</v>
      </c>
      <c r="L637" s="11">
        <v>6</v>
      </c>
      <c r="M637" s="15">
        <v>0</v>
      </c>
      <c r="R637" s="20">
        <v>0</v>
      </c>
      <c r="U637" s="17">
        <v>0</v>
      </c>
      <c r="W637" s="23">
        <v>0</v>
      </c>
      <c r="Y637" s="26">
        <v>0</v>
      </c>
    </row>
    <row r="638" spans="1:25" x14ac:dyDescent="0.25">
      <c r="A638" s="7">
        <v>18</v>
      </c>
      <c r="B638" s="6" t="s">
        <v>13</v>
      </c>
      <c r="C638" s="32">
        <v>3.2</v>
      </c>
      <c r="D638" s="6" t="s">
        <v>14</v>
      </c>
      <c r="E638" s="29">
        <v>6</v>
      </c>
      <c r="F638" s="13">
        <v>1.5</v>
      </c>
      <c r="G638" s="31">
        <v>3.36</v>
      </c>
      <c r="H638" s="13">
        <v>1.5</v>
      </c>
      <c r="I638" s="6" t="s">
        <v>18</v>
      </c>
      <c r="J638" s="11">
        <v>9</v>
      </c>
      <c r="K638" s="11">
        <v>7</v>
      </c>
      <c r="L638" s="11">
        <v>10</v>
      </c>
      <c r="M638" s="15">
        <v>0</v>
      </c>
      <c r="R638" s="20">
        <v>0</v>
      </c>
      <c r="U638" s="17">
        <v>0</v>
      </c>
      <c r="W638" s="23">
        <v>0</v>
      </c>
      <c r="Y638" s="26">
        <v>0</v>
      </c>
    </row>
    <row r="639" spans="1:25" x14ac:dyDescent="0.25">
      <c r="A639" s="7">
        <v>16</v>
      </c>
      <c r="B639" s="6" t="s">
        <v>13</v>
      </c>
      <c r="C639" s="32">
        <v>2</v>
      </c>
      <c r="D639" s="6" t="s">
        <v>17</v>
      </c>
      <c r="E639" s="29">
        <v>7.8</v>
      </c>
      <c r="F639" s="13">
        <v>0.5</v>
      </c>
      <c r="G639" s="31">
        <v>2.81</v>
      </c>
      <c r="H639" s="13">
        <v>1.4</v>
      </c>
      <c r="I639" s="6" t="s">
        <v>18</v>
      </c>
      <c r="J639" s="11">
        <v>10</v>
      </c>
      <c r="K639" s="11">
        <v>2</v>
      </c>
      <c r="L639" s="11">
        <v>4</v>
      </c>
      <c r="M639" s="15">
        <v>0</v>
      </c>
      <c r="R639" s="20">
        <v>0</v>
      </c>
      <c r="U639" s="17">
        <v>0</v>
      </c>
      <c r="W639" s="23">
        <v>0</v>
      </c>
      <c r="Y639" s="26">
        <v>0</v>
      </c>
    </row>
    <row r="640" spans="1:25" x14ac:dyDescent="0.25">
      <c r="A640" s="7">
        <v>15</v>
      </c>
      <c r="B640" s="6" t="s">
        <v>16</v>
      </c>
      <c r="C640" s="32">
        <v>6.2</v>
      </c>
      <c r="D640" s="6" t="s">
        <v>20</v>
      </c>
      <c r="E640" s="29">
        <v>5.2</v>
      </c>
      <c r="F640" s="13">
        <v>1</v>
      </c>
      <c r="G640" s="31">
        <v>3.94</v>
      </c>
      <c r="H640" s="13">
        <v>1.4</v>
      </c>
      <c r="I640" s="6" t="s">
        <v>15</v>
      </c>
      <c r="J640" s="11">
        <v>5</v>
      </c>
      <c r="K640" s="11">
        <v>2</v>
      </c>
      <c r="L640" s="11">
        <v>7</v>
      </c>
      <c r="M640" s="15">
        <v>0</v>
      </c>
      <c r="R640" s="20">
        <v>0</v>
      </c>
      <c r="U640" s="17">
        <v>0</v>
      </c>
      <c r="W640" s="23">
        <v>0</v>
      </c>
      <c r="Y640" s="26">
        <v>0</v>
      </c>
    </row>
    <row r="641" spans="1:25" x14ac:dyDescent="0.25">
      <c r="A641" s="7">
        <v>19</v>
      </c>
      <c r="B641" s="6" t="s">
        <v>16</v>
      </c>
      <c r="C641" s="32">
        <v>2.4</v>
      </c>
      <c r="D641" s="6" t="s">
        <v>14</v>
      </c>
      <c r="E641" s="29">
        <v>8.6999999999999993</v>
      </c>
      <c r="F641" s="13">
        <v>1.6</v>
      </c>
      <c r="G641" s="31">
        <v>2.4</v>
      </c>
      <c r="H641" s="13">
        <v>0.1</v>
      </c>
      <c r="I641" s="6" t="s">
        <v>19</v>
      </c>
      <c r="J641" s="11">
        <v>2</v>
      </c>
      <c r="K641" s="11">
        <v>9</v>
      </c>
      <c r="L641" s="11">
        <v>7</v>
      </c>
      <c r="M641" s="15">
        <v>0</v>
      </c>
      <c r="R641" s="20">
        <v>0</v>
      </c>
      <c r="U641" s="17">
        <v>0</v>
      </c>
      <c r="W641" s="23">
        <v>0</v>
      </c>
      <c r="Y641" s="26">
        <v>0</v>
      </c>
    </row>
    <row r="642" spans="1:25" x14ac:dyDescent="0.25">
      <c r="A642" s="7">
        <v>15</v>
      </c>
      <c r="B642" s="6" t="s">
        <v>13</v>
      </c>
      <c r="C642" s="32">
        <v>3.4</v>
      </c>
      <c r="D642" s="6" t="s">
        <v>20</v>
      </c>
      <c r="E642" s="29">
        <v>8</v>
      </c>
      <c r="F642" s="13">
        <v>1</v>
      </c>
      <c r="G642" s="31">
        <v>2.31</v>
      </c>
      <c r="H642" s="13">
        <v>1</v>
      </c>
      <c r="I642" s="6" t="s">
        <v>18</v>
      </c>
      <c r="J642" s="11">
        <v>4</v>
      </c>
      <c r="K642" s="11">
        <v>7</v>
      </c>
      <c r="L642" s="11">
        <v>6</v>
      </c>
      <c r="M642" s="15">
        <v>0</v>
      </c>
      <c r="R642" s="20">
        <v>0</v>
      </c>
      <c r="U642" s="17">
        <v>0</v>
      </c>
      <c r="W642" s="23">
        <v>0</v>
      </c>
      <c r="Y642" s="26">
        <v>0</v>
      </c>
    </row>
    <row r="643" spans="1:25" x14ac:dyDescent="0.25">
      <c r="A643" s="7">
        <v>19</v>
      </c>
      <c r="B643" s="6" t="s">
        <v>13</v>
      </c>
      <c r="C643" s="32">
        <v>6</v>
      </c>
      <c r="D643" s="6" t="s">
        <v>14</v>
      </c>
      <c r="E643" s="29">
        <v>4.2</v>
      </c>
      <c r="F643" s="13">
        <v>0.9</v>
      </c>
      <c r="G643" s="31">
        <v>2.41</v>
      </c>
      <c r="H643" s="13">
        <v>0.8</v>
      </c>
      <c r="I643" s="6" t="s">
        <v>19</v>
      </c>
      <c r="J643" s="11">
        <v>7</v>
      </c>
      <c r="K643" s="11">
        <v>9</v>
      </c>
      <c r="L643" s="11">
        <v>9</v>
      </c>
      <c r="M643" s="15">
        <v>1</v>
      </c>
      <c r="R643" s="20">
        <v>1</v>
      </c>
      <c r="U643" s="17">
        <v>1</v>
      </c>
      <c r="W643" s="23">
        <v>1</v>
      </c>
      <c r="Y643" s="26">
        <v>1</v>
      </c>
    </row>
    <row r="644" spans="1:25" x14ac:dyDescent="0.25">
      <c r="A644" s="7">
        <v>16</v>
      </c>
      <c r="B644" s="6" t="s">
        <v>16</v>
      </c>
      <c r="C644" s="32">
        <v>5.3</v>
      </c>
      <c r="D644" s="6" t="s">
        <v>20</v>
      </c>
      <c r="E644" s="29">
        <v>5.6</v>
      </c>
      <c r="F644" s="13">
        <v>2.5</v>
      </c>
      <c r="G644" s="31">
        <v>2.73</v>
      </c>
      <c r="H644" s="13">
        <v>1.3</v>
      </c>
      <c r="I644" s="6" t="s">
        <v>19</v>
      </c>
      <c r="J644" s="11">
        <v>7</v>
      </c>
      <c r="K644" s="11">
        <v>10</v>
      </c>
      <c r="L644" s="11">
        <v>4</v>
      </c>
      <c r="M644" s="15">
        <v>1</v>
      </c>
      <c r="R644" s="20">
        <v>1</v>
      </c>
      <c r="U644" s="17">
        <v>1</v>
      </c>
      <c r="W644" s="23">
        <v>1</v>
      </c>
      <c r="Y644" s="26">
        <v>1</v>
      </c>
    </row>
    <row r="645" spans="1:25" x14ac:dyDescent="0.25">
      <c r="A645" s="7">
        <v>17</v>
      </c>
      <c r="B645" s="6" t="s">
        <v>16</v>
      </c>
      <c r="C645" s="32">
        <v>5.5</v>
      </c>
      <c r="D645" s="6" t="s">
        <v>14</v>
      </c>
      <c r="E645" s="29">
        <v>6.3</v>
      </c>
      <c r="F645" s="13">
        <v>0.8</v>
      </c>
      <c r="G645" s="31">
        <v>2.59</v>
      </c>
      <c r="H645" s="13">
        <v>1.6</v>
      </c>
      <c r="I645" s="6" t="s">
        <v>18</v>
      </c>
      <c r="J645" s="11">
        <v>6</v>
      </c>
      <c r="K645" s="11">
        <v>8</v>
      </c>
      <c r="L645" s="11">
        <v>7</v>
      </c>
      <c r="M645" s="15">
        <v>0</v>
      </c>
      <c r="R645" s="20">
        <v>0</v>
      </c>
      <c r="U645" s="17">
        <v>0</v>
      </c>
      <c r="W645" s="23">
        <v>0</v>
      </c>
      <c r="Y645" s="26">
        <v>0</v>
      </c>
    </row>
    <row r="646" spans="1:25" x14ac:dyDescent="0.25">
      <c r="A646" s="7">
        <v>17</v>
      </c>
      <c r="B646" s="6" t="s">
        <v>13</v>
      </c>
      <c r="C646" s="32">
        <v>3.6</v>
      </c>
      <c r="D646" s="6" t="s">
        <v>20</v>
      </c>
      <c r="E646" s="29">
        <v>6.1</v>
      </c>
      <c r="F646" s="13">
        <v>2.8</v>
      </c>
      <c r="G646" s="31">
        <v>2.39</v>
      </c>
      <c r="H646" s="13">
        <v>0.6</v>
      </c>
      <c r="I646" s="6" t="s">
        <v>15</v>
      </c>
      <c r="J646" s="11">
        <v>6</v>
      </c>
      <c r="K646" s="11">
        <v>8</v>
      </c>
      <c r="L646" s="11">
        <v>5</v>
      </c>
      <c r="M646" s="15">
        <v>0</v>
      </c>
      <c r="R646" s="20">
        <v>0</v>
      </c>
      <c r="U646" s="17">
        <v>0</v>
      </c>
      <c r="W646" s="23">
        <v>0</v>
      </c>
      <c r="Y646" s="26">
        <v>0</v>
      </c>
    </row>
    <row r="647" spans="1:25" x14ac:dyDescent="0.25">
      <c r="A647" s="7">
        <v>17</v>
      </c>
      <c r="B647" s="6" t="s">
        <v>16</v>
      </c>
      <c r="C647" s="32">
        <v>3.7</v>
      </c>
      <c r="D647" s="6" t="s">
        <v>14</v>
      </c>
      <c r="E647" s="29">
        <v>6.3</v>
      </c>
      <c r="F647" s="13">
        <v>1.3</v>
      </c>
      <c r="G647" s="31">
        <v>2.7</v>
      </c>
      <c r="H647" s="13">
        <v>1.1000000000000001</v>
      </c>
      <c r="I647" s="6" t="s">
        <v>19</v>
      </c>
      <c r="J647" s="11">
        <v>2</v>
      </c>
      <c r="K647" s="11">
        <v>6</v>
      </c>
      <c r="L647" s="11">
        <v>9</v>
      </c>
      <c r="M647" s="15">
        <v>0</v>
      </c>
      <c r="R647" s="20">
        <v>0</v>
      </c>
      <c r="U647" s="17">
        <v>0</v>
      </c>
      <c r="W647" s="23">
        <v>0</v>
      </c>
      <c r="Y647" s="26">
        <v>0</v>
      </c>
    </row>
    <row r="648" spans="1:25" x14ac:dyDescent="0.25">
      <c r="A648" s="7">
        <v>16</v>
      </c>
      <c r="B648" s="6" t="s">
        <v>16</v>
      </c>
      <c r="C648" s="32">
        <v>7.4</v>
      </c>
      <c r="D648" s="6" t="s">
        <v>14</v>
      </c>
      <c r="E648" s="29">
        <v>7.4</v>
      </c>
      <c r="F648" s="13">
        <v>0.9</v>
      </c>
      <c r="G648" s="31">
        <v>3.7</v>
      </c>
      <c r="H648" s="13">
        <v>1.3</v>
      </c>
      <c r="I648" s="6" t="s">
        <v>19</v>
      </c>
      <c r="J648" s="11">
        <v>10</v>
      </c>
      <c r="K648" s="11">
        <v>6</v>
      </c>
      <c r="L648" s="11">
        <v>2</v>
      </c>
      <c r="M648" s="15">
        <v>0</v>
      </c>
      <c r="R648" s="20">
        <v>0</v>
      </c>
      <c r="U648" s="17">
        <v>0</v>
      </c>
      <c r="W648" s="23">
        <v>0</v>
      </c>
      <c r="Y648" s="26">
        <v>0</v>
      </c>
    </row>
    <row r="649" spans="1:25" x14ac:dyDescent="0.25">
      <c r="A649" s="7">
        <v>13</v>
      </c>
      <c r="B649" s="6" t="s">
        <v>13</v>
      </c>
      <c r="C649" s="32">
        <v>5.3</v>
      </c>
      <c r="D649" s="6" t="s">
        <v>14</v>
      </c>
      <c r="E649" s="29">
        <v>6</v>
      </c>
      <c r="F649" s="13">
        <v>1</v>
      </c>
      <c r="G649" s="31">
        <v>2.92</v>
      </c>
      <c r="H649" s="13">
        <v>0.7</v>
      </c>
      <c r="I649" s="6" t="s">
        <v>18</v>
      </c>
      <c r="J649" s="11">
        <v>3</v>
      </c>
      <c r="K649" s="11">
        <v>8</v>
      </c>
      <c r="L649" s="11">
        <v>5</v>
      </c>
      <c r="M649" s="15">
        <v>0</v>
      </c>
      <c r="R649" s="20">
        <v>0</v>
      </c>
      <c r="U649" s="17">
        <v>0</v>
      </c>
      <c r="W649" s="23">
        <v>0</v>
      </c>
      <c r="Y649" s="26">
        <v>0</v>
      </c>
    </row>
    <row r="650" spans="1:25" x14ac:dyDescent="0.25">
      <c r="A650" s="7">
        <v>18</v>
      </c>
      <c r="B650" s="6" t="s">
        <v>16</v>
      </c>
      <c r="C650" s="32">
        <v>4.8</v>
      </c>
      <c r="D650" s="6" t="s">
        <v>14</v>
      </c>
      <c r="E650" s="29">
        <v>5.5</v>
      </c>
      <c r="F650" s="13">
        <v>1.8</v>
      </c>
      <c r="G650" s="31">
        <v>2.9</v>
      </c>
      <c r="H650" s="13">
        <v>0.6</v>
      </c>
      <c r="I650" s="6" t="s">
        <v>15</v>
      </c>
      <c r="J650" s="11">
        <v>6</v>
      </c>
      <c r="K650" s="11">
        <v>2</v>
      </c>
      <c r="L650" s="11">
        <v>5</v>
      </c>
      <c r="M650" s="15">
        <v>0</v>
      </c>
      <c r="R650" s="20">
        <v>0</v>
      </c>
      <c r="U650" s="17">
        <v>0</v>
      </c>
      <c r="W650" s="23">
        <v>0</v>
      </c>
      <c r="Y650" s="26">
        <v>0</v>
      </c>
    </row>
    <row r="651" spans="1:25" x14ac:dyDescent="0.25">
      <c r="A651" s="7">
        <v>13</v>
      </c>
      <c r="B651" s="6" t="s">
        <v>13</v>
      </c>
      <c r="C651" s="32">
        <v>3.4</v>
      </c>
      <c r="D651" s="6" t="s">
        <v>17</v>
      </c>
      <c r="E651" s="29">
        <v>4.5</v>
      </c>
      <c r="F651" s="13">
        <v>0.5</v>
      </c>
      <c r="G651" s="31">
        <v>3.71</v>
      </c>
      <c r="H651" s="13">
        <v>1</v>
      </c>
      <c r="I651" s="6" t="s">
        <v>19</v>
      </c>
      <c r="J651" s="11">
        <v>1</v>
      </c>
      <c r="K651" s="11">
        <v>10</v>
      </c>
      <c r="L651" s="11">
        <v>1</v>
      </c>
      <c r="M651" s="15">
        <v>0</v>
      </c>
      <c r="R651" s="20">
        <v>0</v>
      </c>
      <c r="U651" s="17">
        <v>0</v>
      </c>
      <c r="W651" s="23">
        <v>0</v>
      </c>
      <c r="Y651" s="26">
        <v>0</v>
      </c>
    </row>
    <row r="652" spans="1:25" x14ac:dyDescent="0.25">
      <c r="A652" s="7">
        <v>17</v>
      </c>
      <c r="B652" s="6" t="s">
        <v>16</v>
      </c>
      <c r="C652" s="32">
        <v>7</v>
      </c>
      <c r="D652" s="6" t="s">
        <v>17</v>
      </c>
      <c r="E652" s="29">
        <v>8.9</v>
      </c>
      <c r="F652" s="13">
        <v>0.6</v>
      </c>
      <c r="G652" s="31">
        <v>3.67</v>
      </c>
      <c r="H652" s="13">
        <v>0.2</v>
      </c>
      <c r="I652" s="6" t="s">
        <v>19</v>
      </c>
      <c r="J652" s="11">
        <v>9</v>
      </c>
      <c r="K652" s="11">
        <v>2</v>
      </c>
      <c r="L652" s="11">
        <v>4</v>
      </c>
      <c r="M652" s="15">
        <v>0</v>
      </c>
      <c r="R652" s="20">
        <v>0</v>
      </c>
      <c r="U652" s="17">
        <v>0</v>
      </c>
      <c r="W652" s="23">
        <v>0</v>
      </c>
      <c r="Y652" s="26">
        <v>0</v>
      </c>
    </row>
    <row r="653" spans="1:25" x14ac:dyDescent="0.25">
      <c r="A653" s="7">
        <v>15</v>
      </c>
      <c r="B653" s="6" t="s">
        <v>13</v>
      </c>
      <c r="C653" s="32">
        <v>5.4</v>
      </c>
      <c r="D653" s="6" t="s">
        <v>14</v>
      </c>
      <c r="E653" s="29">
        <v>7.2</v>
      </c>
      <c r="F653" s="13">
        <v>1.2</v>
      </c>
      <c r="G653" s="31">
        <v>3.32</v>
      </c>
      <c r="H653" s="13">
        <v>1.3</v>
      </c>
      <c r="I653" s="6" t="s">
        <v>18</v>
      </c>
      <c r="J653" s="11">
        <v>7</v>
      </c>
      <c r="K653" s="11">
        <v>8</v>
      </c>
      <c r="L653" s="11">
        <v>1</v>
      </c>
      <c r="M653" s="15">
        <v>0</v>
      </c>
      <c r="R653" s="20">
        <v>0</v>
      </c>
      <c r="U653" s="17">
        <v>0</v>
      </c>
      <c r="W653" s="23">
        <v>0</v>
      </c>
      <c r="Y653" s="26">
        <v>0</v>
      </c>
    </row>
    <row r="654" spans="1:25" x14ac:dyDescent="0.25">
      <c r="A654" s="7">
        <v>17</v>
      </c>
      <c r="B654" s="6" t="s">
        <v>13</v>
      </c>
      <c r="C654" s="32">
        <v>5.3</v>
      </c>
      <c r="D654" s="6" t="s">
        <v>14</v>
      </c>
      <c r="E654" s="29">
        <v>6.4</v>
      </c>
      <c r="F654" s="13">
        <v>2.9</v>
      </c>
      <c r="G654" s="31">
        <v>2.42</v>
      </c>
      <c r="H654" s="13">
        <v>1.1000000000000001</v>
      </c>
      <c r="I654" s="6" t="s">
        <v>15</v>
      </c>
      <c r="J654" s="11">
        <v>3</v>
      </c>
      <c r="K654" s="11">
        <v>8</v>
      </c>
      <c r="L654" s="11">
        <v>3</v>
      </c>
      <c r="M654" s="15">
        <v>0</v>
      </c>
      <c r="R654" s="20">
        <v>0</v>
      </c>
      <c r="U654" s="17">
        <v>0</v>
      </c>
      <c r="W654" s="23">
        <v>0</v>
      </c>
      <c r="Y654" s="26">
        <v>0</v>
      </c>
    </row>
    <row r="655" spans="1:25" x14ac:dyDescent="0.25">
      <c r="A655" s="7">
        <v>14</v>
      </c>
      <c r="B655" s="6" t="s">
        <v>13</v>
      </c>
      <c r="C655" s="32">
        <v>1.8</v>
      </c>
      <c r="D655" s="6" t="s">
        <v>20</v>
      </c>
      <c r="E655" s="29">
        <v>5.0999999999999996</v>
      </c>
      <c r="F655" s="13">
        <v>2.7</v>
      </c>
      <c r="G655" s="31">
        <v>3.47</v>
      </c>
      <c r="H655" s="13">
        <v>0.2</v>
      </c>
      <c r="I655" s="6" t="s">
        <v>15</v>
      </c>
      <c r="J655" s="11">
        <v>8</v>
      </c>
      <c r="K655" s="11">
        <v>4</v>
      </c>
      <c r="L655" s="11">
        <v>6</v>
      </c>
      <c r="M655" s="15">
        <v>0</v>
      </c>
      <c r="R655" s="20">
        <v>0</v>
      </c>
      <c r="U655" s="17">
        <v>0</v>
      </c>
      <c r="W655" s="23">
        <v>0</v>
      </c>
      <c r="Y655" s="26">
        <v>0</v>
      </c>
    </row>
    <row r="656" spans="1:25" x14ac:dyDescent="0.25">
      <c r="A656" s="7">
        <v>15</v>
      </c>
      <c r="B656" s="6" t="s">
        <v>13</v>
      </c>
      <c r="C656" s="32">
        <v>4.5</v>
      </c>
      <c r="D656" s="6" t="s">
        <v>17</v>
      </c>
      <c r="E656" s="29">
        <v>6.2</v>
      </c>
      <c r="F656" s="13">
        <v>2.8</v>
      </c>
      <c r="G656" s="31">
        <v>2.74</v>
      </c>
      <c r="H656" s="13">
        <v>0.1</v>
      </c>
      <c r="I656" s="6" t="s">
        <v>18</v>
      </c>
      <c r="J656" s="11">
        <v>2</v>
      </c>
      <c r="K656" s="11">
        <v>3</v>
      </c>
      <c r="L656" s="11">
        <v>5</v>
      </c>
      <c r="M656" s="15">
        <v>0</v>
      </c>
      <c r="R656" s="20">
        <v>0</v>
      </c>
      <c r="U656" s="17">
        <v>0</v>
      </c>
      <c r="W656" s="23">
        <v>0</v>
      </c>
      <c r="Y656" s="26">
        <v>0</v>
      </c>
    </row>
    <row r="657" spans="1:25" x14ac:dyDescent="0.25">
      <c r="A657" s="7">
        <v>17</v>
      </c>
      <c r="B657" s="6" t="s">
        <v>16</v>
      </c>
      <c r="C657" s="32">
        <v>5.4</v>
      </c>
      <c r="D657" s="6" t="s">
        <v>17</v>
      </c>
      <c r="E657" s="29">
        <v>7.1</v>
      </c>
      <c r="F657" s="13">
        <v>2.5</v>
      </c>
      <c r="G657" s="31">
        <v>2.68</v>
      </c>
      <c r="H657" s="13">
        <v>1.6</v>
      </c>
      <c r="I657" s="6" t="s">
        <v>15</v>
      </c>
      <c r="J657" s="11">
        <v>3</v>
      </c>
      <c r="K657" s="11">
        <v>5</v>
      </c>
      <c r="L657" s="11">
        <v>7</v>
      </c>
      <c r="M657" s="15">
        <v>0</v>
      </c>
      <c r="R657" s="20">
        <v>0</v>
      </c>
      <c r="U657" s="17">
        <v>0</v>
      </c>
      <c r="W657" s="23">
        <v>0</v>
      </c>
      <c r="Y657" s="26">
        <v>0</v>
      </c>
    </row>
    <row r="658" spans="1:25" x14ac:dyDescent="0.25">
      <c r="A658" s="7">
        <v>13</v>
      </c>
      <c r="B658" s="6" t="s">
        <v>13</v>
      </c>
      <c r="C658" s="32">
        <v>3.6</v>
      </c>
      <c r="D658" s="6" t="s">
        <v>14</v>
      </c>
      <c r="E658" s="29">
        <v>8.6</v>
      </c>
      <c r="F658" s="13">
        <v>0.7</v>
      </c>
      <c r="G658" s="31">
        <v>2.42</v>
      </c>
      <c r="H658" s="13">
        <v>0.2</v>
      </c>
      <c r="I658" s="6" t="s">
        <v>19</v>
      </c>
      <c r="J658" s="11">
        <v>2</v>
      </c>
      <c r="K658" s="11">
        <v>6</v>
      </c>
      <c r="L658" s="11">
        <v>8</v>
      </c>
      <c r="M658" s="15">
        <v>0</v>
      </c>
      <c r="R658" s="20">
        <v>0</v>
      </c>
      <c r="U658" s="17">
        <v>0</v>
      </c>
      <c r="W658" s="23">
        <v>0</v>
      </c>
      <c r="Y658" s="26">
        <v>0</v>
      </c>
    </row>
    <row r="659" spans="1:25" x14ac:dyDescent="0.25">
      <c r="A659" s="7">
        <v>14</v>
      </c>
      <c r="B659" s="6" t="s">
        <v>16</v>
      </c>
      <c r="C659" s="32">
        <v>5.7</v>
      </c>
      <c r="D659" s="6" t="s">
        <v>14</v>
      </c>
      <c r="E659" s="29">
        <v>8.9</v>
      </c>
      <c r="F659" s="13">
        <v>0.7</v>
      </c>
      <c r="G659" s="31">
        <v>2.17</v>
      </c>
      <c r="H659" s="13">
        <v>1.3</v>
      </c>
      <c r="I659" s="6" t="s">
        <v>18</v>
      </c>
      <c r="J659" s="11">
        <v>10</v>
      </c>
      <c r="K659" s="11">
        <v>4</v>
      </c>
      <c r="L659" s="11">
        <v>3</v>
      </c>
      <c r="M659" s="15">
        <v>0</v>
      </c>
      <c r="R659" s="20">
        <v>0</v>
      </c>
      <c r="U659" s="17">
        <v>0</v>
      </c>
      <c r="W659" s="23">
        <v>0</v>
      </c>
      <c r="Y659" s="26">
        <v>0</v>
      </c>
    </row>
    <row r="660" spans="1:25" x14ac:dyDescent="0.25">
      <c r="A660" s="7">
        <v>15</v>
      </c>
      <c r="B660" s="6" t="s">
        <v>16</v>
      </c>
      <c r="C660" s="32">
        <v>5.5</v>
      </c>
      <c r="D660" s="6" t="s">
        <v>20</v>
      </c>
      <c r="E660" s="29">
        <v>7.3</v>
      </c>
      <c r="F660" s="13">
        <v>2.5</v>
      </c>
      <c r="G660" s="31">
        <v>3.67</v>
      </c>
      <c r="H660" s="13">
        <v>0.5</v>
      </c>
      <c r="I660" s="6" t="s">
        <v>15</v>
      </c>
      <c r="J660" s="11">
        <v>4</v>
      </c>
      <c r="K660" s="11">
        <v>3</v>
      </c>
      <c r="L660" s="11">
        <v>6</v>
      </c>
      <c r="M660" s="15">
        <v>0</v>
      </c>
      <c r="R660" s="20">
        <v>0</v>
      </c>
      <c r="U660" s="17">
        <v>0</v>
      </c>
      <c r="W660" s="23">
        <v>0</v>
      </c>
      <c r="Y660" s="26">
        <v>0</v>
      </c>
    </row>
    <row r="661" spans="1:25" x14ac:dyDescent="0.25">
      <c r="A661" s="7">
        <v>14</v>
      </c>
      <c r="B661" s="6" t="s">
        <v>16</v>
      </c>
      <c r="C661" s="32">
        <v>5.3</v>
      </c>
      <c r="D661" s="6" t="s">
        <v>20</v>
      </c>
      <c r="E661" s="29">
        <v>4.7</v>
      </c>
      <c r="F661" s="13">
        <v>1.1000000000000001</v>
      </c>
      <c r="G661" s="31">
        <v>3.68</v>
      </c>
      <c r="H661" s="13">
        <v>1.8</v>
      </c>
      <c r="I661" s="6" t="s">
        <v>18</v>
      </c>
      <c r="J661" s="11">
        <v>10</v>
      </c>
      <c r="K661" s="11">
        <v>8</v>
      </c>
      <c r="L661" s="11">
        <v>10</v>
      </c>
      <c r="M661" s="15">
        <v>1</v>
      </c>
      <c r="R661" s="20">
        <v>1</v>
      </c>
      <c r="U661" s="17">
        <v>1</v>
      </c>
      <c r="W661" s="23">
        <v>1</v>
      </c>
      <c r="Y661" s="26">
        <v>1</v>
      </c>
    </row>
    <row r="662" spans="1:25" x14ac:dyDescent="0.25">
      <c r="A662" s="7">
        <v>15</v>
      </c>
      <c r="B662" s="6" t="s">
        <v>13</v>
      </c>
      <c r="C662" s="32">
        <v>2.7</v>
      </c>
      <c r="D662" s="6" t="s">
        <v>14</v>
      </c>
      <c r="E662" s="29">
        <v>5.4</v>
      </c>
      <c r="F662" s="13">
        <v>1.6</v>
      </c>
      <c r="G662" s="31">
        <v>2.34</v>
      </c>
      <c r="H662" s="13">
        <v>0.3</v>
      </c>
      <c r="I662" s="6" t="s">
        <v>18</v>
      </c>
      <c r="J662" s="11">
        <v>2</v>
      </c>
      <c r="K662" s="11">
        <v>6</v>
      </c>
      <c r="L662" s="11">
        <v>8</v>
      </c>
      <c r="M662" s="15">
        <v>0</v>
      </c>
      <c r="R662" s="20">
        <v>0</v>
      </c>
      <c r="U662" s="17">
        <v>0</v>
      </c>
      <c r="W662" s="23">
        <v>0</v>
      </c>
      <c r="Y662" s="26">
        <v>0</v>
      </c>
    </row>
    <row r="663" spans="1:25" x14ac:dyDescent="0.25">
      <c r="A663" s="7">
        <v>14</v>
      </c>
      <c r="B663" s="6" t="s">
        <v>13</v>
      </c>
      <c r="C663" s="32">
        <v>6.4</v>
      </c>
      <c r="D663" s="6" t="s">
        <v>14</v>
      </c>
      <c r="E663" s="29">
        <v>5.6</v>
      </c>
      <c r="F663" s="13">
        <v>0.8</v>
      </c>
      <c r="G663" s="31">
        <v>4</v>
      </c>
      <c r="H663" s="13">
        <v>1.9</v>
      </c>
      <c r="I663" s="6" t="s">
        <v>19</v>
      </c>
      <c r="J663" s="11">
        <v>5</v>
      </c>
      <c r="K663" s="11">
        <v>1</v>
      </c>
      <c r="L663" s="11">
        <v>3</v>
      </c>
      <c r="M663" s="15">
        <v>0</v>
      </c>
      <c r="R663" s="20">
        <v>0</v>
      </c>
      <c r="U663" s="17">
        <v>0</v>
      </c>
      <c r="W663" s="23">
        <v>0</v>
      </c>
      <c r="Y663" s="26">
        <v>0</v>
      </c>
    </row>
    <row r="664" spans="1:25" x14ac:dyDescent="0.25">
      <c r="A664" s="7">
        <v>16</v>
      </c>
      <c r="B664" s="6" t="s">
        <v>13</v>
      </c>
      <c r="C664" s="32">
        <v>5</v>
      </c>
      <c r="D664" s="6" t="s">
        <v>17</v>
      </c>
      <c r="E664" s="29">
        <v>6.3</v>
      </c>
      <c r="F664" s="13">
        <v>3</v>
      </c>
      <c r="G664" s="31">
        <v>3.72</v>
      </c>
      <c r="H664" s="13">
        <v>1.6</v>
      </c>
      <c r="I664" s="6" t="s">
        <v>19</v>
      </c>
      <c r="J664" s="11">
        <v>5</v>
      </c>
      <c r="K664" s="11">
        <v>10</v>
      </c>
      <c r="L664" s="11">
        <v>3</v>
      </c>
      <c r="M664" s="15">
        <v>0</v>
      </c>
      <c r="R664" s="20">
        <v>0</v>
      </c>
      <c r="U664" s="17">
        <v>0</v>
      </c>
      <c r="W664" s="23">
        <v>0</v>
      </c>
      <c r="Y664" s="26">
        <v>0</v>
      </c>
    </row>
    <row r="665" spans="1:25" x14ac:dyDescent="0.25">
      <c r="A665" s="7">
        <v>13</v>
      </c>
      <c r="B665" s="6" t="s">
        <v>16</v>
      </c>
      <c r="C665" s="32">
        <v>2.5</v>
      </c>
      <c r="D665" s="6" t="s">
        <v>14</v>
      </c>
      <c r="E665" s="29">
        <v>4.5999999999999996</v>
      </c>
      <c r="F665" s="13">
        <v>1.6</v>
      </c>
      <c r="G665" s="31">
        <v>3.22</v>
      </c>
      <c r="H665" s="13">
        <v>0.9</v>
      </c>
      <c r="I665" s="6" t="s">
        <v>19</v>
      </c>
      <c r="J665" s="11">
        <v>6</v>
      </c>
      <c r="K665" s="11">
        <v>4</v>
      </c>
      <c r="L665" s="11">
        <v>3</v>
      </c>
      <c r="M665" s="15">
        <v>0</v>
      </c>
      <c r="R665" s="20">
        <v>0</v>
      </c>
      <c r="U665" s="17">
        <v>0</v>
      </c>
      <c r="W665" s="23">
        <v>0</v>
      </c>
      <c r="Y665" s="26">
        <v>0</v>
      </c>
    </row>
    <row r="666" spans="1:25" x14ac:dyDescent="0.25">
      <c r="A666" s="7">
        <v>18</v>
      </c>
      <c r="B666" s="6" t="s">
        <v>13</v>
      </c>
      <c r="C666" s="32">
        <v>2.2000000000000002</v>
      </c>
      <c r="D666" s="6" t="s">
        <v>20</v>
      </c>
      <c r="E666" s="29">
        <v>4.5</v>
      </c>
      <c r="F666" s="13">
        <v>2</v>
      </c>
      <c r="G666" s="31">
        <v>2.4900000000000002</v>
      </c>
      <c r="H666" s="13">
        <v>0.8</v>
      </c>
      <c r="I666" s="6" t="s">
        <v>18</v>
      </c>
      <c r="J666" s="11">
        <v>1</v>
      </c>
      <c r="K666" s="11">
        <v>7</v>
      </c>
      <c r="L666" s="11">
        <v>6</v>
      </c>
      <c r="M666" s="15">
        <v>0</v>
      </c>
      <c r="R666" s="20">
        <v>0</v>
      </c>
      <c r="U666" s="17">
        <v>0</v>
      </c>
      <c r="W666" s="23">
        <v>0</v>
      </c>
      <c r="Y666" s="26">
        <v>0</v>
      </c>
    </row>
    <row r="667" spans="1:25" x14ac:dyDescent="0.25">
      <c r="A667" s="7">
        <v>16</v>
      </c>
      <c r="B667" s="6" t="s">
        <v>13</v>
      </c>
      <c r="C667" s="32">
        <v>4.0999999999999996</v>
      </c>
      <c r="D667" s="6" t="s">
        <v>20</v>
      </c>
      <c r="E667" s="29">
        <v>5.5</v>
      </c>
      <c r="F667" s="13">
        <v>1.9</v>
      </c>
      <c r="G667" s="31">
        <v>2.65</v>
      </c>
      <c r="H667" s="13">
        <v>1.5</v>
      </c>
      <c r="I667" s="6" t="s">
        <v>15</v>
      </c>
      <c r="J667" s="11">
        <v>5</v>
      </c>
      <c r="K667" s="11">
        <v>7</v>
      </c>
      <c r="L667" s="11">
        <v>9</v>
      </c>
      <c r="M667" s="15">
        <v>0</v>
      </c>
      <c r="R667" s="20">
        <v>0</v>
      </c>
      <c r="U667" s="17">
        <v>0</v>
      </c>
      <c r="W667" s="23">
        <v>0</v>
      </c>
      <c r="Y667" s="26">
        <v>0</v>
      </c>
    </row>
    <row r="668" spans="1:25" x14ac:dyDescent="0.25">
      <c r="A668" s="7">
        <v>16</v>
      </c>
      <c r="B668" s="6" t="s">
        <v>16</v>
      </c>
      <c r="C668" s="32">
        <v>2.8</v>
      </c>
      <c r="D668" s="6" t="s">
        <v>17</v>
      </c>
      <c r="E668" s="29">
        <v>7.4</v>
      </c>
      <c r="F668" s="13">
        <v>2</v>
      </c>
      <c r="G668" s="31">
        <v>3.4</v>
      </c>
      <c r="H668" s="13">
        <v>1.6</v>
      </c>
      <c r="I668" s="6" t="s">
        <v>15</v>
      </c>
      <c r="J668" s="11">
        <v>4</v>
      </c>
      <c r="K668" s="11">
        <v>1</v>
      </c>
      <c r="L668" s="11">
        <v>1</v>
      </c>
      <c r="M668" s="15">
        <v>0</v>
      </c>
      <c r="R668" s="20">
        <v>0</v>
      </c>
      <c r="U668" s="17">
        <v>0</v>
      </c>
      <c r="W668" s="23">
        <v>0</v>
      </c>
      <c r="Y668" s="26">
        <v>0</v>
      </c>
    </row>
    <row r="669" spans="1:25" x14ac:dyDescent="0.25">
      <c r="A669" s="7">
        <v>17</v>
      </c>
      <c r="B669" s="6" t="s">
        <v>16</v>
      </c>
      <c r="C669" s="32">
        <v>1.1000000000000001</v>
      </c>
      <c r="D669" s="6" t="s">
        <v>17</v>
      </c>
      <c r="E669" s="29">
        <v>8.1999999999999993</v>
      </c>
      <c r="F669" s="13">
        <v>2.7</v>
      </c>
      <c r="G669" s="31">
        <v>2.84</v>
      </c>
      <c r="H669" s="13">
        <v>0.2</v>
      </c>
      <c r="I669" s="6" t="s">
        <v>18</v>
      </c>
      <c r="J669" s="11">
        <v>2</v>
      </c>
      <c r="K669" s="11">
        <v>4</v>
      </c>
      <c r="L669" s="11">
        <v>1</v>
      </c>
      <c r="M669" s="15">
        <v>0</v>
      </c>
      <c r="R669" s="20">
        <v>0</v>
      </c>
      <c r="U669" s="17">
        <v>0</v>
      </c>
      <c r="W669" s="23">
        <v>0</v>
      </c>
      <c r="Y669" s="26">
        <v>0</v>
      </c>
    </row>
    <row r="670" spans="1:25" x14ac:dyDescent="0.25">
      <c r="A670" s="7">
        <v>13</v>
      </c>
      <c r="B670" s="6" t="s">
        <v>13</v>
      </c>
      <c r="C670" s="32">
        <v>7</v>
      </c>
      <c r="D670" s="6" t="s">
        <v>20</v>
      </c>
      <c r="E670" s="29">
        <v>5.7</v>
      </c>
      <c r="F670" s="13">
        <v>1.6</v>
      </c>
      <c r="G670" s="31">
        <v>3.45</v>
      </c>
      <c r="H670" s="13">
        <v>1.2</v>
      </c>
      <c r="I670" s="6" t="s">
        <v>19</v>
      </c>
      <c r="J670" s="11">
        <v>7</v>
      </c>
      <c r="K670" s="11">
        <v>1</v>
      </c>
      <c r="L670" s="11">
        <v>10</v>
      </c>
      <c r="M670" s="15">
        <v>0</v>
      </c>
      <c r="R670" s="20">
        <v>0</v>
      </c>
      <c r="U670" s="17">
        <v>0</v>
      </c>
      <c r="W670" s="23">
        <v>0</v>
      </c>
      <c r="Y670" s="26">
        <v>0</v>
      </c>
    </row>
    <row r="671" spans="1:25" x14ac:dyDescent="0.25">
      <c r="A671" s="7">
        <v>18</v>
      </c>
      <c r="B671" s="6" t="s">
        <v>13</v>
      </c>
      <c r="C671" s="32">
        <v>2.6</v>
      </c>
      <c r="D671" s="6" t="s">
        <v>17</v>
      </c>
      <c r="E671" s="29">
        <v>7.9</v>
      </c>
      <c r="F671" s="13">
        <v>2.2999999999999998</v>
      </c>
      <c r="G671" s="31">
        <v>2.4300000000000002</v>
      </c>
      <c r="H671" s="13">
        <v>0.1</v>
      </c>
      <c r="I671" s="6" t="s">
        <v>18</v>
      </c>
      <c r="J671" s="11">
        <v>5</v>
      </c>
      <c r="K671" s="11">
        <v>1</v>
      </c>
      <c r="L671" s="11">
        <v>6</v>
      </c>
      <c r="M671" s="15">
        <v>0</v>
      </c>
      <c r="R671" s="20">
        <v>0</v>
      </c>
      <c r="U671" s="17">
        <v>0</v>
      </c>
      <c r="W671" s="23">
        <v>0</v>
      </c>
      <c r="Y671" s="26">
        <v>0</v>
      </c>
    </row>
    <row r="672" spans="1:25" x14ac:dyDescent="0.25">
      <c r="A672" s="7">
        <v>13</v>
      </c>
      <c r="B672" s="6" t="s">
        <v>16</v>
      </c>
      <c r="C672" s="32">
        <v>2.6</v>
      </c>
      <c r="D672" s="6" t="s">
        <v>17</v>
      </c>
      <c r="E672" s="29">
        <v>6.1</v>
      </c>
      <c r="F672" s="13">
        <v>1.4</v>
      </c>
      <c r="G672" s="31">
        <v>2.11</v>
      </c>
      <c r="H672" s="13">
        <v>0.4</v>
      </c>
      <c r="I672" s="6" t="s">
        <v>18</v>
      </c>
      <c r="J672" s="11">
        <v>7</v>
      </c>
      <c r="K672" s="11">
        <v>5</v>
      </c>
      <c r="L672" s="11">
        <v>10</v>
      </c>
      <c r="M672" s="15">
        <v>0</v>
      </c>
      <c r="R672" s="20">
        <v>0</v>
      </c>
      <c r="U672" s="17">
        <v>0</v>
      </c>
      <c r="W672" s="23">
        <v>0</v>
      </c>
      <c r="Y672" s="26">
        <v>0</v>
      </c>
    </row>
    <row r="673" spans="1:25" x14ac:dyDescent="0.25">
      <c r="A673" s="7">
        <v>14</v>
      </c>
      <c r="B673" s="6" t="s">
        <v>13</v>
      </c>
      <c r="C673" s="32">
        <v>3.4</v>
      </c>
      <c r="D673" s="6" t="s">
        <v>14</v>
      </c>
      <c r="E673" s="29">
        <v>4.5999999999999996</v>
      </c>
      <c r="F673" s="13">
        <v>2</v>
      </c>
      <c r="G673" s="31">
        <v>2.27</v>
      </c>
      <c r="H673" s="13">
        <v>1.9</v>
      </c>
      <c r="I673" s="6" t="s">
        <v>18</v>
      </c>
      <c r="J673" s="11">
        <v>7</v>
      </c>
      <c r="K673" s="11">
        <v>10</v>
      </c>
      <c r="L673" s="11">
        <v>6</v>
      </c>
      <c r="M673" s="15">
        <v>0</v>
      </c>
      <c r="R673" s="20">
        <v>0</v>
      </c>
      <c r="U673" s="17">
        <v>0</v>
      </c>
      <c r="W673" s="23">
        <v>0</v>
      </c>
      <c r="Y673" s="26">
        <v>0</v>
      </c>
    </row>
    <row r="674" spans="1:25" x14ac:dyDescent="0.25">
      <c r="A674" s="7">
        <v>14</v>
      </c>
      <c r="B674" s="6" t="s">
        <v>13</v>
      </c>
      <c r="C674" s="32">
        <v>7.9</v>
      </c>
      <c r="D674" s="6" t="s">
        <v>14</v>
      </c>
      <c r="E674" s="29">
        <v>5.7</v>
      </c>
      <c r="F674" s="13">
        <v>1.6</v>
      </c>
      <c r="G674" s="31">
        <v>3.67</v>
      </c>
      <c r="H674" s="13">
        <v>0.6</v>
      </c>
      <c r="I674" s="6" t="s">
        <v>19</v>
      </c>
      <c r="J674" s="11">
        <v>4</v>
      </c>
      <c r="K674" s="11">
        <v>3</v>
      </c>
      <c r="L674" s="11">
        <v>4</v>
      </c>
      <c r="M674" s="15">
        <v>0</v>
      </c>
      <c r="R674" s="20">
        <v>0</v>
      </c>
      <c r="U674" s="17">
        <v>0</v>
      </c>
      <c r="W674" s="23">
        <v>0</v>
      </c>
      <c r="Y674" s="26">
        <v>0</v>
      </c>
    </row>
    <row r="675" spans="1:25" x14ac:dyDescent="0.25">
      <c r="A675" s="7">
        <v>13</v>
      </c>
      <c r="B675" s="6" t="s">
        <v>13</v>
      </c>
      <c r="C675" s="32">
        <v>5.0999999999999996</v>
      </c>
      <c r="D675" s="6" t="s">
        <v>17</v>
      </c>
      <c r="E675" s="29">
        <v>5.3</v>
      </c>
      <c r="F675" s="13">
        <v>2.6</v>
      </c>
      <c r="G675" s="31">
        <v>2.95</v>
      </c>
      <c r="H675" s="13">
        <v>1.2</v>
      </c>
      <c r="I675" s="6" t="s">
        <v>19</v>
      </c>
      <c r="J675" s="11">
        <v>2</v>
      </c>
      <c r="K675" s="11">
        <v>6</v>
      </c>
      <c r="L675" s="11">
        <v>10</v>
      </c>
      <c r="M675" s="15">
        <v>0</v>
      </c>
      <c r="R675" s="20">
        <v>0</v>
      </c>
      <c r="U675" s="17">
        <v>0</v>
      </c>
      <c r="W675" s="23">
        <v>0</v>
      </c>
      <c r="Y675" s="26">
        <v>0</v>
      </c>
    </row>
    <row r="676" spans="1:25" x14ac:dyDescent="0.25">
      <c r="A676" s="7">
        <v>13</v>
      </c>
      <c r="B676" s="6" t="s">
        <v>16</v>
      </c>
      <c r="C676" s="32">
        <v>2.8</v>
      </c>
      <c r="D676" s="6" t="s">
        <v>20</v>
      </c>
      <c r="E676" s="29">
        <v>6.4</v>
      </c>
      <c r="F676" s="13">
        <v>1.4</v>
      </c>
      <c r="G676" s="31">
        <v>2.38</v>
      </c>
      <c r="H676" s="13">
        <v>1.4</v>
      </c>
      <c r="I676" s="6" t="s">
        <v>19</v>
      </c>
      <c r="J676" s="11">
        <v>4</v>
      </c>
      <c r="K676" s="11">
        <v>8</v>
      </c>
      <c r="L676" s="11">
        <v>10</v>
      </c>
      <c r="M676" s="15">
        <v>0</v>
      </c>
      <c r="R676" s="20">
        <v>0</v>
      </c>
      <c r="U676" s="17">
        <v>0</v>
      </c>
      <c r="W676" s="23">
        <v>0</v>
      </c>
      <c r="Y676" s="26">
        <v>0</v>
      </c>
    </row>
    <row r="677" spans="1:25" x14ac:dyDescent="0.25">
      <c r="A677" s="7">
        <v>19</v>
      </c>
      <c r="B677" s="6" t="s">
        <v>16</v>
      </c>
      <c r="C677" s="32">
        <v>3.4</v>
      </c>
      <c r="D677" s="6" t="s">
        <v>17</v>
      </c>
      <c r="E677" s="29">
        <v>4.3</v>
      </c>
      <c r="F677" s="13">
        <v>0.7</v>
      </c>
      <c r="G677" s="31">
        <v>2.17</v>
      </c>
      <c r="H677" s="13">
        <v>0.7</v>
      </c>
      <c r="I677" s="6" t="s">
        <v>18</v>
      </c>
      <c r="J677" s="11">
        <v>3</v>
      </c>
      <c r="K677" s="11">
        <v>1</v>
      </c>
      <c r="L677" s="11">
        <v>4</v>
      </c>
      <c r="M677" s="15">
        <v>0</v>
      </c>
      <c r="R677" s="20">
        <v>0</v>
      </c>
      <c r="U677" s="17">
        <v>0</v>
      </c>
      <c r="W677" s="23">
        <v>0</v>
      </c>
      <c r="Y677" s="26">
        <v>0</v>
      </c>
    </row>
    <row r="678" spans="1:25" x14ac:dyDescent="0.25">
      <c r="A678" s="7">
        <v>18</v>
      </c>
      <c r="B678" s="6" t="s">
        <v>13</v>
      </c>
      <c r="C678" s="32">
        <v>6.3</v>
      </c>
      <c r="D678" s="6" t="s">
        <v>20</v>
      </c>
      <c r="E678" s="29">
        <v>6.9</v>
      </c>
      <c r="F678" s="13">
        <v>1</v>
      </c>
      <c r="G678" s="31">
        <v>3.22</v>
      </c>
      <c r="H678" s="13">
        <v>0.8</v>
      </c>
      <c r="I678" s="6" t="s">
        <v>19</v>
      </c>
      <c r="J678" s="11">
        <v>4</v>
      </c>
      <c r="K678" s="11">
        <v>6</v>
      </c>
      <c r="L678" s="11">
        <v>1</v>
      </c>
      <c r="M678" s="15">
        <v>0</v>
      </c>
      <c r="R678" s="20">
        <v>0</v>
      </c>
      <c r="U678" s="17">
        <v>0</v>
      </c>
      <c r="W678" s="23">
        <v>0</v>
      </c>
      <c r="Y678" s="26">
        <v>0</v>
      </c>
    </row>
    <row r="679" spans="1:25" x14ac:dyDescent="0.25">
      <c r="A679" s="7">
        <v>17</v>
      </c>
      <c r="B679" s="6" t="s">
        <v>16</v>
      </c>
      <c r="C679" s="32">
        <v>1.1000000000000001</v>
      </c>
      <c r="D679" s="6" t="s">
        <v>17</v>
      </c>
      <c r="E679" s="29">
        <v>4.5999999999999996</v>
      </c>
      <c r="F679" s="13">
        <v>2.5</v>
      </c>
      <c r="G679" s="31">
        <v>3.93</v>
      </c>
      <c r="H679" s="13">
        <v>0.3</v>
      </c>
      <c r="I679" s="6" t="s">
        <v>18</v>
      </c>
      <c r="J679" s="11">
        <v>10</v>
      </c>
      <c r="K679" s="11">
        <v>6</v>
      </c>
      <c r="L679" s="11">
        <v>2</v>
      </c>
      <c r="M679" s="15">
        <v>0</v>
      </c>
      <c r="R679" s="20">
        <v>0</v>
      </c>
      <c r="U679" s="17">
        <v>0</v>
      </c>
      <c r="W679" s="23">
        <v>0</v>
      </c>
      <c r="Y679" s="26">
        <v>0</v>
      </c>
    </row>
    <row r="680" spans="1:25" x14ac:dyDescent="0.25">
      <c r="A680" s="7">
        <v>19</v>
      </c>
      <c r="B680" s="6" t="s">
        <v>13</v>
      </c>
      <c r="C680" s="32">
        <v>3.8</v>
      </c>
      <c r="D680" s="6" t="s">
        <v>14</v>
      </c>
      <c r="E680" s="29">
        <v>7.1</v>
      </c>
      <c r="F680" s="13">
        <v>2.5</v>
      </c>
      <c r="G680" s="31">
        <v>3.81</v>
      </c>
      <c r="H680" s="13">
        <v>0.9</v>
      </c>
      <c r="I680" s="6" t="s">
        <v>15</v>
      </c>
      <c r="J680" s="11">
        <v>6</v>
      </c>
      <c r="K680" s="11">
        <v>9</v>
      </c>
      <c r="L680" s="11">
        <v>4</v>
      </c>
      <c r="M680" s="15">
        <v>0</v>
      </c>
      <c r="R680" s="20">
        <v>0</v>
      </c>
      <c r="U680" s="17">
        <v>0</v>
      </c>
      <c r="W680" s="23">
        <v>0</v>
      </c>
      <c r="Y680" s="26">
        <v>0</v>
      </c>
    </row>
    <row r="681" spans="1:25" x14ac:dyDescent="0.25">
      <c r="A681" s="7">
        <v>13</v>
      </c>
      <c r="B681" s="6" t="s">
        <v>13</v>
      </c>
      <c r="C681" s="32">
        <v>2.1</v>
      </c>
      <c r="D681" s="6" t="s">
        <v>14</v>
      </c>
      <c r="E681" s="29">
        <v>4.0999999999999996</v>
      </c>
      <c r="F681" s="13">
        <v>1.6</v>
      </c>
      <c r="G681" s="31">
        <v>2.12</v>
      </c>
      <c r="H681" s="13">
        <v>1.8</v>
      </c>
      <c r="I681" s="6" t="s">
        <v>18</v>
      </c>
      <c r="J681" s="11">
        <v>10</v>
      </c>
      <c r="K681" s="11">
        <v>9</v>
      </c>
      <c r="L681" s="11">
        <v>6</v>
      </c>
      <c r="M681" s="15">
        <v>0</v>
      </c>
      <c r="R681" s="20">
        <v>0</v>
      </c>
      <c r="U681" s="17">
        <v>0</v>
      </c>
      <c r="W681" s="23">
        <v>0</v>
      </c>
      <c r="Y681" s="26">
        <v>0</v>
      </c>
    </row>
    <row r="682" spans="1:25" x14ac:dyDescent="0.25">
      <c r="A682" s="7">
        <v>17</v>
      </c>
      <c r="B682" s="6" t="s">
        <v>16</v>
      </c>
      <c r="C682" s="32">
        <v>6.2</v>
      </c>
      <c r="D682" s="6" t="s">
        <v>20</v>
      </c>
      <c r="E682" s="29">
        <v>6.1</v>
      </c>
      <c r="F682" s="13">
        <v>2.4</v>
      </c>
      <c r="G682" s="31">
        <v>3.05</v>
      </c>
      <c r="H682" s="13">
        <v>1.8</v>
      </c>
      <c r="I682" s="6" t="s">
        <v>18</v>
      </c>
      <c r="J682" s="11">
        <v>3</v>
      </c>
      <c r="K682" s="11">
        <v>6</v>
      </c>
      <c r="L682" s="11">
        <v>8</v>
      </c>
      <c r="M682" s="15">
        <v>0</v>
      </c>
      <c r="R682" s="20">
        <v>0</v>
      </c>
      <c r="U682" s="17">
        <v>0</v>
      </c>
      <c r="W682" s="23">
        <v>0</v>
      </c>
      <c r="Y682" s="26">
        <v>0</v>
      </c>
    </row>
    <row r="683" spans="1:25" x14ac:dyDescent="0.25">
      <c r="A683" s="7">
        <v>19</v>
      </c>
      <c r="B683" s="6" t="s">
        <v>13</v>
      </c>
      <c r="C683" s="32">
        <v>6.8</v>
      </c>
      <c r="D683" s="6" t="s">
        <v>14</v>
      </c>
      <c r="E683" s="29">
        <v>8.4</v>
      </c>
      <c r="F683" s="13">
        <v>2.1</v>
      </c>
      <c r="G683" s="31">
        <v>3.15</v>
      </c>
      <c r="H683" s="13">
        <v>2</v>
      </c>
      <c r="I683" s="6" t="s">
        <v>19</v>
      </c>
      <c r="J683" s="11">
        <v>4</v>
      </c>
      <c r="K683" s="11">
        <v>10</v>
      </c>
      <c r="L683" s="11">
        <v>1</v>
      </c>
      <c r="M683" s="15">
        <v>0</v>
      </c>
      <c r="R683" s="20">
        <v>0</v>
      </c>
      <c r="U683" s="17">
        <v>0</v>
      </c>
      <c r="W683" s="23">
        <v>0</v>
      </c>
      <c r="Y683" s="26">
        <v>0</v>
      </c>
    </row>
    <row r="684" spans="1:25" x14ac:dyDescent="0.25">
      <c r="A684" s="7">
        <v>14</v>
      </c>
      <c r="B684" s="6" t="s">
        <v>13</v>
      </c>
      <c r="C684" s="32">
        <v>5.2</v>
      </c>
      <c r="D684" s="6" t="s">
        <v>14</v>
      </c>
      <c r="E684" s="29">
        <v>5.5</v>
      </c>
      <c r="F684" s="13">
        <v>1.6</v>
      </c>
      <c r="G684" s="31">
        <v>3.08</v>
      </c>
      <c r="H684" s="13">
        <v>0.5</v>
      </c>
      <c r="I684" s="6" t="s">
        <v>19</v>
      </c>
      <c r="J684" s="11">
        <v>3</v>
      </c>
      <c r="K684" s="11">
        <v>8</v>
      </c>
      <c r="L684" s="11">
        <v>1</v>
      </c>
      <c r="M684" s="15">
        <v>0</v>
      </c>
      <c r="R684" s="20">
        <v>0</v>
      </c>
      <c r="U684" s="17">
        <v>0</v>
      </c>
      <c r="W684" s="23">
        <v>0</v>
      </c>
      <c r="Y684" s="26">
        <v>0</v>
      </c>
    </row>
    <row r="685" spans="1:25" x14ac:dyDescent="0.25">
      <c r="A685" s="7">
        <v>15</v>
      </c>
      <c r="B685" s="6" t="s">
        <v>13</v>
      </c>
      <c r="C685" s="32">
        <v>3.7</v>
      </c>
      <c r="D685" s="6" t="s">
        <v>20</v>
      </c>
      <c r="E685" s="29">
        <v>4</v>
      </c>
      <c r="F685" s="13">
        <v>0.9</v>
      </c>
      <c r="G685" s="31">
        <v>3</v>
      </c>
      <c r="H685" s="13">
        <v>1.4</v>
      </c>
      <c r="I685" s="6" t="s">
        <v>19</v>
      </c>
      <c r="J685" s="11">
        <v>1</v>
      </c>
      <c r="K685" s="11">
        <v>8</v>
      </c>
      <c r="L685" s="11">
        <v>10</v>
      </c>
      <c r="M685" s="15">
        <v>0</v>
      </c>
      <c r="R685" s="20">
        <v>0</v>
      </c>
      <c r="U685" s="17">
        <v>0</v>
      </c>
      <c r="W685" s="23">
        <v>0</v>
      </c>
      <c r="Y685" s="26">
        <v>0</v>
      </c>
    </row>
    <row r="686" spans="1:25" x14ac:dyDescent="0.25">
      <c r="A686" s="7">
        <v>19</v>
      </c>
      <c r="B686" s="6" t="s">
        <v>13</v>
      </c>
      <c r="C686" s="32">
        <v>2.4</v>
      </c>
      <c r="D686" s="6" t="s">
        <v>20</v>
      </c>
      <c r="E686" s="29">
        <v>7.5</v>
      </c>
      <c r="F686" s="13">
        <v>1.8</v>
      </c>
      <c r="G686" s="31">
        <v>2.35</v>
      </c>
      <c r="H686" s="13">
        <v>1.4</v>
      </c>
      <c r="I686" s="6" t="s">
        <v>15</v>
      </c>
      <c r="J686" s="11">
        <v>3</v>
      </c>
      <c r="K686" s="11">
        <v>8</v>
      </c>
      <c r="L686" s="11">
        <v>6</v>
      </c>
      <c r="M686" s="15">
        <v>0</v>
      </c>
      <c r="R686" s="20">
        <v>0</v>
      </c>
      <c r="U686" s="17">
        <v>0</v>
      </c>
      <c r="W686" s="23">
        <v>0</v>
      </c>
      <c r="Y686" s="26">
        <v>0</v>
      </c>
    </row>
    <row r="687" spans="1:25" x14ac:dyDescent="0.25">
      <c r="A687" s="7">
        <v>13</v>
      </c>
      <c r="B687" s="6" t="s">
        <v>13</v>
      </c>
      <c r="C687" s="32">
        <v>2.1</v>
      </c>
      <c r="D687" s="6" t="s">
        <v>17</v>
      </c>
      <c r="E687" s="29">
        <v>5.8</v>
      </c>
      <c r="F687" s="13">
        <v>2.7</v>
      </c>
      <c r="G687" s="31">
        <v>3.83</v>
      </c>
      <c r="H687" s="13">
        <v>1.9</v>
      </c>
      <c r="I687" s="6" t="s">
        <v>15</v>
      </c>
      <c r="J687" s="11">
        <v>4</v>
      </c>
      <c r="K687" s="11">
        <v>6</v>
      </c>
      <c r="L687" s="11">
        <v>6</v>
      </c>
      <c r="M687" s="15">
        <v>0</v>
      </c>
      <c r="R687" s="20">
        <v>0</v>
      </c>
      <c r="U687" s="17">
        <v>0</v>
      </c>
      <c r="W687" s="23">
        <v>0</v>
      </c>
      <c r="Y687" s="26">
        <v>0</v>
      </c>
    </row>
    <row r="688" spans="1:25" x14ac:dyDescent="0.25">
      <c r="A688" s="7">
        <v>17</v>
      </c>
      <c r="B688" s="6" t="s">
        <v>16</v>
      </c>
      <c r="C688" s="32">
        <v>2.6</v>
      </c>
      <c r="D688" s="6" t="s">
        <v>17</v>
      </c>
      <c r="E688" s="29">
        <v>4.2</v>
      </c>
      <c r="F688" s="13">
        <v>0.7</v>
      </c>
      <c r="G688" s="31">
        <v>3.02</v>
      </c>
      <c r="H688" s="13">
        <v>1.6</v>
      </c>
      <c r="I688" s="6" t="s">
        <v>15</v>
      </c>
      <c r="J688" s="11">
        <v>7</v>
      </c>
      <c r="K688" s="11">
        <v>4</v>
      </c>
      <c r="L688" s="11">
        <v>7</v>
      </c>
      <c r="M688" s="15">
        <v>0</v>
      </c>
      <c r="R688" s="20">
        <v>0</v>
      </c>
      <c r="U688" s="17">
        <v>0</v>
      </c>
      <c r="W688" s="23">
        <v>0</v>
      </c>
      <c r="Y688" s="26">
        <v>0</v>
      </c>
    </row>
    <row r="689" spans="1:25" x14ac:dyDescent="0.25">
      <c r="A689" s="7">
        <v>19</v>
      </c>
      <c r="B689" s="6" t="s">
        <v>13</v>
      </c>
      <c r="C689" s="32">
        <v>6.5</v>
      </c>
      <c r="D689" s="6" t="s">
        <v>14</v>
      </c>
      <c r="E689" s="29">
        <v>6</v>
      </c>
      <c r="F689" s="13">
        <v>1.5</v>
      </c>
      <c r="G689" s="31">
        <v>2.12</v>
      </c>
      <c r="H689" s="13">
        <v>1.7</v>
      </c>
      <c r="I689" s="6" t="s">
        <v>19</v>
      </c>
      <c r="J689" s="11">
        <v>8</v>
      </c>
      <c r="K689" s="11">
        <v>5</v>
      </c>
      <c r="L689" s="11">
        <v>7</v>
      </c>
      <c r="M689" s="15">
        <v>0</v>
      </c>
      <c r="R689" s="20">
        <v>0</v>
      </c>
      <c r="U689" s="17">
        <v>0</v>
      </c>
      <c r="W689" s="23">
        <v>0</v>
      </c>
      <c r="Y689" s="26">
        <v>0</v>
      </c>
    </row>
    <row r="690" spans="1:25" x14ac:dyDescent="0.25">
      <c r="A690" s="7">
        <v>16</v>
      </c>
      <c r="B690" s="6" t="s">
        <v>16</v>
      </c>
      <c r="C690" s="32">
        <v>3.4</v>
      </c>
      <c r="D690" s="6" t="s">
        <v>14</v>
      </c>
      <c r="E690" s="29">
        <v>5.3</v>
      </c>
      <c r="F690" s="13">
        <v>1.8</v>
      </c>
      <c r="G690" s="31">
        <v>3.33</v>
      </c>
      <c r="H690" s="13">
        <v>0.3</v>
      </c>
      <c r="I690" s="6" t="s">
        <v>15</v>
      </c>
      <c r="J690" s="11">
        <v>9</v>
      </c>
      <c r="K690" s="11">
        <v>2</v>
      </c>
      <c r="L690" s="11">
        <v>4</v>
      </c>
      <c r="M690" s="15">
        <v>0</v>
      </c>
      <c r="R690" s="20">
        <v>0</v>
      </c>
      <c r="U690" s="17">
        <v>0</v>
      </c>
      <c r="W690" s="23">
        <v>0</v>
      </c>
      <c r="Y690" s="26">
        <v>0</v>
      </c>
    </row>
    <row r="691" spans="1:25" x14ac:dyDescent="0.25">
      <c r="A691" s="7">
        <v>16</v>
      </c>
      <c r="B691" s="6" t="s">
        <v>13</v>
      </c>
      <c r="C691" s="32">
        <v>1.7</v>
      </c>
      <c r="D691" s="6" t="s">
        <v>20</v>
      </c>
      <c r="E691" s="29">
        <v>4.3</v>
      </c>
      <c r="F691" s="13">
        <v>1.4</v>
      </c>
      <c r="G691" s="31">
        <v>3.27</v>
      </c>
      <c r="H691" s="13">
        <v>1.2</v>
      </c>
      <c r="I691" s="6" t="s">
        <v>19</v>
      </c>
      <c r="J691" s="11">
        <v>10</v>
      </c>
      <c r="K691" s="11">
        <v>4</v>
      </c>
      <c r="L691" s="11">
        <v>10</v>
      </c>
      <c r="M691" s="15">
        <v>0</v>
      </c>
      <c r="R691" s="20">
        <v>0</v>
      </c>
      <c r="U691" s="17">
        <v>0</v>
      </c>
      <c r="W691" s="23">
        <v>0</v>
      </c>
      <c r="Y691" s="26">
        <v>0</v>
      </c>
    </row>
    <row r="692" spans="1:25" x14ac:dyDescent="0.25">
      <c r="A692" s="7">
        <v>13</v>
      </c>
      <c r="B692" s="6" t="s">
        <v>13</v>
      </c>
      <c r="C692" s="32">
        <v>5.6</v>
      </c>
      <c r="D692" s="6" t="s">
        <v>20</v>
      </c>
      <c r="E692" s="29">
        <v>4.4000000000000004</v>
      </c>
      <c r="F692" s="13">
        <v>2.9</v>
      </c>
      <c r="G692" s="31">
        <v>3.19</v>
      </c>
      <c r="H692" s="13">
        <v>0.9</v>
      </c>
      <c r="I692" s="6" t="s">
        <v>19</v>
      </c>
      <c r="J692" s="11">
        <v>6</v>
      </c>
      <c r="K692" s="11">
        <v>3</v>
      </c>
      <c r="L692" s="11">
        <v>4</v>
      </c>
      <c r="M692" s="15">
        <v>0</v>
      </c>
      <c r="R692" s="20">
        <v>0</v>
      </c>
      <c r="U692" s="17">
        <v>0</v>
      </c>
      <c r="W692" s="23">
        <v>0</v>
      </c>
      <c r="Y692" s="26">
        <v>0</v>
      </c>
    </row>
    <row r="693" spans="1:25" x14ac:dyDescent="0.25">
      <c r="A693" s="7">
        <v>15</v>
      </c>
      <c r="B693" s="6" t="s">
        <v>16</v>
      </c>
      <c r="C693" s="32">
        <v>8</v>
      </c>
      <c r="D693" s="6" t="s">
        <v>20</v>
      </c>
      <c r="E693" s="29">
        <v>5.7</v>
      </c>
      <c r="F693" s="13">
        <v>1.3</v>
      </c>
      <c r="G693" s="31">
        <v>3.54</v>
      </c>
      <c r="H693" s="13">
        <v>0.1</v>
      </c>
      <c r="I693" s="6" t="s">
        <v>18</v>
      </c>
      <c r="J693" s="11">
        <v>9</v>
      </c>
      <c r="K693" s="11">
        <v>7</v>
      </c>
      <c r="L693" s="11">
        <v>5</v>
      </c>
      <c r="M693" s="15">
        <v>1</v>
      </c>
      <c r="R693" s="20">
        <v>1</v>
      </c>
      <c r="U693" s="17">
        <v>1</v>
      </c>
      <c r="W693" s="23">
        <v>1</v>
      </c>
      <c r="Y693" s="26">
        <v>1</v>
      </c>
    </row>
    <row r="694" spans="1:25" x14ac:dyDescent="0.25">
      <c r="A694" s="7">
        <v>15</v>
      </c>
      <c r="B694" s="6" t="s">
        <v>16</v>
      </c>
      <c r="C694" s="32">
        <v>5.7</v>
      </c>
      <c r="D694" s="6" t="s">
        <v>14</v>
      </c>
      <c r="E694" s="29">
        <v>8.4</v>
      </c>
      <c r="F694" s="13">
        <v>1.3</v>
      </c>
      <c r="G694" s="31">
        <v>2.48</v>
      </c>
      <c r="H694" s="13">
        <v>0.9</v>
      </c>
      <c r="I694" s="6" t="s">
        <v>18</v>
      </c>
      <c r="J694" s="11">
        <v>5</v>
      </c>
      <c r="K694" s="11">
        <v>2</v>
      </c>
      <c r="L694" s="11">
        <v>4</v>
      </c>
      <c r="M694" s="15">
        <v>0</v>
      </c>
      <c r="R694" s="20">
        <v>0</v>
      </c>
      <c r="U694" s="17">
        <v>0</v>
      </c>
      <c r="W694" s="23">
        <v>0</v>
      </c>
      <c r="Y694" s="26">
        <v>0</v>
      </c>
    </row>
    <row r="695" spans="1:25" x14ac:dyDescent="0.25">
      <c r="A695" s="7">
        <v>16</v>
      </c>
      <c r="B695" s="6" t="s">
        <v>16</v>
      </c>
      <c r="C695" s="32">
        <v>4</v>
      </c>
      <c r="D695" s="6" t="s">
        <v>17</v>
      </c>
      <c r="E695" s="29">
        <v>5.4</v>
      </c>
      <c r="F695" s="13">
        <v>2.7</v>
      </c>
      <c r="G695" s="31">
        <v>2.88</v>
      </c>
      <c r="H695" s="13">
        <v>1.2</v>
      </c>
      <c r="I695" s="6" t="s">
        <v>19</v>
      </c>
      <c r="J695" s="11">
        <v>4</v>
      </c>
      <c r="K695" s="11">
        <v>10</v>
      </c>
      <c r="L695" s="11">
        <v>1</v>
      </c>
      <c r="M695" s="15">
        <v>0</v>
      </c>
      <c r="R695" s="20">
        <v>0</v>
      </c>
      <c r="U695" s="17">
        <v>0</v>
      </c>
      <c r="W695" s="23">
        <v>0</v>
      </c>
      <c r="Y695" s="26">
        <v>0</v>
      </c>
    </row>
    <row r="696" spans="1:25" x14ac:dyDescent="0.25">
      <c r="A696" s="7">
        <v>13</v>
      </c>
      <c r="B696" s="6" t="s">
        <v>16</v>
      </c>
      <c r="C696" s="32">
        <v>3.5</v>
      </c>
      <c r="D696" s="6" t="s">
        <v>14</v>
      </c>
      <c r="E696" s="29">
        <v>5.3</v>
      </c>
      <c r="F696" s="13">
        <v>1.7</v>
      </c>
      <c r="G696" s="31">
        <v>2.2000000000000002</v>
      </c>
      <c r="H696" s="13">
        <v>0.8</v>
      </c>
      <c r="I696" s="6" t="s">
        <v>18</v>
      </c>
      <c r="J696" s="11">
        <v>6</v>
      </c>
      <c r="K696" s="11">
        <v>10</v>
      </c>
      <c r="L696" s="11">
        <v>8</v>
      </c>
      <c r="M696" s="15">
        <v>0</v>
      </c>
      <c r="R696" s="20">
        <v>0</v>
      </c>
      <c r="U696" s="17">
        <v>0</v>
      </c>
      <c r="W696" s="23">
        <v>0</v>
      </c>
      <c r="Y696" s="26">
        <v>0</v>
      </c>
    </row>
    <row r="697" spans="1:25" x14ac:dyDescent="0.25">
      <c r="A697" s="7">
        <v>15</v>
      </c>
      <c r="B697" s="6" t="s">
        <v>16</v>
      </c>
      <c r="C697" s="32">
        <v>4.2</v>
      </c>
      <c r="D697" s="6" t="s">
        <v>17</v>
      </c>
      <c r="E697" s="29">
        <v>5.5</v>
      </c>
      <c r="F697" s="13">
        <v>1.3</v>
      </c>
      <c r="G697" s="31">
        <v>3.49</v>
      </c>
      <c r="H697" s="13">
        <v>0.5</v>
      </c>
      <c r="I697" s="6" t="s">
        <v>15</v>
      </c>
      <c r="J697" s="11">
        <v>2</v>
      </c>
      <c r="K697" s="11">
        <v>5</v>
      </c>
      <c r="L697" s="11">
        <v>2</v>
      </c>
      <c r="M697" s="15">
        <v>0</v>
      </c>
      <c r="R697" s="20">
        <v>0</v>
      </c>
      <c r="U697" s="17">
        <v>0</v>
      </c>
      <c r="W697" s="23">
        <v>0</v>
      </c>
      <c r="Y697" s="26">
        <v>0</v>
      </c>
    </row>
    <row r="698" spans="1:25" x14ac:dyDescent="0.25">
      <c r="A698" s="7">
        <v>19</v>
      </c>
      <c r="B698" s="6" t="s">
        <v>16</v>
      </c>
      <c r="C698" s="32">
        <v>3.9</v>
      </c>
      <c r="D698" s="6" t="s">
        <v>17</v>
      </c>
      <c r="E698" s="29">
        <v>7.4</v>
      </c>
      <c r="F698" s="13">
        <v>2.5</v>
      </c>
      <c r="G698" s="31">
        <v>3.74</v>
      </c>
      <c r="H698" s="13">
        <v>0.3</v>
      </c>
      <c r="I698" s="6" t="s">
        <v>19</v>
      </c>
      <c r="J698" s="11">
        <v>5</v>
      </c>
      <c r="K698" s="11">
        <v>8</v>
      </c>
      <c r="L698" s="11">
        <v>3</v>
      </c>
      <c r="M698" s="15">
        <v>0</v>
      </c>
      <c r="R698" s="20">
        <v>0</v>
      </c>
      <c r="U698" s="17">
        <v>0</v>
      </c>
      <c r="W698" s="23">
        <v>0</v>
      </c>
      <c r="Y698" s="26">
        <v>0</v>
      </c>
    </row>
    <row r="699" spans="1:25" x14ac:dyDescent="0.25">
      <c r="A699" s="7">
        <v>17</v>
      </c>
      <c r="B699" s="6" t="s">
        <v>16</v>
      </c>
      <c r="C699" s="32">
        <v>6.7</v>
      </c>
      <c r="D699" s="6" t="s">
        <v>14</v>
      </c>
      <c r="E699" s="29">
        <v>4.3</v>
      </c>
      <c r="F699" s="13">
        <v>0.6</v>
      </c>
      <c r="G699" s="31">
        <v>3.76</v>
      </c>
      <c r="H699" s="13">
        <v>0</v>
      </c>
      <c r="I699" s="6" t="s">
        <v>15</v>
      </c>
      <c r="J699" s="11">
        <v>2</v>
      </c>
      <c r="K699" s="11">
        <v>1</v>
      </c>
      <c r="L699" s="11">
        <v>7</v>
      </c>
      <c r="M699" s="15">
        <v>0</v>
      </c>
      <c r="R699" s="20">
        <v>0</v>
      </c>
      <c r="U699" s="17">
        <v>0</v>
      </c>
      <c r="W699" s="23">
        <v>0</v>
      </c>
      <c r="Y699" s="26">
        <v>0</v>
      </c>
    </row>
    <row r="700" spans="1:25" x14ac:dyDescent="0.25">
      <c r="A700" s="7">
        <v>15</v>
      </c>
      <c r="B700" s="6" t="s">
        <v>13</v>
      </c>
      <c r="C700" s="32">
        <v>6.7</v>
      </c>
      <c r="D700" s="6" t="s">
        <v>20</v>
      </c>
      <c r="E700" s="29">
        <v>4.3</v>
      </c>
      <c r="F700" s="13">
        <v>1.8</v>
      </c>
      <c r="G700" s="31">
        <v>3.69</v>
      </c>
      <c r="H700" s="13">
        <v>0.7</v>
      </c>
      <c r="I700" s="6" t="s">
        <v>18</v>
      </c>
      <c r="J700" s="11">
        <v>2</v>
      </c>
      <c r="K700" s="11">
        <v>8</v>
      </c>
      <c r="L700" s="11">
        <v>7</v>
      </c>
      <c r="M700" s="15">
        <v>0</v>
      </c>
      <c r="R700" s="20">
        <v>0</v>
      </c>
      <c r="U700" s="17">
        <v>0</v>
      </c>
      <c r="W700" s="23">
        <v>0</v>
      </c>
      <c r="Y700" s="26">
        <v>0</v>
      </c>
    </row>
    <row r="701" spans="1:25" x14ac:dyDescent="0.25">
      <c r="A701" s="7">
        <v>14</v>
      </c>
      <c r="B701" s="6" t="s">
        <v>16</v>
      </c>
      <c r="C701" s="32">
        <v>3.4</v>
      </c>
      <c r="D701" s="6" t="s">
        <v>14</v>
      </c>
      <c r="E701" s="29">
        <v>5.6</v>
      </c>
      <c r="F701" s="13">
        <v>1.7</v>
      </c>
      <c r="G701" s="31">
        <v>3.38</v>
      </c>
      <c r="H701" s="13">
        <v>0.3</v>
      </c>
      <c r="I701" s="6" t="s">
        <v>18</v>
      </c>
      <c r="J701" s="11">
        <v>9</v>
      </c>
      <c r="K701" s="11">
        <v>3</v>
      </c>
      <c r="L701" s="11">
        <v>1</v>
      </c>
      <c r="M701" s="15">
        <v>0</v>
      </c>
      <c r="R701" s="20">
        <v>0</v>
      </c>
      <c r="U701" s="17">
        <v>0</v>
      </c>
      <c r="W701" s="23">
        <v>0</v>
      </c>
      <c r="Y701" s="26">
        <v>0</v>
      </c>
    </row>
    <row r="702" spans="1:25" x14ac:dyDescent="0.25">
      <c r="A702" s="7">
        <v>16</v>
      </c>
      <c r="B702" s="6" t="s">
        <v>13</v>
      </c>
      <c r="C702" s="32">
        <v>5</v>
      </c>
      <c r="D702" s="6" t="s">
        <v>17</v>
      </c>
      <c r="E702" s="29">
        <v>4.3</v>
      </c>
      <c r="F702" s="13">
        <v>0.7</v>
      </c>
      <c r="G702" s="31">
        <v>3.68</v>
      </c>
      <c r="H702" s="13">
        <v>1.2</v>
      </c>
      <c r="I702" s="6" t="s">
        <v>15</v>
      </c>
      <c r="J702" s="11">
        <v>6</v>
      </c>
      <c r="K702" s="11">
        <v>2</v>
      </c>
      <c r="L702" s="11">
        <v>4</v>
      </c>
      <c r="M702" s="15">
        <v>0</v>
      </c>
      <c r="R702" s="20">
        <v>0</v>
      </c>
      <c r="U702" s="17">
        <v>0</v>
      </c>
      <c r="W702" s="23">
        <v>0</v>
      </c>
      <c r="Y702" s="26">
        <v>0</v>
      </c>
    </row>
    <row r="703" spans="1:25" x14ac:dyDescent="0.25">
      <c r="A703" s="7">
        <v>18</v>
      </c>
      <c r="B703" s="6" t="s">
        <v>16</v>
      </c>
      <c r="C703" s="32">
        <v>3.8</v>
      </c>
      <c r="D703" s="6" t="s">
        <v>14</v>
      </c>
      <c r="E703" s="29">
        <v>5.9</v>
      </c>
      <c r="F703" s="13">
        <v>1</v>
      </c>
      <c r="G703" s="31">
        <v>2.2200000000000002</v>
      </c>
      <c r="H703" s="13">
        <v>0.6</v>
      </c>
      <c r="I703" s="6" t="s">
        <v>15</v>
      </c>
      <c r="J703" s="11">
        <v>9</v>
      </c>
      <c r="K703" s="11">
        <v>10</v>
      </c>
      <c r="L703" s="11">
        <v>9</v>
      </c>
      <c r="M703" s="15">
        <v>0</v>
      </c>
      <c r="R703" s="20">
        <v>0</v>
      </c>
      <c r="U703" s="17">
        <v>0</v>
      </c>
      <c r="W703" s="23">
        <v>0</v>
      </c>
      <c r="Y703" s="26">
        <v>0</v>
      </c>
    </row>
    <row r="704" spans="1:25" x14ac:dyDescent="0.25">
      <c r="A704" s="7">
        <v>15</v>
      </c>
      <c r="B704" s="6" t="s">
        <v>16</v>
      </c>
      <c r="C704" s="32">
        <v>7.3</v>
      </c>
      <c r="D704" s="6" t="s">
        <v>17</v>
      </c>
      <c r="E704" s="29">
        <v>7.3</v>
      </c>
      <c r="F704" s="13">
        <v>2.8</v>
      </c>
      <c r="G704" s="31">
        <v>2.46</v>
      </c>
      <c r="H704" s="13">
        <v>0.3</v>
      </c>
      <c r="I704" s="6" t="s">
        <v>15</v>
      </c>
      <c r="J704" s="11">
        <v>2</v>
      </c>
      <c r="K704" s="11">
        <v>7</v>
      </c>
      <c r="L704" s="11">
        <v>5</v>
      </c>
      <c r="M704" s="15">
        <v>0</v>
      </c>
      <c r="R704" s="20">
        <v>0</v>
      </c>
      <c r="U704" s="17">
        <v>0</v>
      </c>
      <c r="W704" s="23">
        <v>0</v>
      </c>
      <c r="Y704" s="26">
        <v>0</v>
      </c>
    </row>
    <row r="705" spans="1:25" x14ac:dyDescent="0.25">
      <c r="A705" s="7">
        <v>18</v>
      </c>
      <c r="B705" s="6" t="s">
        <v>16</v>
      </c>
      <c r="C705" s="32">
        <v>7.2</v>
      </c>
      <c r="D705" s="6" t="s">
        <v>17</v>
      </c>
      <c r="E705" s="29">
        <v>5</v>
      </c>
      <c r="F705" s="13">
        <v>1.4</v>
      </c>
      <c r="G705" s="31">
        <v>3.65</v>
      </c>
      <c r="H705" s="13">
        <v>1.1000000000000001</v>
      </c>
      <c r="I705" s="6" t="s">
        <v>15</v>
      </c>
      <c r="J705" s="11">
        <v>8</v>
      </c>
      <c r="K705" s="11">
        <v>8</v>
      </c>
      <c r="L705" s="11">
        <v>4</v>
      </c>
      <c r="M705" s="15">
        <v>1</v>
      </c>
      <c r="R705" s="20">
        <v>1</v>
      </c>
      <c r="U705" s="17">
        <v>1</v>
      </c>
      <c r="W705" s="23">
        <v>1</v>
      </c>
      <c r="Y705" s="26">
        <v>1</v>
      </c>
    </row>
    <row r="706" spans="1:25" x14ac:dyDescent="0.25">
      <c r="A706" s="7">
        <v>15</v>
      </c>
      <c r="B706" s="6" t="s">
        <v>16</v>
      </c>
      <c r="C706" s="32">
        <v>3.1</v>
      </c>
      <c r="D706" s="6" t="s">
        <v>20</v>
      </c>
      <c r="E706" s="29">
        <v>4.2</v>
      </c>
      <c r="F706" s="13">
        <v>2.1</v>
      </c>
      <c r="G706" s="31">
        <v>3.21</v>
      </c>
      <c r="H706" s="13">
        <v>1.1000000000000001</v>
      </c>
      <c r="I706" s="6" t="s">
        <v>19</v>
      </c>
      <c r="J706" s="11">
        <v>8</v>
      </c>
      <c r="K706" s="11">
        <v>2</v>
      </c>
      <c r="L706" s="11">
        <v>10</v>
      </c>
      <c r="M706" s="15">
        <v>0</v>
      </c>
      <c r="R706" s="20">
        <v>0</v>
      </c>
      <c r="U706" s="17">
        <v>0</v>
      </c>
      <c r="W706" s="23">
        <v>0</v>
      </c>
      <c r="Y706" s="26">
        <v>0</v>
      </c>
    </row>
    <row r="707" spans="1:25" x14ac:dyDescent="0.25">
      <c r="A707" s="7">
        <v>15</v>
      </c>
      <c r="B707" s="6" t="s">
        <v>16</v>
      </c>
      <c r="C707" s="32">
        <v>8</v>
      </c>
      <c r="D707" s="6" t="s">
        <v>14</v>
      </c>
      <c r="E707" s="29">
        <v>4.4000000000000004</v>
      </c>
      <c r="F707" s="13">
        <v>0.7</v>
      </c>
      <c r="G707" s="31">
        <v>2.62</v>
      </c>
      <c r="H707" s="13">
        <v>1.6</v>
      </c>
      <c r="I707" s="6" t="s">
        <v>18</v>
      </c>
      <c r="J707" s="11">
        <v>6</v>
      </c>
      <c r="K707" s="11">
        <v>7</v>
      </c>
      <c r="L707" s="11">
        <v>2</v>
      </c>
      <c r="M707" s="15">
        <v>0</v>
      </c>
      <c r="R707" s="20">
        <v>0</v>
      </c>
      <c r="U707" s="17">
        <v>0</v>
      </c>
      <c r="W707" s="23">
        <v>0</v>
      </c>
      <c r="Y707" s="26">
        <v>0</v>
      </c>
    </row>
    <row r="708" spans="1:25" x14ac:dyDescent="0.25">
      <c r="A708" s="7">
        <v>15</v>
      </c>
      <c r="B708" s="6" t="s">
        <v>13</v>
      </c>
      <c r="C708" s="32">
        <v>4.3</v>
      </c>
      <c r="D708" s="6" t="s">
        <v>14</v>
      </c>
      <c r="E708" s="29">
        <v>7.5</v>
      </c>
      <c r="F708" s="13">
        <v>1.1000000000000001</v>
      </c>
      <c r="G708" s="31">
        <v>2.06</v>
      </c>
      <c r="H708" s="13">
        <v>1.8</v>
      </c>
      <c r="I708" s="6" t="s">
        <v>19</v>
      </c>
      <c r="J708" s="11">
        <v>5</v>
      </c>
      <c r="K708" s="11">
        <v>7</v>
      </c>
      <c r="L708" s="11">
        <v>2</v>
      </c>
      <c r="M708" s="15">
        <v>0</v>
      </c>
      <c r="R708" s="20">
        <v>0</v>
      </c>
      <c r="U708" s="17">
        <v>0</v>
      </c>
      <c r="W708" s="23">
        <v>0</v>
      </c>
      <c r="Y708" s="26">
        <v>0</v>
      </c>
    </row>
    <row r="709" spans="1:25" x14ac:dyDescent="0.25">
      <c r="A709" s="7">
        <v>14</v>
      </c>
      <c r="B709" s="6" t="s">
        <v>16</v>
      </c>
      <c r="C709" s="32">
        <v>4</v>
      </c>
      <c r="D709" s="6" t="s">
        <v>17</v>
      </c>
      <c r="E709" s="29">
        <v>5.0999999999999996</v>
      </c>
      <c r="F709" s="13">
        <v>1.1000000000000001</v>
      </c>
      <c r="G709" s="31">
        <v>3.98</v>
      </c>
      <c r="H709" s="13">
        <v>1.3</v>
      </c>
      <c r="I709" s="6" t="s">
        <v>19</v>
      </c>
      <c r="J709" s="11">
        <v>5</v>
      </c>
      <c r="K709" s="11">
        <v>4</v>
      </c>
      <c r="L709" s="11">
        <v>9</v>
      </c>
      <c r="M709" s="15">
        <v>0</v>
      </c>
      <c r="R709" s="20">
        <v>0</v>
      </c>
      <c r="U709" s="17">
        <v>0</v>
      </c>
      <c r="W709" s="23">
        <v>0</v>
      </c>
      <c r="Y709" s="26">
        <v>0</v>
      </c>
    </row>
    <row r="710" spans="1:25" x14ac:dyDescent="0.25">
      <c r="A710" s="7">
        <v>15</v>
      </c>
      <c r="B710" s="6" t="s">
        <v>13</v>
      </c>
      <c r="C710" s="32">
        <v>6.9</v>
      </c>
      <c r="D710" s="6" t="s">
        <v>17</v>
      </c>
      <c r="E710" s="29">
        <v>5.6</v>
      </c>
      <c r="F710" s="13">
        <v>1.4</v>
      </c>
      <c r="G710" s="31">
        <v>2.09</v>
      </c>
      <c r="H710" s="13">
        <v>0.7</v>
      </c>
      <c r="I710" s="6" t="s">
        <v>15</v>
      </c>
      <c r="J710" s="11">
        <v>9</v>
      </c>
      <c r="K710" s="11">
        <v>5</v>
      </c>
      <c r="L710" s="11">
        <v>9</v>
      </c>
      <c r="M710" s="15">
        <v>0</v>
      </c>
      <c r="R710" s="20">
        <v>0</v>
      </c>
      <c r="U710" s="17">
        <v>0</v>
      </c>
      <c r="W710" s="23">
        <v>0</v>
      </c>
      <c r="Y710" s="26">
        <v>0</v>
      </c>
    </row>
    <row r="711" spans="1:25" x14ac:dyDescent="0.25">
      <c r="A711" s="7">
        <v>13</v>
      </c>
      <c r="B711" s="6" t="s">
        <v>13</v>
      </c>
      <c r="C711" s="32">
        <v>7</v>
      </c>
      <c r="D711" s="6" t="s">
        <v>17</v>
      </c>
      <c r="E711" s="29">
        <v>4.4000000000000004</v>
      </c>
      <c r="F711" s="13">
        <v>0.9</v>
      </c>
      <c r="G711" s="31">
        <v>3.67</v>
      </c>
      <c r="H711" s="13">
        <v>0.4</v>
      </c>
      <c r="I711" s="6" t="s">
        <v>15</v>
      </c>
      <c r="J711" s="11">
        <v>5</v>
      </c>
      <c r="K711" s="11">
        <v>3</v>
      </c>
      <c r="L711" s="11">
        <v>6</v>
      </c>
      <c r="M711" s="15">
        <v>0</v>
      </c>
      <c r="R711" s="20">
        <v>0</v>
      </c>
      <c r="U711" s="17">
        <v>0</v>
      </c>
      <c r="W711" s="23">
        <v>0</v>
      </c>
      <c r="Y711" s="26">
        <v>0</v>
      </c>
    </row>
    <row r="712" spans="1:25" x14ac:dyDescent="0.25">
      <c r="A712" s="7">
        <v>13</v>
      </c>
      <c r="B712" s="6" t="s">
        <v>13</v>
      </c>
      <c r="C712" s="32">
        <v>6.2</v>
      </c>
      <c r="D712" s="6" t="s">
        <v>14</v>
      </c>
      <c r="E712" s="29">
        <v>8.6</v>
      </c>
      <c r="F712" s="13">
        <v>1.8</v>
      </c>
      <c r="G712" s="31">
        <v>2.19</v>
      </c>
      <c r="H712" s="13">
        <v>0.7</v>
      </c>
      <c r="I712" s="6" t="s">
        <v>18</v>
      </c>
      <c r="J712" s="11">
        <v>8</v>
      </c>
      <c r="K712" s="11">
        <v>4</v>
      </c>
      <c r="L712" s="11">
        <v>7</v>
      </c>
      <c r="M712" s="15">
        <v>0</v>
      </c>
      <c r="R712" s="20">
        <v>0</v>
      </c>
      <c r="U712" s="17">
        <v>0</v>
      </c>
      <c r="W712" s="23">
        <v>0</v>
      </c>
      <c r="Y712" s="26">
        <v>0</v>
      </c>
    </row>
    <row r="713" spans="1:25" x14ac:dyDescent="0.25">
      <c r="A713" s="7">
        <v>15</v>
      </c>
      <c r="B713" s="6" t="s">
        <v>13</v>
      </c>
      <c r="C713" s="32">
        <v>7.7</v>
      </c>
      <c r="D713" s="6" t="s">
        <v>14</v>
      </c>
      <c r="E713" s="29">
        <v>8</v>
      </c>
      <c r="F713" s="13">
        <v>1.3</v>
      </c>
      <c r="G713" s="31">
        <v>3.78</v>
      </c>
      <c r="H713" s="13">
        <v>1.1000000000000001</v>
      </c>
      <c r="I713" s="6" t="s">
        <v>19</v>
      </c>
      <c r="J713" s="11">
        <v>1</v>
      </c>
      <c r="K713" s="11">
        <v>6</v>
      </c>
      <c r="L713" s="11">
        <v>5</v>
      </c>
      <c r="M713" s="15">
        <v>0</v>
      </c>
      <c r="R713" s="20">
        <v>0</v>
      </c>
      <c r="U713" s="17">
        <v>0</v>
      </c>
      <c r="W713" s="23">
        <v>0</v>
      </c>
      <c r="Y713" s="26">
        <v>0</v>
      </c>
    </row>
    <row r="714" spans="1:25" x14ac:dyDescent="0.25">
      <c r="A714" s="7">
        <v>19</v>
      </c>
      <c r="B714" s="6" t="s">
        <v>16</v>
      </c>
      <c r="C714" s="32">
        <v>5.0999999999999996</v>
      </c>
      <c r="D714" s="6" t="s">
        <v>20</v>
      </c>
      <c r="E714" s="29">
        <v>6.3</v>
      </c>
      <c r="F714" s="13">
        <v>2.2999999999999998</v>
      </c>
      <c r="G714" s="31">
        <v>2.5499999999999998</v>
      </c>
      <c r="H714" s="13">
        <v>2</v>
      </c>
      <c r="I714" s="6" t="s">
        <v>19</v>
      </c>
      <c r="J714" s="11">
        <v>6</v>
      </c>
      <c r="K714" s="11">
        <v>9</v>
      </c>
      <c r="L714" s="11">
        <v>7</v>
      </c>
      <c r="M714" s="15">
        <v>0</v>
      </c>
      <c r="R714" s="20">
        <v>0</v>
      </c>
      <c r="U714" s="17">
        <v>0</v>
      </c>
      <c r="W714" s="23">
        <v>0</v>
      </c>
      <c r="Y714" s="26">
        <v>0</v>
      </c>
    </row>
    <row r="715" spans="1:25" x14ac:dyDescent="0.25">
      <c r="A715" s="7">
        <v>15</v>
      </c>
      <c r="B715" s="6" t="s">
        <v>13</v>
      </c>
      <c r="C715" s="32">
        <v>1</v>
      </c>
      <c r="D715" s="6" t="s">
        <v>17</v>
      </c>
      <c r="E715" s="29">
        <v>8.5</v>
      </c>
      <c r="F715" s="13">
        <v>2</v>
      </c>
      <c r="G715" s="31">
        <v>3.77</v>
      </c>
      <c r="H715" s="13">
        <v>1.9</v>
      </c>
      <c r="I715" s="6" t="s">
        <v>18</v>
      </c>
      <c r="J715" s="11">
        <v>4</v>
      </c>
      <c r="K715" s="11">
        <v>1</v>
      </c>
      <c r="L715" s="11">
        <v>7</v>
      </c>
      <c r="M715" s="15">
        <v>0</v>
      </c>
      <c r="R715" s="20">
        <v>0</v>
      </c>
      <c r="U715" s="17">
        <v>0</v>
      </c>
      <c r="W715" s="23">
        <v>0</v>
      </c>
      <c r="Y715" s="26">
        <v>0</v>
      </c>
    </row>
    <row r="716" spans="1:25" x14ac:dyDescent="0.25">
      <c r="A716" s="7">
        <v>15</v>
      </c>
      <c r="B716" s="6" t="s">
        <v>16</v>
      </c>
      <c r="C716" s="32">
        <v>1.1000000000000001</v>
      </c>
      <c r="D716" s="6" t="s">
        <v>14</v>
      </c>
      <c r="E716" s="29">
        <v>4.5999999999999996</v>
      </c>
      <c r="F716" s="13">
        <v>1.8</v>
      </c>
      <c r="G716" s="31">
        <v>2.35</v>
      </c>
      <c r="H716" s="13">
        <v>1.1000000000000001</v>
      </c>
      <c r="I716" s="6" t="s">
        <v>19</v>
      </c>
      <c r="J716" s="11">
        <v>10</v>
      </c>
      <c r="K716" s="11">
        <v>6</v>
      </c>
      <c r="L716" s="11">
        <v>6</v>
      </c>
      <c r="M716" s="15">
        <v>0</v>
      </c>
      <c r="R716" s="20">
        <v>0</v>
      </c>
      <c r="U716" s="17">
        <v>0</v>
      </c>
      <c r="W716" s="23">
        <v>0</v>
      </c>
      <c r="Y716" s="26">
        <v>0</v>
      </c>
    </row>
    <row r="717" spans="1:25" x14ac:dyDescent="0.25">
      <c r="A717" s="7">
        <v>13</v>
      </c>
      <c r="B717" s="6" t="s">
        <v>16</v>
      </c>
      <c r="C717" s="32">
        <v>7</v>
      </c>
      <c r="D717" s="6" t="s">
        <v>14</v>
      </c>
      <c r="E717" s="29">
        <v>4.9000000000000004</v>
      </c>
      <c r="F717" s="13">
        <v>1.2</v>
      </c>
      <c r="G717" s="31">
        <v>3.61</v>
      </c>
      <c r="H717" s="13">
        <v>0.2</v>
      </c>
      <c r="I717" s="6" t="s">
        <v>19</v>
      </c>
      <c r="J717" s="11">
        <v>2</v>
      </c>
      <c r="K717" s="11">
        <v>3</v>
      </c>
      <c r="L717" s="11">
        <v>5</v>
      </c>
      <c r="M717" s="15">
        <v>0</v>
      </c>
      <c r="R717" s="20">
        <v>0</v>
      </c>
      <c r="U717" s="17">
        <v>0</v>
      </c>
      <c r="W717" s="23">
        <v>0</v>
      </c>
      <c r="Y717" s="26">
        <v>0</v>
      </c>
    </row>
    <row r="718" spans="1:25" x14ac:dyDescent="0.25">
      <c r="A718" s="7">
        <v>15</v>
      </c>
      <c r="B718" s="6" t="s">
        <v>16</v>
      </c>
      <c r="C718" s="32">
        <v>2.7</v>
      </c>
      <c r="D718" s="6" t="s">
        <v>20</v>
      </c>
      <c r="E718" s="29">
        <v>7.8</v>
      </c>
      <c r="F718" s="13">
        <v>1.8</v>
      </c>
      <c r="G718" s="31">
        <v>3.9</v>
      </c>
      <c r="H718" s="13">
        <v>1.4</v>
      </c>
      <c r="I718" s="6" t="s">
        <v>15</v>
      </c>
      <c r="J718" s="11">
        <v>5</v>
      </c>
      <c r="K718" s="11">
        <v>8</v>
      </c>
      <c r="L718" s="11">
        <v>9</v>
      </c>
      <c r="M718" s="15">
        <v>0</v>
      </c>
      <c r="R718" s="20">
        <v>0</v>
      </c>
      <c r="U718" s="17">
        <v>0</v>
      </c>
      <c r="W718" s="23">
        <v>0</v>
      </c>
      <c r="Y718" s="26">
        <v>0</v>
      </c>
    </row>
    <row r="719" spans="1:25" x14ac:dyDescent="0.25">
      <c r="A719" s="7">
        <v>18</v>
      </c>
      <c r="B719" s="6" t="s">
        <v>13</v>
      </c>
      <c r="C719" s="32">
        <v>2.5</v>
      </c>
      <c r="D719" s="6" t="s">
        <v>14</v>
      </c>
      <c r="E719" s="29">
        <v>4.2</v>
      </c>
      <c r="F719" s="13">
        <v>1.4</v>
      </c>
      <c r="G719" s="31">
        <v>3.9</v>
      </c>
      <c r="H719" s="13">
        <v>0.7</v>
      </c>
      <c r="I719" s="6" t="s">
        <v>18</v>
      </c>
      <c r="J719" s="11">
        <v>5</v>
      </c>
      <c r="K719" s="11">
        <v>2</v>
      </c>
      <c r="L719" s="11">
        <v>3</v>
      </c>
      <c r="M719" s="15">
        <v>0</v>
      </c>
      <c r="R719" s="20">
        <v>0</v>
      </c>
      <c r="U719" s="17">
        <v>0</v>
      </c>
      <c r="W719" s="23">
        <v>0</v>
      </c>
      <c r="Y719" s="26">
        <v>0</v>
      </c>
    </row>
    <row r="720" spans="1:25" x14ac:dyDescent="0.25">
      <c r="A720" s="7">
        <v>18</v>
      </c>
      <c r="B720" s="6" t="s">
        <v>16</v>
      </c>
      <c r="C720" s="32">
        <v>2.2999999999999998</v>
      </c>
      <c r="D720" s="6" t="s">
        <v>17</v>
      </c>
      <c r="E720" s="29">
        <v>4.3</v>
      </c>
      <c r="F720" s="13">
        <v>0.9</v>
      </c>
      <c r="G720" s="31">
        <v>3.27</v>
      </c>
      <c r="H720" s="13">
        <v>0.1</v>
      </c>
      <c r="I720" s="6" t="s">
        <v>18</v>
      </c>
      <c r="J720" s="11">
        <v>5</v>
      </c>
      <c r="K720" s="11">
        <v>9</v>
      </c>
      <c r="L720" s="11">
        <v>10</v>
      </c>
      <c r="M720" s="15">
        <v>0</v>
      </c>
      <c r="R720" s="20">
        <v>0</v>
      </c>
      <c r="U720" s="17">
        <v>0</v>
      </c>
      <c r="W720" s="23">
        <v>0</v>
      </c>
      <c r="Y720" s="26">
        <v>0</v>
      </c>
    </row>
    <row r="721" spans="1:25" x14ac:dyDescent="0.25">
      <c r="A721" s="7">
        <v>17</v>
      </c>
      <c r="B721" s="6" t="s">
        <v>16</v>
      </c>
      <c r="C721" s="32">
        <v>2.7</v>
      </c>
      <c r="D721" s="6" t="s">
        <v>17</v>
      </c>
      <c r="E721" s="29">
        <v>6.6</v>
      </c>
      <c r="F721" s="13">
        <v>1.6</v>
      </c>
      <c r="G721" s="31">
        <v>3.36</v>
      </c>
      <c r="H721" s="13">
        <v>1.6</v>
      </c>
      <c r="I721" s="6" t="s">
        <v>18</v>
      </c>
      <c r="J721" s="11">
        <v>3</v>
      </c>
      <c r="K721" s="11">
        <v>1</v>
      </c>
      <c r="L721" s="11">
        <v>2</v>
      </c>
      <c r="M721" s="15">
        <v>0</v>
      </c>
      <c r="R721" s="20">
        <v>0</v>
      </c>
      <c r="U721" s="17">
        <v>0</v>
      </c>
      <c r="W721" s="23">
        <v>0</v>
      </c>
      <c r="Y721" s="26">
        <v>0</v>
      </c>
    </row>
    <row r="722" spans="1:25" x14ac:dyDescent="0.25">
      <c r="A722" s="7">
        <v>14</v>
      </c>
      <c r="B722" s="6" t="s">
        <v>13</v>
      </c>
      <c r="C722" s="32">
        <v>3.2</v>
      </c>
      <c r="D722" s="6" t="s">
        <v>14</v>
      </c>
      <c r="E722" s="29">
        <v>5.4</v>
      </c>
      <c r="F722" s="13">
        <v>2.6</v>
      </c>
      <c r="G722" s="31">
        <v>3.18</v>
      </c>
      <c r="H722" s="13">
        <v>0.9</v>
      </c>
      <c r="I722" s="6" t="s">
        <v>15</v>
      </c>
      <c r="J722" s="11">
        <v>9</v>
      </c>
      <c r="K722" s="11">
        <v>1</v>
      </c>
      <c r="L722" s="11">
        <v>7</v>
      </c>
      <c r="M722" s="15">
        <v>0</v>
      </c>
      <c r="R722" s="20">
        <v>0</v>
      </c>
      <c r="U722" s="17">
        <v>0</v>
      </c>
      <c r="W722" s="23">
        <v>0</v>
      </c>
      <c r="Y722" s="26">
        <v>0</v>
      </c>
    </row>
    <row r="723" spans="1:25" x14ac:dyDescent="0.25">
      <c r="A723" s="7">
        <v>18</v>
      </c>
      <c r="B723" s="6" t="s">
        <v>16</v>
      </c>
      <c r="C723" s="32">
        <v>3.8</v>
      </c>
      <c r="D723" s="6" t="s">
        <v>20</v>
      </c>
      <c r="E723" s="29">
        <v>5.3</v>
      </c>
      <c r="F723" s="13">
        <v>2.2999999999999998</v>
      </c>
      <c r="G723" s="31">
        <v>3.42</v>
      </c>
      <c r="H723" s="13">
        <v>0.4</v>
      </c>
      <c r="I723" s="6" t="s">
        <v>15</v>
      </c>
      <c r="J723" s="11">
        <v>4</v>
      </c>
      <c r="K723" s="11">
        <v>8</v>
      </c>
      <c r="L723" s="11">
        <v>2</v>
      </c>
      <c r="M723" s="15">
        <v>0</v>
      </c>
      <c r="R723" s="20">
        <v>0</v>
      </c>
      <c r="U723" s="17">
        <v>0</v>
      </c>
      <c r="W723" s="23">
        <v>0</v>
      </c>
      <c r="Y723" s="26">
        <v>0</v>
      </c>
    </row>
    <row r="724" spans="1:25" x14ac:dyDescent="0.25">
      <c r="A724" s="7">
        <v>14</v>
      </c>
      <c r="B724" s="6" t="s">
        <v>16</v>
      </c>
      <c r="C724" s="32">
        <v>4.0999999999999996</v>
      </c>
      <c r="D724" s="6" t="s">
        <v>17</v>
      </c>
      <c r="E724" s="29">
        <v>5.4</v>
      </c>
      <c r="F724" s="13">
        <v>2.4</v>
      </c>
      <c r="G724" s="31">
        <v>2.71</v>
      </c>
      <c r="H724" s="13">
        <v>1.3</v>
      </c>
      <c r="I724" s="6" t="s">
        <v>15</v>
      </c>
      <c r="J724" s="11">
        <v>9</v>
      </c>
      <c r="K724" s="11">
        <v>5</v>
      </c>
      <c r="L724" s="11">
        <v>10</v>
      </c>
      <c r="M724" s="15">
        <v>0</v>
      </c>
      <c r="R724" s="20">
        <v>0</v>
      </c>
      <c r="U724" s="17">
        <v>0</v>
      </c>
      <c r="W724" s="23">
        <v>0</v>
      </c>
      <c r="Y724" s="26">
        <v>0</v>
      </c>
    </row>
    <row r="725" spans="1:25" x14ac:dyDescent="0.25">
      <c r="A725" s="7">
        <v>13</v>
      </c>
      <c r="B725" s="6" t="s">
        <v>16</v>
      </c>
      <c r="C725" s="32">
        <v>2.2999999999999998</v>
      </c>
      <c r="D725" s="6" t="s">
        <v>17</v>
      </c>
      <c r="E725" s="29">
        <v>6.6</v>
      </c>
      <c r="F725" s="13">
        <v>1.4</v>
      </c>
      <c r="G725" s="31">
        <v>3.74</v>
      </c>
      <c r="H725" s="13">
        <v>1.5</v>
      </c>
      <c r="I725" s="6" t="s">
        <v>19</v>
      </c>
      <c r="J725" s="11">
        <v>6</v>
      </c>
      <c r="K725" s="11">
        <v>10</v>
      </c>
      <c r="L725" s="11">
        <v>1</v>
      </c>
      <c r="M725" s="15">
        <v>0</v>
      </c>
      <c r="R725" s="20">
        <v>0</v>
      </c>
      <c r="U725" s="17">
        <v>0</v>
      </c>
      <c r="W725" s="23">
        <v>0</v>
      </c>
      <c r="Y725" s="26">
        <v>0</v>
      </c>
    </row>
    <row r="726" spans="1:25" x14ac:dyDescent="0.25">
      <c r="A726" s="7">
        <v>15</v>
      </c>
      <c r="B726" s="6" t="s">
        <v>13</v>
      </c>
      <c r="C726" s="32">
        <v>8</v>
      </c>
      <c r="D726" s="6" t="s">
        <v>14</v>
      </c>
      <c r="E726" s="29">
        <v>4.7</v>
      </c>
      <c r="F726" s="13">
        <v>0.6</v>
      </c>
      <c r="G726" s="31">
        <v>3.01</v>
      </c>
      <c r="H726" s="13">
        <v>1.8</v>
      </c>
      <c r="I726" s="6" t="s">
        <v>19</v>
      </c>
      <c r="J726" s="11">
        <v>2</v>
      </c>
      <c r="K726" s="11">
        <v>9</v>
      </c>
      <c r="L726" s="11">
        <v>10</v>
      </c>
      <c r="M726" s="15">
        <v>0</v>
      </c>
      <c r="R726" s="20">
        <v>0</v>
      </c>
      <c r="U726" s="17">
        <v>0</v>
      </c>
      <c r="W726" s="23">
        <v>0</v>
      </c>
      <c r="Y726" s="26">
        <v>0</v>
      </c>
    </row>
    <row r="727" spans="1:25" x14ac:dyDescent="0.25">
      <c r="A727" s="7">
        <v>15</v>
      </c>
      <c r="B727" s="6" t="s">
        <v>16</v>
      </c>
      <c r="C727" s="32">
        <v>2.9</v>
      </c>
      <c r="D727" s="6" t="s">
        <v>17</v>
      </c>
      <c r="E727" s="29">
        <v>6.4</v>
      </c>
      <c r="F727" s="13">
        <v>0.7</v>
      </c>
      <c r="G727" s="31">
        <v>3.41</v>
      </c>
      <c r="H727" s="13">
        <v>1.6</v>
      </c>
      <c r="I727" s="6" t="s">
        <v>15</v>
      </c>
      <c r="J727" s="11">
        <v>3</v>
      </c>
      <c r="K727" s="11">
        <v>10</v>
      </c>
      <c r="L727" s="11">
        <v>7</v>
      </c>
      <c r="M727" s="15">
        <v>0</v>
      </c>
      <c r="R727" s="20">
        <v>0</v>
      </c>
      <c r="U727" s="17">
        <v>0</v>
      </c>
      <c r="W727" s="23">
        <v>0</v>
      </c>
      <c r="Y727" s="26">
        <v>0</v>
      </c>
    </row>
    <row r="728" spans="1:25" x14ac:dyDescent="0.25">
      <c r="A728" s="7">
        <v>19</v>
      </c>
      <c r="B728" s="6" t="s">
        <v>16</v>
      </c>
      <c r="C728" s="32">
        <v>4.4000000000000004</v>
      </c>
      <c r="D728" s="6" t="s">
        <v>20</v>
      </c>
      <c r="E728" s="29">
        <v>5</v>
      </c>
      <c r="F728" s="13">
        <v>2.8</v>
      </c>
      <c r="G728" s="31">
        <v>2.69</v>
      </c>
      <c r="H728" s="13">
        <v>0.4</v>
      </c>
      <c r="I728" s="6" t="s">
        <v>18</v>
      </c>
      <c r="J728" s="11">
        <v>3</v>
      </c>
      <c r="K728" s="11">
        <v>8</v>
      </c>
      <c r="L728" s="11">
        <v>8</v>
      </c>
      <c r="M728" s="15">
        <v>0</v>
      </c>
      <c r="R728" s="20">
        <v>0</v>
      </c>
      <c r="U728" s="17">
        <v>0</v>
      </c>
      <c r="W728" s="23">
        <v>0</v>
      </c>
      <c r="Y728" s="26">
        <v>0</v>
      </c>
    </row>
    <row r="729" spans="1:25" x14ac:dyDescent="0.25">
      <c r="A729" s="7">
        <v>18</v>
      </c>
      <c r="B729" s="6" t="s">
        <v>16</v>
      </c>
      <c r="C729" s="32">
        <v>3.1</v>
      </c>
      <c r="D729" s="6" t="s">
        <v>20</v>
      </c>
      <c r="E729" s="29">
        <v>6.8</v>
      </c>
      <c r="F729" s="13">
        <v>2</v>
      </c>
      <c r="G729" s="31">
        <v>3.77</v>
      </c>
      <c r="H729" s="13">
        <v>1.4</v>
      </c>
      <c r="I729" s="6" t="s">
        <v>15</v>
      </c>
      <c r="J729" s="11">
        <v>1</v>
      </c>
      <c r="K729" s="11">
        <v>3</v>
      </c>
      <c r="L729" s="11">
        <v>4</v>
      </c>
      <c r="M729" s="15">
        <v>0</v>
      </c>
      <c r="R729" s="20">
        <v>0</v>
      </c>
      <c r="U729" s="17">
        <v>0</v>
      </c>
      <c r="W729" s="23">
        <v>0</v>
      </c>
      <c r="Y729" s="26">
        <v>0</v>
      </c>
    </row>
    <row r="730" spans="1:25" x14ac:dyDescent="0.25">
      <c r="A730" s="7">
        <v>18</v>
      </c>
      <c r="B730" s="6" t="s">
        <v>13</v>
      </c>
      <c r="C730" s="32">
        <v>7.9</v>
      </c>
      <c r="D730" s="6" t="s">
        <v>17</v>
      </c>
      <c r="E730" s="29">
        <v>7.5</v>
      </c>
      <c r="F730" s="13">
        <v>2</v>
      </c>
      <c r="G730" s="31">
        <v>2.77</v>
      </c>
      <c r="H730" s="13">
        <v>0.9</v>
      </c>
      <c r="I730" s="6" t="s">
        <v>15</v>
      </c>
      <c r="J730" s="11">
        <v>10</v>
      </c>
      <c r="K730" s="11">
        <v>4</v>
      </c>
      <c r="L730" s="11">
        <v>4</v>
      </c>
      <c r="M730" s="15">
        <v>0</v>
      </c>
      <c r="R730" s="20">
        <v>0</v>
      </c>
      <c r="U730" s="17">
        <v>0</v>
      </c>
      <c r="W730" s="23">
        <v>0</v>
      </c>
      <c r="Y730" s="26">
        <v>0</v>
      </c>
    </row>
    <row r="731" spans="1:25" x14ac:dyDescent="0.25">
      <c r="A731" s="7">
        <v>14</v>
      </c>
      <c r="B731" s="6" t="s">
        <v>16</v>
      </c>
      <c r="C731" s="32">
        <v>1.2</v>
      </c>
      <c r="D731" s="6" t="s">
        <v>20</v>
      </c>
      <c r="E731" s="29">
        <v>7</v>
      </c>
      <c r="F731" s="13">
        <v>2.2000000000000002</v>
      </c>
      <c r="G731" s="31">
        <v>3.83</v>
      </c>
      <c r="H731" s="13">
        <v>0.8</v>
      </c>
      <c r="I731" s="6" t="s">
        <v>15</v>
      </c>
      <c r="J731" s="11">
        <v>6</v>
      </c>
      <c r="K731" s="11">
        <v>10</v>
      </c>
      <c r="L731" s="11">
        <v>5</v>
      </c>
      <c r="M731" s="15">
        <v>0</v>
      </c>
      <c r="R731" s="20">
        <v>0</v>
      </c>
      <c r="U731" s="17">
        <v>0</v>
      </c>
      <c r="W731" s="23">
        <v>0</v>
      </c>
      <c r="Y731" s="26">
        <v>0</v>
      </c>
    </row>
    <row r="732" spans="1:25" x14ac:dyDescent="0.25">
      <c r="A732" s="7">
        <v>19</v>
      </c>
      <c r="B732" s="6" t="s">
        <v>16</v>
      </c>
      <c r="C732" s="32">
        <v>4</v>
      </c>
      <c r="D732" s="6" t="s">
        <v>20</v>
      </c>
      <c r="E732" s="29">
        <v>7.4</v>
      </c>
      <c r="F732" s="13">
        <v>2.7</v>
      </c>
      <c r="G732" s="31">
        <v>3.41</v>
      </c>
      <c r="H732" s="13">
        <v>1.4</v>
      </c>
      <c r="I732" s="6" t="s">
        <v>19</v>
      </c>
      <c r="J732" s="11">
        <v>9</v>
      </c>
      <c r="K732" s="11">
        <v>4</v>
      </c>
      <c r="L732" s="11">
        <v>7</v>
      </c>
      <c r="M732" s="15">
        <v>0</v>
      </c>
      <c r="R732" s="20">
        <v>0</v>
      </c>
      <c r="U732" s="17">
        <v>0</v>
      </c>
      <c r="W732" s="23">
        <v>0</v>
      </c>
      <c r="Y732" s="26">
        <v>0</v>
      </c>
    </row>
    <row r="733" spans="1:25" x14ac:dyDescent="0.25">
      <c r="A733" s="7">
        <v>18</v>
      </c>
      <c r="B733" s="6" t="s">
        <v>13</v>
      </c>
      <c r="C733" s="32">
        <v>1</v>
      </c>
      <c r="D733" s="6" t="s">
        <v>14</v>
      </c>
      <c r="E733" s="29">
        <v>7.1</v>
      </c>
      <c r="F733" s="13">
        <v>0.8</v>
      </c>
      <c r="G733" s="31">
        <v>2.4700000000000002</v>
      </c>
      <c r="H733" s="13">
        <v>1.9</v>
      </c>
      <c r="I733" s="6" t="s">
        <v>18</v>
      </c>
      <c r="J733" s="11">
        <v>4</v>
      </c>
      <c r="K733" s="11">
        <v>2</v>
      </c>
      <c r="L733" s="11">
        <v>4</v>
      </c>
      <c r="M733" s="15">
        <v>0</v>
      </c>
      <c r="R733" s="20">
        <v>0</v>
      </c>
      <c r="U733" s="17">
        <v>0</v>
      </c>
      <c r="W733" s="23">
        <v>0</v>
      </c>
      <c r="Y733" s="26">
        <v>0</v>
      </c>
    </row>
    <row r="734" spans="1:25" x14ac:dyDescent="0.25">
      <c r="A734" s="7">
        <v>19</v>
      </c>
      <c r="B734" s="6" t="s">
        <v>16</v>
      </c>
      <c r="C734" s="32">
        <v>7.9</v>
      </c>
      <c r="D734" s="6" t="s">
        <v>14</v>
      </c>
      <c r="E734" s="29">
        <v>5.7</v>
      </c>
      <c r="F734" s="13">
        <v>2.4</v>
      </c>
      <c r="G734" s="31">
        <v>3.59</v>
      </c>
      <c r="H734" s="13">
        <v>1.9</v>
      </c>
      <c r="I734" s="6" t="s">
        <v>18</v>
      </c>
      <c r="J734" s="11">
        <v>1</v>
      </c>
      <c r="K734" s="11">
        <v>9</v>
      </c>
      <c r="L734" s="11">
        <v>9</v>
      </c>
      <c r="M734" s="15">
        <v>0</v>
      </c>
      <c r="R734" s="20">
        <v>0</v>
      </c>
      <c r="U734" s="17">
        <v>0</v>
      </c>
      <c r="W734" s="23">
        <v>0</v>
      </c>
      <c r="Y734" s="26">
        <v>0</v>
      </c>
    </row>
    <row r="735" spans="1:25" x14ac:dyDescent="0.25">
      <c r="A735" s="7">
        <v>14</v>
      </c>
      <c r="B735" s="6" t="s">
        <v>13</v>
      </c>
      <c r="C735" s="32">
        <v>6.2</v>
      </c>
      <c r="D735" s="6" t="s">
        <v>17</v>
      </c>
      <c r="E735" s="29">
        <v>4.4000000000000004</v>
      </c>
      <c r="F735" s="13">
        <v>0.7</v>
      </c>
      <c r="G735" s="31">
        <v>3.45</v>
      </c>
      <c r="H735" s="13">
        <v>0.5</v>
      </c>
      <c r="I735" s="6" t="s">
        <v>19</v>
      </c>
      <c r="J735" s="11">
        <v>9</v>
      </c>
      <c r="K735" s="11">
        <v>10</v>
      </c>
      <c r="L735" s="11">
        <v>3</v>
      </c>
      <c r="M735" s="15">
        <v>1</v>
      </c>
      <c r="R735" s="20">
        <v>1</v>
      </c>
      <c r="U735" s="17">
        <v>1</v>
      </c>
      <c r="W735" s="23">
        <v>1</v>
      </c>
      <c r="Y735" s="26">
        <v>1</v>
      </c>
    </row>
    <row r="736" spans="1:25" x14ac:dyDescent="0.25">
      <c r="A736" s="7">
        <v>16</v>
      </c>
      <c r="B736" s="6" t="s">
        <v>16</v>
      </c>
      <c r="C736" s="32">
        <v>2.5</v>
      </c>
      <c r="D736" s="6" t="s">
        <v>14</v>
      </c>
      <c r="E736" s="29">
        <v>5.4</v>
      </c>
      <c r="F736" s="13">
        <v>2.2999999999999998</v>
      </c>
      <c r="G736" s="31">
        <v>3.43</v>
      </c>
      <c r="H736" s="13">
        <v>0.5</v>
      </c>
      <c r="I736" s="6" t="s">
        <v>18</v>
      </c>
      <c r="J736" s="11">
        <v>9</v>
      </c>
      <c r="K736" s="11">
        <v>1</v>
      </c>
      <c r="L736" s="11">
        <v>2</v>
      </c>
      <c r="M736" s="15">
        <v>0</v>
      </c>
      <c r="R736" s="20">
        <v>0</v>
      </c>
      <c r="U736" s="17">
        <v>0</v>
      </c>
      <c r="W736" s="23">
        <v>0</v>
      </c>
      <c r="Y736" s="26">
        <v>0</v>
      </c>
    </row>
    <row r="737" spans="1:25" x14ac:dyDescent="0.25">
      <c r="A737" s="7">
        <v>16</v>
      </c>
      <c r="B737" s="6" t="s">
        <v>13</v>
      </c>
      <c r="C737" s="32">
        <v>4.7</v>
      </c>
      <c r="D737" s="6" t="s">
        <v>20</v>
      </c>
      <c r="E737" s="29">
        <v>8.1999999999999993</v>
      </c>
      <c r="F737" s="13">
        <v>2.6</v>
      </c>
      <c r="G737" s="31">
        <v>3.05</v>
      </c>
      <c r="H737" s="13">
        <v>1</v>
      </c>
      <c r="I737" s="6" t="s">
        <v>19</v>
      </c>
      <c r="J737" s="11">
        <v>4</v>
      </c>
      <c r="K737" s="11">
        <v>7</v>
      </c>
      <c r="L737" s="11">
        <v>2</v>
      </c>
      <c r="M737" s="15">
        <v>0</v>
      </c>
      <c r="R737" s="20">
        <v>0</v>
      </c>
      <c r="U737" s="17">
        <v>0</v>
      </c>
      <c r="W737" s="23">
        <v>0</v>
      </c>
      <c r="Y737" s="26">
        <v>0</v>
      </c>
    </row>
    <row r="738" spans="1:25" x14ac:dyDescent="0.25">
      <c r="A738" s="7">
        <v>16</v>
      </c>
      <c r="B738" s="6" t="s">
        <v>13</v>
      </c>
      <c r="C738" s="32">
        <v>6.3</v>
      </c>
      <c r="D738" s="6" t="s">
        <v>14</v>
      </c>
      <c r="E738" s="29">
        <v>6.5</v>
      </c>
      <c r="F738" s="13">
        <v>1</v>
      </c>
      <c r="G738" s="31">
        <v>2.52</v>
      </c>
      <c r="H738" s="13">
        <v>0.4</v>
      </c>
      <c r="I738" s="6" t="s">
        <v>15</v>
      </c>
      <c r="J738" s="11">
        <v>1</v>
      </c>
      <c r="K738" s="11">
        <v>10</v>
      </c>
      <c r="L738" s="11">
        <v>6</v>
      </c>
      <c r="M738" s="15">
        <v>0</v>
      </c>
      <c r="R738" s="20">
        <v>0</v>
      </c>
      <c r="U738" s="17">
        <v>0</v>
      </c>
      <c r="W738" s="23">
        <v>0</v>
      </c>
      <c r="Y738" s="26">
        <v>0</v>
      </c>
    </row>
    <row r="739" spans="1:25" x14ac:dyDescent="0.25">
      <c r="A739" s="7">
        <v>17</v>
      </c>
      <c r="B739" s="6" t="s">
        <v>16</v>
      </c>
      <c r="C739" s="32">
        <v>7.5</v>
      </c>
      <c r="D739" s="6" t="s">
        <v>17</v>
      </c>
      <c r="E739" s="29">
        <v>5.4</v>
      </c>
      <c r="F739" s="13">
        <v>2.2999999999999998</v>
      </c>
      <c r="G739" s="31">
        <v>3.44</v>
      </c>
      <c r="H739" s="13">
        <v>0.4</v>
      </c>
      <c r="I739" s="6" t="s">
        <v>19</v>
      </c>
      <c r="J739" s="11">
        <v>7</v>
      </c>
      <c r="K739" s="11">
        <v>9</v>
      </c>
      <c r="L739" s="11">
        <v>7</v>
      </c>
      <c r="M739" s="15">
        <v>1</v>
      </c>
      <c r="R739" s="20">
        <v>1</v>
      </c>
      <c r="U739" s="17">
        <v>1</v>
      </c>
      <c r="W739" s="23">
        <v>1</v>
      </c>
      <c r="Y739" s="26">
        <v>1</v>
      </c>
    </row>
    <row r="740" spans="1:25" x14ac:dyDescent="0.25">
      <c r="A740" s="7">
        <v>18</v>
      </c>
      <c r="B740" s="6" t="s">
        <v>13</v>
      </c>
      <c r="C740" s="32">
        <v>2</v>
      </c>
      <c r="D740" s="6" t="s">
        <v>17</v>
      </c>
      <c r="E740" s="29">
        <v>8.4</v>
      </c>
      <c r="F740" s="13">
        <v>1.5</v>
      </c>
      <c r="G740" s="31">
        <v>2.83</v>
      </c>
      <c r="H740" s="13">
        <v>1.2</v>
      </c>
      <c r="I740" s="6" t="s">
        <v>15</v>
      </c>
      <c r="J740" s="11">
        <v>9</v>
      </c>
      <c r="K740" s="11">
        <v>4</v>
      </c>
      <c r="L740" s="11">
        <v>5</v>
      </c>
      <c r="M740" s="15">
        <v>0</v>
      </c>
      <c r="R740" s="20">
        <v>0</v>
      </c>
      <c r="U740" s="17">
        <v>0</v>
      </c>
      <c r="W740" s="23">
        <v>0</v>
      </c>
      <c r="Y740" s="26">
        <v>0</v>
      </c>
    </row>
    <row r="741" spans="1:25" x14ac:dyDescent="0.25">
      <c r="A741" s="7">
        <v>13</v>
      </c>
      <c r="B741" s="6" t="s">
        <v>16</v>
      </c>
      <c r="C741" s="32">
        <v>6.3</v>
      </c>
      <c r="D741" s="6" t="s">
        <v>14</v>
      </c>
      <c r="E741" s="29">
        <v>8.4</v>
      </c>
      <c r="F741" s="13">
        <v>1.6</v>
      </c>
      <c r="G741" s="31">
        <v>2.0299999999999998</v>
      </c>
      <c r="H741" s="13">
        <v>1.5</v>
      </c>
      <c r="I741" s="6" t="s">
        <v>19</v>
      </c>
      <c r="J741" s="11">
        <v>5</v>
      </c>
      <c r="K741" s="11">
        <v>3</v>
      </c>
      <c r="L741" s="11">
        <v>9</v>
      </c>
      <c r="M741" s="15">
        <v>0</v>
      </c>
      <c r="R741" s="20">
        <v>0</v>
      </c>
      <c r="U741" s="17">
        <v>0</v>
      </c>
      <c r="W741" s="23">
        <v>0</v>
      </c>
      <c r="Y741" s="26">
        <v>0</v>
      </c>
    </row>
    <row r="742" spans="1:25" x14ac:dyDescent="0.25">
      <c r="A742" s="7">
        <v>16</v>
      </c>
      <c r="B742" s="6" t="s">
        <v>13</v>
      </c>
      <c r="C742" s="32">
        <v>6.6</v>
      </c>
      <c r="D742" s="6" t="s">
        <v>20</v>
      </c>
      <c r="E742" s="29">
        <v>8.9</v>
      </c>
      <c r="F742" s="13">
        <v>2</v>
      </c>
      <c r="G742" s="31">
        <v>3.44</v>
      </c>
      <c r="H742" s="13">
        <v>1.7</v>
      </c>
      <c r="I742" s="6" t="s">
        <v>15</v>
      </c>
      <c r="J742" s="11">
        <v>10</v>
      </c>
      <c r="K742" s="11">
        <v>9</v>
      </c>
      <c r="L742" s="11">
        <v>3</v>
      </c>
      <c r="M742" s="15">
        <v>0</v>
      </c>
      <c r="R742" s="20">
        <v>0</v>
      </c>
      <c r="U742" s="17">
        <v>0</v>
      </c>
      <c r="W742" s="23">
        <v>0</v>
      </c>
      <c r="Y742" s="26">
        <v>0</v>
      </c>
    </row>
    <row r="743" spans="1:25" x14ac:dyDescent="0.25">
      <c r="A743" s="7">
        <v>19</v>
      </c>
      <c r="B743" s="6" t="s">
        <v>16</v>
      </c>
      <c r="C743" s="32">
        <v>3.6</v>
      </c>
      <c r="D743" s="6" t="s">
        <v>20</v>
      </c>
      <c r="E743" s="29">
        <v>5.6</v>
      </c>
      <c r="F743" s="13">
        <v>1.7</v>
      </c>
      <c r="G743" s="31">
        <v>3.57</v>
      </c>
      <c r="H743" s="13">
        <v>1.5</v>
      </c>
      <c r="I743" s="6" t="s">
        <v>15</v>
      </c>
      <c r="J743" s="11">
        <v>10</v>
      </c>
      <c r="K743" s="11">
        <v>4</v>
      </c>
      <c r="L743" s="11">
        <v>3</v>
      </c>
      <c r="M743" s="15">
        <v>0</v>
      </c>
      <c r="R743" s="20">
        <v>0</v>
      </c>
      <c r="U743" s="17">
        <v>0</v>
      </c>
      <c r="W743" s="23">
        <v>0</v>
      </c>
      <c r="Y743" s="26">
        <v>0</v>
      </c>
    </row>
    <row r="744" spans="1:25" x14ac:dyDescent="0.25">
      <c r="A744" s="7">
        <v>16</v>
      </c>
      <c r="B744" s="6" t="s">
        <v>16</v>
      </c>
      <c r="C744" s="32">
        <v>3.2</v>
      </c>
      <c r="D744" s="6" t="s">
        <v>20</v>
      </c>
      <c r="E744" s="29">
        <v>4.5999999999999996</v>
      </c>
      <c r="F744" s="13">
        <v>2.5</v>
      </c>
      <c r="G744" s="31">
        <v>2.62</v>
      </c>
      <c r="H744" s="13">
        <v>1.8</v>
      </c>
      <c r="I744" s="6" t="s">
        <v>15</v>
      </c>
      <c r="J744" s="11">
        <v>9</v>
      </c>
      <c r="K744" s="11">
        <v>5</v>
      </c>
      <c r="L744" s="11">
        <v>1</v>
      </c>
      <c r="M744" s="15">
        <v>0</v>
      </c>
      <c r="R744" s="20">
        <v>0</v>
      </c>
      <c r="U744" s="17">
        <v>0</v>
      </c>
      <c r="W744" s="23">
        <v>0</v>
      </c>
      <c r="Y744" s="26">
        <v>0</v>
      </c>
    </row>
    <row r="745" spans="1:25" x14ac:dyDescent="0.25">
      <c r="A745" s="7">
        <v>13</v>
      </c>
      <c r="B745" s="6" t="s">
        <v>16</v>
      </c>
      <c r="C745" s="32">
        <v>3.1</v>
      </c>
      <c r="D745" s="6" t="s">
        <v>14</v>
      </c>
      <c r="E745" s="29">
        <v>6.4</v>
      </c>
      <c r="F745" s="13">
        <v>1.6</v>
      </c>
      <c r="G745" s="31">
        <v>3.69</v>
      </c>
      <c r="H745" s="13">
        <v>0.9</v>
      </c>
      <c r="I745" s="6" t="s">
        <v>19</v>
      </c>
      <c r="J745" s="11">
        <v>1</v>
      </c>
      <c r="K745" s="11">
        <v>2</v>
      </c>
      <c r="L745" s="11">
        <v>1</v>
      </c>
      <c r="M745" s="15">
        <v>0</v>
      </c>
      <c r="R745" s="20">
        <v>0</v>
      </c>
      <c r="U745" s="17">
        <v>0</v>
      </c>
      <c r="W745" s="23">
        <v>0</v>
      </c>
      <c r="Y745" s="26">
        <v>0</v>
      </c>
    </row>
    <row r="746" spans="1:25" x14ac:dyDescent="0.25">
      <c r="A746" s="7">
        <v>18</v>
      </c>
      <c r="B746" s="6" t="s">
        <v>13</v>
      </c>
      <c r="C746" s="32">
        <v>6.7</v>
      </c>
      <c r="D746" s="6" t="s">
        <v>14</v>
      </c>
      <c r="E746" s="29">
        <v>8.8000000000000007</v>
      </c>
      <c r="F746" s="13">
        <v>1.9</v>
      </c>
      <c r="G746" s="31">
        <v>2.5499999999999998</v>
      </c>
      <c r="H746" s="13">
        <v>1</v>
      </c>
      <c r="I746" s="6" t="s">
        <v>15</v>
      </c>
      <c r="J746" s="11">
        <v>5</v>
      </c>
      <c r="K746" s="11">
        <v>8</v>
      </c>
      <c r="L746" s="11">
        <v>3</v>
      </c>
      <c r="M746" s="15">
        <v>0</v>
      </c>
      <c r="R746" s="20">
        <v>0</v>
      </c>
      <c r="U746" s="17">
        <v>0</v>
      </c>
      <c r="W746" s="23">
        <v>0</v>
      </c>
      <c r="Y746" s="26">
        <v>0</v>
      </c>
    </row>
    <row r="747" spans="1:25" x14ac:dyDescent="0.25">
      <c r="A747" s="7">
        <v>17</v>
      </c>
      <c r="B747" s="6" t="s">
        <v>13</v>
      </c>
      <c r="C747" s="32">
        <v>6.6</v>
      </c>
      <c r="D747" s="6" t="s">
        <v>17</v>
      </c>
      <c r="E747" s="29">
        <v>8.1999999999999993</v>
      </c>
      <c r="F747" s="13">
        <v>0.7</v>
      </c>
      <c r="G747" s="31">
        <v>2.88</v>
      </c>
      <c r="H747" s="13">
        <v>0.8</v>
      </c>
      <c r="I747" s="6" t="s">
        <v>15</v>
      </c>
      <c r="J747" s="11">
        <v>1</v>
      </c>
      <c r="K747" s="11">
        <v>7</v>
      </c>
      <c r="L747" s="11">
        <v>7</v>
      </c>
      <c r="M747" s="15">
        <v>0</v>
      </c>
      <c r="R747" s="20">
        <v>0</v>
      </c>
      <c r="U747" s="17">
        <v>0</v>
      </c>
      <c r="W747" s="23">
        <v>0</v>
      </c>
      <c r="Y747" s="26">
        <v>0</v>
      </c>
    </row>
    <row r="748" spans="1:25" x14ac:dyDescent="0.25">
      <c r="A748" s="7">
        <v>14</v>
      </c>
      <c r="B748" s="6" t="s">
        <v>16</v>
      </c>
      <c r="C748" s="32">
        <v>7</v>
      </c>
      <c r="D748" s="6" t="s">
        <v>14</v>
      </c>
      <c r="E748" s="29">
        <v>4.5</v>
      </c>
      <c r="F748" s="13">
        <v>1.6</v>
      </c>
      <c r="G748" s="31">
        <v>2.83</v>
      </c>
      <c r="H748" s="13">
        <v>0.4</v>
      </c>
      <c r="I748" s="6" t="s">
        <v>19</v>
      </c>
      <c r="J748" s="11">
        <v>8</v>
      </c>
      <c r="K748" s="11">
        <v>1</v>
      </c>
      <c r="L748" s="11">
        <v>7</v>
      </c>
      <c r="M748" s="15">
        <v>0</v>
      </c>
      <c r="R748" s="20">
        <v>0</v>
      </c>
      <c r="U748" s="17">
        <v>0</v>
      </c>
      <c r="W748" s="23">
        <v>0</v>
      </c>
      <c r="Y748" s="26">
        <v>0</v>
      </c>
    </row>
    <row r="749" spans="1:25" x14ac:dyDescent="0.25">
      <c r="A749" s="7">
        <v>16</v>
      </c>
      <c r="B749" s="6" t="s">
        <v>16</v>
      </c>
      <c r="C749" s="32">
        <v>4.8</v>
      </c>
      <c r="D749" s="6" t="s">
        <v>20</v>
      </c>
      <c r="E749" s="29">
        <v>5.0999999999999996</v>
      </c>
      <c r="F749" s="13">
        <v>2.1</v>
      </c>
      <c r="G749" s="31">
        <v>2.4900000000000002</v>
      </c>
      <c r="H749" s="13">
        <v>1.6</v>
      </c>
      <c r="I749" s="6" t="s">
        <v>15</v>
      </c>
      <c r="J749" s="11">
        <v>4</v>
      </c>
      <c r="K749" s="11">
        <v>9</v>
      </c>
      <c r="L749" s="11">
        <v>1</v>
      </c>
      <c r="M749" s="15">
        <v>0</v>
      </c>
      <c r="R749" s="20">
        <v>0</v>
      </c>
      <c r="U749" s="17">
        <v>0</v>
      </c>
      <c r="W749" s="23">
        <v>0</v>
      </c>
      <c r="Y749" s="26">
        <v>0</v>
      </c>
    </row>
    <row r="750" spans="1:25" x14ac:dyDescent="0.25">
      <c r="A750" s="7">
        <v>13</v>
      </c>
      <c r="B750" s="6" t="s">
        <v>16</v>
      </c>
      <c r="C750" s="32">
        <v>5.8</v>
      </c>
      <c r="D750" s="6" t="s">
        <v>14</v>
      </c>
      <c r="E750" s="29">
        <v>6.3</v>
      </c>
      <c r="F750" s="13">
        <v>1.1000000000000001</v>
      </c>
      <c r="G750" s="31">
        <v>3.09</v>
      </c>
      <c r="H750" s="13">
        <v>0.9</v>
      </c>
      <c r="I750" s="6" t="s">
        <v>19</v>
      </c>
      <c r="J750" s="11">
        <v>8</v>
      </c>
      <c r="K750" s="11">
        <v>4</v>
      </c>
      <c r="L750" s="11">
        <v>9</v>
      </c>
      <c r="M750" s="15">
        <v>0</v>
      </c>
      <c r="R750" s="20">
        <v>0</v>
      </c>
      <c r="U750" s="17">
        <v>0</v>
      </c>
      <c r="W750" s="23">
        <v>0</v>
      </c>
      <c r="Y750" s="26">
        <v>0</v>
      </c>
    </row>
    <row r="751" spans="1:25" x14ac:dyDescent="0.25">
      <c r="A751" s="7">
        <v>19</v>
      </c>
      <c r="B751" s="6" t="s">
        <v>16</v>
      </c>
      <c r="C751" s="32">
        <v>6</v>
      </c>
      <c r="D751" s="6" t="s">
        <v>20</v>
      </c>
      <c r="E751" s="29">
        <v>6.3</v>
      </c>
      <c r="F751" s="13">
        <v>2.8</v>
      </c>
      <c r="G751" s="31">
        <v>3.98</v>
      </c>
      <c r="H751" s="13">
        <v>2</v>
      </c>
      <c r="I751" s="6" t="s">
        <v>19</v>
      </c>
      <c r="J751" s="11">
        <v>2</v>
      </c>
      <c r="K751" s="11">
        <v>6</v>
      </c>
      <c r="L751" s="11">
        <v>2</v>
      </c>
      <c r="M751" s="15">
        <v>0</v>
      </c>
      <c r="R751" s="20">
        <v>0</v>
      </c>
      <c r="U751" s="17">
        <v>0</v>
      </c>
      <c r="W751" s="23">
        <v>0</v>
      </c>
      <c r="Y751" s="26">
        <v>0</v>
      </c>
    </row>
    <row r="752" spans="1:25" x14ac:dyDescent="0.25">
      <c r="A752" s="7">
        <v>15</v>
      </c>
      <c r="B752" s="6" t="s">
        <v>13</v>
      </c>
      <c r="C752" s="32">
        <v>4</v>
      </c>
      <c r="D752" s="6" t="s">
        <v>20</v>
      </c>
      <c r="E752" s="29">
        <v>5.2</v>
      </c>
      <c r="F752" s="13">
        <v>1.8</v>
      </c>
      <c r="G752" s="31">
        <v>3.3</v>
      </c>
      <c r="H752" s="13">
        <v>0.7</v>
      </c>
      <c r="I752" s="6" t="s">
        <v>19</v>
      </c>
      <c r="J752" s="11">
        <v>10</v>
      </c>
      <c r="K752" s="11">
        <v>5</v>
      </c>
      <c r="L752" s="11">
        <v>1</v>
      </c>
      <c r="M752" s="15">
        <v>0</v>
      </c>
      <c r="R752" s="20">
        <v>0</v>
      </c>
      <c r="U752" s="17">
        <v>0</v>
      </c>
      <c r="W752" s="23">
        <v>0</v>
      </c>
      <c r="Y752" s="26">
        <v>0</v>
      </c>
    </row>
    <row r="753" spans="1:25" x14ac:dyDescent="0.25">
      <c r="A753" s="7">
        <v>14</v>
      </c>
      <c r="B753" s="6" t="s">
        <v>16</v>
      </c>
      <c r="C753" s="32">
        <v>5.8</v>
      </c>
      <c r="D753" s="6" t="s">
        <v>20</v>
      </c>
      <c r="E753" s="29">
        <v>4.8</v>
      </c>
      <c r="F753" s="13">
        <v>2.6</v>
      </c>
      <c r="G753" s="31">
        <v>2.08</v>
      </c>
      <c r="H753" s="13">
        <v>0.8</v>
      </c>
      <c r="I753" s="6" t="s">
        <v>19</v>
      </c>
      <c r="J753" s="11">
        <v>6</v>
      </c>
      <c r="K753" s="11">
        <v>4</v>
      </c>
      <c r="L753" s="11">
        <v>9</v>
      </c>
      <c r="M753" s="15">
        <v>0</v>
      </c>
      <c r="R753" s="20">
        <v>0</v>
      </c>
      <c r="U753" s="17">
        <v>0</v>
      </c>
      <c r="W753" s="23">
        <v>0</v>
      </c>
      <c r="Y753" s="26">
        <v>0</v>
      </c>
    </row>
    <row r="754" spans="1:25" x14ac:dyDescent="0.25">
      <c r="A754" s="7">
        <v>19</v>
      </c>
      <c r="B754" s="6" t="s">
        <v>13</v>
      </c>
      <c r="C754" s="32">
        <v>5.2</v>
      </c>
      <c r="D754" s="6" t="s">
        <v>14</v>
      </c>
      <c r="E754" s="29">
        <v>7.6</v>
      </c>
      <c r="F754" s="13">
        <v>1.3</v>
      </c>
      <c r="G754" s="31">
        <v>3.89</v>
      </c>
      <c r="H754" s="13">
        <v>1.5</v>
      </c>
      <c r="I754" s="6" t="s">
        <v>18</v>
      </c>
      <c r="J754" s="11">
        <v>4</v>
      </c>
      <c r="K754" s="11">
        <v>5</v>
      </c>
      <c r="L754" s="11">
        <v>8</v>
      </c>
      <c r="M754" s="15">
        <v>0</v>
      </c>
      <c r="R754" s="20">
        <v>0</v>
      </c>
      <c r="U754" s="17">
        <v>0</v>
      </c>
      <c r="W754" s="23">
        <v>0</v>
      </c>
      <c r="Y754" s="26">
        <v>0</v>
      </c>
    </row>
    <row r="755" spans="1:25" x14ac:dyDescent="0.25">
      <c r="A755" s="7">
        <v>17</v>
      </c>
      <c r="B755" s="6" t="s">
        <v>13</v>
      </c>
      <c r="C755" s="32">
        <v>2.9</v>
      </c>
      <c r="D755" s="6" t="s">
        <v>20</v>
      </c>
      <c r="E755" s="29">
        <v>6.7</v>
      </c>
      <c r="F755" s="13">
        <v>1.5</v>
      </c>
      <c r="G755" s="31">
        <v>3.62</v>
      </c>
      <c r="H755" s="13">
        <v>0.8</v>
      </c>
      <c r="I755" s="6" t="s">
        <v>19</v>
      </c>
      <c r="J755" s="11">
        <v>10</v>
      </c>
      <c r="K755" s="11">
        <v>6</v>
      </c>
      <c r="L755" s="11">
        <v>4</v>
      </c>
      <c r="M755" s="15">
        <v>0</v>
      </c>
      <c r="R755" s="20">
        <v>0</v>
      </c>
      <c r="U755" s="17">
        <v>0</v>
      </c>
      <c r="W755" s="23">
        <v>0</v>
      </c>
      <c r="Y755" s="26">
        <v>0</v>
      </c>
    </row>
    <row r="756" spans="1:25" x14ac:dyDescent="0.25">
      <c r="A756" s="7">
        <v>18</v>
      </c>
      <c r="B756" s="6" t="s">
        <v>16</v>
      </c>
      <c r="C756" s="32">
        <v>7.5</v>
      </c>
      <c r="D756" s="6" t="s">
        <v>17</v>
      </c>
      <c r="E756" s="29">
        <v>7.5</v>
      </c>
      <c r="F756" s="13">
        <v>1.4</v>
      </c>
      <c r="G756" s="31">
        <v>3.14</v>
      </c>
      <c r="H756" s="13">
        <v>2</v>
      </c>
      <c r="I756" s="6" t="s">
        <v>15</v>
      </c>
      <c r="J756" s="11">
        <v>2</v>
      </c>
      <c r="K756" s="11">
        <v>9</v>
      </c>
      <c r="L756" s="11">
        <v>2</v>
      </c>
      <c r="M756" s="15">
        <v>0</v>
      </c>
      <c r="R756" s="20">
        <v>0</v>
      </c>
      <c r="U756" s="17">
        <v>0</v>
      </c>
      <c r="W756" s="23">
        <v>0</v>
      </c>
      <c r="Y756" s="26">
        <v>0</v>
      </c>
    </row>
    <row r="757" spans="1:25" x14ac:dyDescent="0.25">
      <c r="A757" s="7">
        <v>13</v>
      </c>
      <c r="B757" s="6" t="s">
        <v>16</v>
      </c>
      <c r="C757" s="32">
        <v>5.8</v>
      </c>
      <c r="D757" s="6" t="s">
        <v>14</v>
      </c>
      <c r="E757" s="29">
        <v>6.1</v>
      </c>
      <c r="F757" s="13">
        <v>1.2</v>
      </c>
      <c r="G757" s="31">
        <v>3.81</v>
      </c>
      <c r="H757" s="13">
        <v>1.8</v>
      </c>
      <c r="I757" s="6" t="s">
        <v>19</v>
      </c>
      <c r="J757" s="11">
        <v>6</v>
      </c>
      <c r="K757" s="11">
        <v>10</v>
      </c>
      <c r="L757" s="11">
        <v>6</v>
      </c>
      <c r="M757" s="15">
        <v>0</v>
      </c>
      <c r="R757" s="20">
        <v>0</v>
      </c>
      <c r="U757" s="17">
        <v>0</v>
      </c>
      <c r="W757" s="23">
        <v>0</v>
      </c>
      <c r="Y757" s="26">
        <v>0</v>
      </c>
    </row>
    <row r="758" spans="1:25" x14ac:dyDescent="0.25">
      <c r="A758" s="7">
        <v>14</v>
      </c>
      <c r="B758" s="6" t="s">
        <v>13</v>
      </c>
      <c r="C758" s="32">
        <v>7.6</v>
      </c>
      <c r="D758" s="6" t="s">
        <v>14</v>
      </c>
      <c r="E758" s="29">
        <v>5.8</v>
      </c>
      <c r="F758" s="13">
        <v>1.9</v>
      </c>
      <c r="G758" s="31">
        <v>3.49</v>
      </c>
      <c r="H758" s="13">
        <v>1.7</v>
      </c>
      <c r="I758" s="6" t="s">
        <v>18</v>
      </c>
      <c r="J758" s="11">
        <v>10</v>
      </c>
      <c r="K758" s="11">
        <v>1</v>
      </c>
      <c r="L758" s="11">
        <v>3</v>
      </c>
      <c r="M758" s="15">
        <v>0</v>
      </c>
      <c r="R758" s="20">
        <v>0</v>
      </c>
      <c r="U758" s="17">
        <v>0</v>
      </c>
      <c r="W758" s="23">
        <v>0</v>
      </c>
      <c r="Y758" s="26">
        <v>0</v>
      </c>
    </row>
    <row r="759" spans="1:25" x14ac:dyDescent="0.25">
      <c r="A759" s="7">
        <v>15</v>
      </c>
      <c r="B759" s="6" t="s">
        <v>16</v>
      </c>
      <c r="C759" s="32">
        <v>1.3</v>
      </c>
      <c r="D759" s="6" t="s">
        <v>17</v>
      </c>
      <c r="E759" s="29">
        <v>7.6</v>
      </c>
      <c r="F759" s="13">
        <v>0.6</v>
      </c>
      <c r="G759" s="31">
        <v>3.46</v>
      </c>
      <c r="H759" s="13">
        <v>1.9</v>
      </c>
      <c r="I759" s="6" t="s">
        <v>15</v>
      </c>
      <c r="J759" s="11">
        <v>1</v>
      </c>
      <c r="K759" s="11">
        <v>1</v>
      </c>
      <c r="L759" s="11">
        <v>4</v>
      </c>
      <c r="M759" s="15">
        <v>0</v>
      </c>
      <c r="R759" s="20">
        <v>0</v>
      </c>
      <c r="U759" s="17">
        <v>0</v>
      </c>
      <c r="W759" s="23">
        <v>0</v>
      </c>
      <c r="Y759" s="26">
        <v>0</v>
      </c>
    </row>
    <row r="760" spans="1:25" x14ac:dyDescent="0.25">
      <c r="A760" s="7">
        <v>15</v>
      </c>
      <c r="B760" s="6" t="s">
        <v>13</v>
      </c>
      <c r="C760" s="32">
        <v>3.7</v>
      </c>
      <c r="D760" s="6" t="s">
        <v>20</v>
      </c>
      <c r="E760" s="29">
        <v>5.7</v>
      </c>
      <c r="F760" s="13">
        <v>1.3</v>
      </c>
      <c r="G760" s="31">
        <v>3.24</v>
      </c>
      <c r="H760" s="13">
        <v>0.2</v>
      </c>
      <c r="I760" s="6" t="s">
        <v>15</v>
      </c>
      <c r="J760" s="11">
        <v>4</v>
      </c>
      <c r="K760" s="11">
        <v>9</v>
      </c>
      <c r="L760" s="11">
        <v>10</v>
      </c>
      <c r="M760" s="15">
        <v>0</v>
      </c>
      <c r="R760" s="20">
        <v>0</v>
      </c>
      <c r="U760" s="17">
        <v>0</v>
      </c>
      <c r="W760" s="23">
        <v>0</v>
      </c>
      <c r="Y760" s="26">
        <v>0</v>
      </c>
    </row>
    <row r="761" spans="1:25" x14ac:dyDescent="0.25">
      <c r="A761" s="7">
        <v>18</v>
      </c>
      <c r="B761" s="6" t="s">
        <v>13</v>
      </c>
      <c r="C761" s="32">
        <v>3.6</v>
      </c>
      <c r="D761" s="6" t="s">
        <v>14</v>
      </c>
      <c r="E761" s="29">
        <v>4.7</v>
      </c>
      <c r="F761" s="13">
        <v>2.5</v>
      </c>
      <c r="G761" s="31">
        <v>2.73</v>
      </c>
      <c r="H761" s="13">
        <v>1.2</v>
      </c>
      <c r="I761" s="6" t="s">
        <v>19</v>
      </c>
      <c r="J761" s="11">
        <v>9</v>
      </c>
      <c r="K761" s="11">
        <v>7</v>
      </c>
      <c r="L761" s="11">
        <v>6</v>
      </c>
      <c r="M761" s="15">
        <v>0</v>
      </c>
      <c r="R761" s="20">
        <v>0</v>
      </c>
      <c r="U761" s="17">
        <v>0</v>
      </c>
      <c r="W761" s="23">
        <v>0</v>
      </c>
      <c r="Y761" s="26">
        <v>0</v>
      </c>
    </row>
    <row r="762" spans="1:25" x14ac:dyDescent="0.25">
      <c r="A762" s="7">
        <v>15</v>
      </c>
      <c r="B762" s="6" t="s">
        <v>13</v>
      </c>
      <c r="C762" s="32">
        <v>6.4</v>
      </c>
      <c r="D762" s="6" t="s">
        <v>17</v>
      </c>
      <c r="E762" s="29">
        <v>6.9</v>
      </c>
      <c r="F762" s="13">
        <v>2.9</v>
      </c>
      <c r="G762" s="31">
        <v>2.48</v>
      </c>
      <c r="H762" s="13">
        <v>0.9</v>
      </c>
      <c r="I762" s="6" t="s">
        <v>15</v>
      </c>
      <c r="J762" s="11">
        <v>8</v>
      </c>
      <c r="K762" s="11">
        <v>4</v>
      </c>
      <c r="L762" s="11">
        <v>8</v>
      </c>
      <c r="M762" s="15">
        <v>0</v>
      </c>
      <c r="R762" s="20">
        <v>0</v>
      </c>
      <c r="U762" s="17">
        <v>0</v>
      </c>
      <c r="W762" s="23">
        <v>0</v>
      </c>
      <c r="Y762" s="26">
        <v>0</v>
      </c>
    </row>
    <row r="763" spans="1:25" x14ac:dyDescent="0.25">
      <c r="A763" s="7">
        <v>13</v>
      </c>
      <c r="B763" s="6" t="s">
        <v>13</v>
      </c>
      <c r="C763" s="32">
        <v>6</v>
      </c>
      <c r="D763" s="6" t="s">
        <v>17</v>
      </c>
      <c r="E763" s="29">
        <v>4.8</v>
      </c>
      <c r="F763" s="13">
        <v>2.6</v>
      </c>
      <c r="G763" s="31">
        <v>2.74</v>
      </c>
      <c r="H763" s="13">
        <v>1.6</v>
      </c>
      <c r="I763" s="6" t="s">
        <v>18</v>
      </c>
      <c r="J763" s="11">
        <v>6</v>
      </c>
      <c r="K763" s="11">
        <v>10</v>
      </c>
      <c r="L763" s="11">
        <v>8</v>
      </c>
      <c r="M763" s="15">
        <v>0</v>
      </c>
      <c r="R763" s="20">
        <v>0</v>
      </c>
      <c r="U763" s="17">
        <v>0</v>
      </c>
      <c r="W763" s="23">
        <v>0</v>
      </c>
      <c r="Y763" s="26">
        <v>0</v>
      </c>
    </row>
    <row r="764" spans="1:25" x14ac:dyDescent="0.25">
      <c r="A764" s="7">
        <v>14</v>
      </c>
      <c r="B764" s="6" t="s">
        <v>16</v>
      </c>
      <c r="C764" s="32">
        <v>1.3</v>
      </c>
      <c r="D764" s="6" t="s">
        <v>17</v>
      </c>
      <c r="E764" s="29">
        <v>7.7</v>
      </c>
      <c r="F764" s="13">
        <v>1.9</v>
      </c>
      <c r="G764" s="31">
        <v>2.27</v>
      </c>
      <c r="H764" s="13">
        <v>1.5</v>
      </c>
      <c r="I764" s="6" t="s">
        <v>15</v>
      </c>
      <c r="J764" s="11">
        <v>7</v>
      </c>
      <c r="K764" s="11">
        <v>2</v>
      </c>
      <c r="L764" s="11">
        <v>2</v>
      </c>
      <c r="M764" s="15">
        <v>0</v>
      </c>
      <c r="R764" s="20">
        <v>0</v>
      </c>
      <c r="U764" s="17">
        <v>0</v>
      </c>
      <c r="W764" s="23">
        <v>0</v>
      </c>
      <c r="Y764" s="26">
        <v>0</v>
      </c>
    </row>
    <row r="765" spans="1:25" x14ac:dyDescent="0.25">
      <c r="A765" s="7">
        <v>18</v>
      </c>
      <c r="B765" s="6" t="s">
        <v>13</v>
      </c>
      <c r="C765" s="32">
        <v>3.7</v>
      </c>
      <c r="D765" s="6" t="s">
        <v>14</v>
      </c>
      <c r="E765" s="29">
        <v>7</v>
      </c>
      <c r="F765" s="13">
        <v>1.4</v>
      </c>
      <c r="G765" s="31">
        <v>2.0499999999999998</v>
      </c>
      <c r="H765" s="13">
        <v>0.4</v>
      </c>
      <c r="I765" s="6" t="s">
        <v>19</v>
      </c>
      <c r="J765" s="11">
        <v>10</v>
      </c>
      <c r="K765" s="11">
        <v>9</v>
      </c>
      <c r="L765" s="11">
        <v>5</v>
      </c>
      <c r="M765" s="15">
        <v>0</v>
      </c>
      <c r="R765" s="20">
        <v>0</v>
      </c>
      <c r="U765" s="17">
        <v>0</v>
      </c>
      <c r="W765" s="23">
        <v>0</v>
      </c>
      <c r="Y765" s="26">
        <v>0</v>
      </c>
    </row>
    <row r="766" spans="1:25" x14ac:dyDescent="0.25">
      <c r="A766" s="7">
        <v>18</v>
      </c>
      <c r="B766" s="6" t="s">
        <v>16</v>
      </c>
      <c r="C766" s="32">
        <v>8</v>
      </c>
      <c r="D766" s="6" t="s">
        <v>17</v>
      </c>
      <c r="E766" s="29">
        <v>4.3</v>
      </c>
      <c r="F766" s="13">
        <v>0.8</v>
      </c>
      <c r="G766" s="31">
        <v>3.44</v>
      </c>
      <c r="H766" s="13">
        <v>0.8</v>
      </c>
      <c r="I766" s="6" t="s">
        <v>19</v>
      </c>
      <c r="J766" s="11">
        <v>3</v>
      </c>
      <c r="K766" s="11">
        <v>4</v>
      </c>
      <c r="L766" s="11">
        <v>4</v>
      </c>
      <c r="M766" s="15">
        <v>0</v>
      </c>
      <c r="R766" s="20">
        <v>0</v>
      </c>
      <c r="U766" s="17">
        <v>0</v>
      </c>
      <c r="W766" s="23">
        <v>0</v>
      </c>
      <c r="Y766" s="26">
        <v>0</v>
      </c>
    </row>
    <row r="767" spans="1:25" x14ac:dyDescent="0.25">
      <c r="A767" s="7">
        <v>19</v>
      </c>
      <c r="B767" s="6" t="s">
        <v>16</v>
      </c>
      <c r="C767" s="32">
        <v>4.0999999999999996</v>
      </c>
      <c r="D767" s="6" t="s">
        <v>20</v>
      </c>
      <c r="E767" s="29">
        <v>7.5</v>
      </c>
      <c r="F767" s="13">
        <v>2.7</v>
      </c>
      <c r="G767" s="31">
        <v>2.66</v>
      </c>
      <c r="H767" s="13">
        <v>1.6</v>
      </c>
      <c r="I767" s="6" t="s">
        <v>18</v>
      </c>
      <c r="J767" s="11">
        <v>5</v>
      </c>
      <c r="K767" s="11">
        <v>10</v>
      </c>
      <c r="L767" s="11">
        <v>5</v>
      </c>
      <c r="M767" s="15">
        <v>0</v>
      </c>
      <c r="R767" s="20">
        <v>0</v>
      </c>
      <c r="U767" s="17">
        <v>0</v>
      </c>
      <c r="W767" s="23">
        <v>0</v>
      </c>
      <c r="Y767" s="26">
        <v>0</v>
      </c>
    </row>
    <row r="768" spans="1:25" x14ac:dyDescent="0.25">
      <c r="A768" s="7">
        <v>13</v>
      </c>
      <c r="B768" s="6" t="s">
        <v>13</v>
      </c>
      <c r="C768" s="32">
        <v>3.9</v>
      </c>
      <c r="D768" s="6" t="s">
        <v>20</v>
      </c>
      <c r="E768" s="29">
        <v>8.6999999999999993</v>
      </c>
      <c r="F768" s="13">
        <v>1.5</v>
      </c>
      <c r="G768" s="31">
        <v>2.71</v>
      </c>
      <c r="H768" s="13">
        <v>0.7</v>
      </c>
      <c r="I768" s="6" t="s">
        <v>15</v>
      </c>
      <c r="J768" s="11">
        <v>7</v>
      </c>
      <c r="K768" s="11">
        <v>1</v>
      </c>
      <c r="L768" s="11">
        <v>4</v>
      </c>
      <c r="M768" s="15">
        <v>0</v>
      </c>
      <c r="R768" s="20">
        <v>0</v>
      </c>
      <c r="U768" s="17">
        <v>0</v>
      </c>
      <c r="W768" s="23">
        <v>0</v>
      </c>
      <c r="Y768" s="26">
        <v>0</v>
      </c>
    </row>
    <row r="769" spans="1:25" x14ac:dyDescent="0.25">
      <c r="A769" s="7">
        <v>15</v>
      </c>
      <c r="B769" s="6" t="s">
        <v>16</v>
      </c>
      <c r="C769" s="32">
        <v>6.4</v>
      </c>
      <c r="D769" s="6" t="s">
        <v>14</v>
      </c>
      <c r="E769" s="29">
        <v>5.9</v>
      </c>
      <c r="F769" s="13">
        <v>1.6</v>
      </c>
      <c r="G769" s="31">
        <v>3.97</v>
      </c>
      <c r="H769" s="13">
        <v>1</v>
      </c>
      <c r="I769" s="6" t="s">
        <v>18</v>
      </c>
      <c r="J769" s="11">
        <v>10</v>
      </c>
      <c r="K769" s="11">
        <v>2</v>
      </c>
      <c r="L769" s="11">
        <v>6</v>
      </c>
      <c r="M769" s="15">
        <v>0</v>
      </c>
      <c r="R769" s="20">
        <v>0</v>
      </c>
      <c r="U769" s="17">
        <v>0</v>
      </c>
      <c r="W769" s="23">
        <v>0</v>
      </c>
      <c r="Y769" s="26">
        <v>0</v>
      </c>
    </row>
    <row r="770" spans="1:25" x14ac:dyDescent="0.25">
      <c r="A770" s="7">
        <v>19</v>
      </c>
      <c r="B770" s="6" t="s">
        <v>16</v>
      </c>
      <c r="C770" s="32">
        <v>1.3</v>
      </c>
      <c r="D770" s="6" t="s">
        <v>17</v>
      </c>
      <c r="E770" s="29">
        <v>6.5</v>
      </c>
      <c r="F770" s="13">
        <v>2.1</v>
      </c>
      <c r="G770" s="31">
        <v>3.68</v>
      </c>
      <c r="H770" s="13">
        <v>1.1000000000000001</v>
      </c>
      <c r="I770" s="6" t="s">
        <v>18</v>
      </c>
      <c r="J770" s="11">
        <v>7</v>
      </c>
      <c r="K770" s="11">
        <v>1</v>
      </c>
      <c r="L770" s="11">
        <v>9</v>
      </c>
      <c r="M770" s="15">
        <v>0</v>
      </c>
      <c r="R770" s="20">
        <v>0</v>
      </c>
      <c r="U770" s="17">
        <v>0</v>
      </c>
      <c r="W770" s="23">
        <v>0</v>
      </c>
      <c r="Y770" s="26">
        <v>0</v>
      </c>
    </row>
    <row r="771" spans="1:25" x14ac:dyDescent="0.25">
      <c r="A771" s="7">
        <v>18</v>
      </c>
      <c r="B771" s="6" t="s">
        <v>16</v>
      </c>
      <c r="C771" s="32">
        <v>5</v>
      </c>
      <c r="D771" s="6" t="s">
        <v>14</v>
      </c>
      <c r="E771" s="29">
        <v>6.6</v>
      </c>
      <c r="F771" s="13">
        <v>1.8</v>
      </c>
      <c r="G771" s="31">
        <v>3.87</v>
      </c>
      <c r="H771" s="13">
        <v>1.2</v>
      </c>
      <c r="I771" s="6" t="s">
        <v>18</v>
      </c>
      <c r="J771" s="11">
        <v>3</v>
      </c>
      <c r="K771" s="11">
        <v>4</v>
      </c>
      <c r="L771" s="11">
        <v>2</v>
      </c>
      <c r="M771" s="15">
        <v>0</v>
      </c>
      <c r="R771" s="20">
        <v>0</v>
      </c>
      <c r="U771" s="17">
        <v>0</v>
      </c>
      <c r="W771" s="23">
        <v>0</v>
      </c>
      <c r="Y771" s="26">
        <v>0</v>
      </c>
    </row>
    <row r="772" spans="1:25" x14ac:dyDescent="0.25">
      <c r="A772" s="7">
        <v>18</v>
      </c>
      <c r="B772" s="6" t="s">
        <v>13</v>
      </c>
      <c r="C772" s="32">
        <v>5.5</v>
      </c>
      <c r="D772" s="6" t="s">
        <v>20</v>
      </c>
      <c r="E772" s="29">
        <v>5.2</v>
      </c>
      <c r="F772" s="13">
        <v>1.4</v>
      </c>
      <c r="G772" s="31">
        <v>3.24</v>
      </c>
      <c r="H772" s="13">
        <v>0.9</v>
      </c>
      <c r="I772" s="6" t="s">
        <v>19</v>
      </c>
      <c r="J772" s="11">
        <v>10</v>
      </c>
      <c r="K772" s="11">
        <v>5</v>
      </c>
      <c r="L772" s="11">
        <v>7</v>
      </c>
      <c r="M772" s="15">
        <v>0</v>
      </c>
      <c r="R772" s="20">
        <v>0</v>
      </c>
      <c r="U772" s="17">
        <v>0</v>
      </c>
      <c r="W772" s="23">
        <v>0</v>
      </c>
      <c r="Y772" s="26">
        <v>0</v>
      </c>
    </row>
    <row r="773" spans="1:25" x14ac:dyDescent="0.25">
      <c r="A773" s="7">
        <v>13</v>
      </c>
      <c r="B773" s="6" t="s">
        <v>16</v>
      </c>
      <c r="C773" s="32">
        <v>7.6</v>
      </c>
      <c r="D773" s="6" t="s">
        <v>14</v>
      </c>
      <c r="E773" s="29">
        <v>7.9</v>
      </c>
      <c r="F773" s="13">
        <v>3</v>
      </c>
      <c r="G773" s="31">
        <v>2.54</v>
      </c>
      <c r="H773" s="13">
        <v>1.2</v>
      </c>
      <c r="I773" s="6" t="s">
        <v>18</v>
      </c>
      <c r="J773" s="11">
        <v>8</v>
      </c>
      <c r="K773" s="11">
        <v>8</v>
      </c>
      <c r="L773" s="11">
        <v>1</v>
      </c>
      <c r="M773" s="15">
        <v>0</v>
      </c>
      <c r="R773" s="20">
        <v>0</v>
      </c>
      <c r="U773" s="17">
        <v>0</v>
      </c>
      <c r="W773" s="23">
        <v>0</v>
      </c>
      <c r="Y773" s="26">
        <v>0</v>
      </c>
    </row>
    <row r="774" spans="1:25" x14ac:dyDescent="0.25">
      <c r="A774" s="7">
        <v>19</v>
      </c>
      <c r="B774" s="6" t="s">
        <v>16</v>
      </c>
      <c r="C774" s="32">
        <v>6.3</v>
      </c>
      <c r="D774" s="6" t="s">
        <v>20</v>
      </c>
      <c r="E774" s="29">
        <v>5.7</v>
      </c>
      <c r="F774" s="13">
        <v>2.2999999999999998</v>
      </c>
      <c r="G774" s="31">
        <v>2.16</v>
      </c>
      <c r="H774" s="13">
        <v>1.9</v>
      </c>
      <c r="I774" s="6" t="s">
        <v>18</v>
      </c>
      <c r="J774" s="11">
        <v>6</v>
      </c>
      <c r="K774" s="11">
        <v>3</v>
      </c>
      <c r="L774" s="11">
        <v>6</v>
      </c>
      <c r="M774" s="15">
        <v>0</v>
      </c>
      <c r="R774" s="20">
        <v>0</v>
      </c>
      <c r="U774" s="17">
        <v>0</v>
      </c>
      <c r="W774" s="23">
        <v>0</v>
      </c>
      <c r="Y774" s="26">
        <v>0</v>
      </c>
    </row>
    <row r="775" spans="1:25" x14ac:dyDescent="0.25">
      <c r="A775" s="7">
        <v>18</v>
      </c>
      <c r="B775" s="6" t="s">
        <v>16</v>
      </c>
      <c r="C775" s="32">
        <v>2</v>
      </c>
      <c r="D775" s="6" t="s">
        <v>14</v>
      </c>
      <c r="E775" s="29">
        <v>5.9</v>
      </c>
      <c r="F775" s="13">
        <v>2.9</v>
      </c>
      <c r="G775" s="31">
        <v>3.52</v>
      </c>
      <c r="H775" s="13">
        <v>1.1000000000000001</v>
      </c>
      <c r="I775" s="6" t="s">
        <v>18</v>
      </c>
      <c r="J775" s="11">
        <v>8</v>
      </c>
      <c r="K775" s="11">
        <v>6</v>
      </c>
      <c r="L775" s="11">
        <v>10</v>
      </c>
      <c r="M775" s="15">
        <v>0</v>
      </c>
      <c r="R775" s="20">
        <v>0</v>
      </c>
      <c r="U775" s="17">
        <v>0</v>
      </c>
      <c r="W775" s="23">
        <v>0</v>
      </c>
      <c r="Y775" s="26">
        <v>0</v>
      </c>
    </row>
    <row r="776" spans="1:25" x14ac:dyDescent="0.25">
      <c r="A776" s="7">
        <v>15</v>
      </c>
      <c r="B776" s="6" t="s">
        <v>13</v>
      </c>
      <c r="C776" s="32">
        <v>4</v>
      </c>
      <c r="D776" s="6" t="s">
        <v>17</v>
      </c>
      <c r="E776" s="29">
        <v>4.5</v>
      </c>
      <c r="F776" s="13">
        <v>1.9</v>
      </c>
      <c r="G776" s="31">
        <v>3.22</v>
      </c>
      <c r="H776" s="13">
        <v>0.2</v>
      </c>
      <c r="I776" s="6" t="s">
        <v>19</v>
      </c>
      <c r="J776" s="11">
        <v>4</v>
      </c>
      <c r="K776" s="11">
        <v>5</v>
      </c>
      <c r="L776" s="11">
        <v>3</v>
      </c>
      <c r="M776" s="15">
        <v>0</v>
      </c>
      <c r="R776" s="20">
        <v>0</v>
      </c>
      <c r="U776" s="17">
        <v>0</v>
      </c>
      <c r="W776" s="23">
        <v>0</v>
      </c>
      <c r="Y776" s="26">
        <v>0</v>
      </c>
    </row>
    <row r="777" spans="1:25" x14ac:dyDescent="0.25">
      <c r="A777" s="7">
        <v>14</v>
      </c>
      <c r="B777" s="6" t="s">
        <v>13</v>
      </c>
      <c r="C777" s="32">
        <v>4.9000000000000004</v>
      </c>
      <c r="D777" s="6" t="s">
        <v>14</v>
      </c>
      <c r="E777" s="29">
        <v>5.5</v>
      </c>
      <c r="F777" s="13">
        <v>1.6</v>
      </c>
      <c r="G777" s="31">
        <v>2.85</v>
      </c>
      <c r="H777" s="13">
        <v>0.4</v>
      </c>
      <c r="I777" s="6" t="s">
        <v>15</v>
      </c>
      <c r="J777" s="11">
        <v>8</v>
      </c>
      <c r="K777" s="11">
        <v>1</v>
      </c>
      <c r="L777" s="11">
        <v>8</v>
      </c>
      <c r="M777" s="15">
        <v>0</v>
      </c>
      <c r="R777" s="20">
        <v>0</v>
      </c>
      <c r="U777" s="17">
        <v>0</v>
      </c>
      <c r="W777" s="23">
        <v>0</v>
      </c>
      <c r="Y777" s="26">
        <v>0</v>
      </c>
    </row>
    <row r="778" spans="1:25" x14ac:dyDescent="0.25">
      <c r="A778" s="7">
        <v>14</v>
      </c>
      <c r="B778" s="6" t="s">
        <v>16</v>
      </c>
      <c r="C778" s="32">
        <v>6.9</v>
      </c>
      <c r="D778" s="6" t="s">
        <v>17</v>
      </c>
      <c r="E778" s="29">
        <v>8</v>
      </c>
      <c r="F778" s="13">
        <v>1.6</v>
      </c>
      <c r="G778" s="31">
        <v>2.64</v>
      </c>
      <c r="H778" s="13">
        <v>0.1</v>
      </c>
      <c r="I778" s="6" t="s">
        <v>19</v>
      </c>
      <c r="J778" s="11">
        <v>3</v>
      </c>
      <c r="K778" s="11">
        <v>3</v>
      </c>
      <c r="L778" s="11">
        <v>3</v>
      </c>
      <c r="M778" s="15">
        <v>0</v>
      </c>
      <c r="R778" s="20">
        <v>0</v>
      </c>
      <c r="U778" s="17">
        <v>0</v>
      </c>
      <c r="W778" s="23">
        <v>0</v>
      </c>
      <c r="Y778" s="26">
        <v>0</v>
      </c>
    </row>
    <row r="779" spans="1:25" x14ac:dyDescent="0.25">
      <c r="A779" s="7">
        <v>15</v>
      </c>
      <c r="B779" s="6" t="s">
        <v>13</v>
      </c>
      <c r="C779" s="32">
        <v>5.4</v>
      </c>
      <c r="D779" s="6" t="s">
        <v>17</v>
      </c>
      <c r="E779" s="29">
        <v>4.2</v>
      </c>
      <c r="F779" s="13">
        <v>1.8</v>
      </c>
      <c r="G779" s="31">
        <v>2.15</v>
      </c>
      <c r="H779" s="13">
        <v>0.3</v>
      </c>
      <c r="I779" s="6" t="s">
        <v>19</v>
      </c>
      <c r="J779" s="11">
        <v>1</v>
      </c>
      <c r="K779" s="11">
        <v>10</v>
      </c>
      <c r="L779" s="11">
        <v>5</v>
      </c>
      <c r="M779" s="15">
        <v>0</v>
      </c>
      <c r="R779" s="20">
        <v>0</v>
      </c>
      <c r="U779" s="17">
        <v>0</v>
      </c>
      <c r="W779" s="23">
        <v>0</v>
      </c>
      <c r="Y779" s="26">
        <v>0</v>
      </c>
    </row>
    <row r="780" spans="1:25" x14ac:dyDescent="0.25">
      <c r="A780" s="7">
        <v>13</v>
      </c>
      <c r="B780" s="6" t="s">
        <v>16</v>
      </c>
      <c r="C780" s="32">
        <v>3.8</v>
      </c>
      <c r="D780" s="6" t="s">
        <v>20</v>
      </c>
      <c r="E780" s="29">
        <v>8.9</v>
      </c>
      <c r="F780" s="13">
        <v>2.5</v>
      </c>
      <c r="G780" s="31">
        <v>2.29</v>
      </c>
      <c r="H780" s="13">
        <v>0.6</v>
      </c>
      <c r="I780" s="6" t="s">
        <v>18</v>
      </c>
      <c r="J780" s="11">
        <v>9</v>
      </c>
      <c r="K780" s="11">
        <v>9</v>
      </c>
      <c r="L780" s="11">
        <v>7</v>
      </c>
      <c r="M780" s="15">
        <v>0</v>
      </c>
      <c r="R780" s="20">
        <v>0</v>
      </c>
      <c r="U780" s="17">
        <v>0</v>
      </c>
      <c r="W780" s="23">
        <v>0</v>
      </c>
      <c r="Y780" s="26">
        <v>0</v>
      </c>
    </row>
    <row r="781" spans="1:25" x14ac:dyDescent="0.25">
      <c r="A781" s="7">
        <v>15</v>
      </c>
      <c r="B781" s="6" t="s">
        <v>13</v>
      </c>
      <c r="C781" s="32">
        <v>7.8</v>
      </c>
      <c r="D781" s="6" t="s">
        <v>20</v>
      </c>
      <c r="E781" s="29">
        <v>6.8</v>
      </c>
      <c r="F781" s="13">
        <v>0.6</v>
      </c>
      <c r="G781" s="31">
        <v>3.2</v>
      </c>
      <c r="H781" s="13">
        <v>1.7</v>
      </c>
      <c r="I781" s="6" t="s">
        <v>19</v>
      </c>
      <c r="J781" s="11">
        <v>1</v>
      </c>
      <c r="K781" s="11">
        <v>7</v>
      </c>
      <c r="L781" s="11">
        <v>5</v>
      </c>
      <c r="M781" s="15">
        <v>0</v>
      </c>
      <c r="R781" s="20">
        <v>0</v>
      </c>
      <c r="U781" s="17">
        <v>0</v>
      </c>
      <c r="W781" s="23">
        <v>0</v>
      </c>
      <c r="Y781" s="26">
        <v>0</v>
      </c>
    </row>
    <row r="782" spans="1:25" x14ac:dyDescent="0.25">
      <c r="A782" s="7">
        <v>15</v>
      </c>
      <c r="B782" s="6" t="s">
        <v>13</v>
      </c>
      <c r="C782" s="32">
        <v>3.5</v>
      </c>
      <c r="D782" s="6" t="s">
        <v>20</v>
      </c>
      <c r="E782" s="29">
        <v>8.8000000000000007</v>
      </c>
      <c r="F782" s="13">
        <v>1.8</v>
      </c>
      <c r="G782" s="31">
        <v>3.5</v>
      </c>
      <c r="H782" s="13">
        <v>0.8</v>
      </c>
      <c r="I782" s="6" t="s">
        <v>15</v>
      </c>
      <c r="J782" s="11">
        <v>3</v>
      </c>
      <c r="K782" s="11">
        <v>6</v>
      </c>
      <c r="L782" s="11">
        <v>3</v>
      </c>
      <c r="M782" s="15">
        <v>0</v>
      </c>
      <c r="R782" s="20">
        <v>0</v>
      </c>
      <c r="U782" s="17">
        <v>0</v>
      </c>
      <c r="W782" s="23">
        <v>0</v>
      </c>
      <c r="Y782" s="26">
        <v>0</v>
      </c>
    </row>
    <row r="783" spans="1:25" x14ac:dyDescent="0.25">
      <c r="A783" s="7">
        <v>19</v>
      </c>
      <c r="B783" s="6" t="s">
        <v>16</v>
      </c>
      <c r="C783" s="32">
        <v>5.4</v>
      </c>
      <c r="D783" s="6" t="s">
        <v>14</v>
      </c>
      <c r="E783" s="29">
        <v>7.3</v>
      </c>
      <c r="F783" s="13">
        <v>2</v>
      </c>
      <c r="G783" s="31">
        <v>3.98</v>
      </c>
      <c r="H783" s="13">
        <v>0.9</v>
      </c>
      <c r="I783" s="6" t="s">
        <v>19</v>
      </c>
      <c r="J783" s="11">
        <v>6</v>
      </c>
      <c r="K783" s="11">
        <v>6</v>
      </c>
      <c r="L783" s="11">
        <v>1</v>
      </c>
      <c r="M783" s="15">
        <v>0</v>
      </c>
      <c r="R783" s="20">
        <v>0</v>
      </c>
      <c r="U783" s="17">
        <v>0</v>
      </c>
      <c r="W783" s="23">
        <v>0</v>
      </c>
      <c r="Y783" s="26">
        <v>0</v>
      </c>
    </row>
    <row r="784" spans="1:25" x14ac:dyDescent="0.25">
      <c r="A784" s="7">
        <v>17</v>
      </c>
      <c r="B784" s="6" t="s">
        <v>13</v>
      </c>
      <c r="C784" s="32">
        <v>3.8</v>
      </c>
      <c r="D784" s="6" t="s">
        <v>20</v>
      </c>
      <c r="E784" s="29">
        <v>5.7</v>
      </c>
      <c r="F784" s="13">
        <v>2</v>
      </c>
      <c r="G784" s="31">
        <v>3.01</v>
      </c>
      <c r="H784" s="13">
        <v>1</v>
      </c>
      <c r="I784" s="6" t="s">
        <v>15</v>
      </c>
      <c r="J784" s="11">
        <v>1</v>
      </c>
      <c r="K784" s="11">
        <v>3</v>
      </c>
      <c r="L784" s="11">
        <v>1</v>
      </c>
      <c r="M784" s="15">
        <v>0</v>
      </c>
      <c r="R784" s="20">
        <v>0</v>
      </c>
      <c r="U784" s="17">
        <v>0</v>
      </c>
      <c r="W784" s="23">
        <v>0</v>
      </c>
      <c r="Y784" s="26">
        <v>0</v>
      </c>
    </row>
    <row r="785" spans="1:25" x14ac:dyDescent="0.25">
      <c r="A785" s="7">
        <v>17</v>
      </c>
      <c r="B785" s="6" t="s">
        <v>13</v>
      </c>
      <c r="C785" s="32">
        <v>8</v>
      </c>
      <c r="D785" s="6" t="s">
        <v>14</v>
      </c>
      <c r="E785" s="29">
        <v>6.9</v>
      </c>
      <c r="F785" s="13">
        <v>2.2000000000000002</v>
      </c>
      <c r="G785" s="31">
        <v>2.36</v>
      </c>
      <c r="H785" s="13">
        <v>1.6</v>
      </c>
      <c r="I785" s="6" t="s">
        <v>15</v>
      </c>
      <c r="J785" s="11">
        <v>4</v>
      </c>
      <c r="K785" s="11">
        <v>2</v>
      </c>
      <c r="L785" s="11">
        <v>8</v>
      </c>
      <c r="M785" s="15">
        <v>0</v>
      </c>
      <c r="R785" s="20">
        <v>0</v>
      </c>
      <c r="U785" s="17">
        <v>0</v>
      </c>
      <c r="W785" s="23">
        <v>0</v>
      </c>
      <c r="Y785" s="26">
        <v>0</v>
      </c>
    </row>
    <row r="786" spans="1:25" x14ac:dyDescent="0.25">
      <c r="A786" s="7">
        <v>14</v>
      </c>
      <c r="B786" s="6" t="s">
        <v>16</v>
      </c>
      <c r="C786" s="32">
        <v>3.7</v>
      </c>
      <c r="D786" s="6" t="s">
        <v>17</v>
      </c>
      <c r="E786" s="29">
        <v>5.7</v>
      </c>
      <c r="F786" s="13">
        <v>1.7</v>
      </c>
      <c r="G786" s="31">
        <v>2.88</v>
      </c>
      <c r="H786" s="13">
        <v>0.2</v>
      </c>
      <c r="I786" s="6" t="s">
        <v>15</v>
      </c>
      <c r="J786" s="11">
        <v>9</v>
      </c>
      <c r="K786" s="11">
        <v>10</v>
      </c>
      <c r="L786" s="11">
        <v>3</v>
      </c>
      <c r="M786" s="15">
        <v>0</v>
      </c>
      <c r="R786" s="20">
        <v>0</v>
      </c>
      <c r="U786" s="17">
        <v>0</v>
      </c>
      <c r="W786" s="23">
        <v>0</v>
      </c>
      <c r="Y786" s="26">
        <v>0</v>
      </c>
    </row>
    <row r="787" spans="1:25" x14ac:dyDescent="0.25">
      <c r="A787" s="7">
        <v>19</v>
      </c>
      <c r="B787" s="6" t="s">
        <v>16</v>
      </c>
      <c r="C787" s="32">
        <v>5</v>
      </c>
      <c r="D787" s="6" t="s">
        <v>14</v>
      </c>
      <c r="E787" s="29">
        <v>6.3</v>
      </c>
      <c r="F787" s="13">
        <v>2.9</v>
      </c>
      <c r="G787" s="31">
        <v>2.04</v>
      </c>
      <c r="H787" s="13">
        <v>0.5</v>
      </c>
      <c r="I787" s="6" t="s">
        <v>19</v>
      </c>
      <c r="J787" s="11">
        <v>5</v>
      </c>
      <c r="K787" s="11">
        <v>2</v>
      </c>
      <c r="L787" s="11">
        <v>2</v>
      </c>
      <c r="M787" s="15">
        <v>0</v>
      </c>
      <c r="R787" s="20">
        <v>0</v>
      </c>
      <c r="U787" s="17">
        <v>0</v>
      </c>
      <c r="W787" s="23">
        <v>0</v>
      </c>
      <c r="Y787" s="26">
        <v>0</v>
      </c>
    </row>
    <row r="788" spans="1:25" x14ac:dyDescent="0.25">
      <c r="A788" s="7">
        <v>19</v>
      </c>
      <c r="B788" s="6" t="s">
        <v>16</v>
      </c>
      <c r="C788" s="32">
        <v>4.2</v>
      </c>
      <c r="D788" s="6" t="s">
        <v>14</v>
      </c>
      <c r="E788" s="29">
        <v>7.1</v>
      </c>
      <c r="F788" s="13">
        <v>2.5</v>
      </c>
      <c r="G788" s="31">
        <v>3.91</v>
      </c>
      <c r="H788" s="13">
        <v>1.5</v>
      </c>
      <c r="I788" s="6" t="s">
        <v>18</v>
      </c>
      <c r="J788" s="11">
        <v>6</v>
      </c>
      <c r="K788" s="11">
        <v>8</v>
      </c>
      <c r="L788" s="11">
        <v>9</v>
      </c>
      <c r="M788" s="15">
        <v>0</v>
      </c>
      <c r="R788" s="20">
        <v>0</v>
      </c>
      <c r="U788" s="17">
        <v>0</v>
      </c>
      <c r="W788" s="23">
        <v>0</v>
      </c>
      <c r="Y788" s="26">
        <v>0</v>
      </c>
    </row>
    <row r="789" spans="1:25" x14ac:dyDescent="0.25">
      <c r="A789" s="7">
        <v>16</v>
      </c>
      <c r="B789" s="6" t="s">
        <v>13</v>
      </c>
      <c r="C789" s="32">
        <v>4.5999999999999996</v>
      </c>
      <c r="D789" s="6" t="s">
        <v>14</v>
      </c>
      <c r="E789" s="29">
        <v>8.1999999999999993</v>
      </c>
      <c r="F789" s="13">
        <v>1.5</v>
      </c>
      <c r="G789" s="31">
        <v>2.13</v>
      </c>
      <c r="H789" s="13">
        <v>1</v>
      </c>
      <c r="I789" s="6" t="s">
        <v>15</v>
      </c>
      <c r="J789" s="11">
        <v>3</v>
      </c>
      <c r="K789" s="11">
        <v>2</v>
      </c>
      <c r="L789" s="11">
        <v>2</v>
      </c>
      <c r="M789" s="15">
        <v>0</v>
      </c>
      <c r="R789" s="20">
        <v>0</v>
      </c>
      <c r="U789" s="17">
        <v>0</v>
      </c>
      <c r="W789" s="23">
        <v>0</v>
      </c>
      <c r="Y789" s="26">
        <v>0</v>
      </c>
    </row>
    <row r="790" spans="1:25" x14ac:dyDescent="0.25">
      <c r="A790" s="7">
        <v>18</v>
      </c>
      <c r="B790" s="6" t="s">
        <v>13</v>
      </c>
      <c r="C790" s="32">
        <v>5.5</v>
      </c>
      <c r="D790" s="6" t="s">
        <v>14</v>
      </c>
      <c r="E790" s="29">
        <v>5</v>
      </c>
      <c r="F790" s="13">
        <v>0.9</v>
      </c>
      <c r="G790" s="31">
        <v>2.93</v>
      </c>
      <c r="H790" s="13">
        <v>1.1000000000000001</v>
      </c>
      <c r="I790" s="6" t="s">
        <v>15</v>
      </c>
      <c r="J790" s="11">
        <v>4</v>
      </c>
      <c r="K790" s="11">
        <v>10</v>
      </c>
      <c r="L790" s="11">
        <v>10</v>
      </c>
      <c r="M790" s="15">
        <v>0</v>
      </c>
      <c r="R790" s="20">
        <v>0</v>
      </c>
      <c r="U790" s="17">
        <v>0</v>
      </c>
      <c r="W790" s="23">
        <v>0</v>
      </c>
      <c r="Y790" s="26">
        <v>0</v>
      </c>
    </row>
    <row r="791" spans="1:25" x14ac:dyDescent="0.25">
      <c r="A791" s="7">
        <v>19</v>
      </c>
      <c r="B791" s="6" t="s">
        <v>16</v>
      </c>
      <c r="C791" s="32">
        <v>1.8</v>
      </c>
      <c r="D791" s="6" t="s">
        <v>14</v>
      </c>
      <c r="E791" s="29">
        <v>4.5</v>
      </c>
      <c r="F791" s="13">
        <v>2.8</v>
      </c>
      <c r="G791" s="31">
        <v>3.22</v>
      </c>
      <c r="H791" s="13">
        <v>1.6</v>
      </c>
      <c r="I791" s="6" t="s">
        <v>19</v>
      </c>
      <c r="J791" s="11">
        <v>5</v>
      </c>
      <c r="K791" s="11">
        <v>3</v>
      </c>
      <c r="L791" s="11">
        <v>10</v>
      </c>
      <c r="M791" s="15">
        <v>0</v>
      </c>
      <c r="R791" s="20">
        <v>0</v>
      </c>
      <c r="U791" s="17">
        <v>0</v>
      </c>
      <c r="W791" s="23">
        <v>0</v>
      </c>
      <c r="Y791" s="26">
        <v>0</v>
      </c>
    </row>
    <row r="792" spans="1:25" x14ac:dyDescent="0.25">
      <c r="A792" s="7">
        <v>14</v>
      </c>
      <c r="B792" s="6" t="s">
        <v>16</v>
      </c>
      <c r="C792" s="32">
        <v>6.6</v>
      </c>
      <c r="D792" s="6" t="s">
        <v>17</v>
      </c>
      <c r="E792" s="29">
        <v>6.2</v>
      </c>
      <c r="F792" s="13">
        <v>1.8</v>
      </c>
      <c r="G792" s="31">
        <v>2.36</v>
      </c>
      <c r="H792" s="13">
        <v>1.7</v>
      </c>
      <c r="I792" s="6" t="s">
        <v>18</v>
      </c>
      <c r="J792" s="11">
        <v>4</v>
      </c>
      <c r="K792" s="11">
        <v>1</v>
      </c>
      <c r="L792" s="11">
        <v>8</v>
      </c>
      <c r="M792" s="15">
        <v>0</v>
      </c>
      <c r="R792" s="20">
        <v>0</v>
      </c>
      <c r="U792" s="17">
        <v>0</v>
      </c>
      <c r="W792" s="23">
        <v>0</v>
      </c>
      <c r="Y792" s="26">
        <v>0</v>
      </c>
    </row>
    <row r="793" spans="1:25" x14ac:dyDescent="0.25">
      <c r="A793" s="7">
        <v>15</v>
      </c>
      <c r="B793" s="6" t="s">
        <v>16</v>
      </c>
      <c r="C793" s="32">
        <v>4.4000000000000004</v>
      </c>
      <c r="D793" s="6" t="s">
        <v>17</v>
      </c>
      <c r="E793" s="29">
        <v>5.3</v>
      </c>
      <c r="F793" s="13">
        <v>0.9</v>
      </c>
      <c r="G793" s="31">
        <v>3.75</v>
      </c>
      <c r="H793" s="13">
        <v>0.5</v>
      </c>
      <c r="I793" s="6" t="s">
        <v>18</v>
      </c>
      <c r="J793" s="11">
        <v>10</v>
      </c>
      <c r="K793" s="11">
        <v>5</v>
      </c>
      <c r="L793" s="11">
        <v>5</v>
      </c>
      <c r="M793" s="15">
        <v>0</v>
      </c>
      <c r="R793" s="20">
        <v>0</v>
      </c>
      <c r="U793" s="17">
        <v>0</v>
      </c>
      <c r="W793" s="23">
        <v>0</v>
      </c>
      <c r="Y793" s="26">
        <v>0</v>
      </c>
    </row>
    <row r="794" spans="1:25" x14ac:dyDescent="0.25">
      <c r="A794" s="7">
        <v>14</v>
      </c>
      <c r="B794" s="6" t="s">
        <v>16</v>
      </c>
      <c r="C794" s="32">
        <v>4.7</v>
      </c>
      <c r="D794" s="6" t="s">
        <v>17</v>
      </c>
      <c r="E794" s="29">
        <v>4.4000000000000004</v>
      </c>
      <c r="F794" s="13">
        <v>2.1</v>
      </c>
      <c r="G794" s="31">
        <v>3.92</v>
      </c>
      <c r="H794" s="13">
        <v>0.9</v>
      </c>
      <c r="I794" s="6" t="s">
        <v>15</v>
      </c>
      <c r="J794" s="11">
        <v>10</v>
      </c>
      <c r="K794" s="11">
        <v>1</v>
      </c>
      <c r="L794" s="11">
        <v>4</v>
      </c>
      <c r="M794" s="15">
        <v>0</v>
      </c>
      <c r="R794" s="20">
        <v>0</v>
      </c>
      <c r="U794" s="17">
        <v>0</v>
      </c>
      <c r="W794" s="23">
        <v>0</v>
      </c>
      <c r="Y794" s="26">
        <v>0</v>
      </c>
    </row>
    <row r="795" spans="1:25" x14ac:dyDescent="0.25">
      <c r="A795" s="7">
        <v>18</v>
      </c>
      <c r="B795" s="6" t="s">
        <v>16</v>
      </c>
      <c r="C795" s="32">
        <v>7.1</v>
      </c>
      <c r="D795" s="6" t="s">
        <v>14</v>
      </c>
      <c r="E795" s="29">
        <v>5.7</v>
      </c>
      <c r="F795" s="13">
        <v>0.6</v>
      </c>
      <c r="G795" s="31">
        <v>2.9</v>
      </c>
      <c r="H795" s="13">
        <v>1.7</v>
      </c>
      <c r="I795" s="6" t="s">
        <v>19</v>
      </c>
      <c r="J795" s="11">
        <v>3</v>
      </c>
      <c r="K795" s="11">
        <v>1</v>
      </c>
      <c r="L795" s="11">
        <v>6</v>
      </c>
      <c r="M795" s="15">
        <v>0</v>
      </c>
      <c r="R795" s="20">
        <v>0</v>
      </c>
      <c r="U795" s="17">
        <v>0</v>
      </c>
      <c r="W795" s="23">
        <v>0</v>
      </c>
      <c r="Y795" s="26">
        <v>0</v>
      </c>
    </row>
    <row r="796" spans="1:25" x14ac:dyDescent="0.25">
      <c r="A796" s="7">
        <v>17</v>
      </c>
      <c r="B796" s="6" t="s">
        <v>13</v>
      </c>
      <c r="C796" s="32">
        <v>4</v>
      </c>
      <c r="D796" s="6" t="s">
        <v>20</v>
      </c>
      <c r="E796" s="29">
        <v>8.5</v>
      </c>
      <c r="F796" s="13">
        <v>1</v>
      </c>
      <c r="G796" s="31">
        <v>2.16</v>
      </c>
      <c r="H796" s="13">
        <v>0.1</v>
      </c>
      <c r="I796" s="6" t="s">
        <v>15</v>
      </c>
      <c r="J796" s="11">
        <v>1</v>
      </c>
      <c r="K796" s="11">
        <v>7</v>
      </c>
      <c r="L796" s="11">
        <v>5</v>
      </c>
      <c r="M796" s="15">
        <v>0</v>
      </c>
      <c r="R796" s="20">
        <v>0</v>
      </c>
      <c r="U796" s="17">
        <v>0</v>
      </c>
      <c r="W796" s="23">
        <v>0</v>
      </c>
      <c r="Y796" s="26">
        <v>0</v>
      </c>
    </row>
    <row r="797" spans="1:25" x14ac:dyDescent="0.25">
      <c r="A797" s="7">
        <v>18</v>
      </c>
      <c r="B797" s="6" t="s">
        <v>16</v>
      </c>
      <c r="C797" s="32">
        <v>5.5</v>
      </c>
      <c r="D797" s="6" t="s">
        <v>14</v>
      </c>
      <c r="E797" s="29">
        <v>5.3</v>
      </c>
      <c r="F797" s="13">
        <v>2.6</v>
      </c>
      <c r="G797" s="31">
        <v>3.09</v>
      </c>
      <c r="H797" s="13">
        <v>2</v>
      </c>
      <c r="I797" s="6" t="s">
        <v>15</v>
      </c>
      <c r="J797" s="11">
        <v>8</v>
      </c>
      <c r="K797" s="11">
        <v>6</v>
      </c>
      <c r="L797" s="11">
        <v>3</v>
      </c>
      <c r="M797" s="15">
        <v>0</v>
      </c>
      <c r="R797" s="20">
        <v>0</v>
      </c>
      <c r="U797" s="17">
        <v>0</v>
      </c>
      <c r="W797" s="23">
        <v>0</v>
      </c>
      <c r="Y797" s="26">
        <v>0</v>
      </c>
    </row>
    <row r="798" spans="1:25" x14ac:dyDescent="0.25">
      <c r="A798" s="7">
        <v>19</v>
      </c>
      <c r="B798" s="6" t="s">
        <v>13</v>
      </c>
      <c r="C798" s="32">
        <v>5.6</v>
      </c>
      <c r="D798" s="6" t="s">
        <v>17</v>
      </c>
      <c r="E798" s="29">
        <v>6.5</v>
      </c>
      <c r="F798" s="13">
        <v>1.4</v>
      </c>
      <c r="G798" s="31">
        <v>3.19</v>
      </c>
      <c r="H798" s="13">
        <v>0</v>
      </c>
      <c r="I798" s="6" t="s">
        <v>18</v>
      </c>
      <c r="J798" s="11">
        <v>9</v>
      </c>
      <c r="K798" s="11">
        <v>9</v>
      </c>
      <c r="L798" s="11">
        <v>7</v>
      </c>
      <c r="M798" s="15">
        <v>0</v>
      </c>
      <c r="R798" s="20">
        <v>0</v>
      </c>
      <c r="U798" s="17">
        <v>0</v>
      </c>
      <c r="W798" s="23">
        <v>0</v>
      </c>
      <c r="Y798" s="26">
        <v>0</v>
      </c>
    </row>
    <row r="799" spans="1:25" x14ac:dyDescent="0.25">
      <c r="A799" s="7">
        <v>14</v>
      </c>
      <c r="B799" s="6" t="s">
        <v>16</v>
      </c>
      <c r="C799" s="32">
        <v>3.7</v>
      </c>
      <c r="D799" s="6" t="s">
        <v>20</v>
      </c>
      <c r="E799" s="29">
        <v>7.1</v>
      </c>
      <c r="F799" s="13">
        <v>1.7</v>
      </c>
      <c r="G799" s="31">
        <v>2.5</v>
      </c>
      <c r="H799" s="13">
        <v>1.8</v>
      </c>
      <c r="I799" s="6" t="s">
        <v>19</v>
      </c>
      <c r="J799" s="11">
        <v>10</v>
      </c>
      <c r="K799" s="11">
        <v>4</v>
      </c>
      <c r="L799" s="11">
        <v>5</v>
      </c>
      <c r="M799" s="15">
        <v>0</v>
      </c>
      <c r="R799" s="20">
        <v>0</v>
      </c>
      <c r="U799" s="17">
        <v>0</v>
      </c>
      <c r="W799" s="23">
        <v>0</v>
      </c>
      <c r="Y799" s="26">
        <v>0</v>
      </c>
    </row>
    <row r="800" spans="1:25" x14ac:dyDescent="0.25">
      <c r="A800" s="7">
        <v>16</v>
      </c>
      <c r="B800" s="6" t="s">
        <v>13</v>
      </c>
      <c r="C800" s="32">
        <v>1.8</v>
      </c>
      <c r="D800" s="6" t="s">
        <v>17</v>
      </c>
      <c r="E800" s="29">
        <v>7.4</v>
      </c>
      <c r="F800" s="13">
        <v>2.2999999999999998</v>
      </c>
      <c r="G800" s="31">
        <v>3.76</v>
      </c>
      <c r="H800" s="13">
        <v>0.8</v>
      </c>
      <c r="I800" s="6" t="s">
        <v>15</v>
      </c>
      <c r="J800" s="11">
        <v>9</v>
      </c>
      <c r="K800" s="11">
        <v>5</v>
      </c>
      <c r="L800" s="11">
        <v>8</v>
      </c>
      <c r="M800" s="15">
        <v>0</v>
      </c>
      <c r="R800" s="20">
        <v>0</v>
      </c>
      <c r="U800" s="17">
        <v>0</v>
      </c>
      <c r="W800" s="23">
        <v>0</v>
      </c>
      <c r="Y800" s="26">
        <v>0</v>
      </c>
    </row>
    <row r="801" spans="1:25" x14ac:dyDescent="0.25">
      <c r="A801" s="7">
        <v>16</v>
      </c>
      <c r="B801" s="6" t="s">
        <v>16</v>
      </c>
      <c r="C801" s="32">
        <v>7.6</v>
      </c>
      <c r="D801" s="6" t="s">
        <v>17</v>
      </c>
      <c r="E801" s="29">
        <v>4.2</v>
      </c>
      <c r="F801" s="13">
        <v>2.8</v>
      </c>
      <c r="G801" s="31">
        <v>3.87</v>
      </c>
      <c r="H801" s="13">
        <v>0.7</v>
      </c>
      <c r="I801" s="6" t="s">
        <v>18</v>
      </c>
      <c r="J801" s="11">
        <v>10</v>
      </c>
      <c r="K801" s="11">
        <v>2</v>
      </c>
      <c r="L801" s="11">
        <v>9</v>
      </c>
      <c r="M801" s="15">
        <v>0</v>
      </c>
      <c r="R801" s="20">
        <v>0</v>
      </c>
      <c r="U801" s="17">
        <v>0</v>
      </c>
      <c r="W801" s="23">
        <v>0</v>
      </c>
      <c r="Y801" s="26">
        <v>0</v>
      </c>
    </row>
    <row r="802" spans="1:25" x14ac:dyDescent="0.25">
      <c r="A802" s="7">
        <v>18</v>
      </c>
      <c r="B802" s="6" t="s">
        <v>13</v>
      </c>
      <c r="C802" s="32">
        <v>5.7</v>
      </c>
      <c r="D802" s="6" t="s">
        <v>17</v>
      </c>
      <c r="E802" s="29">
        <v>8</v>
      </c>
      <c r="F802" s="13">
        <v>2.5</v>
      </c>
      <c r="G802" s="31">
        <v>3.4</v>
      </c>
      <c r="H802" s="13">
        <v>0.1</v>
      </c>
      <c r="I802" s="6" t="s">
        <v>15</v>
      </c>
      <c r="J802" s="11">
        <v>5</v>
      </c>
      <c r="K802" s="11">
        <v>2</v>
      </c>
      <c r="L802" s="11">
        <v>1</v>
      </c>
      <c r="M802" s="15">
        <v>0</v>
      </c>
      <c r="R802" s="20">
        <v>0</v>
      </c>
      <c r="U802" s="17">
        <v>0</v>
      </c>
      <c r="W802" s="23">
        <v>0</v>
      </c>
      <c r="Y802" s="26">
        <v>0</v>
      </c>
    </row>
    <row r="803" spans="1:25" x14ac:dyDescent="0.25">
      <c r="A803" s="7">
        <v>14</v>
      </c>
      <c r="B803" s="6" t="s">
        <v>16</v>
      </c>
      <c r="C803" s="32">
        <v>6.1</v>
      </c>
      <c r="D803" s="6" t="s">
        <v>14</v>
      </c>
      <c r="E803" s="29">
        <v>7</v>
      </c>
      <c r="F803" s="13">
        <v>2.7</v>
      </c>
      <c r="G803" s="31">
        <v>3.97</v>
      </c>
      <c r="H803" s="13">
        <v>1</v>
      </c>
      <c r="I803" s="6" t="s">
        <v>19</v>
      </c>
      <c r="J803" s="11">
        <v>1</v>
      </c>
      <c r="K803" s="11">
        <v>8</v>
      </c>
      <c r="L803" s="11">
        <v>8</v>
      </c>
      <c r="M803" s="15">
        <v>0</v>
      </c>
      <c r="R803" s="20">
        <v>0</v>
      </c>
      <c r="U803" s="17">
        <v>0</v>
      </c>
      <c r="W803" s="23">
        <v>0</v>
      </c>
      <c r="Y803" s="26">
        <v>0</v>
      </c>
    </row>
    <row r="804" spans="1:25" x14ac:dyDescent="0.25">
      <c r="A804" s="7">
        <v>13</v>
      </c>
      <c r="B804" s="6" t="s">
        <v>16</v>
      </c>
      <c r="C804" s="32">
        <v>6</v>
      </c>
      <c r="D804" s="6" t="s">
        <v>14</v>
      </c>
      <c r="E804" s="29">
        <v>7.2</v>
      </c>
      <c r="F804" s="13">
        <v>0.6</v>
      </c>
      <c r="G804" s="31">
        <v>2.11</v>
      </c>
      <c r="H804" s="13">
        <v>1.1000000000000001</v>
      </c>
      <c r="I804" s="6" t="s">
        <v>15</v>
      </c>
      <c r="J804" s="11">
        <v>1</v>
      </c>
      <c r="K804" s="11">
        <v>3</v>
      </c>
      <c r="L804" s="11">
        <v>6</v>
      </c>
      <c r="M804" s="15">
        <v>0</v>
      </c>
      <c r="R804" s="20">
        <v>0</v>
      </c>
      <c r="U804" s="17">
        <v>0</v>
      </c>
      <c r="W804" s="23">
        <v>0</v>
      </c>
      <c r="Y804" s="26">
        <v>0</v>
      </c>
    </row>
    <row r="805" spans="1:25" x14ac:dyDescent="0.25">
      <c r="A805" s="7">
        <v>15</v>
      </c>
      <c r="B805" s="6" t="s">
        <v>16</v>
      </c>
      <c r="C805" s="32">
        <v>3.1</v>
      </c>
      <c r="D805" s="6" t="s">
        <v>17</v>
      </c>
      <c r="E805" s="29">
        <v>4.2</v>
      </c>
      <c r="F805" s="13">
        <v>2.4</v>
      </c>
      <c r="G805" s="31">
        <v>3.41</v>
      </c>
      <c r="H805" s="13">
        <v>0.2</v>
      </c>
      <c r="I805" s="6" t="s">
        <v>15</v>
      </c>
      <c r="J805" s="11">
        <v>3</v>
      </c>
      <c r="K805" s="11">
        <v>7</v>
      </c>
      <c r="L805" s="11">
        <v>5</v>
      </c>
      <c r="M805" s="15">
        <v>0</v>
      </c>
      <c r="R805" s="20">
        <v>0</v>
      </c>
      <c r="U805" s="17">
        <v>0</v>
      </c>
      <c r="W805" s="23">
        <v>0</v>
      </c>
      <c r="Y805" s="26">
        <v>0</v>
      </c>
    </row>
    <row r="806" spans="1:25" x14ac:dyDescent="0.25">
      <c r="A806" s="7">
        <v>17</v>
      </c>
      <c r="B806" s="6" t="s">
        <v>13</v>
      </c>
      <c r="C806" s="32">
        <v>7.6</v>
      </c>
      <c r="D806" s="6" t="s">
        <v>14</v>
      </c>
      <c r="E806" s="29">
        <v>6</v>
      </c>
      <c r="F806" s="13">
        <v>2</v>
      </c>
      <c r="G806" s="31">
        <v>3.82</v>
      </c>
      <c r="H806" s="13">
        <v>1.5</v>
      </c>
      <c r="I806" s="6" t="s">
        <v>15</v>
      </c>
      <c r="J806" s="11">
        <v>8</v>
      </c>
      <c r="K806" s="11">
        <v>9</v>
      </c>
      <c r="L806" s="11">
        <v>7</v>
      </c>
      <c r="M806" s="15">
        <v>0</v>
      </c>
      <c r="R806" s="20">
        <v>0</v>
      </c>
      <c r="U806" s="17">
        <v>0</v>
      </c>
      <c r="W806" s="23">
        <v>0</v>
      </c>
      <c r="Y806" s="26">
        <v>0</v>
      </c>
    </row>
    <row r="807" spans="1:25" x14ac:dyDescent="0.25">
      <c r="A807" s="7">
        <v>17</v>
      </c>
      <c r="B807" s="6" t="s">
        <v>13</v>
      </c>
      <c r="C807" s="32">
        <v>6</v>
      </c>
      <c r="D807" s="6" t="s">
        <v>20</v>
      </c>
      <c r="E807" s="29">
        <v>5.3</v>
      </c>
      <c r="F807" s="13">
        <v>2.7</v>
      </c>
      <c r="G807" s="31">
        <v>3.2</v>
      </c>
      <c r="H807" s="13">
        <v>1.4</v>
      </c>
      <c r="I807" s="6" t="s">
        <v>19</v>
      </c>
      <c r="J807" s="11">
        <v>8</v>
      </c>
      <c r="K807" s="11">
        <v>2</v>
      </c>
      <c r="L807" s="11">
        <v>4</v>
      </c>
      <c r="M807" s="15">
        <v>0</v>
      </c>
      <c r="R807" s="20">
        <v>0</v>
      </c>
      <c r="U807" s="17">
        <v>0</v>
      </c>
      <c r="W807" s="23">
        <v>0</v>
      </c>
      <c r="Y807" s="26">
        <v>0</v>
      </c>
    </row>
    <row r="808" spans="1:25" x14ac:dyDescent="0.25">
      <c r="A808" s="7">
        <v>13</v>
      </c>
      <c r="B808" s="6" t="s">
        <v>16</v>
      </c>
      <c r="C808" s="32">
        <v>3.5</v>
      </c>
      <c r="D808" s="6" t="s">
        <v>14</v>
      </c>
      <c r="E808" s="29">
        <v>5.3</v>
      </c>
      <c r="F808" s="13">
        <v>2.7</v>
      </c>
      <c r="G808" s="31">
        <v>3.7</v>
      </c>
      <c r="H808" s="13">
        <v>0.5</v>
      </c>
      <c r="I808" s="6" t="s">
        <v>15</v>
      </c>
      <c r="J808" s="11">
        <v>3</v>
      </c>
      <c r="K808" s="11">
        <v>7</v>
      </c>
      <c r="L808" s="11">
        <v>2</v>
      </c>
      <c r="M808" s="15">
        <v>0</v>
      </c>
      <c r="R808" s="20">
        <v>0</v>
      </c>
      <c r="U808" s="17">
        <v>0</v>
      </c>
      <c r="W808" s="23">
        <v>0</v>
      </c>
      <c r="Y808" s="26">
        <v>0</v>
      </c>
    </row>
    <row r="809" spans="1:25" x14ac:dyDescent="0.25">
      <c r="A809" s="7">
        <v>14</v>
      </c>
      <c r="B809" s="6" t="s">
        <v>16</v>
      </c>
      <c r="C809" s="32">
        <v>1.3</v>
      </c>
      <c r="D809" s="6" t="s">
        <v>17</v>
      </c>
      <c r="E809" s="29">
        <v>7.5</v>
      </c>
      <c r="F809" s="13">
        <v>1.4</v>
      </c>
      <c r="G809" s="31">
        <v>3.85</v>
      </c>
      <c r="H809" s="13">
        <v>1.6</v>
      </c>
      <c r="I809" s="6" t="s">
        <v>19</v>
      </c>
      <c r="J809" s="11">
        <v>10</v>
      </c>
      <c r="K809" s="11">
        <v>8</v>
      </c>
      <c r="L809" s="11">
        <v>7</v>
      </c>
      <c r="M809" s="15">
        <v>0</v>
      </c>
      <c r="R809" s="20">
        <v>0</v>
      </c>
      <c r="U809" s="17">
        <v>0</v>
      </c>
      <c r="W809" s="23">
        <v>0</v>
      </c>
      <c r="Y809" s="26">
        <v>0</v>
      </c>
    </row>
    <row r="810" spans="1:25" x14ac:dyDescent="0.25">
      <c r="A810" s="7">
        <v>18</v>
      </c>
      <c r="B810" s="6" t="s">
        <v>16</v>
      </c>
      <c r="C810" s="32">
        <v>2.8</v>
      </c>
      <c r="D810" s="6" t="s">
        <v>17</v>
      </c>
      <c r="E810" s="29">
        <v>7</v>
      </c>
      <c r="F810" s="13">
        <v>2.9</v>
      </c>
      <c r="G810" s="31">
        <v>3.91</v>
      </c>
      <c r="H810" s="13">
        <v>1.1000000000000001</v>
      </c>
      <c r="I810" s="6" t="s">
        <v>19</v>
      </c>
      <c r="J810" s="11">
        <v>9</v>
      </c>
      <c r="K810" s="11">
        <v>9</v>
      </c>
      <c r="L810" s="11">
        <v>1</v>
      </c>
      <c r="M810" s="15">
        <v>0</v>
      </c>
      <c r="R810" s="20">
        <v>0</v>
      </c>
      <c r="U810" s="17">
        <v>0</v>
      </c>
      <c r="W810" s="23">
        <v>0</v>
      </c>
      <c r="Y810" s="26">
        <v>0</v>
      </c>
    </row>
    <row r="811" spans="1:25" x14ac:dyDescent="0.25">
      <c r="A811" s="7">
        <v>14</v>
      </c>
      <c r="B811" s="6" t="s">
        <v>13</v>
      </c>
      <c r="C811" s="32">
        <v>3.9</v>
      </c>
      <c r="D811" s="6" t="s">
        <v>20</v>
      </c>
      <c r="E811" s="29">
        <v>4.8</v>
      </c>
      <c r="F811" s="13">
        <v>0.8</v>
      </c>
      <c r="G811" s="31">
        <v>3.32</v>
      </c>
      <c r="H811" s="13">
        <v>0.3</v>
      </c>
      <c r="I811" s="6" t="s">
        <v>18</v>
      </c>
      <c r="J811" s="11">
        <v>5</v>
      </c>
      <c r="K811" s="11">
        <v>2</v>
      </c>
      <c r="L811" s="11">
        <v>5</v>
      </c>
      <c r="M811" s="15">
        <v>0</v>
      </c>
      <c r="R811" s="20">
        <v>0</v>
      </c>
      <c r="U811" s="17">
        <v>0</v>
      </c>
      <c r="W811" s="23">
        <v>0</v>
      </c>
      <c r="Y811" s="26">
        <v>0</v>
      </c>
    </row>
    <row r="812" spans="1:25" x14ac:dyDescent="0.25">
      <c r="A812" s="7">
        <v>19</v>
      </c>
      <c r="B812" s="6" t="s">
        <v>13</v>
      </c>
      <c r="C812" s="32">
        <v>3.9</v>
      </c>
      <c r="D812" s="6" t="s">
        <v>20</v>
      </c>
      <c r="E812" s="29">
        <v>4.8</v>
      </c>
      <c r="F812" s="13">
        <v>2.8</v>
      </c>
      <c r="G812" s="31">
        <v>3.98</v>
      </c>
      <c r="H812" s="13">
        <v>1.9</v>
      </c>
      <c r="I812" s="6" t="s">
        <v>19</v>
      </c>
      <c r="J812" s="11">
        <v>7</v>
      </c>
      <c r="K812" s="11">
        <v>5</v>
      </c>
      <c r="L812" s="11">
        <v>3</v>
      </c>
      <c r="M812" s="15">
        <v>0</v>
      </c>
      <c r="R812" s="20">
        <v>0</v>
      </c>
      <c r="U812" s="17">
        <v>0</v>
      </c>
      <c r="W812" s="23">
        <v>0</v>
      </c>
      <c r="Y812" s="26">
        <v>0</v>
      </c>
    </row>
    <row r="813" spans="1:25" x14ac:dyDescent="0.25">
      <c r="A813" s="7">
        <v>14</v>
      </c>
      <c r="B813" s="6" t="s">
        <v>13</v>
      </c>
      <c r="C813" s="32">
        <v>7.4</v>
      </c>
      <c r="D813" s="6" t="s">
        <v>14</v>
      </c>
      <c r="E813" s="29">
        <v>8.9</v>
      </c>
      <c r="F813" s="13">
        <v>2.4</v>
      </c>
      <c r="G813" s="31">
        <v>2.29</v>
      </c>
      <c r="H813" s="13">
        <v>1.1000000000000001</v>
      </c>
      <c r="I813" s="6" t="s">
        <v>15</v>
      </c>
      <c r="J813" s="11">
        <v>10</v>
      </c>
      <c r="K813" s="11">
        <v>4</v>
      </c>
      <c r="L813" s="11">
        <v>8</v>
      </c>
      <c r="M813" s="15">
        <v>0</v>
      </c>
      <c r="R813" s="20">
        <v>0</v>
      </c>
      <c r="U813" s="17">
        <v>0</v>
      </c>
      <c r="W813" s="23">
        <v>0</v>
      </c>
      <c r="Y813" s="26">
        <v>0</v>
      </c>
    </row>
    <row r="814" spans="1:25" x14ac:dyDescent="0.25">
      <c r="A814" s="7">
        <v>19</v>
      </c>
      <c r="B814" s="6" t="s">
        <v>16</v>
      </c>
      <c r="C814" s="32">
        <v>5.4</v>
      </c>
      <c r="D814" s="6" t="s">
        <v>17</v>
      </c>
      <c r="E814" s="29">
        <v>7.4</v>
      </c>
      <c r="F814" s="13">
        <v>1.7</v>
      </c>
      <c r="G814" s="31">
        <v>2.88</v>
      </c>
      <c r="H814" s="13">
        <v>0.6</v>
      </c>
      <c r="I814" s="6" t="s">
        <v>15</v>
      </c>
      <c r="J814" s="11">
        <v>6</v>
      </c>
      <c r="K814" s="11">
        <v>10</v>
      </c>
      <c r="L814" s="11">
        <v>9</v>
      </c>
      <c r="M814" s="15">
        <v>0</v>
      </c>
      <c r="R814" s="20">
        <v>0</v>
      </c>
      <c r="U814" s="17">
        <v>0</v>
      </c>
      <c r="W814" s="23">
        <v>0</v>
      </c>
      <c r="Y814" s="26">
        <v>0</v>
      </c>
    </row>
    <row r="815" spans="1:25" x14ac:dyDescent="0.25">
      <c r="A815" s="7">
        <v>19</v>
      </c>
      <c r="B815" s="6" t="s">
        <v>16</v>
      </c>
      <c r="C815" s="32">
        <v>6.6</v>
      </c>
      <c r="D815" s="6" t="s">
        <v>20</v>
      </c>
      <c r="E815" s="29">
        <v>6.8</v>
      </c>
      <c r="F815" s="13">
        <v>0.8</v>
      </c>
      <c r="G815" s="31">
        <v>2.64</v>
      </c>
      <c r="H815" s="13">
        <v>1.5</v>
      </c>
      <c r="I815" s="6" t="s">
        <v>15</v>
      </c>
      <c r="J815" s="11">
        <v>5</v>
      </c>
      <c r="K815" s="11">
        <v>4</v>
      </c>
      <c r="L815" s="11">
        <v>6</v>
      </c>
      <c r="M815" s="15">
        <v>0</v>
      </c>
      <c r="R815" s="20">
        <v>0</v>
      </c>
      <c r="U815" s="17">
        <v>0</v>
      </c>
      <c r="W815" s="23">
        <v>0</v>
      </c>
      <c r="Y815" s="26">
        <v>0</v>
      </c>
    </row>
    <row r="816" spans="1:25" x14ac:dyDescent="0.25">
      <c r="A816" s="7">
        <v>17</v>
      </c>
      <c r="B816" s="6" t="s">
        <v>13</v>
      </c>
      <c r="C816" s="32">
        <v>5.9</v>
      </c>
      <c r="D816" s="6" t="s">
        <v>14</v>
      </c>
      <c r="E816" s="29">
        <v>7.4</v>
      </c>
      <c r="F816" s="13">
        <v>1.7</v>
      </c>
      <c r="G816" s="31">
        <v>2.5</v>
      </c>
      <c r="H816" s="13">
        <v>0.7</v>
      </c>
      <c r="I816" s="6" t="s">
        <v>18</v>
      </c>
      <c r="J816" s="11">
        <v>6</v>
      </c>
      <c r="K816" s="11">
        <v>7</v>
      </c>
      <c r="L816" s="11">
        <v>1</v>
      </c>
      <c r="M816" s="15">
        <v>0</v>
      </c>
      <c r="R816" s="20">
        <v>0</v>
      </c>
      <c r="U816" s="17">
        <v>0</v>
      </c>
      <c r="W816" s="23">
        <v>0</v>
      </c>
      <c r="Y816" s="26">
        <v>0</v>
      </c>
    </row>
    <row r="817" spans="1:25" x14ac:dyDescent="0.25">
      <c r="A817" s="7">
        <v>17</v>
      </c>
      <c r="B817" s="6" t="s">
        <v>13</v>
      </c>
      <c r="C817" s="32">
        <v>3.3</v>
      </c>
      <c r="D817" s="6" t="s">
        <v>20</v>
      </c>
      <c r="E817" s="29">
        <v>5.2</v>
      </c>
      <c r="F817" s="13">
        <v>1.8</v>
      </c>
      <c r="G817" s="31">
        <v>2.1</v>
      </c>
      <c r="H817" s="13">
        <v>1.2</v>
      </c>
      <c r="I817" s="6" t="s">
        <v>15</v>
      </c>
      <c r="J817" s="11">
        <v>2</v>
      </c>
      <c r="K817" s="11">
        <v>3</v>
      </c>
      <c r="L817" s="11">
        <v>9</v>
      </c>
      <c r="M817" s="15">
        <v>0</v>
      </c>
      <c r="R817" s="20">
        <v>0</v>
      </c>
      <c r="U817" s="17">
        <v>0</v>
      </c>
      <c r="W817" s="23">
        <v>0</v>
      </c>
      <c r="Y817" s="26">
        <v>0</v>
      </c>
    </row>
    <row r="818" spans="1:25" x14ac:dyDescent="0.25">
      <c r="A818" s="7">
        <v>15</v>
      </c>
      <c r="B818" s="6" t="s">
        <v>16</v>
      </c>
      <c r="C818" s="32">
        <v>2.8</v>
      </c>
      <c r="D818" s="6" t="s">
        <v>14</v>
      </c>
      <c r="E818" s="29">
        <v>7.7</v>
      </c>
      <c r="F818" s="13">
        <v>1</v>
      </c>
      <c r="G818" s="31">
        <v>3.73</v>
      </c>
      <c r="H818" s="13">
        <v>0.5</v>
      </c>
      <c r="I818" s="6" t="s">
        <v>19</v>
      </c>
      <c r="J818" s="11">
        <v>6</v>
      </c>
      <c r="K818" s="11">
        <v>10</v>
      </c>
      <c r="L818" s="11">
        <v>1</v>
      </c>
      <c r="M818" s="15">
        <v>0</v>
      </c>
      <c r="R818" s="20">
        <v>0</v>
      </c>
      <c r="U818" s="17">
        <v>0</v>
      </c>
      <c r="W818" s="23">
        <v>0</v>
      </c>
      <c r="Y818" s="26">
        <v>0</v>
      </c>
    </row>
    <row r="819" spans="1:25" x14ac:dyDescent="0.25">
      <c r="A819" s="7">
        <v>14</v>
      </c>
      <c r="B819" s="6" t="s">
        <v>16</v>
      </c>
      <c r="C819" s="32">
        <v>7.3</v>
      </c>
      <c r="D819" s="6" t="s">
        <v>17</v>
      </c>
      <c r="E819" s="29">
        <v>8.8000000000000007</v>
      </c>
      <c r="F819" s="13">
        <v>2.5</v>
      </c>
      <c r="G819" s="31">
        <v>2.12</v>
      </c>
      <c r="H819" s="13">
        <v>0.5</v>
      </c>
      <c r="I819" s="6" t="s">
        <v>18</v>
      </c>
      <c r="J819" s="11">
        <v>10</v>
      </c>
      <c r="K819" s="11">
        <v>10</v>
      </c>
      <c r="L819" s="11">
        <v>1</v>
      </c>
      <c r="M819" s="15">
        <v>0</v>
      </c>
      <c r="R819" s="20">
        <v>0</v>
      </c>
      <c r="U819" s="17">
        <v>0</v>
      </c>
      <c r="W819" s="23">
        <v>0</v>
      </c>
      <c r="Y819" s="26">
        <v>0</v>
      </c>
    </row>
    <row r="820" spans="1:25" x14ac:dyDescent="0.25">
      <c r="A820" s="7">
        <v>18</v>
      </c>
      <c r="B820" s="6" t="s">
        <v>13</v>
      </c>
      <c r="C820" s="32">
        <v>2.8</v>
      </c>
      <c r="D820" s="6" t="s">
        <v>14</v>
      </c>
      <c r="E820" s="29">
        <v>6.9</v>
      </c>
      <c r="F820" s="13">
        <v>2.2999999999999998</v>
      </c>
      <c r="G820" s="31">
        <v>3.11</v>
      </c>
      <c r="H820" s="13">
        <v>0.1</v>
      </c>
      <c r="I820" s="6" t="s">
        <v>19</v>
      </c>
      <c r="J820" s="11">
        <v>7</v>
      </c>
      <c r="K820" s="11">
        <v>1</v>
      </c>
      <c r="L820" s="11">
        <v>9</v>
      </c>
      <c r="M820" s="15">
        <v>0</v>
      </c>
      <c r="R820" s="20">
        <v>0</v>
      </c>
      <c r="U820" s="17">
        <v>0</v>
      </c>
      <c r="W820" s="23">
        <v>0</v>
      </c>
      <c r="Y820" s="26">
        <v>0</v>
      </c>
    </row>
    <row r="821" spans="1:25" x14ac:dyDescent="0.25">
      <c r="A821" s="7">
        <v>18</v>
      </c>
      <c r="B821" s="6" t="s">
        <v>16</v>
      </c>
      <c r="C821" s="32">
        <v>7.2</v>
      </c>
      <c r="D821" s="6" t="s">
        <v>17</v>
      </c>
      <c r="E821" s="29">
        <v>7.7</v>
      </c>
      <c r="F821" s="13">
        <v>1.2</v>
      </c>
      <c r="G821" s="31">
        <v>3.7</v>
      </c>
      <c r="H821" s="13">
        <v>0.1</v>
      </c>
      <c r="I821" s="6" t="s">
        <v>15</v>
      </c>
      <c r="J821" s="11">
        <v>6</v>
      </c>
      <c r="K821" s="11">
        <v>3</v>
      </c>
      <c r="L821" s="11">
        <v>9</v>
      </c>
      <c r="M821" s="15">
        <v>0</v>
      </c>
      <c r="R821" s="20">
        <v>0</v>
      </c>
      <c r="U821" s="17">
        <v>0</v>
      </c>
      <c r="W821" s="23">
        <v>0</v>
      </c>
      <c r="Y821" s="26">
        <v>0</v>
      </c>
    </row>
    <row r="822" spans="1:25" x14ac:dyDescent="0.25">
      <c r="A822" s="7">
        <v>19</v>
      </c>
      <c r="B822" s="6" t="s">
        <v>16</v>
      </c>
      <c r="C822" s="32">
        <v>7.1</v>
      </c>
      <c r="D822" s="6" t="s">
        <v>17</v>
      </c>
      <c r="E822" s="29">
        <v>6.3</v>
      </c>
      <c r="F822" s="13">
        <v>0.8</v>
      </c>
      <c r="G822" s="31">
        <v>3.66</v>
      </c>
      <c r="H822" s="13">
        <v>0.5</v>
      </c>
      <c r="I822" s="6" t="s">
        <v>18</v>
      </c>
      <c r="J822" s="11">
        <v>3</v>
      </c>
      <c r="K822" s="11">
        <v>7</v>
      </c>
      <c r="L822" s="11">
        <v>7</v>
      </c>
      <c r="M822" s="15">
        <v>0</v>
      </c>
      <c r="R822" s="20">
        <v>0</v>
      </c>
      <c r="U822" s="17">
        <v>0</v>
      </c>
      <c r="W822" s="23">
        <v>0</v>
      </c>
      <c r="Y822" s="26">
        <v>0</v>
      </c>
    </row>
    <row r="823" spans="1:25" x14ac:dyDescent="0.25">
      <c r="A823" s="7">
        <v>13</v>
      </c>
      <c r="B823" s="6" t="s">
        <v>16</v>
      </c>
      <c r="C823" s="32">
        <v>4.3</v>
      </c>
      <c r="D823" s="6" t="s">
        <v>17</v>
      </c>
      <c r="E823" s="29">
        <v>4.4000000000000004</v>
      </c>
      <c r="F823" s="13">
        <v>0.9</v>
      </c>
      <c r="G823" s="31">
        <v>2.35</v>
      </c>
      <c r="H823" s="13">
        <v>1.5</v>
      </c>
      <c r="I823" s="6" t="s">
        <v>18</v>
      </c>
      <c r="J823" s="11">
        <v>3</v>
      </c>
      <c r="K823" s="11">
        <v>1</v>
      </c>
      <c r="L823" s="11">
        <v>7</v>
      </c>
      <c r="M823" s="15">
        <v>0</v>
      </c>
      <c r="R823" s="20">
        <v>0</v>
      </c>
      <c r="U823" s="17">
        <v>0</v>
      </c>
      <c r="W823" s="23">
        <v>0</v>
      </c>
      <c r="Y823" s="26">
        <v>0</v>
      </c>
    </row>
    <row r="824" spans="1:25" x14ac:dyDescent="0.25">
      <c r="A824" s="7">
        <v>19</v>
      </c>
      <c r="B824" s="6" t="s">
        <v>13</v>
      </c>
      <c r="C824" s="32">
        <v>1.6</v>
      </c>
      <c r="D824" s="6" t="s">
        <v>20</v>
      </c>
      <c r="E824" s="29">
        <v>4.4000000000000004</v>
      </c>
      <c r="F824" s="13">
        <v>1.4</v>
      </c>
      <c r="G824" s="31">
        <v>2.0299999999999998</v>
      </c>
      <c r="H824" s="13">
        <v>1.1000000000000001</v>
      </c>
      <c r="I824" s="6" t="s">
        <v>18</v>
      </c>
      <c r="J824" s="11">
        <v>2</v>
      </c>
      <c r="K824" s="11">
        <v>9</v>
      </c>
      <c r="L824" s="11">
        <v>5</v>
      </c>
      <c r="M824" s="15">
        <v>0</v>
      </c>
      <c r="R824" s="20">
        <v>0</v>
      </c>
      <c r="U824" s="17">
        <v>0</v>
      </c>
      <c r="W824" s="23">
        <v>0</v>
      </c>
      <c r="Y824" s="26">
        <v>0</v>
      </c>
    </row>
    <row r="825" spans="1:25" x14ac:dyDescent="0.25">
      <c r="A825" s="7">
        <v>19</v>
      </c>
      <c r="B825" s="6" t="s">
        <v>16</v>
      </c>
      <c r="C825" s="32">
        <v>1.4</v>
      </c>
      <c r="D825" s="6" t="s">
        <v>20</v>
      </c>
      <c r="E825" s="29">
        <v>8</v>
      </c>
      <c r="F825" s="13">
        <v>2.5</v>
      </c>
      <c r="G825" s="31">
        <v>3.54</v>
      </c>
      <c r="H825" s="13">
        <v>1.8</v>
      </c>
      <c r="I825" s="6" t="s">
        <v>15</v>
      </c>
      <c r="J825" s="11">
        <v>4</v>
      </c>
      <c r="K825" s="11">
        <v>8</v>
      </c>
      <c r="L825" s="11">
        <v>3</v>
      </c>
      <c r="M825" s="15">
        <v>0</v>
      </c>
      <c r="R825" s="20">
        <v>0</v>
      </c>
      <c r="U825" s="17">
        <v>0</v>
      </c>
      <c r="W825" s="23">
        <v>0</v>
      </c>
      <c r="Y825" s="26">
        <v>0</v>
      </c>
    </row>
    <row r="826" spans="1:25" x14ac:dyDescent="0.25">
      <c r="A826" s="7">
        <v>18</v>
      </c>
      <c r="B826" s="6" t="s">
        <v>16</v>
      </c>
      <c r="C826" s="32">
        <v>3.2</v>
      </c>
      <c r="D826" s="6" t="s">
        <v>14</v>
      </c>
      <c r="E826" s="29">
        <v>6.8</v>
      </c>
      <c r="F826" s="13">
        <v>2.2999999999999998</v>
      </c>
      <c r="G826" s="31">
        <v>3.16</v>
      </c>
      <c r="H826" s="13">
        <v>1.8</v>
      </c>
      <c r="I826" s="6" t="s">
        <v>15</v>
      </c>
      <c r="J826" s="11">
        <v>4</v>
      </c>
      <c r="K826" s="11">
        <v>8</v>
      </c>
      <c r="L826" s="11">
        <v>5</v>
      </c>
      <c r="M826" s="15">
        <v>0</v>
      </c>
      <c r="R826" s="20">
        <v>0</v>
      </c>
      <c r="U826" s="17">
        <v>0</v>
      </c>
      <c r="W826" s="23">
        <v>0</v>
      </c>
      <c r="Y826" s="26">
        <v>0</v>
      </c>
    </row>
    <row r="827" spans="1:25" x14ac:dyDescent="0.25">
      <c r="A827" s="7">
        <v>17</v>
      </c>
      <c r="B827" s="6" t="s">
        <v>13</v>
      </c>
      <c r="C827" s="32">
        <v>1.5</v>
      </c>
      <c r="D827" s="6" t="s">
        <v>20</v>
      </c>
      <c r="E827" s="29">
        <v>8</v>
      </c>
      <c r="F827" s="13">
        <v>0.5</v>
      </c>
      <c r="G827" s="31">
        <v>3.01</v>
      </c>
      <c r="H827" s="13">
        <v>0.4</v>
      </c>
      <c r="I827" s="6" t="s">
        <v>19</v>
      </c>
      <c r="J827" s="11">
        <v>10</v>
      </c>
      <c r="K827" s="11">
        <v>2</v>
      </c>
      <c r="L827" s="11">
        <v>3</v>
      </c>
      <c r="M827" s="15">
        <v>0</v>
      </c>
      <c r="R827" s="20">
        <v>0</v>
      </c>
      <c r="U827" s="17">
        <v>0</v>
      </c>
      <c r="W827" s="23">
        <v>0</v>
      </c>
      <c r="Y827" s="26">
        <v>0</v>
      </c>
    </row>
    <row r="828" spans="1:25" x14ac:dyDescent="0.25">
      <c r="A828" s="7">
        <v>18</v>
      </c>
      <c r="B828" s="6" t="s">
        <v>13</v>
      </c>
      <c r="C828" s="32">
        <v>7.5</v>
      </c>
      <c r="D828" s="6" t="s">
        <v>17</v>
      </c>
      <c r="E828" s="29">
        <v>5.0999999999999996</v>
      </c>
      <c r="F828" s="13">
        <v>2.6</v>
      </c>
      <c r="G828" s="31">
        <v>3.82</v>
      </c>
      <c r="H828" s="13">
        <v>0.7</v>
      </c>
      <c r="I828" s="6" t="s">
        <v>15</v>
      </c>
      <c r="J828" s="11">
        <v>7</v>
      </c>
      <c r="K828" s="11">
        <v>3</v>
      </c>
      <c r="L828" s="11">
        <v>8</v>
      </c>
      <c r="M828" s="15">
        <v>0</v>
      </c>
      <c r="R828" s="20">
        <v>0</v>
      </c>
      <c r="U828" s="17">
        <v>0</v>
      </c>
      <c r="W828" s="23">
        <v>0</v>
      </c>
      <c r="Y828" s="26">
        <v>0</v>
      </c>
    </row>
    <row r="829" spans="1:25" x14ac:dyDescent="0.25">
      <c r="A829" s="7">
        <v>14</v>
      </c>
      <c r="B829" s="6" t="s">
        <v>16</v>
      </c>
      <c r="C829" s="32">
        <v>3.5</v>
      </c>
      <c r="D829" s="6" t="s">
        <v>14</v>
      </c>
      <c r="E829" s="29">
        <v>4.5999999999999996</v>
      </c>
      <c r="F829" s="13">
        <v>0.7</v>
      </c>
      <c r="G829" s="31">
        <v>2.74</v>
      </c>
      <c r="H829" s="13">
        <v>1</v>
      </c>
      <c r="I829" s="6" t="s">
        <v>15</v>
      </c>
      <c r="J829" s="11">
        <v>2</v>
      </c>
      <c r="K829" s="11">
        <v>7</v>
      </c>
      <c r="L829" s="11">
        <v>8</v>
      </c>
      <c r="M829" s="15">
        <v>0</v>
      </c>
      <c r="R829" s="20">
        <v>0</v>
      </c>
      <c r="U829" s="17">
        <v>0</v>
      </c>
      <c r="W829" s="23">
        <v>0</v>
      </c>
      <c r="Y829" s="26">
        <v>0</v>
      </c>
    </row>
    <row r="830" spans="1:25" x14ac:dyDescent="0.25">
      <c r="A830" s="7">
        <v>17</v>
      </c>
      <c r="B830" s="6" t="s">
        <v>13</v>
      </c>
      <c r="C830" s="32">
        <v>4.4000000000000004</v>
      </c>
      <c r="D830" s="6" t="s">
        <v>20</v>
      </c>
      <c r="E830" s="29">
        <v>8.1999999999999993</v>
      </c>
      <c r="F830" s="13">
        <v>2.7</v>
      </c>
      <c r="G830" s="31">
        <v>3.13</v>
      </c>
      <c r="H830" s="13">
        <v>0.3</v>
      </c>
      <c r="I830" s="6" t="s">
        <v>19</v>
      </c>
      <c r="J830" s="11">
        <v>3</v>
      </c>
      <c r="K830" s="11">
        <v>1</v>
      </c>
      <c r="L830" s="11">
        <v>2</v>
      </c>
      <c r="M830" s="15">
        <v>0</v>
      </c>
      <c r="R830" s="20">
        <v>0</v>
      </c>
      <c r="U830" s="17">
        <v>0</v>
      </c>
      <c r="W830" s="23">
        <v>0</v>
      </c>
      <c r="Y830" s="26">
        <v>0</v>
      </c>
    </row>
    <row r="831" spans="1:25" x14ac:dyDescent="0.25">
      <c r="A831" s="7">
        <v>17</v>
      </c>
      <c r="B831" s="6" t="s">
        <v>13</v>
      </c>
      <c r="C831" s="32">
        <v>4.5999999999999996</v>
      </c>
      <c r="D831" s="6" t="s">
        <v>17</v>
      </c>
      <c r="E831" s="29">
        <v>5.0999999999999996</v>
      </c>
      <c r="F831" s="13">
        <v>2.5</v>
      </c>
      <c r="G831" s="31">
        <v>2.13</v>
      </c>
      <c r="H831" s="13">
        <v>1</v>
      </c>
      <c r="I831" s="6" t="s">
        <v>19</v>
      </c>
      <c r="J831" s="11">
        <v>2</v>
      </c>
      <c r="K831" s="11">
        <v>5</v>
      </c>
      <c r="L831" s="11">
        <v>6</v>
      </c>
      <c r="M831" s="15">
        <v>0</v>
      </c>
      <c r="R831" s="20">
        <v>0</v>
      </c>
      <c r="U831" s="17">
        <v>0</v>
      </c>
      <c r="W831" s="23">
        <v>0</v>
      </c>
      <c r="Y831" s="26">
        <v>0</v>
      </c>
    </row>
    <row r="832" spans="1:25" x14ac:dyDescent="0.25">
      <c r="A832" s="7">
        <v>13</v>
      </c>
      <c r="B832" s="6" t="s">
        <v>13</v>
      </c>
      <c r="C832" s="32">
        <v>5.9</v>
      </c>
      <c r="D832" s="6" t="s">
        <v>17</v>
      </c>
      <c r="E832" s="29">
        <v>6.6</v>
      </c>
      <c r="F832" s="13">
        <v>2.6</v>
      </c>
      <c r="G832" s="31">
        <v>3.58</v>
      </c>
      <c r="H832" s="13">
        <v>1.6</v>
      </c>
      <c r="I832" s="6" t="s">
        <v>19</v>
      </c>
      <c r="J832" s="11">
        <v>7</v>
      </c>
      <c r="K832" s="11">
        <v>7</v>
      </c>
      <c r="L832" s="11">
        <v>10</v>
      </c>
      <c r="M832" s="15">
        <v>0</v>
      </c>
      <c r="R832" s="20">
        <v>0</v>
      </c>
      <c r="U832" s="17">
        <v>0</v>
      </c>
      <c r="W832" s="23">
        <v>0</v>
      </c>
      <c r="Y832" s="26">
        <v>0</v>
      </c>
    </row>
    <row r="833" spans="1:25" x14ac:dyDescent="0.25">
      <c r="A833" s="7">
        <v>16</v>
      </c>
      <c r="B833" s="6" t="s">
        <v>16</v>
      </c>
      <c r="C833" s="32">
        <v>7.8</v>
      </c>
      <c r="D833" s="6" t="s">
        <v>17</v>
      </c>
      <c r="E833" s="29">
        <v>4.7</v>
      </c>
      <c r="F833" s="13">
        <v>1.1000000000000001</v>
      </c>
      <c r="G833" s="31">
        <v>3.53</v>
      </c>
      <c r="H833" s="13">
        <v>2</v>
      </c>
      <c r="I833" s="6" t="s">
        <v>19</v>
      </c>
      <c r="J833" s="11">
        <v>9</v>
      </c>
      <c r="K833" s="11">
        <v>3</v>
      </c>
      <c r="L833" s="11">
        <v>8</v>
      </c>
      <c r="M833" s="15">
        <v>0</v>
      </c>
      <c r="R833" s="20">
        <v>0</v>
      </c>
      <c r="U833" s="17">
        <v>0</v>
      </c>
      <c r="W833" s="23">
        <v>0</v>
      </c>
      <c r="Y833" s="26">
        <v>0</v>
      </c>
    </row>
    <row r="834" spans="1:25" x14ac:dyDescent="0.25">
      <c r="A834" s="7">
        <v>15</v>
      </c>
      <c r="B834" s="6" t="s">
        <v>16</v>
      </c>
      <c r="C834" s="32">
        <v>4.8</v>
      </c>
      <c r="D834" s="6" t="s">
        <v>17</v>
      </c>
      <c r="E834" s="29">
        <v>7.3</v>
      </c>
      <c r="F834" s="13">
        <v>1.9</v>
      </c>
      <c r="G834" s="31">
        <v>2.76</v>
      </c>
      <c r="H834" s="13">
        <v>0.9</v>
      </c>
      <c r="I834" s="6" t="s">
        <v>18</v>
      </c>
      <c r="J834" s="11">
        <v>2</v>
      </c>
      <c r="K834" s="11">
        <v>10</v>
      </c>
      <c r="L834" s="11">
        <v>1</v>
      </c>
      <c r="M834" s="15">
        <v>0</v>
      </c>
      <c r="R834" s="20">
        <v>0</v>
      </c>
      <c r="U834" s="17">
        <v>0</v>
      </c>
      <c r="W834" s="23">
        <v>0</v>
      </c>
      <c r="Y834" s="26">
        <v>0</v>
      </c>
    </row>
    <row r="835" spans="1:25" x14ac:dyDescent="0.25">
      <c r="A835" s="7">
        <v>16</v>
      </c>
      <c r="B835" s="6" t="s">
        <v>16</v>
      </c>
      <c r="C835" s="32">
        <v>7.4</v>
      </c>
      <c r="D835" s="6" t="s">
        <v>17</v>
      </c>
      <c r="E835" s="29">
        <v>4.5999999999999996</v>
      </c>
      <c r="F835" s="13">
        <v>1</v>
      </c>
      <c r="G835" s="31">
        <v>2.23</v>
      </c>
      <c r="H835" s="13">
        <v>1.1000000000000001</v>
      </c>
      <c r="I835" s="6" t="s">
        <v>15</v>
      </c>
      <c r="J835" s="11">
        <v>2</v>
      </c>
      <c r="K835" s="11">
        <v>4</v>
      </c>
      <c r="L835" s="11">
        <v>5</v>
      </c>
      <c r="M835" s="15">
        <v>0</v>
      </c>
      <c r="R835" s="20">
        <v>0</v>
      </c>
      <c r="U835" s="17">
        <v>0</v>
      </c>
      <c r="W835" s="23">
        <v>0</v>
      </c>
      <c r="Y835" s="26">
        <v>0</v>
      </c>
    </row>
    <row r="836" spans="1:25" x14ac:dyDescent="0.25">
      <c r="A836" s="7">
        <v>18</v>
      </c>
      <c r="B836" s="6" t="s">
        <v>13</v>
      </c>
      <c r="C836" s="32">
        <v>2.7</v>
      </c>
      <c r="D836" s="6" t="s">
        <v>14</v>
      </c>
      <c r="E836" s="29">
        <v>7.9</v>
      </c>
      <c r="F836" s="13">
        <v>1.2</v>
      </c>
      <c r="G836" s="31">
        <v>2.75</v>
      </c>
      <c r="H836" s="13">
        <v>1.9</v>
      </c>
      <c r="I836" s="6" t="s">
        <v>19</v>
      </c>
      <c r="J836" s="11">
        <v>5</v>
      </c>
      <c r="K836" s="11">
        <v>8</v>
      </c>
      <c r="L836" s="11">
        <v>3</v>
      </c>
      <c r="M836" s="15">
        <v>0</v>
      </c>
      <c r="R836" s="20">
        <v>0</v>
      </c>
      <c r="U836" s="17">
        <v>0</v>
      </c>
      <c r="W836" s="23">
        <v>0</v>
      </c>
      <c r="Y836" s="26">
        <v>0</v>
      </c>
    </row>
    <row r="837" spans="1:25" x14ac:dyDescent="0.25">
      <c r="A837" s="7">
        <v>13</v>
      </c>
      <c r="B837" s="6" t="s">
        <v>16</v>
      </c>
      <c r="C837" s="32">
        <v>5.3</v>
      </c>
      <c r="D837" s="6" t="s">
        <v>17</v>
      </c>
      <c r="E837" s="29">
        <v>6.4</v>
      </c>
      <c r="F837" s="13">
        <v>1.1000000000000001</v>
      </c>
      <c r="G837" s="31">
        <v>3.32</v>
      </c>
      <c r="H837" s="13">
        <v>1.9</v>
      </c>
      <c r="I837" s="6" t="s">
        <v>19</v>
      </c>
      <c r="J837" s="11">
        <v>8</v>
      </c>
      <c r="K837" s="11">
        <v>5</v>
      </c>
      <c r="L837" s="11">
        <v>10</v>
      </c>
      <c r="M837" s="15">
        <v>0</v>
      </c>
      <c r="R837" s="20">
        <v>0</v>
      </c>
      <c r="U837" s="17">
        <v>0</v>
      </c>
      <c r="W837" s="23">
        <v>0</v>
      </c>
      <c r="Y837" s="26">
        <v>0</v>
      </c>
    </row>
    <row r="838" spans="1:25" x14ac:dyDescent="0.25">
      <c r="A838" s="7">
        <v>16</v>
      </c>
      <c r="B838" s="6" t="s">
        <v>16</v>
      </c>
      <c r="C838" s="32">
        <v>3.6</v>
      </c>
      <c r="D838" s="6" t="s">
        <v>20</v>
      </c>
      <c r="E838" s="29">
        <v>4.4000000000000004</v>
      </c>
      <c r="F838" s="13">
        <v>2.4</v>
      </c>
      <c r="G838" s="31">
        <v>2.5299999999999998</v>
      </c>
      <c r="H838" s="13">
        <v>0.7</v>
      </c>
      <c r="I838" s="6" t="s">
        <v>19</v>
      </c>
      <c r="J838" s="11">
        <v>1</v>
      </c>
      <c r="K838" s="11">
        <v>7</v>
      </c>
      <c r="L838" s="11">
        <v>5</v>
      </c>
      <c r="M838" s="15">
        <v>0</v>
      </c>
      <c r="R838" s="20">
        <v>0</v>
      </c>
      <c r="U838" s="17">
        <v>0</v>
      </c>
      <c r="W838" s="23">
        <v>0</v>
      </c>
      <c r="Y838" s="26">
        <v>0</v>
      </c>
    </row>
    <row r="839" spans="1:25" x14ac:dyDescent="0.25">
      <c r="A839" s="7">
        <v>18</v>
      </c>
      <c r="B839" s="6" t="s">
        <v>13</v>
      </c>
      <c r="C839" s="32">
        <v>2.5</v>
      </c>
      <c r="D839" s="6" t="s">
        <v>20</v>
      </c>
      <c r="E839" s="29">
        <v>5.7</v>
      </c>
      <c r="F839" s="13">
        <v>2.1</v>
      </c>
      <c r="G839" s="31">
        <v>3.33</v>
      </c>
      <c r="H839" s="13">
        <v>0.6</v>
      </c>
      <c r="I839" s="6" t="s">
        <v>15</v>
      </c>
      <c r="J839" s="11">
        <v>8</v>
      </c>
      <c r="K839" s="11">
        <v>4</v>
      </c>
      <c r="L839" s="11">
        <v>6</v>
      </c>
      <c r="M839" s="15">
        <v>0</v>
      </c>
      <c r="R839" s="20">
        <v>0</v>
      </c>
      <c r="U839" s="17">
        <v>0</v>
      </c>
      <c r="W839" s="23">
        <v>0</v>
      </c>
      <c r="Y839" s="26">
        <v>0</v>
      </c>
    </row>
    <row r="840" spans="1:25" x14ac:dyDescent="0.25">
      <c r="A840" s="7">
        <v>15</v>
      </c>
      <c r="B840" s="6" t="s">
        <v>13</v>
      </c>
      <c r="C840" s="32">
        <v>4.5</v>
      </c>
      <c r="D840" s="6" t="s">
        <v>20</v>
      </c>
      <c r="E840" s="29">
        <v>7</v>
      </c>
      <c r="F840" s="13">
        <v>1.5</v>
      </c>
      <c r="G840" s="31">
        <v>3.16</v>
      </c>
      <c r="H840" s="13">
        <v>1.7</v>
      </c>
      <c r="I840" s="6" t="s">
        <v>19</v>
      </c>
      <c r="J840" s="11">
        <v>4</v>
      </c>
      <c r="K840" s="11">
        <v>7</v>
      </c>
      <c r="L840" s="11">
        <v>10</v>
      </c>
      <c r="M840" s="15">
        <v>0</v>
      </c>
      <c r="R840" s="20">
        <v>0</v>
      </c>
      <c r="U840" s="17">
        <v>0</v>
      </c>
      <c r="W840" s="23">
        <v>0</v>
      </c>
      <c r="Y840" s="26">
        <v>0</v>
      </c>
    </row>
    <row r="841" spans="1:25" x14ac:dyDescent="0.25">
      <c r="A841" s="7">
        <v>18</v>
      </c>
      <c r="B841" s="6" t="s">
        <v>16</v>
      </c>
      <c r="C841" s="32">
        <v>1.9</v>
      </c>
      <c r="D841" s="6" t="s">
        <v>20</v>
      </c>
      <c r="E841" s="29">
        <v>5.0999999999999996</v>
      </c>
      <c r="F841" s="13">
        <v>2.9</v>
      </c>
      <c r="G841" s="31">
        <v>2.62</v>
      </c>
      <c r="H841" s="13">
        <v>1</v>
      </c>
      <c r="I841" s="6" t="s">
        <v>15</v>
      </c>
      <c r="J841" s="11">
        <v>4</v>
      </c>
      <c r="K841" s="11">
        <v>3</v>
      </c>
      <c r="L841" s="11">
        <v>2</v>
      </c>
      <c r="M841" s="15">
        <v>0</v>
      </c>
      <c r="R841" s="20">
        <v>0</v>
      </c>
      <c r="U841" s="17">
        <v>0</v>
      </c>
      <c r="W841" s="23">
        <v>0</v>
      </c>
      <c r="Y841" s="26">
        <v>0</v>
      </c>
    </row>
    <row r="842" spans="1:25" x14ac:dyDescent="0.25">
      <c r="A842" s="7">
        <v>17</v>
      </c>
      <c r="B842" s="6" t="s">
        <v>13</v>
      </c>
      <c r="C842" s="32">
        <v>3.8</v>
      </c>
      <c r="D842" s="6" t="s">
        <v>14</v>
      </c>
      <c r="E842" s="29">
        <v>7.7</v>
      </c>
      <c r="F842" s="13">
        <v>0.7</v>
      </c>
      <c r="G842" s="31">
        <v>3.45</v>
      </c>
      <c r="H842" s="13">
        <v>1</v>
      </c>
      <c r="I842" s="6" t="s">
        <v>15</v>
      </c>
      <c r="J842" s="11">
        <v>2</v>
      </c>
      <c r="K842" s="11">
        <v>8</v>
      </c>
      <c r="L842" s="11">
        <v>9</v>
      </c>
      <c r="M842" s="15">
        <v>0</v>
      </c>
      <c r="R842" s="20">
        <v>0</v>
      </c>
      <c r="U842" s="17">
        <v>0</v>
      </c>
      <c r="W842" s="23">
        <v>0</v>
      </c>
      <c r="Y842" s="26">
        <v>0</v>
      </c>
    </row>
    <row r="843" spans="1:25" x14ac:dyDescent="0.25">
      <c r="A843" s="7">
        <v>18</v>
      </c>
      <c r="B843" s="6" t="s">
        <v>16</v>
      </c>
      <c r="C843" s="32">
        <v>3.9</v>
      </c>
      <c r="D843" s="6" t="s">
        <v>20</v>
      </c>
      <c r="E843" s="29">
        <v>4</v>
      </c>
      <c r="F843" s="13">
        <v>1.8</v>
      </c>
      <c r="G843" s="31">
        <v>2.19</v>
      </c>
      <c r="H843" s="13">
        <v>1.4</v>
      </c>
      <c r="I843" s="6" t="s">
        <v>18</v>
      </c>
      <c r="J843" s="11">
        <v>1</v>
      </c>
      <c r="K843" s="11">
        <v>2</v>
      </c>
      <c r="L843" s="11">
        <v>5</v>
      </c>
      <c r="M843" s="15">
        <v>0</v>
      </c>
      <c r="R843" s="20">
        <v>0</v>
      </c>
      <c r="U843" s="17">
        <v>0</v>
      </c>
      <c r="W843" s="23">
        <v>0</v>
      </c>
      <c r="Y843" s="26">
        <v>0</v>
      </c>
    </row>
    <row r="844" spans="1:25" x14ac:dyDescent="0.25">
      <c r="A844" s="7">
        <v>17</v>
      </c>
      <c r="B844" s="6" t="s">
        <v>16</v>
      </c>
      <c r="C844" s="32">
        <v>1.1000000000000001</v>
      </c>
      <c r="D844" s="6" t="s">
        <v>20</v>
      </c>
      <c r="E844" s="29">
        <v>8.6999999999999993</v>
      </c>
      <c r="F844" s="13">
        <v>2.1</v>
      </c>
      <c r="G844" s="31">
        <v>3.01</v>
      </c>
      <c r="H844" s="13">
        <v>0.7</v>
      </c>
      <c r="I844" s="6" t="s">
        <v>19</v>
      </c>
      <c r="J844" s="11">
        <v>1</v>
      </c>
      <c r="K844" s="11">
        <v>1</v>
      </c>
      <c r="L844" s="11">
        <v>3</v>
      </c>
      <c r="M844" s="15">
        <v>0</v>
      </c>
      <c r="R844" s="20">
        <v>0</v>
      </c>
      <c r="U844" s="17">
        <v>0</v>
      </c>
      <c r="W844" s="23">
        <v>0</v>
      </c>
      <c r="Y844" s="26">
        <v>0</v>
      </c>
    </row>
    <row r="845" spans="1:25" x14ac:dyDescent="0.25">
      <c r="A845" s="7">
        <v>15</v>
      </c>
      <c r="B845" s="6" t="s">
        <v>16</v>
      </c>
      <c r="C845" s="32">
        <v>3.9</v>
      </c>
      <c r="D845" s="6" t="s">
        <v>20</v>
      </c>
      <c r="E845" s="29">
        <v>8.6999999999999993</v>
      </c>
      <c r="F845" s="13">
        <v>1.1000000000000001</v>
      </c>
      <c r="G845" s="31">
        <v>2.82</v>
      </c>
      <c r="H845" s="13">
        <v>0.3</v>
      </c>
      <c r="I845" s="6" t="s">
        <v>18</v>
      </c>
      <c r="J845" s="11">
        <v>5</v>
      </c>
      <c r="K845" s="11">
        <v>10</v>
      </c>
      <c r="L845" s="11">
        <v>6</v>
      </c>
      <c r="M845" s="15">
        <v>0</v>
      </c>
      <c r="R845" s="20">
        <v>0</v>
      </c>
      <c r="U845" s="17">
        <v>0</v>
      </c>
      <c r="W845" s="23">
        <v>0</v>
      </c>
      <c r="Y845" s="26">
        <v>0</v>
      </c>
    </row>
    <row r="846" spans="1:25" x14ac:dyDescent="0.25">
      <c r="A846" s="7">
        <v>16</v>
      </c>
      <c r="B846" s="6" t="s">
        <v>13</v>
      </c>
      <c r="C846" s="32">
        <v>8</v>
      </c>
      <c r="D846" s="6" t="s">
        <v>14</v>
      </c>
      <c r="E846" s="29">
        <v>8.1</v>
      </c>
      <c r="F846" s="13">
        <v>2.5</v>
      </c>
      <c r="G846" s="31">
        <v>2.7</v>
      </c>
      <c r="H846" s="13">
        <v>1.7</v>
      </c>
      <c r="I846" s="6" t="s">
        <v>19</v>
      </c>
      <c r="J846" s="11">
        <v>4</v>
      </c>
      <c r="K846" s="11">
        <v>5</v>
      </c>
      <c r="L846" s="11">
        <v>7</v>
      </c>
      <c r="M846" s="15">
        <v>0</v>
      </c>
      <c r="R846" s="20">
        <v>0</v>
      </c>
      <c r="U846" s="17">
        <v>0</v>
      </c>
      <c r="W846" s="23">
        <v>0</v>
      </c>
      <c r="Y846" s="26">
        <v>0</v>
      </c>
    </row>
    <row r="847" spans="1:25" x14ac:dyDescent="0.25">
      <c r="A847" s="7">
        <v>14</v>
      </c>
      <c r="B847" s="6" t="s">
        <v>16</v>
      </c>
      <c r="C847" s="32">
        <v>1.2</v>
      </c>
      <c r="D847" s="6" t="s">
        <v>17</v>
      </c>
      <c r="E847" s="29">
        <v>8.5</v>
      </c>
      <c r="F847" s="13">
        <v>2.2999999999999998</v>
      </c>
      <c r="G847" s="31">
        <v>3.91</v>
      </c>
      <c r="H847" s="13">
        <v>1.8</v>
      </c>
      <c r="I847" s="6" t="s">
        <v>18</v>
      </c>
      <c r="J847" s="11">
        <v>1</v>
      </c>
      <c r="K847" s="11">
        <v>8</v>
      </c>
      <c r="L847" s="11">
        <v>1</v>
      </c>
      <c r="M847" s="15">
        <v>0</v>
      </c>
      <c r="R847" s="20">
        <v>0</v>
      </c>
      <c r="U847" s="17">
        <v>0</v>
      </c>
      <c r="W847" s="23">
        <v>0</v>
      </c>
      <c r="Y847" s="26">
        <v>0</v>
      </c>
    </row>
    <row r="848" spans="1:25" x14ac:dyDescent="0.25">
      <c r="A848" s="7">
        <v>15</v>
      </c>
      <c r="B848" s="6" t="s">
        <v>13</v>
      </c>
      <c r="C848" s="32">
        <v>2.2000000000000002</v>
      </c>
      <c r="D848" s="6" t="s">
        <v>14</v>
      </c>
      <c r="E848" s="29">
        <v>6.1</v>
      </c>
      <c r="F848" s="13">
        <v>0.9</v>
      </c>
      <c r="G848" s="31">
        <v>3.81</v>
      </c>
      <c r="H848" s="13">
        <v>0.1</v>
      </c>
      <c r="I848" s="6" t="s">
        <v>18</v>
      </c>
      <c r="J848" s="11">
        <v>2</v>
      </c>
      <c r="K848" s="11">
        <v>7</v>
      </c>
      <c r="L848" s="11">
        <v>3</v>
      </c>
      <c r="M848" s="15">
        <v>0</v>
      </c>
      <c r="R848" s="20">
        <v>0</v>
      </c>
      <c r="U848" s="17">
        <v>0</v>
      </c>
      <c r="W848" s="23">
        <v>0</v>
      </c>
      <c r="Y848" s="26">
        <v>0</v>
      </c>
    </row>
    <row r="849" spans="1:25" x14ac:dyDescent="0.25">
      <c r="A849" s="7">
        <v>15</v>
      </c>
      <c r="B849" s="6" t="s">
        <v>16</v>
      </c>
      <c r="C849" s="32">
        <v>4.2</v>
      </c>
      <c r="D849" s="6" t="s">
        <v>17</v>
      </c>
      <c r="E849" s="29">
        <v>6.8</v>
      </c>
      <c r="F849" s="13">
        <v>1.4</v>
      </c>
      <c r="G849" s="31">
        <v>2.0099999999999998</v>
      </c>
      <c r="H849" s="13">
        <v>1</v>
      </c>
      <c r="I849" s="6" t="s">
        <v>15</v>
      </c>
      <c r="J849" s="11">
        <v>6</v>
      </c>
      <c r="K849" s="11">
        <v>6</v>
      </c>
      <c r="L849" s="11">
        <v>4</v>
      </c>
      <c r="M849" s="15">
        <v>0</v>
      </c>
      <c r="R849" s="20">
        <v>0</v>
      </c>
      <c r="U849" s="17">
        <v>0</v>
      </c>
      <c r="W849" s="23">
        <v>0</v>
      </c>
      <c r="Y849" s="26">
        <v>0</v>
      </c>
    </row>
    <row r="850" spans="1:25" x14ac:dyDescent="0.25">
      <c r="A850" s="7">
        <v>19</v>
      </c>
      <c r="B850" s="6" t="s">
        <v>13</v>
      </c>
      <c r="C850" s="32">
        <v>6</v>
      </c>
      <c r="D850" s="6" t="s">
        <v>20</v>
      </c>
      <c r="E850" s="29">
        <v>5.6</v>
      </c>
      <c r="F850" s="13">
        <v>1.1000000000000001</v>
      </c>
      <c r="G850" s="31">
        <v>2.4300000000000002</v>
      </c>
      <c r="H850" s="13">
        <v>1.7</v>
      </c>
      <c r="I850" s="6" t="s">
        <v>19</v>
      </c>
      <c r="J850" s="11">
        <v>1</v>
      </c>
      <c r="K850" s="11">
        <v>3</v>
      </c>
      <c r="L850" s="11">
        <v>3</v>
      </c>
      <c r="M850" s="15">
        <v>0</v>
      </c>
      <c r="R850" s="20">
        <v>0</v>
      </c>
      <c r="U850" s="17">
        <v>0</v>
      </c>
      <c r="W850" s="23">
        <v>0</v>
      </c>
      <c r="Y850" s="26">
        <v>0</v>
      </c>
    </row>
    <row r="851" spans="1:25" x14ac:dyDescent="0.25">
      <c r="A851" s="7">
        <v>19</v>
      </c>
      <c r="B851" s="6" t="s">
        <v>13</v>
      </c>
      <c r="C851" s="32">
        <v>5.4</v>
      </c>
      <c r="D851" s="6" t="s">
        <v>14</v>
      </c>
      <c r="E851" s="29">
        <v>4.9000000000000004</v>
      </c>
      <c r="F851" s="13">
        <v>0.6</v>
      </c>
      <c r="G851" s="31">
        <v>3.17</v>
      </c>
      <c r="H851" s="13">
        <v>0</v>
      </c>
      <c r="I851" s="6" t="s">
        <v>15</v>
      </c>
      <c r="J851" s="11">
        <v>5</v>
      </c>
      <c r="K851" s="11">
        <v>6</v>
      </c>
      <c r="L851" s="11">
        <v>10</v>
      </c>
      <c r="M851" s="15">
        <v>0</v>
      </c>
      <c r="R851" s="20">
        <v>0</v>
      </c>
      <c r="U851" s="17">
        <v>0</v>
      </c>
      <c r="W851" s="23">
        <v>0</v>
      </c>
      <c r="Y851" s="26">
        <v>0</v>
      </c>
    </row>
    <row r="852" spans="1:25" x14ac:dyDescent="0.25">
      <c r="A852" s="7">
        <v>15</v>
      </c>
      <c r="B852" s="6" t="s">
        <v>16</v>
      </c>
      <c r="C852" s="32">
        <v>2.7</v>
      </c>
      <c r="D852" s="6" t="s">
        <v>17</v>
      </c>
      <c r="E852" s="29">
        <v>7.6</v>
      </c>
      <c r="F852" s="13">
        <v>2.5</v>
      </c>
      <c r="G852" s="31">
        <v>2.37</v>
      </c>
      <c r="H852" s="13">
        <v>1.9</v>
      </c>
      <c r="I852" s="6" t="s">
        <v>18</v>
      </c>
      <c r="J852" s="11">
        <v>1</v>
      </c>
      <c r="K852" s="11">
        <v>8</v>
      </c>
      <c r="L852" s="11">
        <v>7</v>
      </c>
      <c r="M852" s="15">
        <v>0</v>
      </c>
      <c r="R852" s="20">
        <v>0</v>
      </c>
      <c r="U852" s="17">
        <v>0</v>
      </c>
      <c r="W852" s="23">
        <v>0</v>
      </c>
      <c r="Y852" s="26">
        <v>0</v>
      </c>
    </row>
    <row r="853" spans="1:25" x14ac:dyDescent="0.25">
      <c r="A853" s="7">
        <v>19</v>
      </c>
      <c r="B853" s="6" t="s">
        <v>16</v>
      </c>
      <c r="C853" s="32">
        <v>1.9</v>
      </c>
      <c r="D853" s="6" t="s">
        <v>20</v>
      </c>
      <c r="E853" s="29">
        <v>6.2</v>
      </c>
      <c r="F853" s="13">
        <v>0.9</v>
      </c>
      <c r="G853" s="31">
        <v>2.4700000000000002</v>
      </c>
      <c r="H853" s="13">
        <v>1.4</v>
      </c>
      <c r="I853" s="6" t="s">
        <v>15</v>
      </c>
      <c r="J853" s="11">
        <v>5</v>
      </c>
      <c r="K853" s="11">
        <v>6</v>
      </c>
      <c r="L853" s="11">
        <v>7</v>
      </c>
      <c r="M853" s="15">
        <v>0</v>
      </c>
      <c r="R853" s="20">
        <v>0</v>
      </c>
      <c r="U853" s="17">
        <v>0</v>
      </c>
      <c r="W853" s="23">
        <v>0</v>
      </c>
      <c r="Y853" s="26">
        <v>0</v>
      </c>
    </row>
    <row r="854" spans="1:25" x14ac:dyDescent="0.25">
      <c r="A854" s="7">
        <v>14</v>
      </c>
      <c r="B854" s="6" t="s">
        <v>13</v>
      </c>
      <c r="C854" s="32">
        <v>1.5</v>
      </c>
      <c r="D854" s="6" t="s">
        <v>20</v>
      </c>
      <c r="E854" s="29">
        <v>6.8</v>
      </c>
      <c r="F854" s="13">
        <v>0.8</v>
      </c>
      <c r="G854" s="31">
        <v>3.14</v>
      </c>
      <c r="H854" s="13">
        <v>0</v>
      </c>
      <c r="I854" s="6" t="s">
        <v>19</v>
      </c>
      <c r="J854" s="11">
        <v>4</v>
      </c>
      <c r="K854" s="11">
        <v>5</v>
      </c>
      <c r="L854" s="11">
        <v>8</v>
      </c>
      <c r="M854" s="15">
        <v>0</v>
      </c>
      <c r="R854" s="20">
        <v>0</v>
      </c>
      <c r="U854" s="17">
        <v>0</v>
      </c>
      <c r="W854" s="23">
        <v>0</v>
      </c>
      <c r="Y854" s="26">
        <v>0</v>
      </c>
    </row>
    <row r="855" spans="1:25" x14ac:dyDescent="0.25">
      <c r="A855" s="7">
        <v>17</v>
      </c>
      <c r="B855" s="6" t="s">
        <v>16</v>
      </c>
      <c r="C855" s="32">
        <v>2.6</v>
      </c>
      <c r="D855" s="6" t="s">
        <v>17</v>
      </c>
      <c r="E855" s="29">
        <v>4.8</v>
      </c>
      <c r="F855" s="13">
        <v>0.7</v>
      </c>
      <c r="G855" s="31">
        <v>2.52</v>
      </c>
      <c r="H855" s="13">
        <v>1.8</v>
      </c>
      <c r="I855" s="6" t="s">
        <v>19</v>
      </c>
      <c r="J855" s="11">
        <v>9</v>
      </c>
      <c r="K855" s="11">
        <v>6</v>
      </c>
      <c r="L855" s="11">
        <v>6</v>
      </c>
      <c r="M855" s="15">
        <v>0</v>
      </c>
      <c r="R855" s="20">
        <v>0</v>
      </c>
      <c r="U855" s="17">
        <v>0</v>
      </c>
      <c r="W855" s="23">
        <v>0</v>
      </c>
      <c r="Y855" s="26">
        <v>0</v>
      </c>
    </row>
    <row r="856" spans="1:25" x14ac:dyDescent="0.25">
      <c r="A856" s="7">
        <v>16</v>
      </c>
      <c r="B856" s="6" t="s">
        <v>13</v>
      </c>
      <c r="C856" s="32">
        <v>1.2</v>
      </c>
      <c r="D856" s="6" t="s">
        <v>14</v>
      </c>
      <c r="E856" s="29">
        <v>7.3</v>
      </c>
      <c r="F856" s="13">
        <v>1</v>
      </c>
      <c r="G856" s="31">
        <v>2.36</v>
      </c>
      <c r="H856" s="13">
        <v>1.1000000000000001</v>
      </c>
      <c r="I856" s="6" t="s">
        <v>19</v>
      </c>
      <c r="J856" s="11">
        <v>5</v>
      </c>
      <c r="K856" s="11">
        <v>3</v>
      </c>
      <c r="L856" s="11">
        <v>6</v>
      </c>
      <c r="M856" s="15">
        <v>0</v>
      </c>
      <c r="R856" s="20">
        <v>0</v>
      </c>
      <c r="U856" s="17">
        <v>0</v>
      </c>
      <c r="W856" s="23">
        <v>0</v>
      </c>
      <c r="Y856" s="26">
        <v>0</v>
      </c>
    </row>
    <row r="857" spans="1:25" x14ac:dyDescent="0.25">
      <c r="A857" s="7">
        <v>18</v>
      </c>
      <c r="B857" s="6" t="s">
        <v>16</v>
      </c>
      <c r="C857" s="32">
        <v>1.8</v>
      </c>
      <c r="D857" s="6" t="s">
        <v>20</v>
      </c>
      <c r="E857" s="29">
        <v>7.8</v>
      </c>
      <c r="F857" s="13">
        <v>2</v>
      </c>
      <c r="G857" s="31">
        <v>2.67</v>
      </c>
      <c r="H857" s="13">
        <v>0.8</v>
      </c>
      <c r="I857" s="6" t="s">
        <v>15</v>
      </c>
      <c r="J857" s="11">
        <v>4</v>
      </c>
      <c r="K857" s="11">
        <v>6</v>
      </c>
      <c r="L857" s="11">
        <v>3</v>
      </c>
      <c r="M857" s="15">
        <v>0</v>
      </c>
      <c r="R857" s="20">
        <v>0</v>
      </c>
      <c r="U857" s="17">
        <v>0</v>
      </c>
      <c r="W857" s="23">
        <v>0</v>
      </c>
      <c r="Y857" s="26">
        <v>0</v>
      </c>
    </row>
    <row r="858" spans="1:25" x14ac:dyDescent="0.25">
      <c r="A858" s="7">
        <v>19</v>
      </c>
      <c r="B858" s="6" t="s">
        <v>13</v>
      </c>
      <c r="C858" s="32">
        <v>4.8</v>
      </c>
      <c r="D858" s="6" t="s">
        <v>20</v>
      </c>
      <c r="E858" s="29">
        <v>7.5</v>
      </c>
      <c r="F858" s="13">
        <v>1</v>
      </c>
      <c r="G858" s="31">
        <v>2.68</v>
      </c>
      <c r="H858" s="13">
        <v>1.5</v>
      </c>
      <c r="I858" s="6" t="s">
        <v>15</v>
      </c>
      <c r="J858" s="11">
        <v>9</v>
      </c>
      <c r="K858" s="11">
        <v>4</v>
      </c>
      <c r="L858" s="11">
        <v>6</v>
      </c>
      <c r="M858" s="15">
        <v>0</v>
      </c>
      <c r="R858" s="20">
        <v>0</v>
      </c>
      <c r="U858" s="17">
        <v>0</v>
      </c>
      <c r="W858" s="23">
        <v>0</v>
      </c>
      <c r="Y858" s="26">
        <v>0</v>
      </c>
    </row>
    <row r="859" spans="1:25" x14ac:dyDescent="0.25">
      <c r="A859" s="7">
        <v>19</v>
      </c>
      <c r="B859" s="6" t="s">
        <v>13</v>
      </c>
      <c r="C859" s="32">
        <v>2.1</v>
      </c>
      <c r="D859" s="6" t="s">
        <v>20</v>
      </c>
      <c r="E859" s="29">
        <v>5.6</v>
      </c>
      <c r="F859" s="13">
        <v>2.4</v>
      </c>
      <c r="G859" s="31">
        <v>3.56</v>
      </c>
      <c r="H859" s="13">
        <v>1</v>
      </c>
      <c r="I859" s="6" t="s">
        <v>18</v>
      </c>
      <c r="J859" s="11">
        <v>9</v>
      </c>
      <c r="K859" s="11">
        <v>3</v>
      </c>
      <c r="L859" s="11">
        <v>4</v>
      </c>
      <c r="M859" s="15">
        <v>0</v>
      </c>
      <c r="R859" s="20">
        <v>0</v>
      </c>
      <c r="U859" s="17">
        <v>0</v>
      </c>
      <c r="W859" s="23">
        <v>0</v>
      </c>
      <c r="Y859" s="26">
        <v>0</v>
      </c>
    </row>
    <row r="860" spans="1:25" x14ac:dyDescent="0.25">
      <c r="A860" s="7">
        <v>15</v>
      </c>
      <c r="B860" s="6" t="s">
        <v>13</v>
      </c>
      <c r="C860" s="32">
        <v>4.4000000000000004</v>
      </c>
      <c r="D860" s="6" t="s">
        <v>14</v>
      </c>
      <c r="E860" s="29">
        <v>6</v>
      </c>
      <c r="F860" s="13">
        <v>0.5</v>
      </c>
      <c r="G860" s="31">
        <v>3.33</v>
      </c>
      <c r="H860" s="13">
        <v>0.7</v>
      </c>
      <c r="I860" s="6" t="s">
        <v>19</v>
      </c>
      <c r="J860" s="11">
        <v>1</v>
      </c>
      <c r="K860" s="11">
        <v>6</v>
      </c>
      <c r="L860" s="11">
        <v>10</v>
      </c>
      <c r="M860" s="15">
        <v>0</v>
      </c>
      <c r="R860" s="20">
        <v>0</v>
      </c>
      <c r="U860" s="17">
        <v>0</v>
      </c>
      <c r="W860" s="23">
        <v>0</v>
      </c>
      <c r="Y860" s="26">
        <v>0</v>
      </c>
    </row>
    <row r="861" spans="1:25" x14ac:dyDescent="0.25">
      <c r="A861" s="7">
        <v>14</v>
      </c>
      <c r="B861" s="6" t="s">
        <v>13</v>
      </c>
      <c r="C861" s="32">
        <v>2.8</v>
      </c>
      <c r="D861" s="6" t="s">
        <v>20</v>
      </c>
      <c r="E861" s="29">
        <v>4.3</v>
      </c>
      <c r="F861" s="13">
        <v>3</v>
      </c>
      <c r="G861" s="31">
        <v>2.14</v>
      </c>
      <c r="H861" s="13">
        <v>1.9</v>
      </c>
      <c r="I861" s="6" t="s">
        <v>19</v>
      </c>
      <c r="J861" s="11">
        <v>9</v>
      </c>
      <c r="K861" s="11">
        <v>3</v>
      </c>
      <c r="L861" s="11">
        <v>7</v>
      </c>
      <c r="M861" s="15">
        <v>0</v>
      </c>
      <c r="R861" s="20">
        <v>0</v>
      </c>
      <c r="U861" s="17">
        <v>0</v>
      </c>
      <c r="W861" s="23">
        <v>0</v>
      </c>
      <c r="Y861" s="26">
        <v>0</v>
      </c>
    </row>
    <row r="862" spans="1:25" x14ac:dyDescent="0.25">
      <c r="A862" s="7">
        <v>15</v>
      </c>
      <c r="B862" s="6" t="s">
        <v>13</v>
      </c>
      <c r="C862" s="32">
        <v>3.5</v>
      </c>
      <c r="D862" s="6" t="s">
        <v>17</v>
      </c>
      <c r="E862" s="29">
        <v>4.5</v>
      </c>
      <c r="F862" s="13">
        <v>2.7</v>
      </c>
      <c r="G862" s="31">
        <v>2.4700000000000002</v>
      </c>
      <c r="H862" s="13">
        <v>1.4</v>
      </c>
      <c r="I862" s="6" t="s">
        <v>15</v>
      </c>
      <c r="J862" s="11">
        <v>1</v>
      </c>
      <c r="K862" s="11">
        <v>5</v>
      </c>
      <c r="L862" s="11">
        <v>10</v>
      </c>
      <c r="M862" s="15">
        <v>0</v>
      </c>
      <c r="R862" s="20">
        <v>0</v>
      </c>
      <c r="U862" s="17">
        <v>0</v>
      </c>
      <c r="W862" s="23">
        <v>0</v>
      </c>
      <c r="Y862" s="26">
        <v>0</v>
      </c>
    </row>
    <row r="863" spans="1:25" x14ac:dyDescent="0.25">
      <c r="A863" s="7">
        <v>15</v>
      </c>
      <c r="B863" s="6" t="s">
        <v>13</v>
      </c>
      <c r="C863" s="32">
        <v>6.8</v>
      </c>
      <c r="D863" s="6" t="s">
        <v>20</v>
      </c>
      <c r="E863" s="29">
        <v>6.6</v>
      </c>
      <c r="F863" s="13">
        <v>2.1</v>
      </c>
      <c r="G863" s="31">
        <v>3.43</v>
      </c>
      <c r="H863" s="13">
        <v>1.7</v>
      </c>
      <c r="I863" s="6" t="s">
        <v>15</v>
      </c>
      <c r="J863" s="11">
        <v>10</v>
      </c>
      <c r="K863" s="11">
        <v>10</v>
      </c>
      <c r="L863" s="11">
        <v>8</v>
      </c>
      <c r="M863" s="15">
        <v>0</v>
      </c>
      <c r="R863" s="20">
        <v>0</v>
      </c>
      <c r="U863" s="17">
        <v>0</v>
      </c>
      <c r="W863" s="23">
        <v>0</v>
      </c>
      <c r="Y863" s="26">
        <v>0</v>
      </c>
    </row>
    <row r="864" spans="1:25" x14ac:dyDescent="0.25">
      <c r="A864" s="7">
        <v>14</v>
      </c>
      <c r="B864" s="6" t="s">
        <v>13</v>
      </c>
      <c r="C864" s="32">
        <v>7</v>
      </c>
      <c r="D864" s="6" t="s">
        <v>14</v>
      </c>
      <c r="E864" s="29">
        <v>5.2</v>
      </c>
      <c r="F864" s="13">
        <v>1.4</v>
      </c>
      <c r="G864" s="31">
        <v>3.27</v>
      </c>
      <c r="H864" s="13">
        <v>1.7</v>
      </c>
      <c r="I864" s="6" t="s">
        <v>19</v>
      </c>
      <c r="J864" s="11">
        <v>5</v>
      </c>
      <c r="K864" s="11">
        <v>7</v>
      </c>
      <c r="L864" s="11">
        <v>8</v>
      </c>
      <c r="M864" s="15">
        <v>0</v>
      </c>
      <c r="R864" s="20">
        <v>0</v>
      </c>
      <c r="U864" s="17">
        <v>0</v>
      </c>
      <c r="W864" s="23">
        <v>0</v>
      </c>
      <c r="Y864" s="26">
        <v>0</v>
      </c>
    </row>
    <row r="865" spans="1:25" x14ac:dyDescent="0.25">
      <c r="A865" s="7">
        <v>17</v>
      </c>
      <c r="B865" s="6" t="s">
        <v>16</v>
      </c>
      <c r="C865" s="32">
        <v>7.5</v>
      </c>
      <c r="D865" s="6" t="s">
        <v>20</v>
      </c>
      <c r="E865" s="29">
        <v>8.1</v>
      </c>
      <c r="F865" s="13">
        <v>2.8</v>
      </c>
      <c r="G865" s="31">
        <v>2.58</v>
      </c>
      <c r="H865" s="13">
        <v>0.5</v>
      </c>
      <c r="I865" s="6" t="s">
        <v>19</v>
      </c>
      <c r="J865" s="11">
        <v>2</v>
      </c>
      <c r="K865" s="11">
        <v>2</v>
      </c>
      <c r="L865" s="11">
        <v>3</v>
      </c>
      <c r="M865" s="15">
        <v>0</v>
      </c>
      <c r="R865" s="20">
        <v>0</v>
      </c>
      <c r="U865" s="17">
        <v>0</v>
      </c>
      <c r="W865" s="23">
        <v>0</v>
      </c>
      <c r="Y865" s="26">
        <v>0</v>
      </c>
    </row>
    <row r="866" spans="1:25" x14ac:dyDescent="0.25">
      <c r="A866" s="7">
        <v>17</v>
      </c>
      <c r="B866" s="6" t="s">
        <v>16</v>
      </c>
      <c r="C866" s="32">
        <v>2.5</v>
      </c>
      <c r="D866" s="6" t="s">
        <v>14</v>
      </c>
      <c r="E866" s="29">
        <v>4.4000000000000004</v>
      </c>
      <c r="F866" s="13">
        <v>2</v>
      </c>
      <c r="G866" s="31">
        <v>3.29</v>
      </c>
      <c r="H866" s="13">
        <v>0.7</v>
      </c>
      <c r="I866" s="6" t="s">
        <v>15</v>
      </c>
      <c r="J866" s="11">
        <v>4</v>
      </c>
      <c r="K866" s="11">
        <v>6</v>
      </c>
      <c r="L866" s="11">
        <v>5</v>
      </c>
      <c r="M866" s="15">
        <v>0</v>
      </c>
      <c r="R866" s="20">
        <v>0</v>
      </c>
      <c r="U866" s="17">
        <v>0</v>
      </c>
      <c r="W866" s="23">
        <v>0</v>
      </c>
      <c r="Y866" s="26">
        <v>0</v>
      </c>
    </row>
    <row r="867" spans="1:25" x14ac:dyDescent="0.25">
      <c r="A867" s="7">
        <v>15</v>
      </c>
      <c r="B867" s="6" t="s">
        <v>13</v>
      </c>
      <c r="C867" s="32">
        <v>6.5</v>
      </c>
      <c r="D867" s="6" t="s">
        <v>17</v>
      </c>
      <c r="E867" s="29">
        <v>5.4</v>
      </c>
      <c r="F867" s="13">
        <v>2.1</v>
      </c>
      <c r="G867" s="31">
        <v>3.44</v>
      </c>
      <c r="H867" s="13">
        <v>1.8</v>
      </c>
      <c r="I867" s="6" t="s">
        <v>15</v>
      </c>
      <c r="J867" s="11">
        <v>7</v>
      </c>
      <c r="K867" s="11">
        <v>3</v>
      </c>
      <c r="L867" s="11">
        <v>6</v>
      </c>
      <c r="M867" s="15">
        <v>0</v>
      </c>
      <c r="R867" s="20">
        <v>0</v>
      </c>
      <c r="U867" s="17">
        <v>0</v>
      </c>
      <c r="W867" s="23">
        <v>0</v>
      </c>
      <c r="Y867" s="26">
        <v>0</v>
      </c>
    </row>
    <row r="868" spans="1:25" x14ac:dyDescent="0.25">
      <c r="A868" s="7">
        <v>13</v>
      </c>
      <c r="B868" s="6" t="s">
        <v>13</v>
      </c>
      <c r="C868" s="32">
        <v>7.7</v>
      </c>
      <c r="D868" s="6" t="s">
        <v>14</v>
      </c>
      <c r="E868" s="29">
        <v>4.4000000000000004</v>
      </c>
      <c r="F868" s="13">
        <v>2</v>
      </c>
      <c r="G868" s="31">
        <v>3.09</v>
      </c>
      <c r="H868" s="13">
        <v>1</v>
      </c>
      <c r="I868" s="6" t="s">
        <v>18</v>
      </c>
      <c r="J868" s="11">
        <v>8</v>
      </c>
      <c r="K868" s="11">
        <v>7</v>
      </c>
      <c r="L868" s="11">
        <v>8</v>
      </c>
      <c r="M868" s="15">
        <v>1</v>
      </c>
      <c r="R868" s="20">
        <v>1</v>
      </c>
      <c r="U868" s="17">
        <v>1</v>
      </c>
      <c r="W868" s="23">
        <v>1</v>
      </c>
      <c r="Y868" s="26">
        <v>1</v>
      </c>
    </row>
    <row r="869" spans="1:25" x14ac:dyDescent="0.25">
      <c r="A869" s="7">
        <v>18</v>
      </c>
      <c r="B869" s="6" t="s">
        <v>16</v>
      </c>
      <c r="C869" s="32">
        <v>3.2</v>
      </c>
      <c r="D869" s="6" t="s">
        <v>20</v>
      </c>
      <c r="E869" s="29">
        <v>7.8</v>
      </c>
      <c r="F869" s="13">
        <v>0.7</v>
      </c>
      <c r="G869" s="31">
        <v>3.46</v>
      </c>
      <c r="H869" s="13">
        <v>1.3</v>
      </c>
      <c r="I869" s="6" t="s">
        <v>15</v>
      </c>
      <c r="J869" s="11">
        <v>5</v>
      </c>
      <c r="K869" s="11">
        <v>10</v>
      </c>
      <c r="L869" s="11">
        <v>6</v>
      </c>
      <c r="M869" s="15">
        <v>0</v>
      </c>
      <c r="R869" s="20">
        <v>0</v>
      </c>
      <c r="U869" s="17">
        <v>0</v>
      </c>
      <c r="W869" s="23">
        <v>0</v>
      </c>
      <c r="Y869" s="26">
        <v>0</v>
      </c>
    </row>
    <row r="870" spans="1:25" x14ac:dyDescent="0.25">
      <c r="A870" s="7">
        <v>16</v>
      </c>
      <c r="B870" s="6" t="s">
        <v>16</v>
      </c>
      <c r="C870" s="32">
        <v>5.3</v>
      </c>
      <c r="D870" s="6" t="s">
        <v>17</v>
      </c>
      <c r="E870" s="29">
        <v>4.3</v>
      </c>
      <c r="F870" s="13">
        <v>1.5</v>
      </c>
      <c r="G870" s="31">
        <v>2.54</v>
      </c>
      <c r="H870" s="13">
        <v>0.3</v>
      </c>
      <c r="I870" s="6" t="s">
        <v>18</v>
      </c>
      <c r="J870" s="11">
        <v>7</v>
      </c>
      <c r="K870" s="11">
        <v>7</v>
      </c>
      <c r="L870" s="11">
        <v>10</v>
      </c>
      <c r="M870" s="15">
        <v>1</v>
      </c>
      <c r="R870" s="20">
        <v>1</v>
      </c>
      <c r="U870" s="17">
        <v>1</v>
      </c>
      <c r="W870" s="23">
        <v>1</v>
      </c>
      <c r="Y870" s="26">
        <v>1</v>
      </c>
    </row>
    <row r="871" spans="1:25" x14ac:dyDescent="0.25">
      <c r="A871" s="7">
        <v>14</v>
      </c>
      <c r="B871" s="6" t="s">
        <v>13</v>
      </c>
      <c r="C871" s="32">
        <v>5</v>
      </c>
      <c r="D871" s="6" t="s">
        <v>17</v>
      </c>
      <c r="E871" s="29">
        <v>5.2</v>
      </c>
      <c r="F871" s="13">
        <v>0.5</v>
      </c>
      <c r="G871" s="31">
        <v>3.55</v>
      </c>
      <c r="H871" s="13">
        <v>0.4</v>
      </c>
      <c r="I871" s="6" t="s">
        <v>15</v>
      </c>
      <c r="J871" s="11">
        <v>10</v>
      </c>
      <c r="K871" s="11">
        <v>6</v>
      </c>
      <c r="L871" s="11">
        <v>8</v>
      </c>
      <c r="M871" s="15">
        <v>0</v>
      </c>
      <c r="R871" s="20">
        <v>0</v>
      </c>
      <c r="U871" s="17">
        <v>0</v>
      </c>
      <c r="W871" s="23">
        <v>0</v>
      </c>
      <c r="Y871" s="26">
        <v>0</v>
      </c>
    </row>
    <row r="872" spans="1:25" x14ac:dyDescent="0.25">
      <c r="A872" s="7">
        <v>19</v>
      </c>
      <c r="B872" s="6" t="s">
        <v>13</v>
      </c>
      <c r="C872" s="32">
        <v>6.1</v>
      </c>
      <c r="D872" s="6" t="s">
        <v>14</v>
      </c>
      <c r="E872" s="29">
        <v>7.1</v>
      </c>
      <c r="F872" s="13">
        <v>2.2999999999999998</v>
      </c>
      <c r="G872" s="31">
        <v>3.22</v>
      </c>
      <c r="H872" s="13">
        <v>0.5</v>
      </c>
      <c r="I872" s="6" t="s">
        <v>15</v>
      </c>
      <c r="J872" s="11">
        <v>4</v>
      </c>
      <c r="K872" s="11">
        <v>3</v>
      </c>
      <c r="L872" s="11">
        <v>7</v>
      </c>
      <c r="M872" s="15">
        <v>0</v>
      </c>
      <c r="R872" s="20">
        <v>0</v>
      </c>
      <c r="U872" s="17">
        <v>0</v>
      </c>
      <c r="W872" s="23">
        <v>0</v>
      </c>
      <c r="Y872" s="26">
        <v>0</v>
      </c>
    </row>
    <row r="873" spans="1:25" x14ac:dyDescent="0.25">
      <c r="A873" s="7">
        <v>17</v>
      </c>
      <c r="B873" s="6" t="s">
        <v>13</v>
      </c>
      <c r="C873" s="32">
        <v>4.2</v>
      </c>
      <c r="D873" s="6" t="s">
        <v>17</v>
      </c>
      <c r="E873" s="29">
        <v>7.3</v>
      </c>
      <c r="F873" s="13">
        <v>2.6</v>
      </c>
      <c r="G873" s="31">
        <v>3.2</v>
      </c>
      <c r="H873" s="13">
        <v>0.2</v>
      </c>
      <c r="I873" s="6" t="s">
        <v>18</v>
      </c>
      <c r="J873" s="11">
        <v>7</v>
      </c>
      <c r="K873" s="11">
        <v>1</v>
      </c>
      <c r="L873" s="11">
        <v>3</v>
      </c>
      <c r="M873" s="15">
        <v>0</v>
      </c>
      <c r="R873" s="20">
        <v>0</v>
      </c>
      <c r="U873" s="17">
        <v>0</v>
      </c>
      <c r="W873" s="23">
        <v>0</v>
      </c>
      <c r="Y873" s="26">
        <v>0</v>
      </c>
    </row>
    <row r="874" spans="1:25" x14ac:dyDescent="0.25">
      <c r="A874" s="7">
        <v>15</v>
      </c>
      <c r="B874" s="6" t="s">
        <v>13</v>
      </c>
      <c r="C874" s="32">
        <v>4.7</v>
      </c>
      <c r="D874" s="6" t="s">
        <v>14</v>
      </c>
      <c r="E874" s="29">
        <v>8.1999999999999993</v>
      </c>
      <c r="F874" s="13">
        <v>2.2999999999999998</v>
      </c>
      <c r="G874" s="31">
        <v>3.35</v>
      </c>
      <c r="H874" s="13">
        <v>0.6</v>
      </c>
      <c r="I874" s="6" t="s">
        <v>15</v>
      </c>
      <c r="J874" s="11">
        <v>6</v>
      </c>
      <c r="K874" s="11">
        <v>2</v>
      </c>
      <c r="L874" s="11">
        <v>5</v>
      </c>
      <c r="M874" s="15">
        <v>0</v>
      </c>
      <c r="R874" s="20">
        <v>0</v>
      </c>
      <c r="U874" s="17">
        <v>0</v>
      </c>
      <c r="W874" s="23">
        <v>0</v>
      </c>
      <c r="Y874" s="26">
        <v>0</v>
      </c>
    </row>
    <row r="875" spans="1:25" x14ac:dyDescent="0.25">
      <c r="A875" s="7">
        <v>18</v>
      </c>
      <c r="B875" s="6" t="s">
        <v>13</v>
      </c>
      <c r="C875" s="32">
        <v>1.6</v>
      </c>
      <c r="D875" s="6" t="s">
        <v>17</v>
      </c>
      <c r="E875" s="29">
        <v>5.8</v>
      </c>
      <c r="F875" s="13">
        <v>0.6</v>
      </c>
      <c r="G875" s="31">
        <v>3.63</v>
      </c>
      <c r="H875" s="13">
        <v>1.1000000000000001</v>
      </c>
      <c r="I875" s="6" t="s">
        <v>18</v>
      </c>
      <c r="J875" s="11">
        <v>6</v>
      </c>
      <c r="K875" s="11">
        <v>9</v>
      </c>
      <c r="L875" s="11">
        <v>7</v>
      </c>
      <c r="M875" s="15">
        <v>0</v>
      </c>
      <c r="R875" s="20">
        <v>0</v>
      </c>
      <c r="U875" s="17">
        <v>0</v>
      </c>
      <c r="W875" s="23">
        <v>0</v>
      </c>
      <c r="Y875" s="26">
        <v>0</v>
      </c>
    </row>
    <row r="876" spans="1:25" x14ac:dyDescent="0.25">
      <c r="A876" s="7">
        <v>14</v>
      </c>
      <c r="B876" s="6" t="s">
        <v>16</v>
      </c>
      <c r="C876" s="32">
        <v>1.7</v>
      </c>
      <c r="D876" s="6" t="s">
        <v>17</v>
      </c>
      <c r="E876" s="29">
        <v>6.5</v>
      </c>
      <c r="F876" s="13">
        <v>2.7</v>
      </c>
      <c r="G876" s="31">
        <v>2.06</v>
      </c>
      <c r="H876" s="13">
        <v>0.1</v>
      </c>
      <c r="I876" s="6" t="s">
        <v>19</v>
      </c>
      <c r="J876" s="11">
        <v>9</v>
      </c>
      <c r="K876" s="11">
        <v>5</v>
      </c>
      <c r="L876" s="11">
        <v>9</v>
      </c>
      <c r="M876" s="15">
        <v>0</v>
      </c>
      <c r="R876" s="20">
        <v>0</v>
      </c>
      <c r="U876" s="17">
        <v>0</v>
      </c>
      <c r="W876" s="23">
        <v>0</v>
      </c>
      <c r="Y876" s="26">
        <v>0</v>
      </c>
    </row>
    <row r="877" spans="1:25" x14ac:dyDescent="0.25">
      <c r="A877" s="7">
        <v>18</v>
      </c>
      <c r="B877" s="6" t="s">
        <v>13</v>
      </c>
      <c r="C877" s="32">
        <v>4.5999999999999996</v>
      </c>
      <c r="D877" s="6" t="s">
        <v>14</v>
      </c>
      <c r="E877" s="29">
        <v>4.0999999999999996</v>
      </c>
      <c r="F877" s="13">
        <v>1.4</v>
      </c>
      <c r="G877" s="31">
        <v>2.2799999999999998</v>
      </c>
      <c r="H877" s="13">
        <v>0.4</v>
      </c>
      <c r="I877" s="6" t="s">
        <v>19</v>
      </c>
      <c r="J877" s="11">
        <v>4</v>
      </c>
      <c r="K877" s="11">
        <v>10</v>
      </c>
      <c r="L877" s="11">
        <v>10</v>
      </c>
      <c r="M877" s="15">
        <v>0</v>
      </c>
      <c r="R877" s="20">
        <v>0</v>
      </c>
      <c r="U877" s="17">
        <v>0</v>
      </c>
      <c r="W877" s="23">
        <v>0</v>
      </c>
      <c r="Y877" s="26">
        <v>0</v>
      </c>
    </row>
    <row r="878" spans="1:25" x14ac:dyDescent="0.25">
      <c r="A878" s="7">
        <v>13</v>
      </c>
      <c r="B878" s="6" t="s">
        <v>16</v>
      </c>
      <c r="C878" s="32">
        <v>2.5</v>
      </c>
      <c r="D878" s="6" t="s">
        <v>17</v>
      </c>
      <c r="E878" s="29">
        <v>6.8</v>
      </c>
      <c r="F878" s="13">
        <v>2.8</v>
      </c>
      <c r="G878" s="31">
        <v>2.77</v>
      </c>
      <c r="H878" s="13">
        <v>0.5</v>
      </c>
      <c r="I878" s="6" t="s">
        <v>15</v>
      </c>
      <c r="J878" s="11">
        <v>2</v>
      </c>
      <c r="K878" s="11">
        <v>6</v>
      </c>
      <c r="L878" s="11">
        <v>10</v>
      </c>
      <c r="M878" s="15">
        <v>0</v>
      </c>
      <c r="R878" s="20">
        <v>0</v>
      </c>
      <c r="U878" s="17">
        <v>0</v>
      </c>
      <c r="W878" s="23">
        <v>0</v>
      </c>
      <c r="Y878" s="26">
        <v>0</v>
      </c>
    </row>
    <row r="879" spans="1:25" x14ac:dyDescent="0.25">
      <c r="A879" s="7">
        <v>16</v>
      </c>
      <c r="B879" s="6" t="s">
        <v>16</v>
      </c>
      <c r="C879" s="32">
        <v>4.2</v>
      </c>
      <c r="D879" s="6" t="s">
        <v>17</v>
      </c>
      <c r="E879" s="29">
        <v>6.3</v>
      </c>
      <c r="F879" s="13">
        <v>1.2</v>
      </c>
      <c r="G879" s="31">
        <v>3.72</v>
      </c>
      <c r="H879" s="13">
        <v>1.9</v>
      </c>
      <c r="I879" s="6" t="s">
        <v>15</v>
      </c>
      <c r="J879" s="11">
        <v>5</v>
      </c>
      <c r="K879" s="11">
        <v>3</v>
      </c>
      <c r="L879" s="11">
        <v>7</v>
      </c>
      <c r="M879" s="15">
        <v>0</v>
      </c>
      <c r="R879" s="20">
        <v>0</v>
      </c>
      <c r="U879" s="17">
        <v>0</v>
      </c>
      <c r="W879" s="23">
        <v>0</v>
      </c>
      <c r="Y879" s="26">
        <v>0</v>
      </c>
    </row>
    <row r="880" spans="1:25" x14ac:dyDescent="0.25">
      <c r="A880" s="7">
        <v>19</v>
      </c>
      <c r="B880" s="6" t="s">
        <v>16</v>
      </c>
      <c r="C880" s="32">
        <v>1.2</v>
      </c>
      <c r="D880" s="6" t="s">
        <v>17</v>
      </c>
      <c r="E880" s="29">
        <v>4.8</v>
      </c>
      <c r="F880" s="13">
        <v>1.7</v>
      </c>
      <c r="G880" s="31">
        <v>2.16</v>
      </c>
      <c r="H880" s="13">
        <v>0.6</v>
      </c>
      <c r="I880" s="6" t="s">
        <v>19</v>
      </c>
      <c r="J880" s="11">
        <v>10</v>
      </c>
      <c r="K880" s="11">
        <v>10</v>
      </c>
      <c r="L880" s="11">
        <v>10</v>
      </c>
      <c r="M880" s="15">
        <v>0</v>
      </c>
      <c r="R880" s="20">
        <v>0</v>
      </c>
      <c r="U880" s="17">
        <v>0</v>
      </c>
      <c r="W880" s="23">
        <v>0</v>
      </c>
      <c r="Y880" s="26">
        <v>0</v>
      </c>
    </row>
    <row r="881" spans="1:25" x14ac:dyDescent="0.25">
      <c r="A881" s="7">
        <v>15</v>
      </c>
      <c r="B881" s="6" t="s">
        <v>13</v>
      </c>
      <c r="C881" s="32">
        <v>2.7</v>
      </c>
      <c r="D881" s="6" t="s">
        <v>14</v>
      </c>
      <c r="E881" s="29">
        <v>7.2</v>
      </c>
      <c r="F881" s="13">
        <v>2.9</v>
      </c>
      <c r="G881" s="31">
        <v>3.27</v>
      </c>
      <c r="H881" s="13">
        <v>0.8</v>
      </c>
      <c r="I881" s="6" t="s">
        <v>19</v>
      </c>
      <c r="J881" s="11">
        <v>5</v>
      </c>
      <c r="K881" s="11">
        <v>2</v>
      </c>
      <c r="L881" s="11">
        <v>9</v>
      </c>
      <c r="M881" s="15">
        <v>0</v>
      </c>
      <c r="R881" s="20">
        <v>0</v>
      </c>
      <c r="U881" s="17">
        <v>0</v>
      </c>
      <c r="W881" s="23">
        <v>0</v>
      </c>
      <c r="Y881" s="26">
        <v>0</v>
      </c>
    </row>
    <row r="882" spans="1:25" x14ac:dyDescent="0.25">
      <c r="A882" s="7">
        <v>13</v>
      </c>
      <c r="B882" s="6" t="s">
        <v>13</v>
      </c>
      <c r="C882" s="32">
        <v>1.5</v>
      </c>
      <c r="D882" s="6" t="s">
        <v>20</v>
      </c>
      <c r="E882" s="29">
        <v>5.2</v>
      </c>
      <c r="F882" s="13">
        <v>0.8</v>
      </c>
      <c r="G882" s="31">
        <v>2.16</v>
      </c>
      <c r="H882" s="13">
        <v>0.9</v>
      </c>
      <c r="I882" s="6" t="s">
        <v>19</v>
      </c>
      <c r="J882" s="11">
        <v>10</v>
      </c>
      <c r="K882" s="11">
        <v>6</v>
      </c>
      <c r="L882" s="11">
        <v>8</v>
      </c>
      <c r="M882" s="15">
        <v>0</v>
      </c>
      <c r="R882" s="20">
        <v>0</v>
      </c>
      <c r="U882" s="17">
        <v>0</v>
      </c>
      <c r="W882" s="23">
        <v>0</v>
      </c>
      <c r="Y882" s="26">
        <v>0</v>
      </c>
    </row>
    <row r="883" spans="1:25" x14ac:dyDescent="0.25">
      <c r="A883" s="7">
        <v>15</v>
      </c>
      <c r="B883" s="6" t="s">
        <v>13</v>
      </c>
      <c r="C883" s="32">
        <v>3.2</v>
      </c>
      <c r="D883" s="6" t="s">
        <v>14</v>
      </c>
      <c r="E883" s="29">
        <v>5.6</v>
      </c>
      <c r="F883" s="13">
        <v>0.7</v>
      </c>
      <c r="G883" s="31">
        <v>3.1</v>
      </c>
      <c r="H883" s="13">
        <v>1.5</v>
      </c>
      <c r="I883" s="6" t="s">
        <v>18</v>
      </c>
      <c r="J883" s="11">
        <v>6</v>
      </c>
      <c r="K883" s="11">
        <v>3</v>
      </c>
      <c r="L883" s="11">
        <v>1</v>
      </c>
      <c r="M883" s="15">
        <v>0</v>
      </c>
      <c r="R883" s="20">
        <v>0</v>
      </c>
      <c r="U883" s="17">
        <v>0</v>
      </c>
      <c r="W883" s="23">
        <v>0</v>
      </c>
      <c r="Y883" s="26">
        <v>0</v>
      </c>
    </row>
    <row r="884" spans="1:25" x14ac:dyDescent="0.25">
      <c r="A884" s="7">
        <v>19</v>
      </c>
      <c r="B884" s="6" t="s">
        <v>16</v>
      </c>
      <c r="C884" s="32">
        <v>7.3</v>
      </c>
      <c r="D884" s="6" t="s">
        <v>20</v>
      </c>
      <c r="E884" s="29">
        <v>7.4</v>
      </c>
      <c r="F884" s="13">
        <v>1.5</v>
      </c>
      <c r="G884" s="31">
        <v>2.84</v>
      </c>
      <c r="H884" s="13">
        <v>1</v>
      </c>
      <c r="I884" s="6" t="s">
        <v>19</v>
      </c>
      <c r="J884" s="11">
        <v>9</v>
      </c>
      <c r="K884" s="11">
        <v>8</v>
      </c>
      <c r="L884" s="11">
        <v>5</v>
      </c>
      <c r="M884" s="15">
        <v>0</v>
      </c>
      <c r="R884" s="20">
        <v>0</v>
      </c>
      <c r="U884" s="17">
        <v>0</v>
      </c>
      <c r="W884" s="23">
        <v>0</v>
      </c>
      <c r="Y884" s="26">
        <v>0</v>
      </c>
    </row>
    <row r="885" spans="1:25" x14ac:dyDescent="0.25">
      <c r="A885" s="7">
        <v>16</v>
      </c>
      <c r="B885" s="6" t="s">
        <v>13</v>
      </c>
      <c r="C885" s="32">
        <v>2</v>
      </c>
      <c r="D885" s="6" t="s">
        <v>14</v>
      </c>
      <c r="E885" s="29">
        <v>8.1999999999999993</v>
      </c>
      <c r="F885" s="13">
        <v>1</v>
      </c>
      <c r="G885" s="31">
        <v>3.15</v>
      </c>
      <c r="H885" s="13">
        <v>0.9</v>
      </c>
      <c r="I885" s="6" t="s">
        <v>19</v>
      </c>
      <c r="J885" s="11">
        <v>9</v>
      </c>
      <c r="K885" s="11">
        <v>7</v>
      </c>
      <c r="L885" s="11">
        <v>10</v>
      </c>
      <c r="M885" s="15">
        <v>0</v>
      </c>
      <c r="R885" s="20">
        <v>0</v>
      </c>
      <c r="U885" s="17">
        <v>0</v>
      </c>
      <c r="W885" s="23">
        <v>0</v>
      </c>
      <c r="Y885" s="26">
        <v>0</v>
      </c>
    </row>
    <row r="886" spans="1:25" x14ac:dyDescent="0.25">
      <c r="A886" s="7">
        <v>19</v>
      </c>
      <c r="B886" s="6" t="s">
        <v>13</v>
      </c>
      <c r="C886" s="32">
        <v>2.5</v>
      </c>
      <c r="D886" s="6" t="s">
        <v>17</v>
      </c>
      <c r="E886" s="29">
        <v>7.1</v>
      </c>
      <c r="F886" s="13">
        <v>1.9</v>
      </c>
      <c r="G886" s="31">
        <v>2.35</v>
      </c>
      <c r="H886" s="13">
        <v>1.1000000000000001</v>
      </c>
      <c r="I886" s="6" t="s">
        <v>15</v>
      </c>
      <c r="J886" s="11">
        <v>4</v>
      </c>
      <c r="K886" s="11">
        <v>4</v>
      </c>
      <c r="L886" s="11">
        <v>8</v>
      </c>
      <c r="M886" s="15">
        <v>0</v>
      </c>
      <c r="R886" s="20">
        <v>0</v>
      </c>
      <c r="U886" s="17">
        <v>0</v>
      </c>
      <c r="W886" s="23">
        <v>0</v>
      </c>
      <c r="Y886" s="26">
        <v>0</v>
      </c>
    </row>
    <row r="887" spans="1:25" x14ac:dyDescent="0.25">
      <c r="A887" s="7">
        <v>16</v>
      </c>
      <c r="B887" s="6" t="s">
        <v>16</v>
      </c>
      <c r="C887" s="32">
        <v>7.7</v>
      </c>
      <c r="D887" s="6" t="s">
        <v>14</v>
      </c>
      <c r="E887" s="29">
        <v>4.7</v>
      </c>
      <c r="F887" s="13">
        <v>2.9</v>
      </c>
      <c r="G887" s="31">
        <v>2.17</v>
      </c>
      <c r="H887" s="13">
        <v>1.2</v>
      </c>
      <c r="I887" s="6" t="s">
        <v>19</v>
      </c>
      <c r="J887" s="11">
        <v>5</v>
      </c>
      <c r="K887" s="11">
        <v>7</v>
      </c>
      <c r="L887" s="11">
        <v>6</v>
      </c>
      <c r="M887" s="15">
        <v>0</v>
      </c>
      <c r="R887" s="20">
        <v>0</v>
      </c>
      <c r="U887" s="17">
        <v>0</v>
      </c>
      <c r="W887" s="23">
        <v>0</v>
      </c>
      <c r="Y887" s="26">
        <v>0</v>
      </c>
    </row>
    <row r="888" spans="1:25" x14ac:dyDescent="0.25">
      <c r="A888" s="7">
        <v>19</v>
      </c>
      <c r="B888" s="6" t="s">
        <v>16</v>
      </c>
      <c r="C888" s="32">
        <v>3.9</v>
      </c>
      <c r="D888" s="6" t="s">
        <v>20</v>
      </c>
      <c r="E888" s="29">
        <v>7.9</v>
      </c>
      <c r="F888" s="13">
        <v>2.1</v>
      </c>
      <c r="G888" s="31">
        <v>3.52</v>
      </c>
      <c r="H888" s="13">
        <v>0.6</v>
      </c>
      <c r="I888" s="6" t="s">
        <v>18</v>
      </c>
      <c r="J888" s="11">
        <v>3</v>
      </c>
      <c r="K888" s="11">
        <v>2</v>
      </c>
      <c r="L888" s="11">
        <v>4</v>
      </c>
      <c r="M888" s="15">
        <v>0</v>
      </c>
      <c r="R888" s="20">
        <v>0</v>
      </c>
      <c r="U888" s="17">
        <v>0</v>
      </c>
      <c r="W888" s="23">
        <v>0</v>
      </c>
      <c r="Y888" s="26">
        <v>0</v>
      </c>
    </row>
    <row r="889" spans="1:25" x14ac:dyDescent="0.25">
      <c r="A889" s="7">
        <v>16</v>
      </c>
      <c r="B889" s="6" t="s">
        <v>16</v>
      </c>
      <c r="C889" s="32">
        <v>3.5</v>
      </c>
      <c r="D889" s="6" t="s">
        <v>17</v>
      </c>
      <c r="E889" s="29">
        <v>6.1</v>
      </c>
      <c r="F889" s="13">
        <v>2.7</v>
      </c>
      <c r="G889" s="31">
        <v>3.83</v>
      </c>
      <c r="H889" s="13">
        <v>0.1</v>
      </c>
      <c r="I889" s="6" t="s">
        <v>19</v>
      </c>
      <c r="J889" s="11">
        <v>4</v>
      </c>
      <c r="K889" s="11">
        <v>5</v>
      </c>
      <c r="L889" s="11">
        <v>10</v>
      </c>
      <c r="M889" s="15">
        <v>0</v>
      </c>
      <c r="R889" s="20">
        <v>0</v>
      </c>
      <c r="U889" s="17">
        <v>0</v>
      </c>
      <c r="W889" s="23">
        <v>0</v>
      </c>
      <c r="Y889" s="26">
        <v>0</v>
      </c>
    </row>
    <row r="890" spans="1:25" x14ac:dyDescent="0.25">
      <c r="A890" s="7">
        <v>17</v>
      </c>
      <c r="B890" s="6" t="s">
        <v>13</v>
      </c>
      <c r="C890" s="32">
        <v>4.9000000000000004</v>
      </c>
      <c r="D890" s="6" t="s">
        <v>14</v>
      </c>
      <c r="E890" s="29">
        <v>6.4</v>
      </c>
      <c r="F890" s="13">
        <v>2.5</v>
      </c>
      <c r="G890" s="31">
        <v>2.64</v>
      </c>
      <c r="H890" s="13">
        <v>1.9</v>
      </c>
      <c r="I890" s="6" t="s">
        <v>19</v>
      </c>
      <c r="J890" s="11">
        <v>6</v>
      </c>
      <c r="K890" s="11">
        <v>2</v>
      </c>
      <c r="L890" s="11">
        <v>10</v>
      </c>
      <c r="M890" s="15">
        <v>0</v>
      </c>
      <c r="R890" s="20">
        <v>0</v>
      </c>
      <c r="U890" s="17">
        <v>0</v>
      </c>
      <c r="W890" s="23">
        <v>0</v>
      </c>
      <c r="Y890" s="26">
        <v>0</v>
      </c>
    </row>
    <row r="891" spans="1:25" x14ac:dyDescent="0.25">
      <c r="A891" s="7">
        <v>14</v>
      </c>
      <c r="B891" s="6" t="s">
        <v>13</v>
      </c>
      <c r="C891" s="32">
        <v>3.4</v>
      </c>
      <c r="D891" s="6" t="s">
        <v>20</v>
      </c>
      <c r="E891" s="29">
        <v>5.8</v>
      </c>
      <c r="F891" s="13">
        <v>3</v>
      </c>
      <c r="G891" s="31">
        <v>3.32</v>
      </c>
      <c r="H891" s="13">
        <v>0.6</v>
      </c>
      <c r="I891" s="6" t="s">
        <v>19</v>
      </c>
      <c r="J891" s="11">
        <v>1</v>
      </c>
      <c r="K891" s="11">
        <v>4</v>
      </c>
      <c r="L891" s="11">
        <v>4</v>
      </c>
      <c r="M891" s="15">
        <v>0</v>
      </c>
      <c r="R891" s="20">
        <v>0</v>
      </c>
      <c r="U891" s="17">
        <v>0</v>
      </c>
      <c r="W891" s="23">
        <v>0</v>
      </c>
      <c r="Y891" s="26">
        <v>0</v>
      </c>
    </row>
    <row r="892" spans="1:25" x14ac:dyDescent="0.25">
      <c r="A892" s="7">
        <v>18</v>
      </c>
      <c r="B892" s="6" t="s">
        <v>13</v>
      </c>
      <c r="C892" s="32">
        <v>2.5</v>
      </c>
      <c r="D892" s="6" t="s">
        <v>17</v>
      </c>
      <c r="E892" s="29">
        <v>4.5999999999999996</v>
      </c>
      <c r="F892" s="13">
        <v>2.2000000000000002</v>
      </c>
      <c r="G892" s="31">
        <v>2.0499999999999998</v>
      </c>
      <c r="H892" s="13">
        <v>0.7</v>
      </c>
      <c r="I892" s="6" t="s">
        <v>19</v>
      </c>
      <c r="J892" s="11">
        <v>9</v>
      </c>
      <c r="K892" s="11">
        <v>5</v>
      </c>
      <c r="L892" s="11">
        <v>10</v>
      </c>
      <c r="M892" s="15">
        <v>0</v>
      </c>
      <c r="R892" s="20">
        <v>0</v>
      </c>
      <c r="U892" s="17">
        <v>0</v>
      </c>
      <c r="W892" s="23">
        <v>0</v>
      </c>
      <c r="Y892" s="26">
        <v>0</v>
      </c>
    </row>
    <row r="893" spans="1:25" x14ac:dyDescent="0.25">
      <c r="A893" s="7">
        <v>16</v>
      </c>
      <c r="B893" s="6" t="s">
        <v>13</v>
      </c>
      <c r="C893" s="32">
        <v>4.8</v>
      </c>
      <c r="D893" s="6" t="s">
        <v>20</v>
      </c>
      <c r="E893" s="29">
        <v>5.4</v>
      </c>
      <c r="F893" s="13">
        <v>0.9</v>
      </c>
      <c r="G893" s="31">
        <v>2.06</v>
      </c>
      <c r="H893" s="13">
        <v>1.9</v>
      </c>
      <c r="I893" s="6" t="s">
        <v>15</v>
      </c>
      <c r="J893" s="11">
        <v>8</v>
      </c>
      <c r="K893" s="11">
        <v>3</v>
      </c>
      <c r="L893" s="11">
        <v>2</v>
      </c>
      <c r="M893" s="15">
        <v>0</v>
      </c>
      <c r="R893" s="20">
        <v>0</v>
      </c>
      <c r="U893" s="17">
        <v>0</v>
      </c>
      <c r="W893" s="23">
        <v>0</v>
      </c>
      <c r="Y893" s="26">
        <v>0</v>
      </c>
    </row>
    <row r="894" spans="1:25" x14ac:dyDescent="0.25">
      <c r="A894" s="7">
        <v>19</v>
      </c>
      <c r="B894" s="6" t="s">
        <v>13</v>
      </c>
      <c r="C894" s="32">
        <v>7.4</v>
      </c>
      <c r="D894" s="6" t="s">
        <v>17</v>
      </c>
      <c r="E894" s="29">
        <v>6.1</v>
      </c>
      <c r="F894" s="13">
        <v>1.1000000000000001</v>
      </c>
      <c r="G894" s="31">
        <v>2.15</v>
      </c>
      <c r="H894" s="13">
        <v>1.6</v>
      </c>
      <c r="I894" s="6" t="s">
        <v>18</v>
      </c>
      <c r="J894" s="11">
        <v>4</v>
      </c>
      <c r="K894" s="11">
        <v>4</v>
      </c>
      <c r="L894" s="11">
        <v>1</v>
      </c>
      <c r="M894" s="15">
        <v>0</v>
      </c>
      <c r="R894" s="20">
        <v>0</v>
      </c>
      <c r="U894" s="17">
        <v>0</v>
      </c>
      <c r="W894" s="23">
        <v>0</v>
      </c>
      <c r="Y894" s="26">
        <v>0</v>
      </c>
    </row>
    <row r="895" spans="1:25" x14ac:dyDescent="0.25">
      <c r="A895" s="7">
        <v>16</v>
      </c>
      <c r="B895" s="6" t="s">
        <v>16</v>
      </c>
      <c r="C895" s="32">
        <v>2.1</v>
      </c>
      <c r="D895" s="6" t="s">
        <v>14</v>
      </c>
      <c r="E895" s="29">
        <v>4.8</v>
      </c>
      <c r="F895" s="13">
        <v>1.3</v>
      </c>
      <c r="G895" s="31">
        <v>2.29</v>
      </c>
      <c r="H895" s="13">
        <v>1.8</v>
      </c>
      <c r="I895" s="6" t="s">
        <v>18</v>
      </c>
      <c r="J895" s="11">
        <v>6</v>
      </c>
      <c r="K895" s="11">
        <v>9</v>
      </c>
      <c r="L895" s="11">
        <v>2</v>
      </c>
      <c r="M895" s="15">
        <v>0</v>
      </c>
      <c r="R895" s="20">
        <v>0</v>
      </c>
      <c r="U895" s="17">
        <v>0</v>
      </c>
      <c r="W895" s="23">
        <v>0</v>
      </c>
      <c r="Y895" s="26">
        <v>0</v>
      </c>
    </row>
    <row r="896" spans="1:25" x14ac:dyDescent="0.25">
      <c r="A896" s="7">
        <v>19</v>
      </c>
      <c r="B896" s="6" t="s">
        <v>13</v>
      </c>
      <c r="C896" s="32">
        <v>2.1</v>
      </c>
      <c r="D896" s="6" t="s">
        <v>17</v>
      </c>
      <c r="E896" s="29">
        <v>6.8</v>
      </c>
      <c r="F896" s="13">
        <v>2.2000000000000002</v>
      </c>
      <c r="G896" s="31">
        <v>2.33</v>
      </c>
      <c r="H896" s="13">
        <v>1</v>
      </c>
      <c r="I896" s="6" t="s">
        <v>19</v>
      </c>
      <c r="J896" s="11">
        <v>7</v>
      </c>
      <c r="K896" s="11">
        <v>6</v>
      </c>
      <c r="L896" s="11">
        <v>7</v>
      </c>
      <c r="M896" s="15">
        <v>0</v>
      </c>
      <c r="R896" s="20">
        <v>0</v>
      </c>
      <c r="U896" s="17">
        <v>0</v>
      </c>
      <c r="W896" s="23">
        <v>0</v>
      </c>
      <c r="Y896" s="26">
        <v>0</v>
      </c>
    </row>
    <row r="897" spans="1:25" x14ac:dyDescent="0.25">
      <c r="A897" s="7">
        <v>16</v>
      </c>
      <c r="B897" s="6" t="s">
        <v>13</v>
      </c>
      <c r="C897" s="32">
        <v>1.8</v>
      </c>
      <c r="D897" s="6" t="s">
        <v>14</v>
      </c>
      <c r="E897" s="29">
        <v>4.9000000000000004</v>
      </c>
      <c r="F897" s="13">
        <v>2.2999999999999998</v>
      </c>
      <c r="G897" s="31">
        <v>2.67</v>
      </c>
      <c r="H897" s="13">
        <v>1.4</v>
      </c>
      <c r="I897" s="6" t="s">
        <v>19</v>
      </c>
      <c r="J897" s="11">
        <v>3</v>
      </c>
      <c r="K897" s="11">
        <v>8</v>
      </c>
      <c r="L897" s="11">
        <v>6</v>
      </c>
      <c r="M897" s="15">
        <v>0</v>
      </c>
      <c r="R897" s="20">
        <v>0</v>
      </c>
      <c r="U897" s="17">
        <v>0</v>
      </c>
      <c r="W897" s="23">
        <v>0</v>
      </c>
      <c r="Y897" s="26">
        <v>0</v>
      </c>
    </row>
    <row r="898" spans="1:25" x14ac:dyDescent="0.25">
      <c r="A898" s="7">
        <v>18</v>
      </c>
      <c r="B898" s="6" t="s">
        <v>13</v>
      </c>
      <c r="C898" s="32">
        <v>6.8</v>
      </c>
      <c r="D898" s="6" t="s">
        <v>20</v>
      </c>
      <c r="E898" s="29">
        <v>5.4</v>
      </c>
      <c r="F898" s="13">
        <v>0.9</v>
      </c>
      <c r="G898" s="31">
        <v>2.64</v>
      </c>
      <c r="H898" s="13">
        <v>0.3</v>
      </c>
      <c r="I898" s="6" t="s">
        <v>18</v>
      </c>
      <c r="J898" s="11">
        <v>9</v>
      </c>
      <c r="K898" s="11">
        <v>1</v>
      </c>
      <c r="L898" s="11">
        <v>8</v>
      </c>
      <c r="M898" s="15">
        <v>0</v>
      </c>
      <c r="R898" s="20">
        <v>0</v>
      </c>
      <c r="U898" s="17">
        <v>0</v>
      </c>
      <c r="W898" s="23">
        <v>0</v>
      </c>
      <c r="Y898" s="26">
        <v>0</v>
      </c>
    </row>
    <row r="899" spans="1:25" x14ac:dyDescent="0.25">
      <c r="A899" s="7">
        <v>18</v>
      </c>
      <c r="B899" s="6" t="s">
        <v>13</v>
      </c>
      <c r="C899" s="32">
        <v>7.9</v>
      </c>
      <c r="D899" s="6" t="s">
        <v>14</v>
      </c>
      <c r="E899" s="29">
        <v>4.0999999999999996</v>
      </c>
      <c r="F899" s="13">
        <v>2.8</v>
      </c>
      <c r="G899" s="31">
        <v>3.25</v>
      </c>
      <c r="H899" s="13">
        <v>1.4</v>
      </c>
      <c r="I899" s="6" t="s">
        <v>18</v>
      </c>
      <c r="J899" s="11">
        <v>4</v>
      </c>
      <c r="K899" s="11">
        <v>2</v>
      </c>
      <c r="L899" s="11">
        <v>4</v>
      </c>
      <c r="M899" s="15">
        <v>0</v>
      </c>
      <c r="R899" s="20">
        <v>0</v>
      </c>
      <c r="U899" s="17">
        <v>0</v>
      </c>
      <c r="W899" s="23">
        <v>0</v>
      </c>
      <c r="Y899" s="26">
        <v>0</v>
      </c>
    </row>
    <row r="900" spans="1:25" x14ac:dyDescent="0.25">
      <c r="A900" s="7">
        <v>15</v>
      </c>
      <c r="B900" s="6" t="s">
        <v>13</v>
      </c>
      <c r="C900" s="32">
        <v>7.6</v>
      </c>
      <c r="D900" s="6" t="s">
        <v>20</v>
      </c>
      <c r="E900" s="29">
        <v>6</v>
      </c>
      <c r="F900" s="13">
        <v>2.9</v>
      </c>
      <c r="G900" s="31">
        <v>2.72</v>
      </c>
      <c r="H900" s="13">
        <v>1.8</v>
      </c>
      <c r="I900" s="6" t="s">
        <v>18</v>
      </c>
      <c r="J900" s="11">
        <v>1</v>
      </c>
      <c r="K900" s="11">
        <v>9</v>
      </c>
      <c r="L900" s="11">
        <v>6</v>
      </c>
      <c r="M900" s="15">
        <v>0</v>
      </c>
      <c r="R900" s="20">
        <v>0</v>
      </c>
      <c r="U900" s="17">
        <v>0</v>
      </c>
      <c r="W900" s="23">
        <v>0</v>
      </c>
      <c r="Y900" s="26">
        <v>0</v>
      </c>
    </row>
    <row r="901" spans="1:25" x14ac:dyDescent="0.25">
      <c r="A901" s="7">
        <v>18</v>
      </c>
      <c r="B901" s="6" t="s">
        <v>13</v>
      </c>
      <c r="C901" s="32">
        <v>6.1</v>
      </c>
      <c r="D901" s="6" t="s">
        <v>17</v>
      </c>
      <c r="E901" s="29">
        <v>5.8</v>
      </c>
      <c r="F901" s="13">
        <v>1.8</v>
      </c>
      <c r="G901" s="31">
        <v>3.59</v>
      </c>
      <c r="H901" s="13">
        <v>0.2</v>
      </c>
      <c r="I901" s="6" t="s">
        <v>15</v>
      </c>
      <c r="J901" s="11">
        <v>2</v>
      </c>
      <c r="K901" s="11">
        <v>5</v>
      </c>
      <c r="L901" s="11">
        <v>4</v>
      </c>
      <c r="M901" s="15">
        <v>0</v>
      </c>
      <c r="R901" s="20">
        <v>0</v>
      </c>
      <c r="U901" s="17">
        <v>0</v>
      </c>
      <c r="W901" s="23">
        <v>0</v>
      </c>
      <c r="Y901" s="26">
        <v>0</v>
      </c>
    </row>
    <row r="902" spans="1:25" x14ac:dyDescent="0.25">
      <c r="A902" s="7">
        <v>16</v>
      </c>
      <c r="B902" s="6" t="s">
        <v>16</v>
      </c>
      <c r="C902" s="32">
        <v>1.4</v>
      </c>
      <c r="D902" s="6" t="s">
        <v>20</v>
      </c>
      <c r="E902" s="29">
        <v>5.7</v>
      </c>
      <c r="F902" s="13">
        <v>1.8</v>
      </c>
      <c r="G902" s="31">
        <v>2</v>
      </c>
      <c r="H902" s="13">
        <v>1.4</v>
      </c>
      <c r="I902" s="6" t="s">
        <v>15</v>
      </c>
      <c r="J902" s="11">
        <v>4</v>
      </c>
      <c r="K902" s="11">
        <v>8</v>
      </c>
      <c r="L902" s="11">
        <v>7</v>
      </c>
      <c r="M902" s="15">
        <v>0</v>
      </c>
      <c r="R902" s="20">
        <v>0</v>
      </c>
      <c r="U902" s="17">
        <v>0</v>
      </c>
      <c r="W902" s="23">
        <v>0</v>
      </c>
      <c r="Y902" s="26">
        <v>0</v>
      </c>
    </row>
    <row r="903" spans="1:25" x14ac:dyDescent="0.25">
      <c r="A903" s="7">
        <v>19</v>
      </c>
      <c r="B903" s="6" t="s">
        <v>13</v>
      </c>
      <c r="C903" s="32">
        <v>6.3</v>
      </c>
      <c r="D903" s="6" t="s">
        <v>17</v>
      </c>
      <c r="E903" s="29">
        <v>5.7</v>
      </c>
      <c r="F903" s="13">
        <v>1.4</v>
      </c>
      <c r="G903" s="31">
        <v>2.0299999999999998</v>
      </c>
      <c r="H903" s="13">
        <v>1.1000000000000001</v>
      </c>
      <c r="I903" s="6" t="s">
        <v>15</v>
      </c>
      <c r="J903" s="11">
        <v>4</v>
      </c>
      <c r="K903" s="11">
        <v>6</v>
      </c>
      <c r="L903" s="11">
        <v>1</v>
      </c>
      <c r="M903" s="15">
        <v>0</v>
      </c>
      <c r="R903" s="20">
        <v>0</v>
      </c>
      <c r="U903" s="17">
        <v>0</v>
      </c>
      <c r="W903" s="23">
        <v>0</v>
      </c>
      <c r="Y903" s="26">
        <v>0</v>
      </c>
    </row>
    <row r="904" spans="1:25" x14ac:dyDescent="0.25">
      <c r="A904" s="7">
        <v>13</v>
      </c>
      <c r="B904" s="6" t="s">
        <v>13</v>
      </c>
      <c r="C904" s="32">
        <v>1.3</v>
      </c>
      <c r="D904" s="6" t="s">
        <v>14</v>
      </c>
      <c r="E904" s="29">
        <v>5.7</v>
      </c>
      <c r="F904" s="13">
        <v>1.1000000000000001</v>
      </c>
      <c r="G904" s="31">
        <v>3.74</v>
      </c>
      <c r="H904" s="13">
        <v>1.3</v>
      </c>
      <c r="I904" s="6" t="s">
        <v>15</v>
      </c>
      <c r="J904" s="11">
        <v>9</v>
      </c>
      <c r="K904" s="11">
        <v>5</v>
      </c>
      <c r="L904" s="11">
        <v>10</v>
      </c>
      <c r="M904" s="15">
        <v>0</v>
      </c>
      <c r="R904" s="20">
        <v>0</v>
      </c>
      <c r="U904" s="17">
        <v>0</v>
      </c>
      <c r="W904" s="23">
        <v>0</v>
      </c>
      <c r="Y904" s="26">
        <v>0</v>
      </c>
    </row>
    <row r="905" spans="1:25" x14ac:dyDescent="0.25">
      <c r="A905" s="7">
        <v>17</v>
      </c>
      <c r="B905" s="6" t="s">
        <v>13</v>
      </c>
      <c r="C905" s="32">
        <v>5.0999999999999996</v>
      </c>
      <c r="D905" s="6" t="s">
        <v>17</v>
      </c>
      <c r="E905" s="29">
        <v>5.0999999999999996</v>
      </c>
      <c r="F905" s="13">
        <v>2.9</v>
      </c>
      <c r="G905" s="31">
        <v>3.99</v>
      </c>
      <c r="H905" s="13">
        <v>0.6</v>
      </c>
      <c r="I905" s="6" t="s">
        <v>19</v>
      </c>
      <c r="J905" s="11">
        <v>4</v>
      </c>
      <c r="K905" s="11">
        <v>2</v>
      </c>
      <c r="L905" s="11">
        <v>9</v>
      </c>
      <c r="M905" s="15">
        <v>0</v>
      </c>
      <c r="R905" s="20">
        <v>0</v>
      </c>
      <c r="U905" s="17">
        <v>0</v>
      </c>
      <c r="W905" s="23">
        <v>0</v>
      </c>
      <c r="Y905" s="26">
        <v>0</v>
      </c>
    </row>
    <row r="906" spans="1:25" x14ac:dyDescent="0.25">
      <c r="A906" s="7">
        <v>19</v>
      </c>
      <c r="B906" s="6" t="s">
        <v>16</v>
      </c>
      <c r="C906" s="32">
        <v>4</v>
      </c>
      <c r="D906" s="6" t="s">
        <v>14</v>
      </c>
      <c r="E906" s="29">
        <v>8.1999999999999993</v>
      </c>
      <c r="F906" s="13">
        <v>1.4</v>
      </c>
      <c r="G906" s="31">
        <v>3.63</v>
      </c>
      <c r="H906" s="13">
        <v>1.3</v>
      </c>
      <c r="I906" s="6" t="s">
        <v>15</v>
      </c>
      <c r="J906" s="11">
        <v>5</v>
      </c>
      <c r="K906" s="11">
        <v>3</v>
      </c>
      <c r="L906" s="11">
        <v>10</v>
      </c>
      <c r="M906" s="15">
        <v>0</v>
      </c>
      <c r="R906" s="20">
        <v>0</v>
      </c>
      <c r="U906" s="17">
        <v>0</v>
      </c>
      <c r="W906" s="23">
        <v>0</v>
      </c>
      <c r="Y906" s="26">
        <v>0</v>
      </c>
    </row>
    <row r="907" spans="1:25" x14ac:dyDescent="0.25">
      <c r="A907" s="7">
        <v>17</v>
      </c>
      <c r="B907" s="6" t="s">
        <v>16</v>
      </c>
      <c r="C907" s="32">
        <v>7.6</v>
      </c>
      <c r="D907" s="6" t="s">
        <v>14</v>
      </c>
      <c r="E907" s="29">
        <v>7.3</v>
      </c>
      <c r="F907" s="13">
        <v>1.9</v>
      </c>
      <c r="G907" s="31">
        <v>3.05</v>
      </c>
      <c r="H907" s="13">
        <v>1.1000000000000001</v>
      </c>
      <c r="I907" s="6" t="s">
        <v>19</v>
      </c>
      <c r="J907" s="11">
        <v>10</v>
      </c>
      <c r="K907" s="11">
        <v>8</v>
      </c>
      <c r="L907" s="11">
        <v>1</v>
      </c>
      <c r="M907" s="15">
        <v>0</v>
      </c>
      <c r="R907" s="20">
        <v>0</v>
      </c>
      <c r="U907" s="17">
        <v>0</v>
      </c>
      <c r="W907" s="23">
        <v>0</v>
      </c>
      <c r="Y907" s="26">
        <v>0</v>
      </c>
    </row>
    <row r="908" spans="1:25" x14ac:dyDescent="0.25">
      <c r="A908" s="7">
        <v>19</v>
      </c>
      <c r="B908" s="6" t="s">
        <v>13</v>
      </c>
      <c r="C908" s="32">
        <v>3.8</v>
      </c>
      <c r="D908" s="6" t="s">
        <v>17</v>
      </c>
      <c r="E908" s="29">
        <v>7.4</v>
      </c>
      <c r="F908" s="13">
        <v>2.6</v>
      </c>
      <c r="G908" s="31">
        <v>2.25</v>
      </c>
      <c r="H908" s="13">
        <v>0.5</v>
      </c>
      <c r="I908" s="6" t="s">
        <v>15</v>
      </c>
      <c r="J908" s="11">
        <v>7</v>
      </c>
      <c r="K908" s="11">
        <v>4</v>
      </c>
      <c r="L908" s="11">
        <v>8</v>
      </c>
      <c r="M908" s="15">
        <v>0</v>
      </c>
      <c r="R908" s="20">
        <v>0</v>
      </c>
      <c r="U908" s="17">
        <v>0</v>
      </c>
      <c r="W908" s="23">
        <v>0</v>
      </c>
      <c r="Y908" s="26">
        <v>0</v>
      </c>
    </row>
    <row r="909" spans="1:25" x14ac:dyDescent="0.25">
      <c r="A909" s="7">
        <v>17</v>
      </c>
      <c r="B909" s="6" t="s">
        <v>13</v>
      </c>
      <c r="C909" s="32">
        <v>5.2</v>
      </c>
      <c r="D909" s="6" t="s">
        <v>14</v>
      </c>
      <c r="E909" s="29">
        <v>4.7</v>
      </c>
      <c r="F909" s="13">
        <v>2.4</v>
      </c>
      <c r="G909" s="31">
        <v>2.77</v>
      </c>
      <c r="H909" s="13">
        <v>1.3</v>
      </c>
      <c r="I909" s="6" t="s">
        <v>18</v>
      </c>
      <c r="J909" s="11">
        <v>9</v>
      </c>
      <c r="K909" s="11">
        <v>6</v>
      </c>
      <c r="L909" s="11">
        <v>9</v>
      </c>
      <c r="M909" s="15">
        <v>0</v>
      </c>
      <c r="R909" s="20">
        <v>0</v>
      </c>
      <c r="U909" s="17">
        <v>0</v>
      </c>
      <c r="W909" s="23">
        <v>0</v>
      </c>
      <c r="Y909" s="26">
        <v>0</v>
      </c>
    </row>
    <row r="910" spans="1:25" x14ac:dyDescent="0.25">
      <c r="A910" s="7">
        <v>13</v>
      </c>
      <c r="B910" s="6" t="s">
        <v>13</v>
      </c>
      <c r="C910" s="32">
        <v>5</v>
      </c>
      <c r="D910" s="6" t="s">
        <v>20</v>
      </c>
      <c r="E910" s="29">
        <v>8.6</v>
      </c>
      <c r="F910" s="13">
        <v>0.7</v>
      </c>
      <c r="G910" s="31">
        <v>2.99</v>
      </c>
      <c r="H910" s="13">
        <v>1.5</v>
      </c>
      <c r="I910" s="6" t="s">
        <v>15</v>
      </c>
      <c r="J910" s="11">
        <v>3</v>
      </c>
      <c r="K910" s="11">
        <v>8</v>
      </c>
      <c r="L910" s="11">
        <v>3</v>
      </c>
      <c r="M910" s="15">
        <v>0</v>
      </c>
      <c r="R910" s="20">
        <v>0</v>
      </c>
      <c r="U910" s="17">
        <v>0</v>
      </c>
      <c r="W910" s="23">
        <v>0</v>
      </c>
      <c r="Y910" s="26">
        <v>0</v>
      </c>
    </row>
    <row r="911" spans="1:25" x14ac:dyDescent="0.25">
      <c r="A911" s="7">
        <v>19</v>
      </c>
      <c r="B911" s="6" t="s">
        <v>16</v>
      </c>
      <c r="C911" s="32">
        <v>7.4</v>
      </c>
      <c r="D911" s="6" t="s">
        <v>20</v>
      </c>
      <c r="E911" s="29">
        <v>8.3000000000000007</v>
      </c>
      <c r="F911" s="13">
        <v>1.4</v>
      </c>
      <c r="G911" s="31">
        <v>3.64</v>
      </c>
      <c r="H911" s="13">
        <v>0.4</v>
      </c>
      <c r="I911" s="6" t="s">
        <v>15</v>
      </c>
      <c r="J911" s="11">
        <v>6</v>
      </c>
      <c r="K911" s="11">
        <v>9</v>
      </c>
      <c r="L911" s="11">
        <v>6</v>
      </c>
      <c r="M911" s="15">
        <v>0</v>
      </c>
      <c r="R911" s="20">
        <v>0</v>
      </c>
      <c r="U911" s="17">
        <v>0</v>
      </c>
      <c r="W911" s="23">
        <v>0</v>
      </c>
      <c r="Y911" s="26">
        <v>0</v>
      </c>
    </row>
    <row r="912" spans="1:25" x14ac:dyDescent="0.25">
      <c r="A912" s="7">
        <v>16</v>
      </c>
      <c r="B912" s="6" t="s">
        <v>13</v>
      </c>
      <c r="C912" s="32">
        <v>6.1</v>
      </c>
      <c r="D912" s="6" t="s">
        <v>17</v>
      </c>
      <c r="E912" s="29">
        <v>6.8</v>
      </c>
      <c r="F912" s="13">
        <v>0.8</v>
      </c>
      <c r="G912" s="31">
        <v>2.61</v>
      </c>
      <c r="H912" s="13">
        <v>0.9</v>
      </c>
      <c r="I912" s="6" t="s">
        <v>15</v>
      </c>
      <c r="J912" s="11">
        <v>10</v>
      </c>
      <c r="K912" s="11">
        <v>10</v>
      </c>
      <c r="L912" s="11">
        <v>4</v>
      </c>
      <c r="M912" s="15">
        <v>0</v>
      </c>
      <c r="R912" s="20">
        <v>0</v>
      </c>
      <c r="U912" s="17">
        <v>0</v>
      </c>
      <c r="W912" s="23">
        <v>0</v>
      </c>
      <c r="Y912" s="26">
        <v>0</v>
      </c>
    </row>
    <row r="913" spans="1:25" x14ac:dyDescent="0.25">
      <c r="A913" s="7">
        <v>13</v>
      </c>
      <c r="B913" s="6" t="s">
        <v>16</v>
      </c>
      <c r="C913" s="32">
        <v>7.4</v>
      </c>
      <c r="D913" s="6" t="s">
        <v>20</v>
      </c>
      <c r="E913" s="29">
        <v>6.7</v>
      </c>
      <c r="F913" s="13">
        <v>2</v>
      </c>
      <c r="G913" s="31">
        <v>2.42</v>
      </c>
      <c r="H913" s="13">
        <v>1.5</v>
      </c>
      <c r="I913" s="6" t="s">
        <v>15</v>
      </c>
      <c r="J913" s="11">
        <v>10</v>
      </c>
      <c r="K913" s="11">
        <v>1</v>
      </c>
      <c r="L913" s="11">
        <v>1</v>
      </c>
      <c r="M913" s="15">
        <v>0</v>
      </c>
      <c r="R913" s="20">
        <v>0</v>
      </c>
      <c r="U913" s="17">
        <v>0</v>
      </c>
      <c r="W913" s="23">
        <v>0</v>
      </c>
      <c r="Y913" s="26">
        <v>0</v>
      </c>
    </row>
    <row r="914" spans="1:25" x14ac:dyDescent="0.25">
      <c r="A914" s="7">
        <v>16</v>
      </c>
      <c r="B914" s="6" t="s">
        <v>13</v>
      </c>
      <c r="C914" s="32">
        <v>3.5</v>
      </c>
      <c r="D914" s="6" t="s">
        <v>20</v>
      </c>
      <c r="E914" s="29">
        <v>4.4000000000000004</v>
      </c>
      <c r="F914" s="13">
        <v>1.5</v>
      </c>
      <c r="G914" s="31">
        <v>2.7</v>
      </c>
      <c r="H914" s="13">
        <v>0.8</v>
      </c>
      <c r="I914" s="6" t="s">
        <v>18</v>
      </c>
      <c r="J914" s="11">
        <v>2</v>
      </c>
      <c r="K914" s="11">
        <v>10</v>
      </c>
      <c r="L914" s="11">
        <v>8</v>
      </c>
      <c r="M914" s="15">
        <v>0</v>
      </c>
      <c r="R914" s="20">
        <v>0</v>
      </c>
      <c r="U914" s="17">
        <v>0</v>
      </c>
      <c r="W914" s="23">
        <v>0</v>
      </c>
      <c r="Y914" s="26">
        <v>0</v>
      </c>
    </row>
    <row r="915" spans="1:25" x14ac:dyDescent="0.25">
      <c r="A915" s="7">
        <v>14</v>
      </c>
      <c r="B915" s="6" t="s">
        <v>13</v>
      </c>
      <c r="C915" s="32">
        <v>5.0999999999999996</v>
      </c>
      <c r="D915" s="6" t="s">
        <v>14</v>
      </c>
      <c r="E915" s="29">
        <v>6.3</v>
      </c>
      <c r="F915" s="13">
        <v>1.6</v>
      </c>
      <c r="G915" s="31">
        <v>2.7</v>
      </c>
      <c r="H915" s="13">
        <v>0.1</v>
      </c>
      <c r="I915" s="6" t="s">
        <v>19</v>
      </c>
      <c r="J915" s="11">
        <v>7</v>
      </c>
      <c r="K915" s="11">
        <v>2</v>
      </c>
      <c r="L915" s="11">
        <v>7</v>
      </c>
      <c r="M915" s="15">
        <v>0</v>
      </c>
      <c r="R915" s="20">
        <v>0</v>
      </c>
      <c r="U915" s="17">
        <v>0</v>
      </c>
      <c r="W915" s="23">
        <v>0</v>
      </c>
      <c r="Y915" s="26">
        <v>0</v>
      </c>
    </row>
    <row r="916" spans="1:25" x14ac:dyDescent="0.25">
      <c r="A916" s="7">
        <v>17</v>
      </c>
      <c r="B916" s="6" t="s">
        <v>13</v>
      </c>
      <c r="C916" s="32">
        <v>4.8</v>
      </c>
      <c r="D916" s="6" t="s">
        <v>17</v>
      </c>
      <c r="E916" s="29">
        <v>6</v>
      </c>
      <c r="F916" s="13">
        <v>2.1</v>
      </c>
      <c r="G916" s="31">
        <v>2.39</v>
      </c>
      <c r="H916" s="13">
        <v>1.8</v>
      </c>
      <c r="I916" s="6" t="s">
        <v>18</v>
      </c>
      <c r="J916" s="11">
        <v>5</v>
      </c>
      <c r="K916" s="11">
        <v>8</v>
      </c>
      <c r="L916" s="11">
        <v>7</v>
      </c>
      <c r="M916" s="15">
        <v>0</v>
      </c>
      <c r="R916" s="20">
        <v>0</v>
      </c>
      <c r="U916" s="17">
        <v>0</v>
      </c>
      <c r="W916" s="23">
        <v>0</v>
      </c>
      <c r="Y916" s="26">
        <v>0</v>
      </c>
    </row>
    <row r="917" spans="1:25" x14ac:dyDescent="0.25">
      <c r="A917" s="7">
        <v>14</v>
      </c>
      <c r="B917" s="6" t="s">
        <v>13</v>
      </c>
      <c r="C917" s="32">
        <v>7.5</v>
      </c>
      <c r="D917" s="6" t="s">
        <v>20</v>
      </c>
      <c r="E917" s="29">
        <v>7.6</v>
      </c>
      <c r="F917" s="13">
        <v>2.8</v>
      </c>
      <c r="G917" s="31">
        <v>3.1</v>
      </c>
      <c r="H917" s="13">
        <v>0.7</v>
      </c>
      <c r="I917" s="6" t="s">
        <v>19</v>
      </c>
      <c r="J917" s="11">
        <v>3</v>
      </c>
      <c r="K917" s="11">
        <v>1</v>
      </c>
      <c r="L917" s="11">
        <v>2</v>
      </c>
      <c r="M917" s="15">
        <v>0</v>
      </c>
      <c r="R917" s="20">
        <v>0</v>
      </c>
      <c r="U917" s="17">
        <v>0</v>
      </c>
      <c r="W917" s="23">
        <v>0</v>
      </c>
      <c r="Y917" s="26">
        <v>0</v>
      </c>
    </row>
    <row r="918" spans="1:25" x14ac:dyDescent="0.25">
      <c r="A918" s="7">
        <v>19</v>
      </c>
      <c r="B918" s="6" t="s">
        <v>13</v>
      </c>
      <c r="C918" s="32">
        <v>4.7</v>
      </c>
      <c r="D918" s="6" t="s">
        <v>20</v>
      </c>
      <c r="E918" s="29">
        <v>8.6999999999999993</v>
      </c>
      <c r="F918" s="13">
        <v>2</v>
      </c>
      <c r="G918" s="31">
        <v>3.23</v>
      </c>
      <c r="H918" s="13">
        <v>1.7</v>
      </c>
      <c r="I918" s="6" t="s">
        <v>15</v>
      </c>
      <c r="J918" s="11">
        <v>4</v>
      </c>
      <c r="K918" s="11">
        <v>10</v>
      </c>
      <c r="L918" s="11">
        <v>3</v>
      </c>
      <c r="M918" s="15">
        <v>0</v>
      </c>
      <c r="R918" s="20">
        <v>0</v>
      </c>
      <c r="U918" s="17">
        <v>0</v>
      </c>
      <c r="W918" s="23">
        <v>0</v>
      </c>
      <c r="Y918" s="26">
        <v>0</v>
      </c>
    </row>
    <row r="919" spans="1:25" x14ac:dyDescent="0.25">
      <c r="A919" s="7">
        <v>19</v>
      </c>
      <c r="B919" s="6" t="s">
        <v>13</v>
      </c>
      <c r="C919" s="32">
        <v>3.3</v>
      </c>
      <c r="D919" s="6" t="s">
        <v>17</v>
      </c>
      <c r="E919" s="29">
        <v>8.5</v>
      </c>
      <c r="F919" s="13">
        <v>1.2</v>
      </c>
      <c r="G919" s="31">
        <v>3.29</v>
      </c>
      <c r="H919" s="13">
        <v>0.5</v>
      </c>
      <c r="I919" s="6" t="s">
        <v>19</v>
      </c>
      <c r="J919" s="11">
        <v>6</v>
      </c>
      <c r="K919" s="11">
        <v>2</v>
      </c>
      <c r="L919" s="11">
        <v>9</v>
      </c>
      <c r="M919" s="15">
        <v>0</v>
      </c>
      <c r="R919" s="20">
        <v>0</v>
      </c>
      <c r="U919" s="17">
        <v>0</v>
      </c>
      <c r="W919" s="23">
        <v>0</v>
      </c>
      <c r="Y919" s="26">
        <v>0</v>
      </c>
    </row>
    <row r="920" spans="1:25" x14ac:dyDescent="0.25">
      <c r="A920" s="7">
        <v>16</v>
      </c>
      <c r="B920" s="6" t="s">
        <v>16</v>
      </c>
      <c r="C920" s="32">
        <v>6.9</v>
      </c>
      <c r="D920" s="6" t="s">
        <v>14</v>
      </c>
      <c r="E920" s="29">
        <v>5.8</v>
      </c>
      <c r="F920" s="13">
        <v>0.6</v>
      </c>
      <c r="G920" s="31">
        <v>3.65</v>
      </c>
      <c r="H920" s="13">
        <v>0.5</v>
      </c>
      <c r="I920" s="6" t="s">
        <v>18</v>
      </c>
      <c r="J920" s="11">
        <v>10</v>
      </c>
      <c r="K920" s="11">
        <v>8</v>
      </c>
      <c r="L920" s="11">
        <v>10</v>
      </c>
      <c r="M920" s="15">
        <v>1</v>
      </c>
      <c r="R920" s="20">
        <v>1</v>
      </c>
      <c r="U920" s="17">
        <v>1</v>
      </c>
      <c r="W920" s="23">
        <v>1</v>
      </c>
      <c r="Y920" s="26">
        <v>1</v>
      </c>
    </row>
    <row r="921" spans="1:25" x14ac:dyDescent="0.25">
      <c r="A921" s="7">
        <v>15</v>
      </c>
      <c r="B921" s="6" t="s">
        <v>13</v>
      </c>
      <c r="C921" s="32">
        <v>5.4</v>
      </c>
      <c r="D921" s="6" t="s">
        <v>14</v>
      </c>
      <c r="E921" s="29">
        <v>4.2</v>
      </c>
      <c r="F921" s="13">
        <v>1.5</v>
      </c>
      <c r="G921" s="31">
        <v>2.72</v>
      </c>
      <c r="H921" s="13">
        <v>0.4</v>
      </c>
      <c r="I921" s="6" t="s">
        <v>18</v>
      </c>
      <c r="J921" s="11">
        <v>1</v>
      </c>
      <c r="K921" s="11">
        <v>6</v>
      </c>
      <c r="L921" s="11">
        <v>5</v>
      </c>
      <c r="M921" s="15">
        <v>0</v>
      </c>
      <c r="R921" s="20">
        <v>0</v>
      </c>
      <c r="U921" s="17">
        <v>0</v>
      </c>
      <c r="W921" s="23">
        <v>0</v>
      </c>
      <c r="Y921" s="26">
        <v>0</v>
      </c>
    </row>
    <row r="922" spans="1:25" x14ac:dyDescent="0.25">
      <c r="A922" s="7">
        <v>13</v>
      </c>
      <c r="B922" s="6" t="s">
        <v>16</v>
      </c>
      <c r="C922" s="32">
        <v>5.2</v>
      </c>
      <c r="D922" s="6" t="s">
        <v>20</v>
      </c>
      <c r="E922" s="29">
        <v>7.7</v>
      </c>
      <c r="F922" s="13">
        <v>2.7</v>
      </c>
      <c r="G922" s="31">
        <v>2.84</v>
      </c>
      <c r="H922" s="13">
        <v>0.8</v>
      </c>
      <c r="I922" s="6" t="s">
        <v>18</v>
      </c>
      <c r="J922" s="11">
        <v>2</v>
      </c>
      <c r="K922" s="11">
        <v>5</v>
      </c>
      <c r="L922" s="11">
        <v>5</v>
      </c>
      <c r="M922" s="15">
        <v>0</v>
      </c>
      <c r="R922" s="20">
        <v>0</v>
      </c>
      <c r="U922" s="17">
        <v>0</v>
      </c>
      <c r="W922" s="23">
        <v>0</v>
      </c>
      <c r="Y922" s="26">
        <v>0</v>
      </c>
    </row>
    <row r="923" spans="1:25" x14ac:dyDescent="0.25">
      <c r="A923" s="7">
        <v>15</v>
      </c>
      <c r="B923" s="6" t="s">
        <v>16</v>
      </c>
      <c r="C923" s="32">
        <v>3.3</v>
      </c>
      <c r="D923" s="6" t="s">
        <v>14</v>
      </c>
      <c r="E923" s="29">
        <v>6.5</v>
      </c>
      <c r="F923" s="13">
        <v>1.3</v>
      </c>
      <c r="G923" s="31">
        <v>2.44</v>
      </c>
      <c r="H923" s="13">
        <v>0.3</v>
      </c>
      <c r="I923" s="6" t="s">
        <v>19</v>
      </c>
      <c r="J923" s="11">
        <v>7</v>
      </c>
      <c r="K923" s="11">
        <v>6</v>
      </c>
      <c r="L923" s="11">
        <v>7</v>
      </c>
      <c r="M923" s="15">
        <v>0</v>
      </c>
      <c r="R923" s="20">
        <v>0</v>
      </c>
      <c r="U923" s="17">
        <v>0</v>
      </c>
      <c r="W923" s="23">
        <v>0</v>
      </c>
      <c r="Y923" s="26">
        <v>0</v>
      </c>
    </row>
    <row r="924" spans="1:25" x14ac:dyDescent="0.25">
      <c r="A924" s="7">
        <v>15</v>
      </c>
      <c r="B924" s="6" t="s">
        <v>16</v>
      </c>
      <c r="C924" s="32">
        <v>7.3</v>
      </c>
      <c r="D924" s="6" t="s">
        <v>20</v>
      </c>
      <c r="E924" s="29">
        <v>7.6</v>
      </c>
      <c r="F924" s="13">
        <v>1.9</v>
      </c>
      <c r="G924" s="31">
        <v>2.31</v>
      </c>
      <c r="H924" s="13">
        <v>0.8</v>
      </c>
      <c r="I924" s="6" t="s">
        <v>19</v>
      </c>
      <c r="J924" s="11">
        <v>8</v>
      </c>
      <c r="K924" s="11">
        <v>7</v>
      </c>
      <c r="L924" s="11">
        <v>5</v>
      </c>
      <c r="M924" s="15">
        <v>0</v>
      </c>
      <c r="R924" s="20">
        <v>0</v>
      </c>
      <c r="U924" s="17">
        <v>0</v>
      </c>
      <c r="W924" s="23">
        <v>0</v>
      </c>
      <c r="Y924" s="26">
        <v>0</v>
      </c>
    </row>
    <row r="925" spans="1:25" x14ac:dyDescent="0.25">
      <c r="A925" s="7">
        <v>17</v>
      </c>
      <c r="B925" s="6" t="s">
        <v>13</v>
      </c>
      <c r="C925" s="32">
        <v>7.6</v>
      </c>
      <c r="D925" s="6" t="s">
        <v>20</v>
      </c>
      <c r="E925" s="29">
        <v>4.9000000000000004</v>
      </c>
      <c r="F925" s="13">
        <v>0.6</v>
      </c>
      <c r="G925" s="31">
        <v>2.56</v>
      </c>
      <c r="H925" s="13">
        <v>0.8</v>
      </c>
      <c r="I925" s="6" t="s">
        <v>15</v>
      </c>
      <c r="J925" s="11">
        <v>4</v>
      </c>
      <c r="K925" s="11">
        <v>1</v>
      </c>
      <c r="L925" s="11">
        <v>9</v>
      </c>
      <c r="M925" s="15">
        <v>0</v>
      </c>
      <c r="R925" s="20">
        <v>0</v>
      </c>
      <c r="U925" s="17">
        <v>0</v>
      </c>
      <c r="W925" s="23">
        <v>0</v>
      </c>
      <c r="Y925" s="26">
        <v>0</v>
      </c>
    </row>
    <row r="926" spans="1:25" x14ac:dyDescent="0.25">
      <c r="A926" s="7">
        <v>17</v>
      </c>
      <c r="B926" s="6" t="s">
        <v>13</v>
      </c>
      <c r="C926" s="32">
        <v>1.7</v>
      </c>
      <c r="D926" s="6" t="s">
        <v>20</v>
      </c>
      <c r="E926" s="29">
        <v>7</v>
      </c>
      <c r="F926" s="13">
        <v>0.8</v>
      </c>
      <c r="G926" s="31">
        <v>3.39</v>
      </c>
      <c r="H926" s="13">
        <v>0.9</v>
      </c>
      <c r="I926" s="6" t="s">
        <v>18</v>
      </c>
      <c r="J926" s="11">
        <v>7</v>
      </c>
      <c r="K926" s="11">
        <v>7</v>
      </c>
      <c r="L926" s="11">
        <v>10</v>
      </c>
      <c r="M926" s="15">
        <v>0</v>
      </c>
      <c r="R926" s="20">
        <v>0</v>
      </c>
      <c r="U926" s="17">
        <v>0</v>
      </c>
      <c r="W926" s="23">
        <v>0</v>
      </c>
      <c r="Y926" s="26">
        <v>0</v>
      </c>
    </row>
    <row r="927" spans="1:25" x14ac:dyDescent="0.25">
      <c r="A927" s="7">
        <v>18</v>
      </c>
      <c r="B927" s="6" t="s">
        <v>13</v>
      </c>
      <c r="C927" s="32">
        <v>1.5</v>
      </c>
      <c r="D927" s="6" t="s">
        <v>20</v>
      </c>
      <c r="E927" s="29">
        <v>5.6</v>
      </c>
      <c r="F927" s="13">
        <v>2.9</v>
      </c>
      <c r="G927" s="31">
        <v>2.57</v>
      </c>
      <c r="H927" s="13">
        <v>0.6</v>
      </c>
      <c r="I927" s="6" t="s">
        <v>18</v>
      </c>
      <c r="J927" s="11">
        <v>5</v>
      </c>
      <c r="K927" s="11">
        <v>8</v>
      </c>
      <c r="L927" s="11">
        <v>4</v>
      </c>
      <c r="M927" s="15">
        <v>0</v>
      </c>
      <c r="R927" s="20">
        <v>0</v>
      </c>
      <c r="U927" s="17">
        <v>0</v>
      </c>
      <c r="W927" s="23">
        <v>0</v>
      </c>
      <c r="Y927" s="26">
        <v>0</v>
      </c>
    </row>
    <row r="928" spans="1:25" x14ac:dyDescent="0.25">
      <c r="A928" s="7">
        <v>17</v>
      </c>
      <c r="B928" s="6" t="s">
        <v>13</v>
      </c>
      <c r="C928" s="32">
        <v>7.3</v>
      </c>
      <c r="D928" s="6" t="s">
        <v>20</v>
      </c>
      <c r="E928" s="29">
        <v>8.5</v>
      </c>
      <c r="F928" s="13">
        <v>1.5</v>
      </c>
      <c r="G928" s="31">
        <v>3.54</v>
      </c>
      <c r="H928" s="13">
        <v>1.2</v>
      </c>
      <c r="I928" s="6" t="s">
        <v>15</v>
      </c>
      <c r="J928" s="11">
        <v>3</v>
      </c>
      <c r="K928" s="11">
        <v>3</v>
      </c>
      <c r="L928" s="11">
        <v>7</v>
      </c>
      <c r="M928" s="15">
        <v>0</v>
      </c>
      <c r="R928" s="20">
        <v>0</v>
      </c>
      <c r="U928" s="17">
        <v>0</v>
      </c>
      <c r="W928" s="23">
        <v>0</v>
      </c>
      <c r="Y928" s="26">
        <v>0</v>
      </c>
    </row>
    <row r="929" spans="1:25" x14ac:dyDescent="0.25">
      <c r="A929" s="7">
        <v>14</v>
      </c>
      <c r="B929" s="6" t="s">
        <v>13</v>
      </c>
      <c r="C929" s="32">
        <v>2.8</v>
      </c>
      <c r="D929" s="6" t="s">
        <v>20</v>
      </c>
      <c r="E929" s="29">
        <v>6.2</v>
      </c>
      <c r="F929" s="13">
        <v>1.2</v>
      </c>
      <c r="G929" s="31">
        <v>3.21</v>
      </c>
      <c r="H929" s="13">
        <v>1</v>
      </c>
      <c r="I929" s="6" t="s">
        <v>15</v>
      </c>
      <c r="J929" s="11">
        <v>3</v>
      </c>
      <c r="K929" s="11">
        <v>10</v>
      </c>
      <c r="L929" s="11">
        <v>6</v>
      </c>
      <c r="M929" s="15">
        <v>0</v>
      </c>
      <c r="R929" s="20">
        <v>0</v>
      </c>
      <c r="U929" s="17">
        <v>0</v>
      </c>
      <c r="W929" s="23">
        <v>0</v>
      </c>
      <c r="Y929" s="26">
        <v>0</v>
      </c>
    </row>
    <row r="930" spans="1:25" x14ac:dyDescent="0.25">
      <c r="A930" s="7">
        <v>15</v>
      </c>
      <c r="B930" s="6" t="s">
        <v>13</v>
      </c>
      <c r="C930" s="32">
        <v>1.2</v>
      </c>
      <c r="D930" s="6" t="s">
        <v>20</v>
      </c>
      <c r="E930" s="29">
        <v>7.4</v>
      </c>
      <c r="F930" s="13">
        <v>2.7</v>
      </c>
      <c r="G930" s="31">
        <v>2.92</v>
      </c>
      <c r="H930" s="13">
        <v>1.4</v>
      </c>
      <c r="I930" s="6" t="s">
        <v>15</v>
      </c>
      <c r="J930" s="11">
        <v>3</v>
      </c>
      <c r="K930" s="11">
        <v>7</v>
      </c>
      <c r="L930" s="11">
        <v>4</v>
      </c>
      <c r="M930" s="15">
        <v>0</v>
      </c>
      <c r="R930" s="20">
        <v>0</v>
      </c>
      <c r="U930" s="17">
        <v>0</v>
      </c>
      <c r="W930" s="23">
        <v>0</v>
      </c>
      <c r="Y930" s="26">
        <v>0</v>
      </c>
    </row>
    <row r="931" spans="1:25" x14ac:dyDescent="0.25">
      <c r="A931" s="7">
        <v>16</v>
      </c>
      <c r="B931" s="6" t="s">
        <v>16</v>
      </c>
      <c r="C931" s="32">
        <v>2.5</v>
      </c>
      <c r="D931" s="6" t="s">
        <v>17</v>
      </c>
      <c r="E931" s="29">
        <v>8.9</v>
      </c>
      <c r="F931" s="13">
        <v>1.2</v>
      </c>
      <c r="G931" s="31">
        <v>3.33</v>
      </c>
      <c r="H931" s="13">
        <v>1.5</v>
      </c>
      <c r="I931" s="6" t="s">
        <v>18</v>
      </c>
      <c r="J931" s="11">
        <v>4</v>
      </c>
      <c r="K931" s="11">
        <v>4</v>
      </c>
      <c r="L931" s="11">
        <v>10</v>
      </c>
      <c r="M931" s="15">
        <v>0</v>
      </c>
      <c r="R931" s="20">
        <v>0</v>
      </c>
      <c r="U931" s="17">
        <v>0</v>
      </c>
      <c r="W931" s="23">
        <v>0</v>
      </c>
      <c r="Y931" s="26">
        <v>0</v>
      </c>
    </row>
    <row r="932" spans="1:25" x14ac:dyDescent="0.25">
      <c r="A932" s="7">
        <v>17</v>
      </c>
      <c r="B932" s="6" t="s">
        <v>13</v>
      </c>
      <c r="C932" s="32">
        <v>4.8</v>
      </c>
      <c r="D932" s="6" t="s">
        <v>17</v>
      </c>
      <c r="E932" s="29">
        <v>5.6</v>
      </c>
      <c r="F932" s="13">
        <v>1.6</v>
      </c>
      <c r="G932" s="31">
        <v>2</v>
      </c>
      <c r="H932" s="13">
        <v>1.3</v>
      </c>
      <c r="I932" s="6" t="s">
        <v>15</v>
      </c>
      <c r="J932" s="11">
        <v>3</v>
      </c>
      <c r="K932" s="11">
        <v>8</v>
      </c>
      <c r="L932" s="11">
        <v>4</v>
      </c>
      <c r="M932" s="15">
        <v>0</v>
      </c>
      <c r="R932" s="20">
        <v>0</v>
      </c>
      <c r="U932" s="17">
        <v>0</v>
      </c>
      <c r="W932" s="23">
        <v>0</v>
      </c>
      <c r="Y932" s="26">
        <v>0</v>
      </c>
    </row>
    <row r="933" spans="1:25" x14ac:dyDescent="0.25">
      <c r="A933" s="7">
        <v>18</v>
      </c>
      <c r="B933" s="6" t="s">
        <v>16</v>
      </c>
      <c r="C933" s="32">
        <v>6.4</v>
      </c>
      <c r="D933" s="6" t="s">
        <v>20</v>
      </c>
      <c r="E933" s="29">
        <v>4.2</v>
      </c>
      <c r="F933" s="13">
        <v>1.1000000000000001</v>
      </c>
      <c r="G933" s="31">
        <v>2.68</v>
      </c>
      <c r="H933" s="13">
        <v>0.3</v>
      </c>
      <c r="I933" s="6" t="s">
        <v>18</v>
      </c>
      <c r="J933" s="11">
        <v>10</v>
      </c>
      <c r="K933" s="11">
        <v>9</v>
      </c>
      <c r="L933" s="11">
        <v>4</v>
      </c>
      <c r="M933" s="15">
        <v>1</v>
      </c>
      <c r="R933" s="20">
        <v>1</v>
      </c>
      <c r="U933" s="17">
        <v>1</v>
      </c>
      <c r="W933" s="23">
        <v>1</v>
      </c>
      <c r="Y933" s="26">
        <v>1</v>
      </c>
    </row>
    <row r="934" spans="1:25" x14ac:dyDescent="0.25">
      <c r="A934" s="7">
        <v>16</v>
      </c>
      <c r="B934" s="6" t="s">
        <v>16</v>
      </c>
      <c r="C934" s="32">
        <v>6.6</v>
      </c>
      <c r="D934" s="6" t="s">
        <v>14</v>
      </c>
      <c r="E934" s="29">
        <v>6.1</v>
      </c>
      <c r="F934" s="13">
        <v>1.7</v>
      </c>
      <c r="G934" s="31">
        <v>2.67</v>
      </c>
      <c r="H934" s="13">
        <v>1.8</v>
      </c>
      <c r="I934" s="6" t="s">
        <v>15</v>
      </c>
      <c r="J934" s="11">
        <v>10</v>
      </c>
      <c r="K934" s="11">
        <v>8</v>
      </c>
      <c r="L934" s="11">
        <v>2</v>
      </c>
      <c r="M934" s="15">
        <v>0</v>
      </c>
      <c r="R934" s="20">
        <v>0</v>
      </c>
      <c r="U934" s="17">
        <v>0</v>
      </c>
      <c r="W934" s="23">
        <v>0</v>
      </c>
      <c r="Y934" s="26">
        <v>0</v>
      </c>
    </row>
    <row r="935" spans="1:25" x14ac:dyDescent="0.25">
      <c r="A935" s="7">
        <v>14</v>
      </c>
      <c r="B935" s="6" t="s">
        <v>16</v>
      </c>
      <c r="C935" s="32">
        <v>3.5</v>
      </c>
      <c r="D935" s="6" t="s">
        <v>20</v>
      </c>
      <c r="E935" s="29">
        <v>5.7</v>
      </c>
      <c r="F935" s="13">
        <v>2.4</v>
      </c>
      <c r="G935" s="31">
        <v>3.46</v>
      </c>
      <c r="H935" s="13">
        <v>0.9</v>
      </c>
      <c r="I935" s="6" t="s">
        <v>15</v>
      </c>
      <c r="J935" s="11">
        <v>8</v>
      </c>
      <c r="K935" s="11">
        <v>4</v>
      </c>
      <c r="L935" s="11">
        <v>10</v>
      </c>
      <c r="M935" s="15">
        <v>0</v>
      </c>
      <c r="R935" s="20">
        <v>0</v>
      </c>
      <c r="U935" s="17">
        <v>0</v>
      </c>
      <c r="W935" s="23">
        <v>0</v>
      </c>
      <c r="Y935" s="26">
        <v>0</v>
      </c>
    </row>
    <row r="936" spans="1:25" x14ac:dyDescent="0.25">
      <c r="A936" s="7">
        <v>14</v>
      </c>
      <c r="B936" s="6" t="s">
        <v>16</v>
      </c>
      <c r="C936" s="32">
        <v>2.4</v>
      </c>
      <c r="D936" s="6" t="s">
        <v>17</v>
      </c>
      <c r="E936" s="29">
        <v>6.3</v>
      </c>
      <c r="F936" s="13">
        <v>2.8</v>
      </c>
      <c r="G936" s="31">
        <v>2.41</v>
      </c>
      <c r="H936" s="13">
        <v>0.7</v>
      </c>
      <c r="I936" s="6" t="s">
        <v>15</v>
      </c>
      <c r="J936" s="11">
        <v>9</v>
      </c>
      <c r="K936" s="11">
        <v>5</v>
      </c>
      <c r="L936" s="11">
        <v>2</v>
      </c>
      <c r="M936" s="15">
        <v>0</v>
      </c>
      <c r="R936" s="20">
        <v>0</v>
      </c>
      <c r="U936" s="17">
        <v>0</v>
      </c>
      <c r="W936" s="23">
        <v>0</v>
      </c>
      <c r="Y936" s="26">
        <v>0</v>
      </c>
    </row>
    <row r="937" spans="1:25" x14ac:dyDescent="0.25">
      <c r="A937" s="7">
        <v>13</v>
      </c>
      <c r="B937" s="6" t="s">
        <v>13</v>
      </c>
      <c r="C937" s="32">
        <v>5.9</v>
      </c>
      <c r="D937" s="6" t="s">
        <v>14</v>
      </c>
      <c r="E937" s="29">
        <v>4.3</v>
      </c>
      <c r="F937" s="13">
        <v>0.8</v>
      </c>
      <c r="G937" s="31">
        <v>3.41</v>
      </c>
      <c r="H937" s="13">
        <v>1.1000000000000001</v>
      </c>
      <c r="I937" s="6" t="s">
        <v>19</v>
      </c>
      <c r="J937" s="11">
        <v>4</v>
      </c>
      <c r="K937" s="11">
        <v>3</v>
      </c>
      <c r="L937" s="11">
        <v>2</v>
      </c>
      <c r="M937" s="15">
        <v>0</v>
      </c>
      <c r="R937" s="20">
        <v>0</v>
      </c>
      <c r="U937" s="17">
        <v>0</v>
      </c>
      <c r="W937" s="23">
        <v>0</v>
      </c>
      <c r="Y937" s="26">
        <v>0</v>
      </c>
    </row>
    <row r="938" spans="1:25" x14ac:dyDescent="0.25">
      <c r="A938" s="7">
        <v>19</v>
      </c>
      <c r="B938" s="6" t="s">
        <v>16</v>
      </c>
      <c r="C938" s="32">
        <v>7.4</v>
      </c>
      <c r="D938" s="6" t="s">
        <v>14</v>
      </c>
      <c r="E938" s="29">
        <v>5</v>
      </c>
      <c r="F938" s="13">
        <v>2</v>
      </c>
      <c r="G938" s="31">
        <v>2.68</v>
      </c>
      <c r="H938" s="13">
        <v>1.2</v>
      </c>
      <c r="I938" s="6" t="s">
        <v>15</v>
      </c>
      <c r="J938" s="11">
        <v>1</v>
      </c>
      <c r="K938" s="11">
        <v>6</v>
      </c>
      <c r="L938" s="11">
        <v>8</v>
      </c>
      <c r="M938" s="15">
        <v>0</v>
      </c>
      <c r="R938" s="20">
        <v>0</v>
      </c>
      <c r="U938" s="17">
        <v>0</v>
      </c>
      <c r="W938" s="23">
        <v>0</v>
      </c>
      <c r="Y938" s="26">
        <v>0</v>
      </c>
    </row>
    <row r="939" spans="1:25" x14ac:dyDescent="0.25">
      <c r="A939" s="7">
        <v>15</v>
      </c>
      <c r="B939" s="6" t="s">
        <v>16</v>
      </c>
      <c r="C939" s="32">
        <v>4.5999999999999996</v>
      </c>
      <c r="D939" s="6" t="s">
        <v>17</v>
      </c>
      <c r="E939" s="29">
        <v>5.3</v>
      </c>
      <c r="F939" s="13">
        <v>3</v>
      </c>
      <c r="G939" s="31">
        <v>3.25</v>
      </c>
      <c r="H939" s="13">
        <v>0.2</v>
      </c>
      <c r="I939" s="6" t="s">
        <v>15</v>
      </c>
      <c r="J939" s="11">
        <v>1</v>
      </c>
      <c r="K939" s="11">
        <v>8</v>
      </c>
      <c r="L939" s="11">
        <v>7</v>
      </c>
      <c r="M939" s="15">
        <v>0</v>
      </c>
      <c r="R939" s="20">
        <v>0</v>
      </c>
      <c r="U939" s="17">
        <v>0</v>
      </c>
      <c r="W939" s="23">
        <v>0</v>
      </c>
      <c r="Y939" s="26">
        <v>0</v>
      </c>
    </row>
    <row r="940" spans="1:25" x14ac:dyDescent="0.25">
      <c r="A940" s="7">
        <v>17</v>
      </c>
      <c r="B940" s="6" t="s">
        <v>13</v>
      </c>
      <c r="C940" s="32">
        <v>7.3</v>
      </c>
      <c r="D940" s="6" t="s">
        <v>14</v>
      </c>
      <c r="E940" s="29">
        <v>5.8</v>
      </c>
      <c r="F940" s="13">
        <v>2.9</v>
      </c>
      <c r="G940" s="31">
        <v>3.93</v>
      </c>
      <c r="H940" s="13">
        <v>0.9</v>
      </c>
      <c r="I940" s="6" t="s">
        <v>19</v>
      </c>
      <c r="J940" s="11">
        <v>6</v>
      </c>
      <c r="K940" s="11">
        <v>2</v>
      </c>
      <c r="L940" s="11">
        <v>9</v>
      </c>
      <c r="M940" s="15">
        <v>0</v>
      </c>
      <c r="R940" s="20">
        <v>0</v>
      </c>
      <c r="U940" s="17">
        <v>0</v>
      </c>
      <c r="W940" s="23">
        <v>0</v>
      </c>
      <c r="Y940" s="26">
        <v>0</v>
      </c>
    </row>
    <row r="941" spans="1:25" x14ac:dyDescent="0.25">
      <c r="A941" s="7">
        <v>17</v>
      </c>
      <c r="B941" s="6" t="s">
        <v>16</v>
      </c>
      <c r="C941" s="32">
        <v>2.9</v>
      </c>
      <c r="D941" s="6" t="s">
        <v>17</v>
      </c>
      <c r="E941" s="29">
        <v>4.5</v>
      </c>
      <c r="F941" s="13">
        <v>0.9</v>
      </c>
      <c r="G941" s="31">
        <v>3.71</v>
      </c>
      <c r="H941" s="13">
        <v>0.1</v>
      </c>
      <c r="I941" s="6" t="s">
        <v>15</v>
      </c>
      <c r="J941" s="11">
        <v>1</v>
      </c>
      <c r="K941" s="11">
        <v>6</v>
      </c>
      <c r="L941" s="11">
        <v>4</v>
      </c>
      <c r="M941" s="15">
        <v>0</v>
      </c>
      <c r="R941" s="20">
        <v>0</v>
      </c>
      <c r="U941" s="17">
        <v>0</v>
      </c>
      <c r="W941" s="23">
        <v>0</v>
      </c>
      <c r="Y941" s="26">
        <v>0</v>
      </c>
    </row>
    <row r="942" spans="1:25" x14ac:dyDescent="0.25">
      <c r="A942" s="7">
        <v>19</v>
      </c>
      <c r="B942" s="6" t="s">
        <v>13</v>
      </c>
      <c r="C942" s="32">
        <v>5.3</v>
      </c>
      <c r="D942" s="6" t="s">
        <v>17</v>
      </c>
      <c r="E942" s="29">
        <v>8.4</v>
      </c>
      <c r="F942" s="13">
        <v>0.6</v>
      </c>
      <c r="G942" s="31">
        <v>3.08</v>
      </c>
      <c r="H942" s="13">
        <v>0.4</v>
      </c>
      <c r="I942" s="6" t="s">
        <v>19</v>
      </c>
      <c r="J942" s="11">
        <v>9</v>
      </c>
      <c r="K942" s="11">
        <v>4</v>
      </c>
      <c r="L942" s="11">
        <v>6</v>
      </c>
      <c r="M942" s="15">
        <v>0</v>
      </c>
      <c r="R942" s="20">
        <v>0</v>
      </c>
      <c r="U942" s="17">
        <v>0</v>
      </c>
      <c r="W942" s="23">
        <v>0</v>
      </c>
      <c r="Y942" s="26">
        <v>0</v>
      </c>
    </row>
    <row r="943" spans="1:25" x14ac:dyDescent="0.25">
      <c r="A943" s="7">
        <v>17</v>
      </c>
      <c r="B943" s="6" t="s">
        <v>16</v>
      </c>
      <c r="C943" s="32">
        <v>7.2</v>
      </c>
      <c r="D943" s="6" t="s">
        <v>17</v>
      </c>
      <c r="E943" s="29">
        <v>8.1999999999999993</v>
      </c>
      <c r="F943" s="13">
        <v>2.9</v>
      </c>
      <c r="G943" s="31">
        <v>3.69</v>
      </c>
      <c r="H943" s="13">
        <v>1</v>
      </c>
      <c r="I943" s="6" t="s">
        <v>18</v>
      </c>
      <c r="J943" s="11">
        <v>6</v>
      </c>
      <c r="K943" s="11">
        <v>2</v>
      </c>
      <c r="L943" s="11">
        <v>5</v>
      </c>
      <c r="M943" s="15">
        <v>0</v>
      </c>
      <c r="R943" s="20">
        <v>0</v>
      </c>
      <c r="U943" s="17">
        <v>0</v>
      </c>
      <c r="W943" s="23">
        <v>0</v>
      </c>
      <c r="Y943" s="26">
        <v>0</v>
      </c>
    </row>
    <row r="944" spans="1:25" x14ac:dyDescent="0.25">
      <c r="A944" s="7">
        <v>15</v>
      </c>
      <c r="B944" s="6" t="s">
        <v>16</v>
      </c>
      <c r="C944" s="32">
        <v>2.6</v>
      </c>
      <c r="D944" s="6" t="s">
        <v>20</v>
      </c>
      <c r="E944" s="29">
        <v>7.9</v>
      </c>
      <c r="F944" s="13">
        <v>1.8</v>
      </c>
      <c r="G944" s="31">
        <v>3.91</v>
      </c>
      <c r="H944" s="13">
        <v>0.5</v>
      </c>
      <c r="I944" s="6" t="s">
        <v>19</v>
      </c>
      <c r="J944" s="11">
        <v>4</v>
      </c>
      <c r="K944" s="11">
        <v>5</v>
      </c>
      <c r="L944" s="11">
        <v>6</v>
      </c>
      <c r="M944" s="15">
        <v>0</v>
      </c>
      <c r="R944" s="20">
        <v>0</v>
      </c>
      <c r="U944" s="17">
        <v>0</v>
      </c>
      <c r="W944" s="23">
        <v>0</v>
      </c>
      <c r="Y944" s="26">
        <v>0</v>
      </c>
    </row>
    <row r="945" spans="1:25" x14ac:dyDescent="0.25">
      <c r="A945" s="7">
        <v>15</v>
      </c>
      <c r="B945" s="6" t="s">
        <v>13</v>
      </c>
      <c r="C945" s="32">
        <v>3.6</v>
      </c>
      <c r="D945" s="6" t="s">
        <v>14</v>
      </c>
      <c r="E945" s="29">
        <v>4.8</v>
      </c>
      <c r="F945" s="13">
        <v>1</v>
      </c>
      <c r="G945" s="31">
        <v>3.71</v>
      </c>
      <c r="H945" s="13">
        <v>1.1000000000000001</v>
      </c>
      <c r="I945" s="6" t="s">
        <v>19</v>
      </c>
      <c r="J945" s="11">
        <v>5</v>
      </c>
      <c r="K945" s="11">
        <v>7</v>
      </c>
      <c r="L945" s="11">
        <v>4</v>
      </c>
      <c r="M945" s="15">
        <v>0</v>
      </c>
      <c r="R945" s="20">
        <v>0</v>
      </c>
      <c r="U945" s="17">
        <v>0</v>
      </c>
      <c r="W945" s="23">
        <v>0</v>
      </c>
      <c r="Y945" s="26">
        <v>0</v>
      </c>
    </row>
    <row r="946" spans="1:25" x14ac:dyDescent="0.25">
      <c r="A946" s="7">
        <v>19</v>
      </c>
      <c r="B946" s="6" t="s">
        <v>13</v>
      </c>
      <c r="C946" s="32">
        <v>3.6</v>
      </c>
      <c r="D946" s="6" t="s">
        <v>14</v>
      </c>
      <c r="E946" s="29">
        <v>6.5</v>
      </c>
      <c r="F946" s="13">
        <v>1.1000000000000001</v>
      </c>
      <c r="G946" s="31">
        <v>3.65</v>
      </c>
      <c r="H946" s="13">
        <v>1.1000000000000001</v>
      </c>
      <c r="I946" s="6" t="s">
        <v>15</v>
      </c>
      <c r="J946" s="11">
        <v>5</v>
      </c>
      <c r="K946" s="11">
        <v>9</v>
      </c>
      <c r="L946" s="11">
        <v>10</v>
      </c>
      <c r="M946" s="15">
        <v>0</v>
      </c>
      <c r="R946" s="20">
        <v>0</v>
      </c>
      <c r="U946" s="17">
        <v>0</v>
      </c>
      <c r="W946" s="23">
        <v>0</v>
      </c>
      <c r="Y946" s="26">
        <v>0</v>
      </c>
    </row>
    <row r="947" spans="1:25" x14ac:dyDescent="0.25">
      <c r="A947" s="7">
        <v>15</v>
      </c>
      <c r="B947" s="6" t="s">
        <v>16</v>
      </c>
      <c r="C947" s="32">
        <v>1.8</v>
      </c>
      <c r="D947" s="6" t="s">
        <v>14</v>
      </c>
      <c r="E947" s="29">
        <v>5.5</v>
      </c>
      <c r="F947" s="13">
        <v>1.6</v>
      </c>
      <c r="G947" s="31">
        <v>3.29</v>
      </c>
      <c r="H947" s="13">
        <v>1.3</v>
      </c>
      <c r="I947" s="6" t="s">
        <v>19</v>
      </c>
      <c r="J947" s="11">
        <v>6</v>
      </c>
      <c r="K947" s="11">
        <v>5</v>
      </c>
      <c r="L947" s="11">
        <v>9</v>
      </c>
      <c r="M947" s="15">
        <v>0</v>
      </c>
      <c r="R947" s="20">
        <v>0</v>
      </c>
      <c r="U947" s="17">
        <v>0</v>
      </c>
      <c r="W947" s="23">
        <v>0</v>
      </c>
      <c r="Y947" s="26">
        <v>0</v>
      </c>
    </row>
    <row r="948" spans="1:25" x14ac:dyDescent="0.25">
      <c r="A948" s="7">
        <v>14</v>
      </c>
      <c r="B948" s="6" t="s">
        <v>16</v>
      </c>
      <c r="C948" s="32">
        <v>1.8</v>
      </c>
      <c r="D948" s="6" t="s">
        <v>14</v>
      </c>
      <c r="E948" s="29">
        <v>7.6</v>
      </c>
      <c r="F948" s="13">
        <v>1.2</v>
      </c>
      <c r="G948" s="31">
        <v>2.84</v>
      </c>
      <c r="H948" s="13">
        <v>1.1000000000000001</v>
      </c>
      <c r="I948" s="6" t="s">
        <v>18</v>
      </c>
      <c r="J948" s="11">
        <v>10</v>
      </c>
      <c r="K948" s="11">
        <v>1</v>
      </c>
      <c r="L948" s="11">
        <v>3</v>
      </c>
      <c r="M948" s="15">
        <v>0</v>
      </c>
      <c r="R948" s="20">
        <v>0</v>
      </c>
      <c r="U948" s="17">
        <v>0</v>
      </c>
      <c r="W948" s="23">
        <v>0</v>
      </c>
      <c r="Y948" s="26">
        <v>0</v>
      </c>
    </row>
    <row r="949" spans="1:25" x14ac:dyDescent="0.25">
      <c r="A949" s="7">
        <v>15</v>
      </c>
      <c r="B949" s="6" t="s">
        <v>16</v>
      </c>
      <c r="C949" s="32">
        <v>7.4</v>
      </c>
      <c r="D949" s="6" t="s">
        <v>20</v>
      </c>
      <c r="E949" s="29">
        <v>8.4</v>
      </c>
      <c r="F949" s="13">
        <v>1.9</v>
      </c>
      <c r="G949" s="31">
        <v>3.73</v>
      </c>
      <c r="H949" s="13">
        <v>0.8</v>
      </c>
      <c r="I949" s="6" t="s">
        <v>18</v>
      </c>
      <c r="J949" s="11">
        <v>9</v>
      </c>
      <c r="K949" s="11">
        <v>9</v>
      </c>
      <c r="L949" s="11">
        <v>4</v>
      </c>
      <c r="M949" s="15">
        <v>0</v>
      </c>
      <c r="R949" s="20">
        <v>0</v>
      </c>
      <c r="U949" s="17">
        <v>0</v>
      </c>
      <c r="W949" s="23">
        <v>0</v>
      </c>
      <c r="Y949" s="26">
        <v>0</v>
      </c>
    </row>
    <row r="950" spans="1:25" x14ac:dyDescent="0.25">
      <c r="A950" s="7">
        <v>15</v>
      </c>
      <c r="B950" s="6" t="s">
        <v>13</v>
      </c>
      <c r="C950" s="32">
        <v>4.8</v>
      </c>
      <c r="D950" s="6" t="s">
        <v>20</v>
      </c>
      <c r="E950" s="29">
        <v>4.3</v>
      </c>
      <c r="F950" s="13">
        <v>2.2000000000000002</v>
      </c>
      <c r="G950" s="31">
        <v>2.5</v>
      </c>
      <c r="H950" s="13">
        <v>0</v>
      </c>
      <c r="I950" s="6" t="s">
        <v>19</v>
      </c>
      <c r="J950" s="11">
        <v>4</v>
      </c>
      <c r="K950" s="11">
        <v>1</v>
      </c>
      <c r="L950" s="11">
        <v>4</v>
      </c>
      <c r="M950" s="15">
        <v>0</v>
      </c>
      <c r="R950" s="20">
        <v>0</v>
      </c>
      <c r="U950" s="17">
        <v>0</v>
      </c>
      <c r="W950" s="23">
        <v>0</v>
      </c>
      <c r="Y950" s="26">
        <v>0</v>
      </c>
    </row>
    <row r="951" spans="1:25" x14ac:dyDescent="0.25">
      <c r="A951" s="7">
        <v>18</v>
      </c>
      <c r="B951" s="6" t="s">
        <v>13</v>
      </c>
      <c r="C951" s="32">
        <v>2.4</v>
      </c>
      <c r="D951" s="6" t="s">
        <v>20</v>
      </c>
      <c r="E951" s="29">
        <v>6.8</v>
      </c>
      <c r="F951" s="13">
        <v>1</v>
      </c>
      <c r="G951" s="31">
        <v>2.86</v>
      </c>
      <c r="H951" s="13">
        <v>1.5</v>
      </c>
      <c r="I951" s="6" t="s">
        <v>18</v>
      </c>
      <c r="J951" s="11">
        <v>9</v>
      </c>
      <c r="K951" s="11">
        <v>10</v>
      </c>
      <c r="L951" s="11">
        <v>8</v>
      </c>
      <c r="M951" s="15">
        <v>0</v>
      </c>
      <c r="R951" s="20">
        <v>0</v>
      </c>
      <c r="U951" s="17">
        <v>0</v>
      </c>
      <c r="W951" s="23">
        <v>0</v>
      </c>
      <c r="Y951" s="26">
        <v>0</v>
      </c>
    </row>
    <row r="952" spans="1:25" x14ac:dyDescent="0.25">
      <c r="A952" s="7">
        <v>15</v>
      </c>
      <c r="B952" s="6" t="s">
        <v>13</v>
      </c>
      <c r="C952" s="32">
        <v>5.4</v>
      </c>
      <c r="D952" s="6" t="s">
        <v>17</v>
      </c>
      <c r="E952" s="29">
        <v>5.2</v>
      </c>
      <c r="F952" s="13">
        <v>0.6</v>
      </c>
      <c r="G952" s="31">
        <v>3.65</v>
      </c>
      <c r="H952" s="13">
        <v>1.5</v>
      </c>
      <c r="I952" s="6" t="s">
        <v>15</v>
      </c>
      <c r="J952" s="11">
        <v>7</v>
      </c>
      <c r="K952" s="11">
        <v>9</v>
      </c>
      <c r="L952" s="11">
        <v>10</v>
      </c>
      <c r="M952" s="15">
        <v>1</v>
      </c>
      <c r="R952" s="20">
        <v>1</v>
      </c>
      <c r="U952" s="17">
        <v>1</v>
      </c>
      <c r="W952" s="23">
        <v>1</v>
      </c>
      <c r="Y952" s="26">
        <v>1</v>
      </c>
    </row>
    <row r="953" spans="1:25" x14ac:dyDescent="0.25">
      <c r="A953" s="7">
        <v>17</v>
      </c>
      <c r="B953" s="6" t="s">
        <v>16</v>
      </c>
      <c r="C953" s="32">
        <v>3.5</v>
      </c>
      <c r="D953" s="6" t="s">
        <v>20</v>
      </c>
      <c r="E953" s="29">
        <v>8.5</v>
      </c>
      <c r="F953" s="13">
        <v>2.2000000000000002</v>
      </c>
      <c r="G953" s="31">
        <v>2.11</v>
      </c>
      <c r="H953" s="13">
        <v>1.3</v>
      </c>
      <c r="I953" s="6" t="s">
        <v>19</v>
      </c>
      <c r="J953" s="11">
        <v>8</v>
      </c>
      <c r="K953" s="11">
        <v>8</v>
      </c>
      <c r="L953" s="11">
        <v>2</v>
      </c>
      <c r="M953" s="15">
        <v>0</v>
      </c>
      <c r="R953" s="20">
        <v>0</v>
      </c>
      <c r="U953" s="17">
        <v>0</v>
      </c>
      <c r="W953" s="23">
        <v>0</v>
      </c>
      <c r="Y953" s="26">
        <v>0</v>
      </c>
    </row>
    <row r="954" spans="1:25" x14ac:dyDescent="0.25">
      <c r="A954" s="7">
        <v>18</v>
      </c>
      <c r="B954" s="6" t="s">
        <v>16</v>
      </c>
      <c r="C954" s="32">
        <v>3</v>
      </c>
      <c r="D954" s="6" t="s">
        <v>14</v>
      </c>
      <c r="E954" s="29">
        <v>5</v>
      </c>
      <c r="F954" s="13">
        <v>2</v>
      </c>
      <c r="G954" s="31">
        <v>2.4500000000000002</v>
      </c>
      <c r="H954" s="13">
        <v>1.2</v>
      </c>
      <c r="I954" s="6" t="s">
        <v>19</v>
      </c>
      <c r="J954" s="11">
        <v>1</v>
      </c>
      <c r="K954" s="11">
        <v>10</v>
      </c>
      <c r="L954" s="11">
        <v>7</v>
      </c>
      <c r="M954" s="15">
        <v>0</v>
      </c>
      <c r="R954" s="20">
        <v>0</v>
      </c>
      <c r="U954" s="17">
        <v>0</v>
      </c>
      <c r="W954" s="23">
        <v>0</v>
      </c>
      <c r="Y954" s="26">
        <v>0</v>
      </c>
    </row>
    <row r="955" spans="1:25" x14ac:dyDescent="0.25">
      <c r="A955" s="7">
        <v>13</v>
      </c>
      <c r="B955" s="6" t="s">
        <v>16</v>
      </c>
      <c r="C955" s="32">
        <v>3.3</v>
      </c>
      <c r="D955" s="6" t="s">
        <v>20</v>
      </c>
      <c r="E955" s="29">
        <v>7.4</v>
      </c>
      <c r="F955" s="13">
        <v>0.9</v>
      </c>
      <c r="G955" s="31">
        <v>2.5299999999999998</v>
      </c>
      <c r="H955" s="13">
        <v>0.2</v>
      </c>
      <c r="I955" s="6" t="s">
        <v>19</v>
      </c>
      <c r="J955" s="11">
        <v>4</v>
      </c>
      <c r="K955" s="11">
        <v>10</v>
      </c>
      <c r="L955" s="11">
        <v>6</v>
      </c>
      <c r="M955" s="15">
        <v>0</v>
      </c>
      <c r="R955" s="20">
        <v>0</v>
      </c>
      <c r="U955" s="17">
        <v>0</v>
      </c>
      <c r="W955" s="23">
        <v>0</v>
      </c>
      <c r="Y955" s="26">
        <v>0</v>
      </c>
    </row>
    <row r="956" spans="1:25" x14ac:dyDescent="0.25">
      <c r="A956" s="7">
        <v>19</v>
      </c>
      <c r="B956" s="6" t="s">
        <v>13</v>
      </c>
      <c r="C956" s="32">
        <v>5.5</v>
      </c>
      <c r="D956" s="6" t="s">
        <v>17</v>
      </c>
      <c r="E956" s="29">
        <v>5.0999999999999996</v>
      </c>
      <c r="F956" s="13">
        <v>2.7</v>
      </c>
      <c r="G956" s="31">
        <v>2.56</v>
      </c>
      <c r="H956" s="13">
        <v>1.4</v>
      </c>
      <c r="I956" s="6" t="s">
        <v>15</v>
      </c>
      <c r="J956" s="11">
        <v>2</v>
      </c>
      <c r="K956" s="11">
        <v>3</v>
      </c>
      <c r="L956" s="11">
        <v>7</v>
      </c>
      <c r="M956" s="15">
        <v>0</v>
      </c>
      <c r="R956" s="20">
        <v>0</v>
      </c>
      <c r="U956" s="17">
        <v>0</v>
      </c>
      <c r="W956" s="23">
        <v>0</v>
      </c>
      <c r="Y956" s="26">
        <v>0</v>
      </c>
    </row>
    <row r="957" spans="1:25" x14ac:dyDescent="0.25">
      <c r="A957" s="7">
        <v>15</v>
      </c>
      <c r="B957" s="6" t="s">
        <v>13</v>
      </c>
      <c r="C957" s="32">
        <v>3.8</v>
      </c>
      <c r="D957" s="6" t="s">
        <v>20</v>
      </c>
      <c r="E957" s="29">
        <v>8.3000000000000007</v>
      </c>
      <c r="F957" s="13">
        <v>2.6</v>
      </c>
      <c r="G957" s="31">
        <v>3.19</v>
      </c>
      <c r="H957" s="13">
        <v>2</v>
      </c>
      <c r="I957" s="6" t="s">
        <v>19</v>
      </c>
      <c r="J957" s="11">
        <v>1</v>
      </c>
      <c r="K957" s="11">
        <v>2</v>
      </c>
      <c r="L957" s="11">
        <v>2</v>
      </c>
      <c r="M957" s="15">
        <v>0</v>
      </c>
      <c r="R957" s="20">
        <v>0</v>
      </c>
      <c r="U957" s="17">
        <v>0</v>
      </c>
      <c r="W957" s="23">
        <v>0</v>
      </c>
      <c r="Y957" s="26">
        <v>0</v>
      </c>
    </row>
    <row r="958" spans="1:25" x14ac:dyDescent="0.25">
      <c r="A958" s="7">
        <v>17</v>
      </c>
      <c r="B958" s="6" t="s">
        <v>13</v>
      </c>
      <c r="C958" s="32">
        <v>5.7</v>
      </c>
      <c r="D958" s="6" t="s">
        <v>17</v>
      </c>
      <c r="E958" s="29">
        <v>8.6999999999999993</v>
      </c>
      <c r="F958" s="13">
        <v>2</v>
      </c>
      <c r="G958" s="31">
        <v>3.14</v>
      </c>
      <c r="H958" s="13">
        <v>1.7</v>
      </c>
      <c r="I958" s="6" t="s">
        <v>15</v>
      </c>
      <c r="J958" s="11">
        <v>1</v>
      </c>
      <c r="K958" s="11">
        <v>9</v>
      </c>
      <c r="L958" s="11">
        <v>8</v>
      </c>
      <c r="M958" s="15">
        <v>0</v>
      </c>
      <c r="R958" s="20">
        <v>0</v>
      </c>
      <c r="U958" s="17">
        <v>0</v>
      </c>
      <c r="W958" s="23">
        <v>0</v>
      </c>
      <c r="Y958" s="26">
        <v>0</v>
      </c>
    </row>
    <row r="959" spans="1:25" x14ac:dyDescent="0.25">
      <c r="A959" s="7">
        <v>13</v>
      </c>
      <c r="B959" s="6" t="s">
        <v>16</v>
      </c>
      <c r="C959" s="32">
        <v>4.7</v>
      </c>
      <c r="D959" s="6" t="s">
        <v>17</v>
      </c>
      <c r="E959" s="29">
        <v>8</v>
      </c>
      <c r="F959" s="13">
        <v>1.1000000000000001</v>
      </c>
      <c r="G959" s="31">
        <v>2.37</v>
      </c>
      <c r="H959" s="13">
        <v>0.2</v>
      </c>
      <c r="I959" s="6" t="s">
        <v>15</v>
      </c>
      <c r="J959" s="11">
        <v>5</v>
      </c>
      <c r="K959" s="11">
        <v>10</v>
      </c>
      <c r="L959" s="11">
        <v>6</v>
      </c>
      <c r="M959" s="15">
        <v>0</v>
      </c>
      <c r="R959" s="20">
        <v>0</v>
      </c>
      <c r="U959" s="17">
        <v>0</v>
      </c>
      <c r="W959" s="23">
        <v>0</v>
      </c>
      <c r="Y959" s="26">
        <v>0</v>
      </c>
    </row>
    <row r="960" spans="1:25" x14ac:dyDescent="0.25">
      <c r="A960" s="7">
        <v>17</v>
      </c>
      <c r="B960" s="6" t="s">
        <v>16</v>
      </c>
      <c r="C960" s="32">
        <v>4</v>
      </c>
      <c r="D960" s="6" t="s">
        <v>14</v>
      </c>
      <c r="E960" s="29">
        <v>6.7</v>
      </c>
      <c r="F960" s="13">
        <v>0.6</v>
      </c>
      <c r="G960" s="31">
        <v>2.5099999999999998</v>
      </c>
      <c r="H960" s="13">
        <v>1.5</v>
      </c>
      <c r="I960" s="6" t="s">
        <v>18</v>
      </c>
      <c r="J960" s="11">
        <v>9</v>
      </c>
      <c r="K960" s="11">
        <v>8</v>
      </c>
      <c r="L960" s="11">
        <v>5</v>
      </c>
      <c r="M960" s="15">
        <v>0</v>
      </c>
      <c r="R960" s="20">
        <v>0</v>
      </c>
      <c r="U960" s="17">
        <v>0</v>
      </c>
      <c r="W960" s="23">
        <v>0</v>
      </c>
      <c r="Y960" s="26">
        <v>0</v>
      </c>
    </row>
    <row r="961" spans="1:25" x14ac:dyDescent="0.25">
      <c r="A961" s="7">
        <v>16</v>
      </c>
      <c r="B961" s="6" t="s">
        <v>13</v>
      </c>
      <c r="C961" s="32">
        <v>5.3</v>
      </c>
      <c r="D961" s="6" t="s">
        <v>17</v>
      </c>
      <c r="E961" s="29">
        <v>6.8</v>
      </c>
      <c r="F961" s="13">
        <v>0.7</v>
      </c>
      <c r="G961" s="31">
        <v>3.9</v>
      </c>
      <c r="H961" s="13">
        <v>1.5</v>
      </c>
      <c r="I961" s="6" t="s">
        <v>15</v>
      </c>
      <c r="J961" s="11">
        <v>5</v>
      </c>
      <c r="K961" s="11">
        <v>8</v>
      </c>
      <c r="L961" s="11">
        <v>3</v>
      </c>
      <c r="M961" s="15">
        <v>0</v>
      </c>
      <c r="R961" s="20">
        <v>0</v>
      </c>
      <c r="U961" s="17">
        <v>0</v>
      </c>
      <c r="W961" s="23">
        <v>0</v>
      </c>
      <c r="Y961" s="26">
        <v>0</v>
      </c>
    </row>
    <row r="962" spans="1:25" x14ac:dyDescent="0.25">
      <c r="A962" s="7">
        <v>17</v>
      </c>
      <c r="B962" s="6" t="s">
        <v>13</v>
      </c>
      <c r="C962" s="32">
        <v>3.8</v>
      </c>
      <c r="D962" s="6" t="s">
        <v>14</v>
      </c>
      <c r="E962" s="29">
        <v>4.7</v>
      </c>
      <c r="F962" s="13">
        <v>1.2</v>
      </c>
      <c r="G962" s="31">
        <v>3.7</v>
      </c>
      <c r="H962" s="13">
        <v>1.4</v>
      </c>
      <c r="I962" s="6" t="s">
        <v>18</v>
      </c>
      <c r="J962" s="11">
        <v>2</v>
      </c>
      <c r="K962" s="11">
        <v>2</v>
      </c>
      <c r="L962" s="11">
        <v>5</v>
      </c>
      <c r="M962" s="15">
        <v>0</v>
      </c>
      <c r="R962" s="20">
        <v>0</v>
      </c>
      <c r="U962" s="17">
        <v>0</v>
      </c>
      <c r="W962" s="23">
        <v>0</v>
      </c>
      <c r="Y962" s="26">
        <v>0</v>
      </c>
    </row>
    <row r="963" spans="1:25" x14ac:dyDescent="0.25">
      <c r="A963" s="7">
        <v>16</v>
      </c>
      <c r="B963" s="6" t="s">
        <v>16</v>
      </c>
      <c r="C963" s="32">
        <v>6</v>
      </c>
      <c r="D963" s="6" t="s">
        <v>20</v>
      </c>
      <c r="E963" s="29">
        <v>4.0999999999999996</v>
      </c>
      <c r="F963" s="13">
        <v>2.4</v>
      </c>
      <c r="G963" s="31">
        <v>2.61</v>
      </c>
      <c r="H963" s="13">
        <v>1.1000000000000001</v>
      </c>
      <c r="I963" s="6" t="s">
        <v>18</v>
      </c>
      <c r="J963" s="11">
        <v>1</v>
      </c>
      <c r="K963" s="11">
        <v>6</v>
      </c>
      <c r="L963" s="11">
        <v>3</v>
      </c>
      <c r="M963" s="15">
        <v>0</v>
      </c>
      <c r="R963" s="20">
        <v>0</v>
      </c>
      <c r="U963" s="17">
        <v>0</v>
      </c>
      <c r="W963" s="23">
        <v>0</v>
      </c>
      <c r="Y963" s="26">
        <v>0</v>
      </c>
    </row>
    <row r="964" spans="1:25" x14ac:dyDescent="0.25">
      <c r="A964" s="7">
        <v>15</v>
      </c>
      <c r="B964" s="6" t="s">
        <v>13</v>
      </c>
      <c r="C964" s="32">
        <v>2.2000000000000002</v>
      </c>
      <c r="D964" s="6" t="s">
        <v>20</v>
      </c>
      <c r="E964" s="29">
        <v>4.5</v>
      </c>
      <c r="F964" s="13">
        <v>1.3</v>
      </c>
      <c r="G964" s="31">
        <v>2.63</v>
      </c>
      <c r="H964" s="13">
        <v>1.7</v>
      </c>
      <c r="I964" s="6" t="s">
        <v>15</v>
      </c>
      <c r="J964" s="11">
        <v>10</v>
      </c>
      <c r="K964" s="11">
        <v>2</v>
      </c>
      <c r="L964" s="11">
        <v>6</v>
      </c>
      <c r="M964" s="15">
        <v>0</v>
      </c>
      <c r="R964" s="20">
        <v>0</v>
      </c>
      <c r="U964" s="17">
        <v>0</v>
      </c>
      <c r="W964" s="23">
        <v>0</v>
      </c>
      <c r="Y964" s="26">
        <v>0</v>
      </c>
    </row>
    <row r="965" spans="1:25" x14ac:dyDescent="0.25">
      <c r="A965" s="7">
        <v>18</v>
      </c>
      <c r="B965" s="6" t="s">
        <v>13</v>
      </c>
      <c r="C965" s="32">
        <v>4.3</v>
      </c>
      <c r="D965" s="6" t="s">
        <v>17</v>
      </c>
      <c r="E965" s="29">
        <v>8.4</v>
      </c>
      <c r="F965" s="13">
        <v>2.1</v>
      </c>
      <c r="G965" s="31">
        <v>2.69</v>
      </c>
      <c r="H965" s="13">
        <v>0.2</v>
      </c>
      <c r="I965" s="6" t="s">
        <v>15</v>
      </c>
      <c r="J965" s="11">
        <v>1</v>
      </c>
      <c r="K965" s="11">
        <v>10</v>
      </c>
      <c r="L965" s="11">
        <v>8</v>
      </c>
      <c r="M965" s="15">
        <v>0</v>
      </c>
      <c r="R965" s="20">
        <v>0</v>
      </c>
      <c r="U965" s="17">
        <v>0</v>
      </c>
      <c r="W965" s="23">
        <v>0</v>
      </c>
      <c r="Y965" s="26">
        <v>0</v>
      </c>
    </row>
    <row r="966" spans="1:25" x14ac:dyDescent="0.25">
      <c r="A966" s="7">
        <v>19</v>
      </c>
      <c r="B966" s="6" t="s">
        <v>16</v>
      </c>
      <c r="C966" s="32">
        <v>7.5</v>
      </c>
      <c r="D966" s="6" t="s">
        <v>17</v>
      </c>
      <c r="E966" s="29">
        <v>4.5</v>
      </c>
      <c r="F966" s="13">
        <v>2.7</v>
      </c>
      <c r="G966" s="31">
        <v>2.41</v>
      </c>
      <c r="H966" s="13">
        <v>1</v>
      </c>
      <c r="I966" s="6" t="s">
        <v>18</v>
      </c>
      <c r="J966" s="11">
        <v>3</v>
      </c>
      <c r="K966" s="11">
        <v>2</v>
      </c>
      <c r="L966" s="11">
        <v>6</v>
      </c>
      <c r="M966" s="15">
        <v>0</v>
      </c>
      <c r="R966" s="20">
        <v>0</v>
      </c>
      <c r="U966" s="17">
        <v>0</v>
      </c>
      <c r="W966" s="23">
        <v>0</v>
      </c>
      <c r="Y966" s="26">
        <v>0</v>
      </c>
    </row>
    <row r="967" spans="1:25" x14ac:dyDescent="0.25">
      <c r="A967" s="7">
        <v>14</v>
      </c>
      <c r="B967" s="6" t="s">
        <v>13</v>
      </c>
      <c r="C967" s="32">
        <v>5.3</v>
      </c>
      <c r="D967" s="6" t="s">
        <v>14</v>
      </c>
      <c r="E967" s="29">
        <v>6.8</v>
      </c>
      <c r="F967" s="13">
        <v>2.9</v>
      </c>
      <c r="G967" s="31">
        <v>2.1800000000000002</v>
      </c>
      <c r="H967" s="13">
        <v>0.8</v>
      </c>
      <c r="I967" s="6" t="s">
        <v>19</v>
      </c>
      <c r="J967" s="11">
        <v>10</v>
      </c>
      <c r="K967" s="11">
        <v>1</v>
      </c>
      <c r="L967" s="11">
        <v>6</v>
      </c>
      <c r="M967" s="15">
        <v>0</v>
      </c>
      <c r="R967" s="20">
        <v>0</v>
      </c>
      <c r="U967" s="17">
        <v>0</v>
      </c>
      <c r="W967" s="23">
        <v>0</v>
      </c>
      <c r="Y967" s="26">
        <v>0</v>
      </c>
    </row>
    <row r="968" spans="1:25" x14ac:dyDescent="0.25">
      <c r="A968" s="7">
        <v>14</v>
      </c>
      <c r="B968" s="6" t="s">
        <v>16</v>
      </c>
      <c r="C968" s="32">
        <v>7</v>
      </c>
      <c r="D968" s="6" t="s">
        <v>14</v>
      </c>
      <c r="E968" s="29">
        <v>6.9</v>
      </c>
      <c r="F968" s="13">
        <v>2.1</v>
      </c>
      <c r="G968" s="31">
        <v>3.42</v>
      </c>
      <c r="H968" s="13">
        <v>1.1000000000000001</v>
      </c>
      <c r="I968" s="6" t="s">
        <v>18</v>
      </c>
      <c r="J968" s="11">
        <v>10</v>
      </c>
      <c r="K968" s="11">
        <v>3</v>
      </c>
      <c r="L968" s="11">
        <v>6</v>
      </c>
      <c r="M968" s="15">
        <v>0</v>
      </c>
      <c r="R968" s="20">
        <v>0</v>
      </c>
      <c r="U968" s="17">
        <v>0</v>
      </c>
      <c r="W968" s="23">
        <v>0</v>
      </c>
      <c r="Y968" s="26">
        <v>0</v>
      </c>
    </row>
    <row r="969" spans="1:25" x14ac:dyDescent="0.25">
      <c r="A969" s="7">
        <v>16</v>
      </c>
      <c r="B969" s="6" t="s">
        <v>16</v>
      </c>
      <c r="C969" s="32">
        <v>2.1</v>
      </c>
      <c r="D969" s="6" t="s">
        <v>20</v>
      </c>
      <c r="E969" s="29">
        <v>4.5999999999999996</v>
      </c>
      <c r="F969" s="13">
        <v>2</v>
      </c>
      <c r="G969" s="31">
        <v>2.5499999999999998</v>
      </c>
      <c r="H969" s="13">
        <v>1.8</v>
      </c>
      <c r="I969" s="6" t="s">
        <v>18</v>
      </c>
      <c r="J969" s="11">
        <v>5</v>
      </c>
      <c r="K969" s="11">
        <v>4</v>
      </c>
      <c r="L969" s="11">
        <v>4</v>
      </c>
      <c r="M969" s="15">
        <v>0</v>
      </c>
      <c r="R969" s="20">
        <v>0</v>
      </c>
      <c r="U969" s="17">
        <v>0</v>
      </c>
      <c r="W969" s="23">
        <v>0</v>
      </c>
      <c r="Y969" s="26">
        <v>0</v>
      </c>
    </row>
    <row r="970" spans="1:25" x14ac:dyDescent="0.25">
      <c r="A970" s="7">
        <v>18</v>
      </c>
      <c r="B970" s="6" t="s">
        <v>16</v>
      </c>
      <c r="C970" s="32">
        <v>7.3</v>
      </c>
      <c r="D970" s="6" t="s">
        <v>20</v>
      </c>
      <c r="E970" s="29">
        <v>7.3</v>
      </c>
      <c r="F970" s="13">
        <v>2.8</v>
      </c>
      <c r="G970" s="31">
        <v>3.3</v>
      </c>
      <c r="H970" s="13">
        <v>0.4</v>
      </c>
      <c r="I970" s="6" t="s">
        <v>15</v>
      </c>
      <c r="J970" s="11">
        <v>1</v>
      </c>
      <c r="K970" s="11">
        <v>8</v>
      </c>
      <c r="L970" s="11">
        <v>1</v>
      </c>
      <c r="M970" s="15">
        <v>0</v>
      </c>
      <c r="R970" s="20">
        <v>0</v>
      </c>
      <c r="U970" s="17">
        <v>0</v>
      </c>
      <c r="W970" s="23">
        <v>0</v>
      </c>
      <c r="Y970" s="26">
        <v>0</v>
      </c>
    </row>
    <row r="971" spans="1:25" x14ac:dyDescent="0.25">
      <c r="A971" s="7">
        <v>17</v>
      </c>
      <c r="B971" s="6" t="s">
        <v>16</v>
      </c>
      <c r="C971" s="32">
        <v>2.6</v>
      </c>
      <c r="D971" s="6" t="s">
        <v>14</v>
      </c>
      <c r="E971" s="29">
        <v>6.5</v>
      </c>
      <c r="F971" s="13">
        <v>1.5</v>
      </c>
      <c r="G971" s="31">
        <v>3.8</v>
      </c>
      <c r="H971" s="13">
        <v>0.2</v>
      </c>
      <c r="I971" s="6" t="s">
        <v>18</v>
      </c>
      <c r="J971" s="11">
        <v>8</v>
      </c>
      <c r="K971" s="11">
        <v>6</v>
      </c>
      <c r="L971" s="11">
        <v>1</v>
      </c>
      <c r="M971" s="15">
        <v>0</v>
      </c>
      <c r="R971" s="20">
        <v>0</v>
      </c>
      <c r="U971" s="17">
        <v>0</v>
      </c>
      <c r="W971" s="23">
        <v>0</v>
      </c>
      <c r="Y971" s="26">
        <v>0</v>
      </c>
    </row>
    <row r="972" spans="1:25" x14ac:dyDescent="0.25">
      <c r="A972" s="7">
        <v>17</v>
      </c>
      <c r="B972" s="6" t="s">
        <v>13</v>
      </c>
      <c r="C972" s="32">
        <v>5.4</v>
      </c>
      <c r="D972" s="6" t="s">
        <v>20</v>
      </c>
      <c r="E972" s="29">
        <v>4.9000000000000004</v>
      </c>
      <c r="F972" s="13">
        <v>1.5</v>
      </c>
      <c r="G972" s="31">
        <v>3.4</v>
      </c>
      <c r="H972" s="13">
        <v>0</v>
      </c>
      <c r="I972" s="6" t="s">
        <v>19</v>
      </c>
      <c r="J972" s="11">
        <v>2</v>
      </c>
      <c r="K972" s="11">
        <v>2</v>
      </c>
      <c r="L972" s="11">
        <v>1</v>
      </c>
      <c r="M972" s="15">
        <v>0</v>
      </c>
      <c r="R972" s="20">
        <v>0</v>
      </c>
      <c r="U972" s="17">
        <v>0</v>
      </c>
      <c r="W972" s="23">
        <v>0</v>
      </c>
      <c r="Y972" s="26">
        <v>0</v>
      </c>
    </row>
    <row r="973" spans="1:25" x14ac:dyDescent="0.25">
      <c r="A973" s="7">
        <v>15</v>
      </c>
      <c r="B973" s="6" t="s">
        <v>13</v>
      </c>
      <c r="C973" s="32">
        <v>6.9</v>
      </c>
      <c r="D973" s="6" t="s">
        <v>14</v>
      </c>
      <c r="E973" s="29">
        <v>6.2</v>
      </c>
      <c r="F973" s="13">
        <v>0.6</v>
      </c>
      <c r="G973" s="31">
        <v>2.37</v>
      </c>
      <c r="H973" s="13">
        <v>0.2</v>
      </c>
      <c r="I973" s="6" t="s">
        <v>15</v>
      </c>
      <c r="J973" s="11">
        <v>3</v>
      </c>
      <c r="K973" s="11">
        <v>1</v>
      </c>
      <c r="L973" s="11">
        <v>4</v>
      </c>
      <c r="M973" s="15">
        <v>0</v>
      </c>
      <c r="R973" s="20">
        <v>0</v>
      </c>
      <c r="U973" s="17">
        <v>0</v>
      </c>
      <c r="W973" s="23">
        <v>0</v>
      </c>
      <c r="Y973" s="26">
        <v>0</v>
      </c>
    </row>
    <row r="974" spans="1:25" x14ac:dyDescent="0.25">
      <c r="A974" s="7">
        <v>19</v>
      </c>
      <c r="B974" s="6" t="s">
        <v>16</v>
      </c>
      <c r="C974" s="32">
        <v>3</v>
      </c>
      <c r="D974" s="6" t="s">
        <v>14</v>
      </c>
      <c r="E974" s="29">
        <v>5.5</v>
      </c>
      <c r="F974" s="13">
        <v>2.1</v>
      </c>
      <c r="G974" s="31">
        <v>3.08</v>
      </c>
      <c r="H974" s="13">
        <v>0.7</v>
      </c>
      <c r="I974" s="6" t="s">
        <v>15</v>
      </c>
      <c r="J974" s="11">
        <v>9</v>
      </c>
      <c r="K974" s="11">
        <v>3</v>
      </c>
      <c r="L974" s="11">
        <v>5</v>
      </c>
      <c r="M974" s="15">
        <v>0</v>
      </c>
      <c r="R974" s="20">
        <v>0</v>
      </c>
      <c r="U974" s="17">
        <v>0</v>
      </c>
      <c r="W974" s="23">
        <v>0</v>
      </c>
      <c r="Y974" s="26">
        <v>0</v>
      </c>
    </row>
    <row r="975" spans="1:25" x14ac:dyDescent="0.25">
      <c r="A975" s="7">
        <v>18</v>
      </c>
      <c r="B975" s="6" t="s">
        <v>13</v>
      </c>
      <c r="C975" s="32">
        <v>1.3</v>
      </c>
      <c r="D975" s="6" t="s">
        <v>14</v>
      </c>
      <c r="E975" s="29">
        <v>4.5</v>
      </c>
      <c r="F975" s="13">
        <v>2.2999999999999998</v>
      </c>
      <c r="G975" s="31">
        <v>2.2799999999999998</v>
      </c>
      <c r="H975" s="13">
        <v>1</v>
      </c>
      <c r="I975" s="6" t="s">
        <v>15</v>
      </c>
      <c r="J975" s="11">
        <v>2</v>
      </c>
      <c r="K975" s="11">
        <v>7</v>
      </c>
      <c r="L975" s="11">
        <v>8</v>
      </c>
      <c r="M975" s="15">
        <v>0</v>
      </c>
      <c r="R975" s="20">
        <v>0</v>
      </c>
      <c r="U975" s="17">
        <v>0</v>
      </c>
      <c r="W975" s="23">
        <v>0</v>
      </c>
      <c r="Y975" s="26">
        <v>0</v>
      </c>
    </row>
    <row r="976" spans="1:25" x14ac:dyDescent="0.25">
      <c r="A976" s="7">
        <v>15</v>
      </c>
      <c r="B976" s="6" t="s">
        <v>13</v>
      </c>
      <c r="C976" s="32">
        <v>6.2</v>
      </c>
      <c r="D976" s="6" t="s">
        <v>20</v>
      </c>
      <c r="E976" s="29">
        <v>6.4</v>
      </c>
      <c r="F976" s="13">
        <v>1.4</v>
      </c>
      <c r="G976" s="31">
        <v>3.34</v>
      </c>
      <c r="H976" s="13">
        <v>0.9</v>
      </c>
      <c r="I976" s="6" t="s">
        <v>18</v>
      </c>
      <c r="J976" s="11">
        <v>8</v>
      </c>
      <c r="K976" s="11">
        <v>9</v>
      </c>
      <c r="L976" s="11">
        <v>9</v>
      </c>
      <c r="M976" s="15">
        <v>0</v>
      </c>
      <c r="R976" s="20">
        <v>0</v>
      </c>
      <c r="U976" s="17">
        <v>0</v>
      </c>
      <c r="W976" s="23">
        <v>0</v>
      </c>
      <c r="Y976" s="26">
        <v>0</v>
      </c>
    </row>
    <row r="977" spans="1:25" x14ac:dyDescent="0.25">
      <c r="A977" s="7">
        <v>15</v>
      </c>
      <c r="B977" s="6" t="s">
        <v>13</v>
      </c>
      <c r="C977" s="32">
        <v>3.6</v>
      </c>
      <c r="D977" s="6" t="s">
        <v>14</v>
      </c>
      <c r="E977" s="29">
        <v>5.5</v>
      </c>
      <c r="F977" s="13">
        <v>1.2</v>
      </c>
      <c r="G977" s="31">
        <v>2.4900000000000002</v>
      </c>
      <c r="H977" s="13">
        <v>1.9</v>
      </c>
      <c r="I977" s="6" t="s">
        <v>15</v>
      </c>
      <c r="J977" s="11">
        <v>1</v>
      </c>
      <c r="K977" s="11">
        <v>4</v>
      </c>
      <c r="L977" s="11">
        <v>9</v>
      </c>
      <c r="M977" s="15">
        <v>0</v>
      </c>
      <c r="R977" s="20">
        <v>0</v>
      </c>
      <c r="U977" s="17">
        <v>0</v>
      </c>
      <c r="W977" s="23">
        <v>0</v>
      </c>
      <c r="Y977" s="26">
        <v>0</v>
      </c>
    </row>
    <row r="978" spans="1:25" x14ac:dyDescent="0.25">
      <c r="A978" s="7">
        <v>18</v>
      </c>
      <c r="B978" s="6" t="s">
        <v>16</v>
      </c>
      <c r="C978" s="32">
        <v>6.5</v>
      </c>
      <c r="D978" s="6" t="s">
        <v>20</v>
      </c>
      <c r="E978" s="29">
        <v>6.7</v>
      </c>
      <c r="F978" s="13">
        <v>2.5</v>
      </c>
      <c r="G978" s="31">
        <v>2.98</v>
      </c>
      <c r="H978" s="13">
        <v>0.1</v>
      </c>
      <c r="I978" s="6" t="s">
        <v>18</v>
      </c>
      <c r="J978" s="11">
        <v>9</v>
      </c>
      <c r="K978" s="11">
        <v>7</v>
      </c>
      <c r="L978" s="11">
        <v>7</v>
      </c>
      <c r="M978" s="15">
        <v>0</v>
      </c>
      <c r="R978" s="20">
        <v>0</v>
      </c>
      <c r="U978" s="17">
        <v>0</v>
      </c>
      <c r="W978" s="23">
        <v>0</v>
      </c>
      <c r="Y978" s="26">
        <v>0</v>
      </c>
    </row>
    <row r="979" spans="1:25" x14ac:dyDescent="0.25">
      <c r="A979" s="7">
        <v>17</v>
      </c>
      <c r="B979" s="6" t="s">
        <v>16</v>
      </c>
      <c r="C979" s="32">
        <v>5.3</v>
      </c>
      <c r="D979" s="6" t="s">
        <v>14</v>
      </c>
      <c r="E979" s="29">
        <v>6.6</v>
      </c>
      <c r="F979" s="13">
        <v>0.6</v>
      </c>
      <c r="G979" s="31">
        <v>3.04</v>
      </c>
      <c r="H979" s="13">
        <v>0.1</v>
      </c>
      <c r="I979" s="6" t="s">
        <v>18</v>
      </c>
      <c r="J979" s="11">
        <v>3</v>
      </c>
      <c r="K979" s="11">
        <v>7</v>
      </c>
      <c r="L979" s="11">
        <v>1</v>
      </c>
      <c r="M979" s="15">
        <v>0</v>
      </c>
      <c r="R979" s="20">
        <v>0</v>
      </c>
      <c r="U979" s="17">
        <v>0</v>
      </c>
      <c r="W979" s="23">
        <v>0</v>
      </c>
      <c r="Y979" s="26">
        <v>0</v>
      </c>
    </row>
    <row r="980" spans="1:25" x14ac:dyDescent="0.25">
      <c r="A980" s="7">
        <v>16</v>
      </c>
      <c r="B980" s="6" t="s">
        <v>13</v>
      </c>
      <c r="C980" s="32">
        <v>4.5999999999999996</v>
      </c>
      <c r="D980" s="6" t="s">
        <v>20</v>
      </c>
      <c r="E980" s="29">
        <v>5.3</v>
      </c>
      <c r="F980" s="13">
        <v>1.3</v>
      </c>
      <c r="G980" s="31">
        <v>3.76</v>
      </c>
      <c r="H980" s="13">
        <v>0.5</v>
      </c>
      <c r="I980" s="6" t="s">
        <v>19</v>
      </c>
      <c r="J980" s="11">
        <v>3</v>
      </c>
      <c r="K980" s="11">
        <v>8</v>
      </c>
      <c r="L980" s="11">
        <v>8</v>
      </c>
      <c r="M980" s="15">
        <v>0</v>
      </c>
      <c r="R980" s="20">
        <v>0</v>
      </c>
      <c r="U980" s="17">
        <v>0</v>
      </c>
      <c r="W980" s="23">
        <v>0</v>
      </c>
      <c r="Y980" s="26">
        <v>0</v>
      </c>
    </row>
    <row r="981" spans="1:25" x14ac:dyDescent="0.25">
      <c r="A981" s="7">
        <v>18</v>
      </c>
      <c r="B981" s="6" t="s">
        <v>13</v>
      </c>
      <c r="C981" s="32">
        <v>7.7</v>
      </c>
      <c r="D981" s="6" t="s">
        <v>20</v>
      </c>
      <c r="E981" s="29">
        <v>6.6</v>
      </c>
      <c r="F981" s="13">
        <v>1.6</v>
      </c>
      <c r="G981" s="31">
        <v>4</v>
      </c>
      <c r="H981" s="13">
        <v>1.9</v>
      </c>
      <c r="I981" s="6" t="s">
        <v>18</v>
      </c>
      <c r="J981" s="11">
        <v>3</v>
      </c>
      <c r="K981" s="11">
        <v>3</v>
      </c>
      <c r="L981" s="11">
        <v>9</v>
      </c>
      <c r="M981" s="15">
        <v>0</v>
      </c>
      <c r="R981" s="20">
        <v>0</v>
      </c>
      <c r="U981" s="17">
        <v>0</v>
      </c>
      <c r="W981" s="23">
        <v>0</v>
      </c>
      <c r="Y981" s="26">
        <v>0</v>
      </c>
    </row>
    <row r="982" spans="1:25" x14ac:dyDescent="0.25">
      <c r="A982" s="7">
        <v>19</v>
      </c>
      <c r="B982" s="6" t="s">
        <v>13</v>
      </c>
      <c r="C982" s="32">
        <v>7.1</v>
      </c>
      <c r="D982" s="6" t="s">
        <v>17</v>
      </c>
      <c r="E982" s="29">
        <v>8.4</v>
      </c>
      <c r="F982" s="13">
        <v>1.8</v>
      </c>
      <c r="G982" s="31">
        <v>2.93</v>
      </c>
      <c r="H982" s="13">
        <v>1.3</v>
      </c>
      <c r="I982" s="6" t="s">
        <v>19</v>
      </c>
      <c r="J982" s="11">
        <v>1</v>
      </c>
      <c r="K982" s="11">
        <v>6</v>
      </c>
      <c r="L982" s="11">
        <v>8</v>
      </c>
      <c r="M982" s="15">
        <v>0</v>
      </c>
      <c r="R982" s="20">
        <v>0</v>
      </c>
      <c r="U982" s="17">
        <v>0</v>
      </c>
      <c r="W982" s="23">
        <v>0</v>
      </c>
      <c r="Y982" s="26">
        <v>0</v>
      </c>
    </row>
    <row r="983" spans="1:25" x14ac:dyDescent="0.25">
      <c r="A983" s="7">
        <v>16</v>
      </c>
      <c r="B983" s="6" t="s">
        <v>13</v>
      </c>
      <c r="C983" s="32">
        <v>3.9</v>
      </c>
      <c r="D983" s="6" t="s">
        <v>17</v>
      </c>
      <c r="E983" s="29">
        <v>7.5</v>
      </c>
      <c r="F983" s="13">
        <v>2.1</v>
      </c>
      <c r="G983" s="31">
        <v>3.24</v>
      </c>
      <c r="H983" s="13">
        <v>0.9</v>
      </c>
      <c r="I983" s="6" t="s">
        <v>15</v>
      </c>
      <c r="J983" s="11">
        <v>4</v>
      </c>
      <c r="K983" s="11">
        <v>3</v>
      </c>
      <c r="L983" s="11">
        <v>2</v>
      </c>
      <c r="M983" s="15">
        <v>0</v>
      </c>
      <c r="R983" s="20">
        <v>0</v>
      </c>
      <c r="U983" s="17">
        <v>0</v>
      </c>
      <c r="W983" s="23">
        <v>0</v>
      </c>
      <c r="Y983" s="26">
        <v>0</v>
      </c>
    </row>
    <row r="984" spans="1:25" x14ac:dyDescent="0.25">
      <c r="A984" s="7">
        <v>19</v>
      </c>
      <c r="B984" s="6" t="s">
        <v>16</v>
      </c>
      <c r="C984" s="32">
        <v>7.5</v>
      </c>
      <c r="D984" s="6" t="s">
        <v>17</v>
      </c>
      <c r="E984" s="29">
        <v>8.6</v>
      </c>
      <c r="F984" s="13">
        <v>0.9</v>
      </c>
      <c r="G984" s="31">
        <v>2.25</v>
      </c>
      <c r="H984" s="13">
        <v>1.6</v>
      </c>
      <c r="I984" s="6" t="s">
        <v>18</v>
      </c>
      <c r="J984" s="11">
        <v>9</v>
      </c>
      <c r="K984" s="11">
        <v>8</v>
      </c>
      <c r="L984" s="11">
        <v>4</v>
      </c>
      <c r="M984" s="15">
        <v>0</v>
      </c>
      <c r="R984" s="20">
        <v>0</v>
      </c>
      <c r="U984" s="17">
        <v>0</v>
      </c>
      <c r="W984" s="23">
        <v>0</v>
      </c>
      <c r="Y984" s="26">
        <v>0</v>
      </c>
    </row>
    <row r="985" spans="1:25" x14ac:dyDescent="0.25">
      <c r="A985" s="7">
        <v>18</v>
      </c>
      <c r="B985" s="6" t="s">
        <v>13</v>
      </c>
      <c r="C985" s="32">
        <v>5.8</v>
      </c>
      <c r="D985" s="6" t="s">
        <v>17</v>
      </c>
      <c r="E985" s="29">
        <v>7.5</v>
      </c>
      <c r="F985" s="13">
        <v>2.2000000000000002</v>
      </c>
      <c r="G985" s="31">
        <v>3.65</v>
      </c>
      <c r="H985" s="13">
        <v>1.4</v>
      </c>
      <c r="I985" s="6" t="s">
        <v>19</v>
      </c>
      <c r="J985" s="11">
        <v>4</v>
      </c>
      <c r="K985" s="11">
        <v>4</v>
      </c>
      <c r="L985" s="11">
        <v>8</v>
      </c>
      <c r="M985" s="15">
        <v>0</v>
      </c>
      <c r="R985" s="20">
        <v>0</v>
      </c>
      <c r="U985" s="17">
        <v>0</v>
      </c>
      <c r="W985" s="23">
        <v>0</v>
      </c>
      <c r="Y985" s="26">
        <v>0</v>
      </c>
    </row>
    <row r="986" spans="1:25" x14ac:dyDescent="0.25">
      <c r="A986" s="7">
        <v>17</v>
      </c>
      <c r="B986" s="6" t="s">
        <v>16</v>
      </c>
      <c r="C986" s="32">
        <v>7.6</v>
      </c>
      <c r="D986" s="6" t="s">
        <v>14</v>
      </c>
      <c r="E986" s="29">
        <v>7.3</v>
      </c>
      <c r="F986" s="13">
        <v>2.9</v>
      </c>
      <c r="G986" s="31">
        <v>2.99</v>
      </c>
      <c r="H986" s="13">
        <v>1.2</v>
      </c>
      <c r="I986" s="6" t="s">
        <v>18</v>
      </c>
      <c r="J986" s="11">
        <v>4</v>
      </c>
      <c r="K986" s="11">
        <v>8</v>
      </c>
      <c r="L986" s="11">
        <v>10</v>
      </c>
      <c r="M986" s="15">
        <v>0</v>
      </c>
      <c r="R986" s="20">
        <v>0</v>
      </c>
      <c r="U986" s="17">
        <v>0</v>
      </c>
      <c r="W986" s="23">
        <v>0</v>
      </c>
      <c r="Y986" s="26">
        <v>0</v>
      </c>
    </row>
    <row r="987" spans="1:25" x14ac:dyDescent="0.25">
      <c r="A987" s="7">
        <v>19</v>
      </c>
      <c r="B987" s="6" t="s">
        <v>16</v>
      </c>
      <c r="C987" s="32">
        <v>4.4000000000000004</v>
      </c>
      <c r="D987" s="6" t="s">
        <v>14</v>
      </c>
      <c r="E987" s="29">
        <v>7.4</v>
      </c>
      <c r="F987" s="13">
        <v>2.8</v>
      </c>
      <c r="G987" s="31">
        <v>3.28</v>
      </c>
      <c r="H987" s="13">
        <v>1.5</v>
      </c>
      <c r="I987" s="6" t="s">
        <v>19</v>
      </c>
      <c r="J987" s="11">
        <v>7</v>
      </c>
      <c r="K987" s="11">
        <v>5</v>
      </c>
      <c r="L987" s="11">
        <v>4</v>
      </c>
      <c r="M987" s="15">
        <v>0</v>
      </c>
      <c r="R987" s="20">
        <v>0</v>
      </c>
      <c r="U987" s="17">
        <v>0</v>
      </c>
      <c r="W987" s="23">
        <v>0</v>
      </c>
      <c r="Y987" s="26">
        <v>0</v>
      </c>
    </row>
    <row r="988" spans="1:25" x14ac:dyDescent="0.25">
      <c r="A988" s="7">
        <v>19</v>
      </c>
      <c r="B988" s="6" t="s">
        <v>13</v>
      </c>
      <c r="C988" s="32">
        <v>4.5999999999999996</v>
      </c>
      <c r="D988" s="6" t="s">
        <v>20</v>
      </c>
      <c r="E988" s="29">
        <v>4.5999999999999996</v>
      </c>
      <c r="F988" s="13">
        <v>2.5</v>
      </c>
      <c r="G988" s="31">
        <v>2.4</v>
      </c>
      <c r="H988" s="13">
        <v>1</v>
      </c>
      <c r="I988" s="6" t="s">
        <v>18</v>
      </c>
      <c r="J988" s="11">
        <v>10</v>
      </c>
      <c r="K988" s="11">
        <v>10</v>
      </c>
      <c r="L988" s="11">
        <v>8</v>
      </c>
      <c r="M988" s="15">
        <v>0</v>
      </c>
      <c r="R988" s="20">
        <v>0</v>
      </c>
      <c r="U988" s="17">
        <v>0</v>
      </c>
      <c r="W988" s="23">
        <v>0</v>
      </c>
      <c r="Y988" s="26">
        <v>0</v>
      </c>
    </row>
    <row r="989" spans="1:25" x14ac:dyDescent="0.25">
      <c r="A989" s="7">
        <v>18</v>
      </c>
      <c r="B989" s="6" t="s">
        <v>16</v>
      </c>
      <c r="C989" s="32">
        <v>7</v>
      </c>
      <c r="D989" s="6" t="s">
        <v>20</v>
      </c>
      <c r="E989" s="29">
        <v>8.9</v>
      </c>
      <c r="F989" s="13">
        <v>0.7</v>
      </c>
      <c r="G989" s="31">
        <v>2.79</v>
      </c>
      <c r="H989" s="13">
        <v>0.4</v>
      </c>
      <c r="I989" s="6" t="s">
        <v>19</v>
      </c>
      <c r="J989" s="11">
        <v>2</v>
      </c>
      <c r="K989" s="11">
        <v>10</v>
      </c>
      <c r="L989" s="11">
        <v>8</v>
      </c>
      <c r="M989" s="15">
        <v>0</v>
      </c>
      <c r="R989" s="20">
        <v>0</v>
      </c>
      <c r="U989" s="17">
        <v>0</v>
      </c>
      <c r="W989" s="23">
        <v>0</v>
      </c>
      <c r="Y989" s="26">
        <v>0</v>
      </c>
    </row>
    <row r="990" spans="1:25" x14ac:dyDescent="0.25">
      <c r="A990" s="7">
        <v>16</v>
      </c>
      <c r="B990" s="6" t="s">
        <v>16</v>
      </c>
      <c r="C990" s="32">
        <v>3.6</v>
      </c>
      <c r="D990" s="6" t="s">
        <v>17</v>
      </c>
      <c r="E990" s="29">
        <v>8.8000000000000007</v>
      </c>
      <c r="F990" s="13">
        <v>1.2</v>
      </c>
      <c r="G990" s="31">
        <v>2.3199999999999998</v>
      </c>
      <c r="H990" s="13">
        <v>0.5</v>
      </c>
      <c r="I990" s="6" t="s">
        <v>15</v>
      </c>
      <c r="J990" s="11">
        <v>2</v>
      </c>
      <c r="K990" s="11">
        <v>4</v>
      </c>
      <c r="L990" s="11">
        <v>5</v>
      </c>
      <c r="M990" s="15">
        <v>0</v>
      </c>
      <c r="R990" s="20">
        <v>0</v>
      </c>
      <c r="U990" s="17">
        <v>0</v>
      </c>
      <c r="W990" s="23">
        <v>0</v>
      </c>
      <c r="Y990" s="26">
        <v>0</v>
      </c>
    </row>
    <row r="991" spans="1:25" x14ac:dyDescent="0.25">
      <c r="A991" s="7">
        <v>15</v>
      </c>
      <c r="B991" s="6" t="s">
        <v>16</v>
      </c>
      <c r="C991" s="32">
        <v>3</v>
      </c>
      <c r="D991" s="6" t="s">
        <v>17</v>
      </c>
      <c r="E991" s="29">
        <v>6.6</v>
      </c>
      <c r="F991" s="13">
        <v>0.9</v>
      </c>
      <c r="G991" s="31">
        <v>2.69</v>
      </c>
      <c r="H991" s="13">
        <v>1.8</v>
      </c>
      <c r="I991" s="6" t="s">
        <v>19</v>
      </c>
      <c r="J991" s="11">
        <v>1</v>
      </c>
      <c r="K991" s="11">
        <v>2</v>
      </c>
      <c r="L991" s="11">
        <v>2</v>
      </c>
      <c r="M991" s="15">
        <v>0</v>
      </c>
      <c r="R991" s="20">
        <v>0</v>
      </c>
      <c r="U991" s="17">
        <v>0</v>
      </c>
      <c r="W991" s="23">
        <v>0</v>
      </c>
      <c r="Y991" s="26">
        <v>0</v>
      </c>
    </row>
    <row r="992" spans="1:25" x14ac:dyDescent="0.25">
      <c r="A992" s="7">
        <v>19</v>
      </c>
      <c r="B992" s="6" t="s">
        <v>16</v>
      </c>
      <c r="C992" s="32">
        <v>7.2</v>
      </c>
      <c r="D992" s="6" t="s">
        <v>14</v>
      </c>
      <c r="E992" s="29">
        <v>6.4</v>
      </c>
      <c r="F992" s="13">
        <v>2.9</v>
      </c>
      <c r="G992" s="31">
        <v>3.82</v>
      </c>
      <c r="H992" s="13">
        <v>1</v>
      </c>
      <c r="I992" s="6" t="s">
        <v>19</v>
      </c>
      <c r="J992" s="11">
        <v>5</v>
      </c>
      <c r="K992" s="11">
        <v>4</v>
      </c>
      <c r="L992" s="11">
        <v>5</v>
      </c>
      <c r="M992" s="15">
        <v>0</v>
      </c>
      <c r="R992" s="20">
        <v>0</v>
      </c>
      <c r="U992" s="17">
        <v>0</v>
      </c>
      <c r="W992" s="23">
        <v>0</v>
      </c>
      <c r="Y992" s="26">
        <v>0</v>
      </c>
    </row>
    <row r="993" spans="1:25" x14ac:dyDescent="0.25">
      <c r="A993" s="7">
        <v>15</v>
      </c>
      <c r="B993" s="6" t="s">
        <v>16</v>
      </c>
      <c r="C993" s="32">
        <v>5.6</v>
      </c>
      <c r="D993" s="6" t="s">
        <v>20</v>
      </c>
      <c r="E993" s="29">
        <v>5.9</v>
      </c>
      <c r="F993" s="13">
        <v>2</v>
      </c>
      <c r="G993" s="31">
        <v>2.97</v>
      </c>
      <c r="H993" s="13">
        <v>0.6</v>
      </c>
      <c r="I993" s="6" t="s">
        <v>15</v>
      </c>
      <c r="J993" s="11">
        <v>9</v>
      </c>
      <c r="K993" s="11">
        <v>3</v>
      </c>
      <c r="L993" s="11">
        <v>3</v>
      </c>
      <c r="M993" s="15">
        <v>0</v>
      </c>
      <c r="R993" s="20">
        <v>0</v>
      </c>
      <c r="U993" s="17">
        <v>0</v>
      </c>
      <c r="W993" s="23">
        <v>0</v>
      </c>
      <c r="Y993" s="26">
        <v>0</v>
      </c>
    </row>
    <row r="994" spans="1:25" x14ac:dyDescent="0.25">
      <c r="A994" s="7">
        <v>14</v>
      </c>
      <c r="B994" s="6" t="s">
        <v>16</v>
      </c>
      <c r="C994" s="32">
        <v>2</v>
      </c>
      <c r="D994" s="6" t="s">
        <v>14</v>
      </c>
      <c r="E994" s="29">
        <v>4.7</v>
      </c>
      <c r="F994" s="13">
        <v>1.1000000000000001</v>
      </c>
      <c r="G994" s="31">
        <v>2.5099999999999998</v>
      </c>
      <c r="H994" s="13">
        <v>0</v>
      </c>
      <c r="I994" s="6" t="s">
        <v>18</v>
      </c>
      <c r="J994" s="11">
        <v>2</v>
      </c>
      <c r="K994" s="11">
        <v>9</v>
      </c>
      <c r="L994" s="11">
        <v>4</v>
      </c>
      <c r="M994" s="15">
        <v>0</v>
      </c>
      <c r="R994" s="20">
        <v>0</v>
      </c>
      <c r="U994" s="17">
        <v>0</v>
      </c>
      <c r="W994" s="23">
        <v>0</v>
      </c>
      <c r="Y994" s="26">
        <v>0</v>
      </c>
    </row>
    <row r="995" spans="1:25" x14ac:dyDescent="0.25">
      <c r="A995" s="7">
        <v>14</v>
      </c>
      <c r="B995" s="6" t="s">
        <v>16</v>
      </c>
      <c r="C995" s="32">
        <v>4.4000000000000004</v>
      </c>
      <c r="D995" s="6" t="s">
        <v>17</v>
      </c>
      <c r="E995" s="29">
        <v>5.0999999999999996</v>
      </c>
      <c r="F995" s="13">
        <v>2.8</v>
      </c>
      <c r="G995" s="31">
        <v>2.2200000000000002</v>
      </c>
      <c r="H995" s="13">
        <v>0.5</v>
      </c>
      <c r="I995" s="6" t="s">
        <v>18</v>
      </c>
      <c r="J995" s="11">
        <v>5</v>
      </c>
      <c r="K995" s="11">
        <v>4</v>
      </c>
      <c r="L995" s="11">
        <v>1</v>
      </c>
      <c r="M995" s="15">
        <v>0</v>
      </c>
      <c r="R995" s="20">
        <v>0</v>
      </c>
      <c r="U995" s="17">
        <v>0</v>
      </c>
      <c r="W995" s="23">
        <v>0</v>
      </c>
      <c r="Y995" s="26">
        <v>0</v>
      </c>
    </row>
    <row r="996" spans="1:25" x14ac:dyDescent="0.25">
      <c r="A996" s="7">
        <v>13</v>
      </c>
      <c r="B996" s="6" t="s">
        <v>13</v>
      </c>
      <c r="C996" s="32">
        <v>3.5</v>
      </c>
      <c r="D996" s="6" t="s">
        <v>17</v>
      </c>
      <c r="E996" s="29">
        <v>5.8</v>
      </c>
      <c r="F996" s="13">
        <v>1.2</v>
      </c>
      <c r="G996" s="31">
        <v>2.44</v>
      </c>
      <c r="H996" s="13">
        <v>1.5</v>
      </c>
      <c r="I996" s="6" t="s">
        <v>19</v>
      </c>
      <c r="J996" s="11">
        <v>4</v>
      </c>
      <c r="K996" s="11">
        <v>1</v>
      </c>
      <c r="L996" s="11">
        <v>8</v>
      </c>
      <c r="M996" s="15">
        <v>0</v>
      </c>
      <c r="R996" s="20">
        <v>0</v>
      </c>
      <c r="U996" s="17">
        <v>0</v>
      </c>
      <c r="W996" s="23">
        <v>0</v>
      </c>
      <c r="Y996" s="26">
        <v>0</v>
      </c>
    </row>
    <row r="997" spans="1:25" x14ac:dyDescent="0.25">
      <c r="A997" s="7">
        <v>13</v>
      </c>
      <c r="B997" s="6" t="s">
        <v>13</v>
      </c>
      <c r="C997" s="32">
        <v>6.5</v>
      </c>
      <c r="D997" s="6" t="s">
        <v>14</v>
      </c>
      <c r="E997" s="29">
        <v>6.5</v>
      </c>
      <c r="F997" s="13">
        <v>1.5</v>
      </c>
      <c r="G997" s="31">
        <v>2.0499999999999998</v>
      </c>
      <c r="H997" s="13">
        <v>0.5</v>
      </c>
      <c r="I997" s="6" t="s">
        <v>15</v>
      </c>
      <c r="J997" s="11">
        <v>3</v>
      </c>
      <c r="K997" s="11">
        <v>9</v>
      </c>
      <c r="L997" s="11">
        <v>4</v>
      </c>
      <c r="M997" s="15">
        <v>0</v>
      </c>
      <c r="R997" s="20">
        <v>0</v>
      </c>
      <c r="U997" s="17">
        <v>0</v>
      </c>
      <c r="W997" s="23">
        <v>0</v>
      </c>
      <c r="Y997" s="26">
        <v>0</v>
      </c>
    </row>
    <row r="998" spans="1:25" x14ac:dyDescent="0.25">
      <c r="A998" s="7">
        <v>14</v>
      </c>
      <c r="B998" s="6" t="s">
        <v>13</v>
      </c>
      <c r="C998" s="32">
        <v>4.4000000000000004</v>
      </c>
      <c r="D998" s="6" t="s">
        <v>14</v>
      </c>
      <c r="E998" s="29">
        <v>8.8000000000000007</v>
      </c>
      <c r="F998" s="13">
        <v>2.2999999999999998</v>
      </c>
      <c r="G998" s="31">
        <v>2.73</v>
      </c>
      <c r="H998" s="13">
        <v>0.3</v>
      </c>
      <c r="I998" s="6" t="s">
        <v>19</v>
      </c>
      <c r="J998" s="11">
        <v>9</v>
      </c>
      <c r="K998" s="11">
        <v>2</v>
      </c>
      <c r="L998" s="11">
        <v>2</v>
      </c>
      <c r="M998" s="15">
        <v>0</v>
      </c>
      <c r="R998" s="20">
        <v>0</v>
      </c>
      <c r="U998" s="17">
        <v>0</v>
      </c>
      <c r="W998" s="23">
        <v>0</v>
      </c>
      <c r="Y998" s="26">
        <v>0</v>
      </c>
    </row>
    <row r="999" spans="1:25" x14ac:dyDescent="0.25">
      <c r="A999" s="7">
        <v>17</v>
      </c>
      <c r="B999" s="6" t="s">
        <v>16</v>
      </c>
      <c r="C999" s="32">
        <v>3.1</v>
      </c>
      <c r="D999" s="6" t="s">
        <v>17</v>
      </c>
      <c r="E999" s="29">
        <v>4.2</v>
      </c>
      <c r="F999" s="13">
        <v>0.8</v>
      </c>
      <c r="G999" s="31">
        <v>2.2799999999999998</v>
      </c>
      <c r="H999" s="13">
        <v>1.6</v>
      </c>
      <c r="I999" s="6" t="s">
        <v>19</v>
      </c>
      <c r="J999" s="11">
        <v>4</v>
      </c>
      <c r="K999" s="11">
        <v>9</v>
      </c>
      <c r="L999" s="11">
        <v>6</v>
      </c>
      <c r="M999" s="15">
        <v>0</v>
      </c>
      <c r="R999" s="20">
        <v>0</v>
      </c>
      <c r="U999" s="17">
        <v>0</v>
      </c>
      <c r="W999" s="23">
        <v>0</v>
      </c>
      <c r="Y999" s="26">
        <v>0</v>
      </c>
    </row>
    <row r="1000" spans="1:25" x14ac:dyDescent="0.25">
      <c r="A1000" s="7">
        <v>15</v>
      </c>
      <c r="B1000" s="6" t="s">
        <v>13</v>
      </c>
      <c r="C1000" s="32">
        <v>7.8</v>
      </c>
      <c r="D1000" s="6" t="s">
        <v>20</v>
      </c>
      <c r="E1000" s="29">
        <v>4.2</v>
      </c>
      <c r="F1000" s="13">
        <v>2.1</v>
      </c>
      <c r="G1000" s="31">
        <v>3.42</v>
      </c>
      <c r="H1000" s="13">
        <v>0</v>
      </c>
      <c r="I1000" s="6" t="s">
        <v>15</v>
      </c>
      <c r="J1000" s="11">
        <v>10</v>
      </c>
      <c r="K1000" s="11">
        <v>7</v>
      </c>
      <c r="L1000" s="11">
        <v>9</v>
      </c>
      <c r="M1000" s="15">
        <v>1</v>
      </c>
      <c r="R1000" s="20">
        <v>1</v>
      </c>
      <c r="U1000" s="17">
        <v>1</v>
      </c>
      <c r="W1000" s="23">
        <v>1</v>
      </c>
      <c r="Y1000" s="26">
        <v>1</v>
      </c>
    </row>
    <row r="1001" spans="1:25" x14ac:dyDescent="0.25">
      <c r="A1001" s="7">
        <v>19</v>
      </c>
      <c r="B1001" s="6" t="s">
        <v>16</v>
      </c>
      <c r="C1001" s="32">
        <v>2.1</v>
      </c>
      <c r="D1001" s="6" t="s">
        <v>20</v>
      </c>
      <c r="E1001" s="29">
        <v>4.4000000000000004</v>
      </c>
      <c r="F1001" s="13">
        <v>2.2000000000000002</v>
      </c>
      <c r="G1001" s="31">
        <v>2.4700000000000002</v>
      </c>
      <c r="H1001" s="13">
        <v>0.7</v>
      </c>
      <c r="I1001" s="6" t="s">
        <v>18</v>
      </c>
      <c r="J1001" s="11">
        <v>9</v>
      </c>
      <c r="K1001" s="11">
        <v>5</v>
      </c>
      <c r="L1001" s="11">
        <v>6</v>
      </c>
      <c r="M1001" s="15">
        <v>0</v>
      </c>
      <c r="R1001" s="20">
        <v>0</v>
      </c>
      <c r="U1001" s="17">
        <v>0</v>
      </c>
      <c r="W1001" s="23">
        <v>0</v>
      </c>
      <c r="Y1001" s="26">
        <v>0</v>
      </c>
    </row>
    <row r="1002" spans="1:25" x14ac:dyDescent="0.25">
      <c r="A1002" s="7">
        <v>14</v>
      </c>
      <c r="B1002" s="6" t="s">
        <v>16</v>
      </c>
      <c r="C1002" s="32">
        <v>5.5</v>
      </c>
      <c r="D1002" s="6" t="s">
        <v>20</v>
      </c>
      <c r="E1002" s="29">
        <v>5.7</v>
      </c>
      <c r="F1002" s="13">
        <v>2.2999999999999998</v>
      </c>
      <c r="G1002" s="31">
        <v>3.05</v>
      </c>
      <c r="H1002" s="13">
        <v>1.3</v>
      </c>
      <c r="I1002" s="6" t="s">
        <v>19</v>
      </c>
      <c r="J1002" s="11">
        <v>7</v>
      </c>
      <c r="K1002" s="11">
        <v>8</v>
      </c>
      <c r="L1002" s="11">
        <v>5</v>
      </c>
      <c r="M1002" s="15">
        <v>1</v>
      </c>
      <c r="R1002" s="20">
        <v>1</v>
      </c>
      <c r="U1002" s="17">
        <v>1</v>
      </c>
      <c r="W1002" s="23">
        <v>1</v>
      </c>
      <c r="Y1002" s="26">
        <v>1</v>
      </c>
    </row>
    <row r="1003" spans="1:25" x14ac:dyDescent="0.25">
      <c r="A1003" s="7">
        <v>15</v>
      </c>
      <c r="B1003" s="6" t="s">
        <v>16</v>
      </c>
      <c r="C1003" s="32">
        <v>5.7</v>
      </c>
      <c r="D1003" s="6" t="s">
        <v>14</v>
      </c>
      <c r="E1003" s="29">
        <v>7.2</v>
      </c>
      <c r="F1003" s="13">
        <v>2.4</v>
      </c>
      <c r="G1003" s="31">
        <v>2.1800000000000002</v>
      </c>
      <c r="H1003" s="13">
        <v>1.6</v>
      </c>
      <c r="I1003" s="6" t="s">
        <v>19</v>
      </c>
      <c r="J1003" s="11">
        <v>5</v>
      </c>
      <c r="K1003" s="11">
        <v>1</v>
      </c>
      <c r="L1003" s="11">
        <v>7</v>
      </c>
      <c r="M1003" s="15">
        <v>0</v>
      </c>
      <c r="R1003" s="20">
        <v>0</v>
      </c>
      <c r="U1003" s="17">
        <v>0</v>
      </c>
      <c r="W1003" s="23">
        <v>0</v>
      </c>
      <c r="Y1003" s="26">
        <v>0</v>
      </c>
    </row>
    <row r="1004" spans="1:25" x14ac:dyDescent="0.25">
      <c r="A1004" s="7">
        <v>15</v>
      </c>
      <c r="B1004" s="6" t="s">
        <v>16</v>
      </c>
      <c r="C1004" s="32">
        <v>5</v>
      </c>
      <c r="D1004" s="6" t="s">
        <v>17</v>
      </c>
      <c r="E1004" s="29">
        <v>6.3</v>
      </c>
      <c r="F1004" s="13">
        <v>1.5</v>
      </c>
      <c r="G1004" s="31">
        <v>2.67</v>
      </c>
      <c r="H1004" s="13">
        <v>1.1000000000000001</v>
      </c>
      <c r="I1004" s="6" t="s">
        <v>18</v>
      </c>
      <c r="J1004" s="11">
        <v>6</v>
      </c>
      <c r="K1004" s="11">
        <v>2</v>
      </c>
      <c r="L1004" s="11">
        <v>5</v>
      </c>
      <c r="M1004" s="15">
        <v>0</v>
      </c>
      <c r="R1004" s="20">
        <v>0</v>
      </c>
      <c r="U1004" s="17">
        <v>0</v>
      </c>
      <c r="W1004" s="23">
        <v>0</v>
      </c>
      <c r="Y1004" s="26">
        <v>0</v>
      </c>
    </row>
    <row r="1005" spans="1:25" x14ac:dyDescent="0.25">
      <c r="A1005" s="7">
        <v>16</v>
      </c>
      <c r="B1005" s="6" t="s">
        <v>16</v>
      </c>
      <c r="C1005" s="32">
        <v>7.5</v>
      </c>
      <c r="D1005" s="6" t="s">
        <v>20</v>
      </c>
      <c r="E1005" s="29">
        <v>4</v>
      </c>
      <c r="F1005" s="13">
        <v>0.5</v>
      </c>
      <c r="G1005" s="31">
        <v>3.72</v>
      </c>
      <c r="H1005" s="13">
        <v>1.1000000000000001</v>
      </c>
      <c r="I1005" s="6" t="s">
        <v>19</v>
      </c>
      <c r="J1005" s="11">
        <v>4</v>
      </c>
      <c r="K1005" s="11">
        <v>5</v>
      </c>
      <c r="L1005" s="11">
        <v>7</v>
      </c>
      <c r="M1005" s="15">
        <v>0</v>
      </c>
      <c r="R1005" s="20">
        <v>0</v>
      </c>
      <c r="U1005" s="17">
        <v>0</v>
      </c>
      <c r="W1005" s="23">
        <v>0</v>
      </c>
      <c r="Y1005" s="26">
        <v>0</v>
      </c>
    </row>
    <row r="1006" spans="1:25" x14ac:dyDescent="0.25">
      <c r="A1006" s="7">
        <v>17</v>
      </c>
      <c r="B1006" s="6" t="s">
        <v>13</v>
      </c>
      <c r="C1006" s="32">
        <v>2.2000000000000002</v>
      </c>
      <c r="D1006" s="6" t="s">
        <v>17</v>
      </c>
      <c r="E1006" s="29">
        <v>7.1</v>
      </c>
      <c r="F1006" s="13">
        <v>1.1000000000000001</v>
      </c>
      <c r="G1006" s="31">
        <v>2.5</v>
      </c>
      <c r="H1006" s="13">
        <v>1.5</v>
      </c>
      <c r="I1006" s="6" t="s">
        <v>15</v>
      </c>
      <c r="J1006" s="11">
        <v>2</v>
      </c>
      <c r="K1006" s="11">
        <v>1</v>
      </c>
      <c r="L1006" s="11">
        <v>2</v>
      </c>
      <c r="M1006" s="15">
        <v>0</v>
      </c>
      <c r="R1006" s="20">
        <v>0</v>
      </c>
      <c r="U1006" s="17">
        <v>0</v>
      </c>
      <c r="W1006" s="23">
        <v>0</v>
      </c>
      <c r="Y1006" s="26">
        <v>0</v>
      </c>
    </row>
    <row r="1007" spans="1:25" x14ac:dyDescent="0.25">
      <c r="A1007" s="7">
        <v>15</v>
      </c>
      <c r="B1007" s="6" t="s">
        <v>16</v>
      </c>
      <c r="C1007" s="32">
        <v>7.3</v>
      </c>
      <c r="D1007" s="6" t="s">
        <v>14</v>
      </c>
      <c r="E1007" s="29">
        <v>4.0999999999999996</v>
      </c>
      <c r="F1007" s="13">
        <v>2.1</v>
      </c>
      <c r="G1007" s="31">
        <v>2.87</v>
      </c>
      <c r="H1007" s="13">
        <v>0.4</v>
      </c>
      <c r="I1007" s="6" t="s">
        <v>15</v>
      </c>
      <c r="J1007" s="11">
        <v>10</v>
      </c>
      <c r="K1007" s="11">
        <v>10</v>
      </c>
      <c r="L1007" s="11">
        <v>1</v>
      </c>
      <c r="M1007" s="15">
        <v>1</v>
      </c>
      <c r="R1007" s="20">
        <v>1</v>
      </c>
      <c r="U1007" s="17">
        <v>1</v>
      </c>
      <c r="W1007" s="23">
        <v>1</v>
      </c>
      <c r="Y1007" s="26">
        <v>1</v>
      </c>
    </row>
    <row r="1008" spans="1:25" x14ac:dyDescent="0.25">
      <c r="A1008" s="7">
        <v>17</v>
      </c>
      <c r="B1008" s="6" t="s">
        <v>13</v>
      </c>
      <c r="C1008" s="32">
        <v>2.7</v>
      </c>
      <c r="D1008" s="6" t="s">
        <v>14</v>
      </c>
      <c r="E1008" s="29">
        <v>7.5</v>
      </c>
      <c r="F1008" s="13">
        <v>1.5</v>
      </c>
      <c r="G1008" s="31">
        <v>3.23</v>
      </c>
      <c r="H1008" s="13">
        <v>1.4</v>
      </c>
      <c r="I1008" s="6" t="s">
        <v>15</v>
      </c>
      <c r="J1008" s="11">
        <v>5</v>
      </c>
      <c r="K1008" s="11">
        <v>7</v>
      </c>
      <c r="L1008" s="11">
        <v>3</v>
      </c>
      <c r="M1008" s="15">
        <v>0</v>
      </c>
      <c r="R1008" s="20">
        <v>0</v>
      </c>
      <c r="U1008" s="17">
        <v>0</v>
      </c>
      <c r="W1008" s="23">
        <v>0</v>
      </c>
      <c r="Y1008" s="26">
        <v>0</v>
      </c>
    </row>
    <row r="1009" spans="1:25" x14ac:dyDescent="0.25">
      <c r="A1009" s="7">
        <v>18</v>
      </c>
      <c r="B1009" s="6" t="s">
        <v>13</v>
      </c>
      <c r="C1009" s="32">
        <v>1.6</v>
      </c>
      <c r="D1009" s="6" t="s">
        <v>14</v>
      </c>
      <c r="E1009" s="29">
        <v>8.6</v>
      </c>
      <c r="F1009" s="13">
        <v>2.6</v>
      </c>
      <c r="G1009" s="31">
        <v>3.53</v>
      </c>
      <c r="H1009" s="13">
        <v>0.1</v>
      </c>
      <c r="I1009" s="6" t="s">
        <v>19</v>
      </c>
      <c r="J1009" s="11">
        <v>8</v>
      </c>
      <c r="K1009" s="11">
        <v>8</v>
      </c>
      <c r="L1009" s="11">
        <v>10</v>
      </c>
      <c r="M1009" s="15">
        <v>0</v>
      </c>
      <c r="R1009" s="20">
        <v>0</v>
      </c>
      <c r="U1009" s="17">
        <v>0</v>
      </c>
      <c r="W1009" s="23">
        <v>0</v>
      </c>
      <c r="Y1009" s="26">
        <v>0</v>
      </c>
    </row>
    <row r="1010" spans="1:25" x14ac:dyDescent="0.25">
      <c r="A1010" s="7">
        <v>14</v>
      </c>
      <c r="B1010" s="6" t="s">
        <v>13</v>
      </c>
      <c r="C1010" s="32">
        <v>4</v>
      </c>
      <c r="D1010" s="6" t="s">
        <v>17</v>
      </c>
      <c r="E1010" s="29">
        <v>4.9000000000000004</v>
      </c>
      <c r="F1010" s="13">
        <v>2.7</v>
      </c>
      <c r="G1010" s="31">
        <v>2.2999999999999998</v>
      </c>
      <c r="H1010" s="13">
        <v>0.5</v>
      </c>
      <c r="I1010" s="6" t="s">
        <v>18</v>
      </c>
      <c r="J1010" s="11">
        <v>7</v>
      </c>
      <c r="K1010" s="11">
        <v>8</v>
      </c>
      <c r="L1010" s="11">
        <v>6</v>
      </c>
      <c r="M1010" s="15">
        <v>0</v>
      </c>
      <c r="R1010" s="20">
        <v>0</v>
      </c>
      <c r="U1010" s="17">
        <v>0</v>
      </c>
      <c r="W1010" s="23">
        <v>0</v>
      </c>
      <c r="Y1010" s="26">
        <v>0</v>
      </c>
    </row>
    <row r="1011" spans="1:25" x14ac:dyDescent="0.25">
      <c r="A1011" s="7">
        <v>18</v>
      </c>
      <c r="B1011" s="6" t="s">
        <v>16</v>
      </c>
      <c r="C1011" s="32">
        <v>6.3</v>
      </c>
      <c r="D1011" s="6" t="s">
        <v>20</v>
      </c>
      <c r="E1011" s="29">
        <v>4.7</v>
      </c>
      <c r="F1011" s="13">
        <v>2.4</v>
      </c>
      <c r="G1011" s="31">
        <v>2.2999999999999998</v>
      </c>
      <c r="H1011" s="13">
        <v>0.9</v>
      </c>
      <c r="I1011" s="6" t="s">
        <v>19</v>
      </c>
      <c r="J1011" s="11">
        <v>6</v>
      </c>
      <c r="K1011" s="11">
        <v>1</v>
      </c>
      <c r="L1011" s="11">
        <v>6</v>
      </c>
      <c r="M1011" s="15">
        <v>0</v>
      </c>
      <c r="R1011" s="20">
        <v>0</v>
      </c>
      <c r="U1011" s="17">
        <v>0</v>
      </c>
      <c r="W1011" s="23">
        <v>0</v>
      </c>
      <c r="Y1011" s="26">
        <v>0</v>
      </c>
    </row>
    <row r="1012" spans="1:25" x14ac:dyDescent="0.25">
      <c r="A1012" s="7">
        <v>16</v>
      </c>
      <c r="B1012" s="6" t="s">
        <v>16</v>
      </c>
      <c r="C1012" s="32">
        <v>6.8</v>
      </c>
      <c r="D1012" s="6" t="s">
        <v>17</v>
      </c>
      <c r="E1012" s="29">
        <v>7.1</v>
      </c>
      <c r="F1012" s="13">
        <v>2.9</v>
      </c>
      <c r="G1012" s="31">
        <v>3.26</v>
      </c>
      <c r="H1012" s="13">
        <v>0.6</v>
      </c>
      <c r="I1012" s="6" t="s">
        <v>15</v>
      </c>
      <c r="J1012" s="11">
        <v>6</v>
      </c>
      <c r="K1012" s="11">
        <v>10</v>
      </c>
      <c r="L1012" s="11">
        <v>4</v>
      </c>
      <c r="M1012" s="15">
        <v>0</v>
      </c>
      <c r="R1012" s="20">
        <v>0</v>
      </c>
      <c r="U1012" s="17">
        <v>0</v>
      </c>
      <c r="W1012" s="23">
        <v>0</v>
      </c>
      <c r="Y1012" s="26">
        <v>0</v>
      </c>
    </row>
    <row r="1013" spans="1:25" x14ac:dyDescent="0.25">
      <c r="A1013" s="7">
        <v>18</v>
      </c>
      <c r="B1013" s="6" t="s">
        <v>16</v>
      </c>
      <c r="C1013" s="32">
        <v>6.6</v>
      </c>
      <c r="D1013" s="6" t="s">
        <v>20</v>
      </c>
      <c r="E1013" s="29">
        <v>8.1</v>
      </c>
      <c r="F1013" s="13">
        <v>2</v>
      </c>
      <c r="G1013" s="31">
        <v>3.59</v>
      </c>
      <c r="H1013" s="13">
        <v>1.6</v>
      </c>
      <c r="I1013" s="6" t="s">
        <v>15</v>
      </c>
      <c r="J1013" s="11">
        <v>9</v>
      </c>
      <c r="K1013" s="11">
        <v>4</v>
      </c>
      <c r="L1013" s="11">
        <v>3</v>
      </c>
      <c r="M1013" s="15">
        <v>0</v>
      </c>
      <c r="R1013" s="20">
        <v>0</v>
      </c>
      <c r="U1013" s="17">
        <v>0</v>
      </c>
      <c r="W1013" s="23">
        <v>0</v>
      </c>
      <c r="Y1013" s="26">
        <v>0</v>
      </c>
    </row>
    <row r="1014" spans="1:25" x14ac:dyDescent="0.25">
      <c r="A1014" s="7">
        <v>13</v>
      </c>
      <c r="B1014" s="6" t="s">
        <v>13</v>
      </c>
      <c r="C1014" s="32">
        <v>4</v>
      </c>
      <c r="D1014" s="6" t="s">
        <v>14</v>
      </c>
      <c r="E1014" s="29">
        <v>4.2</v>
      </c>
      <c r="F1014" s="13">
        <v>0.9</v>
      </c>
      <c r="G1014" s="31">
        <v>2.75</v>
      </c>
      <c r="H1014" s="13">
        <v>1</v>
      </c>
      <c r="I1014" s="6" t="s">
        <v>18</v>
      </c>
      <c r="J1014" s="11">
        <v>5</v>
      </c>
      <c r="K1014" s="11">
        <v>4</v>
      </c>
      <c r="L1014" s="11">
        <v>8</v>
      </c>
      <c r="M1014" s="15">
        <v>0</v>
      </c>
      <c r="R1014" s="20">
        <v>0</v>
      </c>
      <c r="U1014" s="17">
        <v>0</v>
      </c>
      <c r="W1014" s="23">
        <v>0</v>
      </c>
      <c r="Y1014" s="26">
        <v>0</v>
      </c>
    </row>
    <row r="1015" spans="1:25" x14ac:dyDescent="0.25">
      <c r="A1015" s="7">
        <v>13</v>
      </c>
      <c r="B1015" s="6" t="s">
        <v>13</v>
      </c>
      <c r="C1015" s="32">
        <v>1.6</v>
      </c>
      <c r="D1015" s="6" t="s">
        <v>17</v>
      </c>
      <c r="E1015" s="29">
        <v>5</v>
      </c>
      <c r="F1015" s="13">
        <v>2.7</v>
      </c>
      <c r="G1015" s="31">
        <v>2.31</v>
      </c>
      <c r="H1015" s="13">
        <v>1.9</v>
      </c>
      <c r="I1015" s="6" t="s">
        <v>15</v>
      </c>
      <c r="J1015" s="11">
        <v>8</v>
      </c>
      <c r="K1015" s="11">
        <v>9</v>
      </c>
      <c r="L1015" s="11">
        <v>5</v>
      </c>
      <c r="M1015" s="15">
        <v>0</v>
      </c>
      <c r="R1015" s="20">
        <v>0</v>
      </c>
      <c r="U1015" s="17">
        <v>0</v>
      </c>
      <c r="W1015" s="23">
        <v>0</v>
      </c>
      <c r="Y1015" s="26">
        <v>0</v>
      </c>
    </row>
    <row r="1016" spans="1:25" x14ac:dyDescent="0.25">
      <c r="A1016" s="7">
        <v>18</v>
      </c>
      <c r="B1016" s="6" t="s">
        <v>13</v>
      </c>
      <c r="C1016" s="32">
        <v>5.3</v>
      </c>
      <c r="D1016" s="6" t="s">
        <v>20</v>
      </c>
      <c r="E1016" s="29">
        <v>8.1999999999999993</v>
      </c>
      <c r="F1016" s="13">
        <v>1.9</v>
      </c>
      <c r="G1016" s="31">
        <v>3.87</v>
      </c>
      <c r="H1016" s="13">
        <v>1.9</v>
      </c>
      <c r="I1016" s="6" t="s">
        <v>15</v>
      </c>
      <c r="J1016" s="11">
        <v>2</v>
      </c>
      <c r="K1016" s="11">
        <v>9</v>
      </c>
      <c r="L1016" s="11">
        <v>8</v>
      </c>
      <c r="M1016" s="15">
        <v>0</v>
      </c>
      <c r="R1016" s="20">
        <v>0</v>
      </c>
      <c r="U1016" s="17">
        <v>0</v>
      </c>
      <c r="W1016" s="23">
        <v>0</v>
      </c>
      <c r="Y1016" s="26">
        <v>0</v>
      </c>
    </row>
    <row r="1017" spans="1:25" x14ac:dyDescent="0.25">
      <c r="A1017" s="7">
        <v>19</v>
      </c>
      <c r="B1017" s="6" t="s">
        <v>16</v>
      </c>
      <c r="C1017" s="32">
        <v>7.4</v>
      </c>
      <c r="D1017" s="6" t="s">
        <v>20</v>
      </c>
      <c r="E1017" s="29">
        <v>4.4000000000000004</v>
      </c>
      <c r="F1017" s="13">
        <v>1.4</v>
      </c>
      <c r="G1017" s="31">
        <v>3.78</v>
      </c>
      <c r="H1017" s="13">
        <v>1.1000000000000001</v>
      </c>
      <c r="I1017" s="6" t="s">
        <v>15</v>
      </c>
      <c r="J1017" s="11">
        <v>9</v>
      </c>
      <c r="K1017" s="11">
        <v>7</v>
      </c>
      <c r="L1017" s="11">
        <v>5</v>
      </c>
      <c r="M1017" s="15">
        <v>1</v>
      </c>
      <c r="R1017" s="20">
        <v>1</v>
      </c>
      <c r="U1017" s="17">
        <v>1</v>
      </c>
      <c r="W1017" s="23">
        <v>1</v>
      </c>
      <c r="Y1017" s="26">
        <v>1</v>
      </c>
    </row>
    <row r="1018" spans="1:25" x14ac:dyDescent="0.25">
      <c r="A1018" s="7">
        <v>18</v>
      </c>
      <c r="B1018" s="6" t="s">
        <v>16</v>
      </c>
      <c r="C1018" s="32">
        <v>2.2999999999999998</v>
      </c>
      <c r="D1018" s="6" t="s">
        <v>14</v>
      </c>
      <c r="E1018" s="29">
        <v>8.6999999999999993</v>
      </c>
      <c r="F1018" s="13">
        <v>0.6</v>
      </c>
      <c r="G1018" s="31">
        <v>2.76</v>
      </c>
      <c r="H1018" s="13">
        <v>1.9</v>
      </c>
      <c r="I1018" s="6" t="s">
        <v>18</v>
      </c>
      <c r="J1018" s="11">
        <v>4</v>
      </c>
      <c r="K1018" s="11">
        <v>8</v>
      </c>
      <c r="L1018" s="11">
        <v>7</v>
      </c>
      <c r="M1018" s="15">
        <v>0</v>
      </c>
      <c r="R1018" s="20">
        <v>0</v>
      </c>
      <c r="U1018" s="17">
        <v>0</v>
      </c>
      <c r="W1018" s="23">
        <v>0</v>
      </c>
      <c r="Y1018" s="26">
        <v>0</v>
      </c>
    </row>
    <row r="1019" spans="1:25" x14ac:dyDescent="0.25">
      <c r="A1019" s="7">
        <v>16</v>
      </c>
      <c r="B1019" s="6" t="s">
        <v>13</v>
      </c>
      <c r="C1019" s="32">
        <v>7.6</v>
      </c>
      <c r="D1019" s="6" t="s">
        <v>20</v>
      </c>
      <c r="E1019" s="29">
        <v>6.1</v>
      </c>
      <c r="F1019" s="13">
        <v>0.8</v>
      </c>
      <c r="G1019" s="31">
        <v>3.09</v>
      </c>
      <c r="H1019" s="13">
        <v>1.3</v>
      </c>
      <c r="I1019" s="6" t="s">
        <v>15</v>
      </c>
      <c r="J1019" s="11">
        <v>8</v>
      </c>
      <c r="K1019" s="11">
        <v>4</v>
      </c>
      <c r="L1019" s="11">
        <v>4</v>
      </c>
      <c r="M1019" s="15">
        <v>0</v>
      </c>
      <c r="R1019" s="20">
        <v>0</v>
      </c>
      <c r="U1019" s="17">
        <v>0</v>
      </c>
      <c r="W1019" s="23">
        <v>0</v>
      </c>
      <c r="Y1019" s="26">
        <v>0</v>
      </c>
    </row>
    <row r="1020" spans="1:25" x14ac:dyDescent="0.25">
      <c r="A1020" s="7">
        <v>16</v>
      </c>
      <c r="B1020" s="6" t="s">
        <v>16</v>
      </c>
      <c r="C1020" s="32">
        <v>7.6</v>
      </c>
      <c r="D1020" s="6" t="s">
        <v>17</v>
      </c>
      <c r="E1020" s="29">
        <v>7.6</v>
      </c>
      <c r="F1020" s="13">
        <v>2.4</v>
      </c>
      <c r="G1020" s="31">
        <v>2.2400000000000002</v>
      </c>
      <c r="H1020" s="13">
        <v>1.1000000000000001</v>
      </c>
      <c r="I1020" s="6" t="s">
        <v>19</v>
      </c>
      <c r="J1020" s="11">
        <v>1</v>
      </c>
      <c r="K1020" s="11">
        <v>5</v>
      </c>
      <c r="L1020" s="11">
        <v>5</v>
      </c>
      <c r="M1020" s="15">
        <v>0</v>
      </c>
      <c r="R1020" s="20">
        <v>0</v>
      </c>
      <c r="U1020" s="17">
        <v>0</v>
      </c>
      <c r="W1020" s="23">
        <v>0</v>
      </c>
      <c r="Y1020" s="26">
        <v>0</v>
      </c>
    </row>
    <row r="1021" spans="1:25" x14ac:dyDescent="0.25">
      <c r="A1021" s="7">
        <v>17</v>
      </c>
      <c r="B1021" s="6" t="s">
        <v>16</v>
      </c>
      <c r="C1021" s="32">
        <v>3.4</v>
      </c>
      <c r="D1021" s="6" t="s">
        <v>20</v>
      </c>
      <c r="E1021" s="29">
        <v>4.7</v>
      </c>
      <c r="F1021" s="13">
        <v>0.5</v>
      </c>
      <c r="G1021" s="31">
        <v>2.91</v>
      </c>
      <c r="H1021" s="13">
        <v>2</v>
      </c>
      <c r="I1021" s="6" t="s">
        <v>18</v>
      </c>
      <c r="J1021" s="11">
        <v>2</v>
      </c>
      <c r="K1021" s="11">
        <v>8</v>
      </c>
      <c r="L1021" s="11">
        <v>1</v>
      </c>
      <c r="M1021" s="15">
        <v>0</v>
      </c>
      <c r="R1021" s="20">
        <v>0</v>
      </c>
      <c r="U1021" s="17">
        <v>0</v>
      </c>
      <c r="W1021" s="23">
        <v>0</v>
      </c>
      <c r="Y1021" s="26">
        <v>0</v>
      </c>
    </row>
    <row r="1022" spans="1:25" x14ac:dyDescent="0.25">
      <c r="A1022" s="7">
        <v>18</v>
      </c>
      <c r="B1022" s="6" t="s">
        <v>16</v>
      </c>
      <c r="C1022" s="32">
        <v>2.2999999999999998</v>
      </c>
      <c r="D1022" s="6" t="s">
        <v>14</v>
      </c>
      <c r="E1022" s="29">
        <v>4.2</v>
      </c>
      <c r="F1022" s="13">
        <v>0.9</v>
      </c>
      <c r="G1022" s="31">
        <v>3.84</v>
      </c>
      <c r="H1022" s="13">
        <v>1.3</v>
      </c>
      <c r="I1022" s="6" t="s">
        <v>18</v>
      </c>
      <c r="J1022" s="11">
        <v>6</v>
      </c>
      <c r="K1022" s="11">
        <v>6</v>
      </c>
      <c r="L1022" s="11">
        <v>10</v>
      </c>
      <c r="M1022" s="15">
        <v>0</v>
      </c>
      <c r="R1022" s="20">
        <v>0</v>
      </c>
      <c r="U1022" s="17">
        <v>0</v>
      </c>
      <c r="W1022" s="23">
        <v>0</v>
      </c>
      <c r="Y1022" s="26">
        <v>0</v>
      </c>
    </row>
    <row r="1023" spans="1:25" x14ac:dyDescent="0.25">
      <c r="A1023" s="7">
        <v>18</v>
      </c>
      <c r="B1023" s="6" t="s">
        <v>13</v>
      </c>
      <c r="C1023" s="32">
        <v>5</v>
      </c>
      <c r="D1023" s="6" t="s">
        <v>14</v>
      </c>
      <c r="E1023" s="29">
        <v>4.3</v>
      </c>
      <c r="F1023" s="13">
        <v>1.1000000000000001</v>
      </c>
      <c r="G1023" s="31">
        <v>2.2200000000000002</v>
      </c>
      <c r="H1023" s="13">
        <v>0.1</v>
      </c>
      <c r="I1023" s="6" t="s">
        <v>18</v>
      </c>
      <c r="J1023" s="11">
        <v>7</v>
      </c>
      <c r="K1023" s="11">
        <v>2</v>
      </c>
      <c r="L1023" s="11">
        <v>2</v>
      </c>
      <c r="M1023" s="15">
        <v>0</v>
      </c>
      <c r="R1023" s="20">
        <v>0</v>
      </c>
      <c r="U1023" s="17">
        <v>0</v>
      </c>
      <c r="W1023" s="23">
        <v>0</v>
      </c>
      <c r="Y1023" s="26">
        <v>0</v>
      </c>
    </row>
    <row r="1024" spans="1:25" x14ac:dyDescent="0.25">
      <c r="A1024" s="7">
        <v>15</v>
      </c>
      <c r="B1024" s="6" t="s">
        <v>13</v>
      </c>
      <c r="C1024" s="32">
        <v>3.8</v>
      </c>
      <c r="D1024" s="6" t="s">
        <v>17</v>
      </c>
      <c r="E1024" s="29">
        <v>7.1</v>
      </c>
      <c r="F1024" s="13">
        <v>0.5</v>
      </c>
      <c r="G1024" s="31">
        <v>3.08</v>
      </c>
      <c r="H1024" s="13">
        <v>0.2</v>
      </c>
      <c r="I1024" s="6" t="s">
        <v>19</v>
      </c>
      <c r="J1024" s="11">
        <v>2</v>
      </c>
      <c r="K1024" s="11">
        <v>9</v>
      </c>
      <c r="L1024" s="11">
        <v>7</v>
      </c>
      <c r="M1024" s="15">
        <v>0</v>
      </c>
      <c r="R1024" s="20">
        <v>0</v>
      </c>
      <c r="U1024" s="17">
        <v>0</v>
      </c>
      <c r="W1024" s="23">
        <v>0</v>
      </c>
      <c r="Y1024" s="26">
        <v>0</v>
      </c>
    </row>
    <row r="1025" spans="1:25" x14ac:dyDescent="0.25">
      <c r="A1025" s="7">
        <v>16</v>
      </c>
      <c r="B1025" s="6" t="s">
        <v>13</v>
      </c>
      <c r="C1025" s="32">
        <v>3.7</v>
      </c>
      <c r="D1025" s="6" t="s">
        <v>14</v>
      </c>
      <c r="E1025" s="29">
        <v>7.6</v>
      </c>
      <c r="F1025" s="13">
        <v>1.2</v>
      </c>
      <c r="G1025" s="31">
        <v>3.2</v>
      </c>
      <c r="H1025" s="13">
        <v>1</v>
      </c>
      <c r="I1025" s="6" t="s">
        <v>19</v>
      </c>
      <c r="J1025" s="11">
        <v>4</v>
      </c>
      <c r="K1025" s="11">
        <v>8</v>
      </c>
      <c r="L1025" s="11">
        <v>6</v>
      </c>
      <c r="M1025" s="15">
        <v>0</v>
      </c>
      <c r="R1025" s="20">
        <v>0</v>
      </c>
      <c r="U1025" s="17">
        <v>0</v>
      </c>
      <c r="W1025" s="23">
        <v>0</v>
      </c>
      <c r="Y1025" s="26">
        <v>0</v>
      </c>
    </row>
    <row r="1026" spans="1:25" x14ac:dyDescent="0.25">
      <c r="A1026" s="7">
        <v>13</v>
      </c>
      <c r="B1026" s="6" t="s">
        <v>13</v>
      </c>
      <c r="C1026" s="32">
        <v>1.4</v>
      </c>
      <c r="D1026" s="6" t="s">
        <v>20</v>
      </c>
      <c r="E1026" s="29">
        <v>8.6</v>
      </c>
      <c r="F1026" s="13">
        <v>2.4</v>
      </c>
      <c r="G1026" s="31">
        <v>3.31</v>
      </c>
      <c r="H1026" s="13">
        <v>0.7</v>
      </c>
      <c r="I1026" s="6" t="s">
        <v>15</v>
      </c>
      <c r="J1026" s="11">
        <v>2</v>
      </c>
      <c r="K1026" s="11">
        <v>6</v>
      </c>
      <c r="L1026" s="11">
        <v>2</v>
      </c>
      <c r="M1026" s="15">
        <v>0</v>
      </c>
      <c r="R1026" s="20">
        <v>0</v>
      </c>
      <c r="U1026" s="17">
        <v>0</v>
      </c>
      <c r="W1026" s="23">
        <v>0</v>
      </c>
      <c r="Y1026" s="26">
        <v>0</v>
      </c>
    </row>
    <row r="1027" spans="1:25" x14ac:dyDescent="0.25">
      <c r="A1027" s="7">
        <v>18</v>
      </c>
      <c r="B1027" s="6" t="s">
        <v>13</v>
      </c>
      <c r="C1027" s="32">
        <v>1.8</v>
      </c>
      <c r="D1027" s="6" t="s">
        <v>20</v>
      </c>
      <c r="E1027" s="29">
        <v>4.9000000000000004</v>
      </c>
      <c r="F1027" s="13">
        <v>2.7</v>
      </c>
      <c r="G1027" s="31">
        <v>2.12</v>
      </c>
      <c r="H1027" s="13">
        <v>0.2</v>
      </c>
      <c r="I1027" s="6" t="s">
        <v>15</v>
      </c>
      <c r="J1027" s="11">
        <v>1</v>
      </c>
      <c r="K1027" s="11">
        <v>3</v>
      </c>
      <c r="L1027" s="11">
        <v>8</v>
      </c>
      <c r="M1027" s="15">
        <v>0</v>
      </c>
      <c r="R1027" s="20">
        <v>0</v>
      </c>
      <c r="U1027" s="17">
        <v>0</v>
      </c>
      <c r="W1027" s="23">
        <v>0</v>
      </c>
      <c r="Y1027" s="26">
        <v>0</v>
      </c>
    </row>
    <row r="1028" spans="1:25" x14ac:dyDescent="0.25">
      <c r="A1028" s="7">
        <v>19</v>
      </c>
      <c r="B1028" s="6" t="s">
        <v>13</v>
      </c>
      <c r="C1028" s="32">
        <v>1.5</v>
      </c>
      <c r="D1028" s="6" t="s">
        <v>17</v>
      </c>
      <c r="E1028" s="29">
        <v>5.8</v>
      </c>
      <c r="F1028" s="13">
        <v>1.1000000000000001</v>
      </c>
      <c r="G1028" s="31">
        <v>3.29</v>
      </c>
      <c r="H1028" s="13">
        <v>1.7</v>
      </c>
      <c r="I1028" s="6" t="s">
        <v>18</v>
      </c>
      <c r="J1028" s="11">
        <v>6</v>
      </c>
      <c r="K1028" s="11">
        <v>4</v>
      </c>
      <c r="L1028" s="11">
        <v>2</v>
      </c>
      <c r="M1028" s="15">
        <v>0</v>
      </c>
      <c r="R1028" s="20">
        <v>0</v>
      </c>
      <c r="U1028" s="17">
        <v>0</v>
      </c>
      <c r="W1028" s="23">
        <v>0</v>
      </c>
      <c r="Y1028" s="26">
        <v>0</v>
      </c>
    </row>
    <row r="1029" spans="1:25" x14ac:dyDescent="0.25">
      <c r="A1029" s="7">
        <v>18</v>
      </c>
      <c r="B1029" s="6" t="s">
        <v>16</v>
      </c>
      <c r="C1029" s="32">
        <v>5.5</v>
      </c>
      <c r="D1029" s="6" t="s">
        <v>20</v>
      </c>
      <c r="E1029" s="29">
        <v>5.5</v>
      </c>
      <c r="F1029" s="13">
        <v>1.8</v>
      </c>
      <c r="G1029" s="31">
        <v>2.2400000000000002</v>
      </c>
      <c r="H1029" s="13">
        <v>0</v>
      </c>
      <c r="I1029" s="6" t="s">
        <v>18</v>
      </c>
      <c r="J1029" s="11">
        <v>3</v>
      </c>
      <c r="K1029" s="11">
        <v>4</v>
      </c>
      <c r="L1029" s="11">
        <v>10</v>
      </c>
      <c r="M1029" s="15">
        <v>0</v>
      </c>
      <c r="R1029" s="20">
        <v>0</v>
      </c>
      <c r="U1029" s="17">
        <v>0</v>
      </c>
      <c r="W1029" s="23">
        <v>0</v>
      </c>
      <c r="Y1029" s="26">
        <v>0</v>
      </c>
    </row>
    <row r="1030" spans="1:25" x14ac:dyDescent="0.25">
      <c r="A1030" s="7">
        <v>15</v>
      </c>
      <c r="B1030" s="6" t="s">
        <v>13</v>
      </c>
      <c r="C1030" s="32">
        <v>4.9000000000000004</v>
      </c>
      <c r="D1030" s="6" t="s">
        <v>20</v>
      </c>
      <c r="E1030" s="29">
        <v>5.2</v>
      </c>
      <c r="F1030" s="13">
        <v>0.7</v>
      </c>
      <c r="G1030" s="31">
        <v>2.5499999999999998</v>
      </c>
      <c r="H1030" s="13">
        <v>0.1</v>
      </c>
      <c r="I1030" s="6" t="s">
        <v>15</v>
      </c>
      <c r="J1030" s="11">
        <v>10</v>
      </c>
      <c r="K1030" s="11">
        <v>6</v>
      </c>
      <c r="L1030" s="11">
        <v>4</v>
      </c>
      <c r="M1030" s="15">
        <v>0</v>
      </c>
      <c r="R1030" s="20">
        <v>0</v>
      </c>
      <c r="U1030" s="17">
        <v>0</v>
      </c>
      <c r="W1030" s="23">
        <v>0</v>
      </c>
      <c r="Y1030" s="26">
        <v>0</v>
      </c>
    </row>
    <row r="1031" spans="1:25" x14ac:dyDescent="0.25">
      <c r="A1031" s="7">
        <v>14</v>
      </c>
      <c r="B1031" s="6" t="s">
        <v>16</v>
      </c>
      <c r="C1031" s="32">
        <v>7.2</v>
      </c>
      <c r="D1031" s="6" t="s">
        <v>20</v>
      </c>
      <c r="E1031" s="29">
        <v>7</v>
      </c>
      <c r="F1031" s="13">
        <v>2.2999999999999998</v>
      </c>
      <c r="G1031" s="31">
        <v>3.74</v>
      </c>
      <c r="H1031" s="13">
        <v>0.7</v>
      </c>
      <c r="I1031" s="6" t="s">
        <v>15</v>
      </c>
      <c r="J1031" s="11">
        <v>8</v>
      </c>
      <c r="K1031" s="11">
        <v>4</v>
      </c>
      <c r="L1031" s="11">
        <v>7</v>
      </c>
      <c r="M1031" s="15">
        <v>0</v>
      </c>
      <c r="R1031" s="20">
        <v>0</v>
      </c>
      <c r="U1031" s="17">
        <v>0</v>
      </c>
      <c r="W1031" s="23">
        <v>0</v>
      </c>
      <c r="Y1031" s="26">
        <v>0</v>
      </c>
    </row>
    <row r="1032" spans="1:25" x14ac:dyDescent="0.25">
      <c r="A1032" s="7">
        <v>16</v>
      </c>
      <c r="B1032" s="6" t="s">
        <v>16</v>
      </c>
      <c r="C1032" s="32">
        <v>6.8</v>
      </c>
      <c r="D1032" s="6" t="s">
        <v>14</v>
      </c>
      <c r="E1032" s="29">
        <v>7.2</v>
      </c>
      <c r="F1032" s="13">
        <v>1.1000000000000001</v>
      </c>
      <c r="G1032" s="31">
        <v>2.29</v>
      </c>
      <c r="H1032" s="13">
        <v>1.9</v>
      </c>
      <c r="I1032" s="6" t="s">
        <v>15</v>
      </c>
      <c r="J1032" s="11">
        <v>8</v>
      </c>
      <c r="K1032" s="11">
        <v>5</v>
      </c>
      <c r="L1032" s="11">
        <v>9</v>
      </c>
      <c r="M1032" s="15">
        <v>0</v>
      </c>
      <c r="R1032" s="20">
        <v>0</v>
      </c>
      <c r="U1032" s="17">
        <v>0</v>
      </c>
      <c r="W1032" s="23">
        <v>0</v>
      </c>
      <c r="Y1032" s="26">
        <v>0</v>
      </c>
    </row>
    <row r="1033" spans="1:25" x14ac:dyDescent="0.25">
      <c r="A1033" s="7">
        <v>13</v>
      </c>
      <c r="B1033" s="6" t="s">
        <v>16</v>
      </c>
      <c r="C1033" s="32">
        <v>2.2000000000000002</v>
      </c>
      <c r="D1033" s="6" t="s">
        <v>20</v>
      </c>
      <c r="E1033" s="29">
        <v>7.7</v>
      </c>
      <c r="F1033" s="13">
        <v>2.1</v>
      </c>
      <c r="G1033" s="31">
        <v>2.33</v>
      </c>
      <c r="H1033" s="13">
        <v>1.7</v>
      </c>
      <c r="I1033" s="6" t="s">
        <v>15</v>
      </c>
      <c r="J1033" s="11">
        <v>2</v>
      </c>
      <c r="K1033" s="11">
        <v>8</v>
      </c>
      <c r="L1033" s="11">
        <v>7</v>
      </c>
      <c r="M1033" s="15">
        <v>0</v>
      </c>
      <c r="R1033" s="20">
        <v>0</v>
      </c>
      <c r="U1033" s="17">
        <v>0</v>
      </c>
      <c r="W1033" s="23">
        <v>0</v>
      </c>
      <c r="Y1033" s="26">
        <v>0</v>
      </c>
    </row>
    <row r="1034" spans="1:25" x14ac:dyDescent="0.25">
      <c r="A1034" s="7">
        <v>16</v>
      </c>
      <c r="B1034" s="6" t="s">
        <v>16</v>
      </c>
      <c r="C1034" s="32">
        <v>5.9</v>
      </c>
      <c r="D1034" s="6" t="s">
        <v>17</v>
      </c>
      <c r="E1034" s="29">
        <v>7</v>
      </c>
      <c r="F1034" s="13">
        <v>0.8</v>
      </c>
      <c r="G1034" s="31">
        <v>2.29</v>
      </c>
      <c r="H1034" s="13">
        <v>1.6</v>
      </c>
      <c r="I1034" s="6" t="s">
        <v>15</v>
      </c>
      <c r="J1034" s="11">
        <v>6</v>
      </c>
      <c r="K1034" s="11">
        <v>8</v>
      </c>
      <c r="L1034" s="11">
        <v>1</v>
      </c>
      <c r="M1034" s="15">
        <v>0</v>
      </c>
      <c r="R1034" s="20">
        <v>0</v>
      </c>
      <c r="U1034" s="17">
        <v>0</v>
      </c>
      <c r="W1034" s="23">
        <v>0</v>
      </c>
      <c r="Y1034" s="26">
        <v>0</v>
      </c>
    </row>
    <row r="1035" spans="1:25" x14ac:dyDescent="0.25">
      <c r="A1035" s="7">
        <v>15</v>
      </c>
      <c r="B1035" s="6" t="s">
        <v>16</v>
      </c>
      <c r="C1035" s="32">
        <v>2.2000000000000002</v>
      </c>
      <c r="D1035" s="6" t="s">
        <v>14</v>
      </c>
      <c r="E1035" s="29">
        <v>7.5</v>
      </c>
      <c r="F1035" s="13">
        <v>1.4</v>
      </c>
      <c r="G1035" s="31">
        <v>3.19</v>
      </c>
      <c r="H1035" s="13">
        <v>1.8</v>
      </c>
      <c r="I1035" s="6" t="s">
        <v>15</v>
      </c>
      <c r="J1035" s="11">
        <v>6</v>
      </c>
      <c r="K1035" s="11">
        <v>1</v>
      </c>
      <c r="L1035" s="11">
        <v>7</v>
      </c>
      <c r="M1035" s="15">
        <v>0</v>
      </c>
      <c r="R1035" s="20">
        <v>0</v>
      </c>
      <c r="U1035" s="17">
        <v>0</v>
      </c>
      <c r="W1035" s="23">
        <v>0</v>
      </c>
      <c r="Y1035" s="26">
        <v>0</v>
      </c>
    </row>
    <row r="1036" spans="1:25" x14ac:dyDescent="0.25">
      <c r="A1036" s="7">
        <v>19</v>
      </c>
      <c r="B1036" s="6" t="s">
        <v>16</v>
      </c>
      <c r="C1036" s="32">
        <v>2.4</v>
      </c>
      <c r="D1036" s="6" t="s">
        <v>14</v>
      </c>
      <c r="E1036" s="29">
        <v>4.2</v>
      </c>
      <c r="F1036" s="13">
        <v>1.2</v>
      </c>
      <c r="G1036" s="31">
        <v>3.87</v>
      </c>
      <c r="H1036" s="13">
        <v>1.3</v>
      </c>
      <c r="I1036" s="6" t="s">
        <v>15</v>
      </c>
      <c r="J1036" s="11">
        <v>1</v>
      </c>
      <c r="K1036" s="11">
        <v>9</v>
      </c>
      <c r="L1036" s="11">
        <v>5</v>
      </c>
      <c r="M1036" s="15">
        <v>0</v>
      </c>
      <c r="R1036" s="20">
        <v>0</v>
      </c>
      <c r="U1036" s="17">
        <v>0</v>
      </c>
      <c r="W1036" s="23">
        <v>0</v>
      </c>
      <c r="Y1036" s="26">
        <v>0</v>
      </c>
    </row>
    <row r="1037" spans="1:25" x14ac:dyDescent="0.25">
      <c r="A1037" s="7">
        <v>15</v>
      </c>
      <c r="B1037" s="6" t="s">
        <v>13</v>
      </c>
      <c r="C1037" s="32">
        <v>4.0999999999999996</v>
      </c>
      <c r="D1037" s="6" t="s">
        <v>14</v>
      </c>
      <c r="E1037" s="29">
        <v>7.6</v>
      </c>
      <c r="F1037" s="13">
        <v>1</v>
      </c>
      <c r="G1037" s="31">
        <v>2.17</v>
      </c>
      <c r="H1037" s="13">
        <v>1.1000000000000001</v>
      </c>
      <c r="I1037" s="6" t="s">
        <v>15</v>
      </c>
      <c r="J1037" s="11">
        <v>4</v>
      </c>
      <c r="K1037" s="11">
        <v>5</v>
      </c>
      <c r="L1037" s="11">
        <v>1</v>
      </c>
      <c r="M1037" s="15">
        <v>0</v>
      </c>
      <c r="R1037" s="20">
        <v>0</v>
      </c>
      <c r="U1037" s="17">
        <v>0</v>
      </c>
      <c r="W1037" s="23">
        <v>0</v>
      </c>
      <c r="Y1037" s="26">
        <v>0</v>
      </c>
    </row>
    <row r="1038" spans="1:25" x14ac:dyDescent="0.25">
      <c r="A1038" s="7">
        <v>18</v>
      </c>
      <c r="B1038" s="6" t="s">
        <v>16</v>
      </c>
      <c r="C1038" s="32">
        <v>4.5</v>
      </c>
      <c r="D1038" s="6" t="s">
        <v>14</v>
      </c>
      <c r="E1038" s="29">
        <v>7</v>
      </c>
      <c r="F1038" s="13">
        <v>2.7</v>
      </c>
      <c r="G1038" s="31">
        <v>2.89</v>
      </c>
      <c r="H1038" s="13">
        <v>1.8</v>
      </c>
      <c r="I1038" s="6" t="s">
        <v>18</v>
      </c>
      <c r="J1038" s="11">
        <v>1</v>
      </c>
      <c r="K1038" s="11">
        <v>1</v>
      </c>
      <c r="L1038" s="11">
        <v>2</v>
      </c>
      <c r="M1038" s="15">
        <v>0</v>
      </c>
      <c r="R1038" s="20">
        <v>0</v>
      </c>
      <c r="U1038" s="17">
        <v>0</v>
      </c>
      <c r="W1038" s="23">
        <v>0</v>
      </c>
      <c r="Y1038" s="26">
        <v>0</v>
      </c>
    </row>
    <row r="1039" spans="1:25" x14ac:dyDescent="0.25">
      <c r="A1039" s="7">
        <v>14</v>
      </c>
      <c r="B1039" s="6" t="s">
        <v>16</v>
      </c>
      <c r="C1039" s="32">
        <v>4.5999999999999996</v>
      </c>
      <c r="D1039" s="6" t="s">
        <v>14</v>
      </c>
      <c r="E1039" s="29">
        <v>5.9</v>
      </c>
      <c r="F1039" s="13">
        <v>1.4</v>
      </c>
      <c r="G1039" s="31">
        <v>2.15</v>
      </c>
      <c r="H1039" s="13">
        <v>0.3</v>
      </c>
      <c r="I1039" s="6" t="s">
        <v>18</v>
      </c>
      <c r="J1039" s="11">
        <v>3</v>
      </c>
      <c r="K1039" s="11">
        <v>10</v>
      </c>
      <c r="L1039" s="11">
        <v>2</v>
      </c>
      <c r="M1039" s="15">
        <v>0</v>
      </c>
      <c r="R1039" s="20">
        <v>0</v>
      </c>
      <c r="U1039" s="17">
        <v>0</v>
      </c>
      <c r="W1039" s="23">
        <v>0</v>
      </c>
      <c r="Y1039" s="26">
        <v>0</v>
      </c>
    </row>
    <row r="1040" spans="1:25" x14ac:dyDescent="0.25">
      <c r="A1040" s="7">
        <v>17</v>
      </c>
      <c r="B1040" s="6" t="s">
        <v>16</v>
      </c>
      <c r="C1040" s="32">
        <v>4.5</v>
      </c>
      <c r="D1040" s="6" t="s">
        <v>20</v>
      </c>
      <c r="E1040" s="29">
        <v>6.1</v>
      </c>
      <c r="F1040" s="13">
        <v>2.8</v>
      </c>
      <c r="G1040" s="31">
        <v>3.38</v>
      </c>
      <c r="H1040" s="13">
        <v>1.2</v>
      </c>
      <c r="I1040" s="6" t="s">
        <v>15</v>
      </c>
      <c r="J1040" s="11">
        <v>10</v>
      </c>
      <c r="K1040" s="11">
        <v>4</v>
      </c>
      <c r="L1040" s="11">
        <v>2</v>
      </c>
      <c r="M1040" s="15">
        <v>0</v>
      </c>
      <c r="R1040" s="20">
        <v>0</v>
      </c>
      <c r="U1040" s="17">
        <v>0</v>
      </c>
      <c r="W1040" s="23">
        <v>0</v>
      </c>
      <c r="Y1040" s="26">
        <v>0</v>
      </c>
    </row>
    <row r="1041" spans="1:25" x14ac:dyDescent="0.25">
      <c r="A1041" s="7">
        <v>13</v>
      </c>
      <c r="B1041" s="6" t="s">
        <v>13</v>
      </c>
      <c r="C1041" s="32">
        <v>5</v>
      </c>
      <c r="D1041" s="6" t="s">
        <v>14</v>
      </c>
      <c r="E1041" s="29">
        <v>5.2</v>
      </c>
      <c r="F1041" s="13">
        <v>2.6</v>
      </c>
      <c r="G1041" s="31">
        <v>2.04</v>
      </c>
      <c r="H1041" s="13">
        <v>1.7</v>
      </c>
      <c r="I1041" s="6" t="s">
        <v>19</v>
      </c>
      <c r="J1041" s="11">
        <v>4</v>
      </c>
      <c r="K1041" s="11">
        <v>4</v>
      </c>
      <c r="L1041" s="11">
        <v>5</v>
      </c>
      <c r="M1041" s="15">
        <v>0</v>
      </c>
      <c r="R1041" s="20">
        <v>0</v>
      </c>
      <c r="U1041" s="17">
        <v>0</v>
      </c>
      <c r="W1041" s="23">
        <v>0</v>
      </c>
      <c r="Y1041" s="26">
        <v>0</v>
      </c>
    </row>
    <row r="1042" spans="1:25" x14ac:dyDescent="0.25">
      <c r="A1042" s="7">
        <v>19</v>
      </c>
      <c r="B1042" s="6" t="s">
        <v>16</v>
      </c>
      <c r="C1042" s="32">
        <v>4.0999999999999996</v>
      </c>
      <c r="D1042" s="6" t="s">
        <v>20</v>
      </c>
      <c r="E1042" s="29">
        <v>6.4</v>
      </c>
      <c r="F1042" s="13">
        <v>1.4</v>
      </c>
      <c r="G1042" s="31">
        <v>2.2599999999999998</v>
      </c>
      <c r="H1042" s="13">
        <v>1.6</v>
      </c>
      <c r="I1042" s="6" t="s">
        <v>18</v>
      </c>
      <c r="J1042" s="11">
        <v>2</v>
      </c>
      <c r="K1042" s="11">
        <v>3</v>
      </c>
      <c r="L1042" s="11">
        <v>6</v>
      </c>
      <c r="M1042" s="15">
        <v>0</v>
      </c>
      <c r="R1042" s="20">
        <v>0</v>
      </c>
      <c r="U1042" s="17">
        <v>0</v>
      </c>
      <c r="W1042" s="23">
        <v>0</v>
      </c>
      <c r="Y1042" s="26">
        <v>0</v>
      </c>
    </row>
    <row r="1043" spans="1:25" x14ac:dyDescent="0.25">
      <c r="A1043" s="7">
        <v>18</v>
      </c>
      <c r="B1043" s="6" t="s">
        <v>13</v>
      </c>
      <c r="C1043" s="32">
        <v>7.5</v>
      </c>
      <c r="D1043" s="6" t="s">
        <v>17</v>
      </c>
      <c r="E1043" s="29">
        <v>7.6</v>
      </c>
      <c r="F1043" s="13">
        <v>1.8</v>
      </c>
      <c r="G1043" s="31">
        <v>3.19</v>
      </c>
      <c r="H1043" s="13">
        <v>1.7</v>
      </c>
      <c r="I1043" s="6" t="s">
        <v>18</v>
      </c>
      <c r="J1043" s="11">
        <v>2</v>
      </c>
      <c r="K1043" s="11">
        <v>6</v>
      </c>
      <c r="L1043" s="11">
        <v>6</v>
      </c>
      <c r="M1043" s="15">
        <v>0</v>
      </c>
      <c r="R1043" s="20">
        <v>0</v>
      </c>
      <c r="U1043" s="17">
        <v>0</v>
      </c>
      <c r="W1043" s="23">
        <v>0</v>
      </c>
      <c r="Y1043" s="26">
        <v>0</v>
      </c>
    </row>
    <row r="1044" spans="1:25" x14ac:dyDescent="0.25">
      <c r="A1044" s="7">
        <v>18</v>
      </c>
      <c r="B1044" s="6" t="s">
        <v>13</v>
      </c>
      <c r="C1044" s="32">
        <v>4.2</v>
      </c>
      <c r="D1044" s="6" t="s">
        <v>14</v>
      </c>
      <c r="E1044" s="29">
        <v>5.5</v>
      </c>
      <c r="F1044" s="13">
        <v>1.8</v>
      </c>
      <c r="G1044" s="31">
        <v>3.83</v>
      </c>
      <c r="H1044" s="13">
        <v>1.9</v>
      </c>
      <c r="I1044" s="6" t="s">
        <v>15</v>
      </c>
      <c r="J1044" s="11">
        <v>3</v>
      </c>
      <c r="K1044" s="11">
        <v>8</v>
      </c>
      <c r="L1044" s="11">
        <v>8</v>
      </c>
      <c r="M1044" s="15">
        <v>0</v>
      </c>
      <c r="R1044" s="20">
        <v>0</v>
      </c>
      <c r="U1044" s="17">
        <v>0</v>
      </c>
      <c r="W1044" s="23">
        <v>0</v>
      </c>
      <c r="Y1044" s="26">
        <v>0</v>
      </c>
    </row>
    <row r="1045" spans="1:25" x14ac:dyDescent="0.25">
      <c r="A1045" s="7">
        <v>14</v>
      </c>
      <c r="B1045" s="6" t="s">
        <v>16</v>
      </c>
      <c r="C1045" s="32">
        <v>7.2</v>
      </c>
      <c r="D1045" s="6" t="s">
        <v>20</v>
      </c>
      <c r="E1045" s="29">
        <v>5</v>
      </c>
      <c r="F1045" s="13">
        <v>2.9</v>
      </c>
      <c r="G1045" s="31">
        <v>3.76</v>
      </c>
      <c r="H1045" s="13">
        <v>0.4</v>
      </c>
      <c r="I1045" s="6" t="s">
        <v>19</v>
      </c>
      <c r="J1045" s="11">
        <v>7</v>
      </c>
      <c r="K1045" s="11">
        <v>4</v>
      </c>
      <c r="L1045" s="11">
        <v>2</v>
      </c>
      <c r="M1045" s="15">
        <v>0</v>
      </c>
      <c r="R1045" s="20">
        <v>0</v>
      </c>
      <c r="U1045" s="17">
        <v>0</v>
      </c>
      <c r="W1045" s="23">
        <v>0</v>
      </c>
      <c r="Y1045" s="26">
        <v>0</v>
      </c>
    </row>
    <row r="1046" spans="1:25" x14ac:dyDescent="0.25">
      <c r="A1046" s="7">
        <v>13</v>
      </c>
      <c r="B1046" s="6" t="s">
        <v>13</v>
      </c>
      <c r="C1046" s="32">
        <v>4.8</v>
      </c>
      <c r="D1046" s="6" t="s">
        <v>14</v>
      </c>
      <c r="E1046" s="29">
        <v>6</v>
      </c>
      <c r="F1046" s="13">
        <v>0.6</v>
      </c>
      <c r="G1046" s="31">
        <v>2.41</v>
      </c>
      <c r="H1046" s="13">
        <v>0</v>
      </c>
      <c r="I1046" s="6" t="s">
        <v>18</v>
      </c>
      <c r="J1046" s="11">
        <v>3</v>
      </c>
      <c r="K1046" s="11">
        <v>6</v>
      </c>
      <c r="L1046" s="11">
        <v>9</v>
      </c>
      <c r="M1046" s="15">
        <v>0</v>
      </c>
      <c r="R1046" s="20">
        <v>0</v>
      </c>
      <c r="U1046" s="17">
        <v>0</v>
      </c>
      <c r="W1046" s="23">
        <v>0</v>
      </c>
      <c r="Y1046" s="26">
        <v>0</v>
      </c>
    </row>
    <row r="1047" spans="1:25" x14ac:dyDescent="0.25">
      <c r="A1047" s="7">
        <v>17</v>
      </c>
      <c r="B1047" s="6" t="s">
        <v>16</v>
      </c>
      <c r="C1047" s="32">
        <v>7.3</v>
      </c>
      <c r="D1047" s="6" t="s">
        <v>14</v>
      </c>
      <c r="E1047" s="29">
        <v>6.7</v>
      </c>
      <c r="F1047" s="13">
        <v>1</v>
      </c>
      <c r="G1047" s="31">
        <v>3.41</v>
      </c>
      <c r="H1047" s="13">
        <v>1.7</v>
      </c>
      <c r="I1047" s="6" t="s">
        <v>19</v>
      </c>
      <c r="J1047" s="11">
        <v>6</v>
      </c>
      <c r="K1047" s="11">
        <v>5</v>
      </c>
      <c r="L1047" s="11">
        <v>2</v>
      </c>
      <c r="M1047" s="15">
        <v>0</v>
      </c>
      <c r="R1047" s="20">
        <v>0</v>
      </c>
      <c r="U1047" s="17">
        <v>0</v>
      </c>
      <c r="W1047" s="23">
        <v>0</v>
      </c>
      <c r="Y1047" s="26">
        <v>0</v>
      </c>
    </row>
    <row r="1048" spans="1:25" x14ac:dyDescent="0.25">
      <c r="A1048" s="7">
        <v>13</v>
      </c>
      <c r="B1048" s="6" t="s">
        <v>13</v>
      </c>
      <c r="C1048" s="32">
        <v>3.9</v>
      </c>
      <c r="D1048" s="6" t="s">
        <v>20</v>
      </c>
      <c r="E1048" s="29">
        <v>4.5</v>
      </c>
      <c r="F1048" s="13">
        <v>1.6</v>
      </c>
      <c r="G1048" s="31">
        <v>2.02</v>
      </c>
      <c r="H1048" s="13">
        <v>0.6</v>
      </c>
      <c r="I1048" s="6" t="s">
        <v>18</v>
      </c>
      <c r="J1048" s="11">
        <v>6</v>
      </c>
      <c r="K1048" s="11">
        <v>6</v>
      </c>
      <c r="L1048" s="11">
        <v>5</v>
      </c>
      <c r="M1048" s="15">
        <v>0</v>
      </c>
      <c r="R1048" s="20">
        <v>0</v>
      </c>
      <c r="U1048" s="17">
        <v>0</v>
      </c>
      <c r="W1048" s="23">
        <v>0</v>
      </c>
      <c r="Y1048" s="26">
        <v>0</v>
      </c>
    </row>
    <row r="1049" spans="1:25" x14ac:dyDescent="0.25">
      <c r="A1049" s="7">
        <v>15</v>
      </c>
      <c r="B1049" s="6" t="s">
        <v>16</v>
      </c>
      <c r="C1049" s="32">
        <v>5.5</v>
      </c>
      <c r="D1049" s="6" t="s">
        <v>20</v>
      </c>
      <c r="E1049" s="29">
        <v>4</v>
      </c>
      <c r="F1049" s="13">
        <v>2.4</v>
      </c>
      <c r="G1049" s="31">
        <v>3.01</v>
      </c>
      <c r="H1049" s="13">
        <v>0.9</v>
      </c>
      <c r="I1049" s="6" t="s">
        <v>15</v>
      </c>
      <c r="J1049" s="11">
        <v>10</v>
      </c>
      <c r="K1049" s="11">
        <v>3</v>
      </c>
      <c r="L1049" s="11">
        <v>2</v>
      </c>
      <c r="M1049" s="15">
        <v>0</v>
      </c>
      <c r="R1049" s="20">
        <v>0</v>
      </c>
      <c r="U1049" s="17">
        <v>0</v>
      </c>
      <c r="W1049" s="23">
        <v>0</v>
      </c>
      <c r="Y1049" s="26">
        <v>0</v>
      </c>
    </row>
    <row r="1050" spans="1:25" x14ac:dyDescent="0.25">
      <c r="A1050" s="7">
        <v>15</v>
      </c>
      <c r="B1050" s="6" t="s">
        <v>13</v>
      </c>
      <c r="C1050" s="32">
        <v>7.5</v>
      </c>
      <c r="D1050" s="6" t="s">
        <v>20</v>
      </c>
      <c r="E1050" s="29">
        <v>6.3</v>
      </c>
      <c r="F1050" s="13">
        <v>2.8</v>
      </c>
      <c r="G1050" s="31">
        <v>3.04</v>
      </c>
      <c r="H1050" s="13">
        <v>1.8</v>
      </c>
      <c r="I1050" s="6" t="s">
        <v>15</v>
      </c>
      <c r="J1050" s="11">
        <v>1</v>
      </c>
      <c r="K1050" s="11">
        <v>5</v>
      </c>
      <c r="L1050" s="11">
        <v>8</v>
      </c>
      <c r="M1050" s="15">
        <v>0</v>
      </c>
      <c r="R1050" s="20">
        <v>0</v>
      </c>
      <c r="U1050" s="17">
        <v>0</v>
      </c>
      <c r="W1050" s="23">
        <v>0</v>
      </c>
      <c r="Y1050" s="26">
        <v>0</v>
      </c>
    </row>
    <row r="1051" spans="1:25" x14ac:dyDescent="0.25">
      <c r="A1051" s="7">
        <v>17</v>
      </c>
      <c r="B1051" s="6" t="s">
        <v>13</v>
      </c>
      <c r="C1051" s="32">
        <v>1.8</v>
      </c>
      <c r="D1051" s="6" t="s">
        <v>14</v>
      </c>
      <c r="E1051" s="29">
        <v>6.9</v>
      </c>
      <c r="F1051" s="13">
        <v>2.7</v>
      </c>
      <c r="G1051" s="31">
        <v>2.5299999999999998</v>
      </c>
      <c r="H1051" s="13">
        <v>1.7</v>
      </c>
      <c r="I1051" s="6" t="s">
        <v>18</v>
      </c>
      <c r="J1051" s="11">
        <v>2</v>
      </c>
      <c r="K1051" s="11">
        <v>2</v>
      </c>
      <c r="L1051" s="11">
        <v>7</v>
      </c>
      <c r="M1051" s="15">
        <v>0</v>
      </c>
      <c r="R1051" s="20">
        <v>0</v>
      </c>
      <c r="U1051" s="17">
        <v>0</v>
      </c>
      <c r="W1051" s="23">
        <v>0</v>
      </c>
      <c r="Y1051" s="26">
        <v>0</v>
      </c>
    </row>
    <row r="1052" spans="1:25" x14ac:dyDescent="0.25">
      <c r="A1052" s="7">
        <v>16</v>
      </c>
      <c r="B1052" s="6" t="s">
        <v>13</v>
      </c>
      <c r="C1052" s="32">
        <v>2.6</v>
      </c>
      <c r="D1052" s="6" t="s">
        <v>14</v>
      </c>
      <c r="E1052" s="29">
        <v>5.0999999999999996</v>
      </c>
      <c r="F1052" s="13">
        <v>0.9</v>
      </c>
      <c r="G1052" s="31">
        <v>2.57</v>
      </c>
      <c r="H1052" s="13">
        <v>1.4</v>
      </c>
      <c r="I1052" s="6" t="s">
        <v>19</v>
      </c>
      <c r="J1052" s="11">
        <v>8</v>
      </c>
      <c r="K1052" s="11">
        <v>5</v>
      </c>
      <c r="L1052" s="11">
        <v>8</v>
      </c>
      <c r="M1052" s="15">
        <v>0</v>
      </c>
      <c r="R1052" s="20">
        <v>0</v>
      </c>
      <c r="U1052" s="17">
        <v>0</v>
      </c>
      <c r="W1052" s="23">
        <v>0</v>
      </c>
      <c r="Y1052" s="26">
        <v>0</v>
      </c>
    </row>
    <row r="1053" spans="1:25" x14ac:dyDescent="0.25">
      <c r="A1053" s="7">
        <v>17</v>
      </c>
      <c r="B1053" s="6" t="s">
        <v>16</v>
      </c>
      <c r="C1053" s="32">
        <v>5.5</v>
      </c>
      <c r="D1053" s="6" t="s">
        <v>20</v>
      </c>
      <c r="E1053" s="29">
        <v>6</v>
      </c>
      <c r="F1053" s="13">
        <v>2.8</v>
      </c>
      <c r="G1053" s="31">
        <v>3.4</v>
      </c>
      <c r="H1053" s="13">
        <v>0</v>
      </c>
      <c r="I1053" s="6" t="s">
        <v>19</v>
      </c>
      <c r="J1053" s="11">
        <v>2</v>
      </c>
      <c r="K1053" s="11">
        <v>3</v>
      </c>
      <c r="L1053" s="11">
        <v>8</v>
      </c>
      <c r="M1053" s="15">
        <v>0</v>
      </c>
      <c r="R1053" s="20">
        <v>0</v>
      </c>
      <c r="U1053" s="17">
        <v>0</v>
      </c>
      <c r="W1053" s="23">
        <v>0</v>
      </c>
      <c r="Y1053" s="26">
        <v>0</v>
      </c>
    </row>
    <row r="1054" spans="1:25" x14ac:dyDescent="0.25">
      <c r="A1054" s="7">
        <v>15</v>
      </c>
      <c r="B1054" s="6" t="s">
        <v>16</v>
      </c>
      <c r="C1054" s="32">
        <v>3.6</v>
      </c>
      <c r="D1054" s="6" t="s">
        <v>17</v>
      </c>
      <c r="E1054" s="29">
        <v>7.1</v>
      </c>
      <c r="F1054" s="13">
        <v>0.9</v>
      </c>
      <c r="G1054" s="31">
        <v>2.84</v>
      </c>
      <c r="H1054" s="13">
        <v>0.3</v>
      </c>
      <c r="I1054" s="6" t="s">
        <v>15</v>
      </c>
      <c r="J1054" s="11">
        <v>1</v>
      </c>
      <c r="K1054" s="11">
        <v>9</v>
      </c>
      <c r="L1054" s="11">
        <v>4</v>
      </c>
      <c r="M1054" s="15">
        <v>0</v>
      </c>
      <c r="R1054" s="20">
        <v>0</v>
      </c>
      <c r="U1054" s="17">
        <v>0</v>
      </c>
      <c r="W1054" s="23">
        <v>0</v>
      </c>
      <c r="Y1054" s="26">
        <v>0</v>
      </c>
    </row>
    <row r="1055" spans="1:25" x14ac:dyDescent="0.25">
      <c r="A1055" s="7">
        <v>19</v>
      </c>
      <c r="B1055" s="6" t="s">
        <v>16</v>
      </c>
      <c r="C1055" s="32">
        <v>7.6</v>
      </c>
      <c r="D1055" s="6" t="s">
        <v>20</v>
      </c>
      <c r="E1055" s="29">
        <v>5.4</v>
      </c>
      <c r="F1055" s="13">
        <v>1.9</v>
      </c>
      <c r="G1055" s="31">
        <v>2.56</v>
      </c>
      <c r="H1055" s="13">
        <v>1.4</v>
      </c>
      <c r="I1055" s="6" t="s">
        <v>15</v>
      </c>
      <c r="J1055" s="11">
        <v>2</v>
      </c>
      <c r="K1055" s="11">
        <v>7</v>
      </c>
      <c r="L1055" s="11">
        <v>9</v>
      </c>
      <c r="M1055" s="15">
        <v>0</v>
      </c>
      <c r="R1055" s="20">
        <v>0</v>
      </c>
      <c r="U1055" s="17">
        <v>0</v>
      </c>
      <c r="W1055" s="23">
        <v>0</v>
      </c>
      <c r="Y1055" s="26">
        <v>0</v>
      </c>
    </row>
    <row r="1056" spans="1:25" x14ac:dyDescent="0.25">
      <c r="A1056" s="7">
        <v>13</v>
      </c>
      <c r="B1056" s="6" t="s">
        <v>13</v>
      </c>
      <c r="C1056" s="32">
        <v>7.9</v>
      </c>
      <c r="D1056" s="6" t="s">
        <v>14</v>
      </c>
      <c r="E1056" s="29">
        <v>7.1</v>
      </c>
      <c r="F1056" s="13">
        <v>0.7</v>
      </c>
      <c r="G1056" s="31">
        <v>2.8</v>
      </c>
      <c r="H1056" s="13">
        <v>0.3</v>
      </c>
      <c r="I1056" s="6" t="s">
        <v>19</v>
      </c>
      <c r="J1056" s="11">
        <v>6</v>
      </c>
      <c r="K1056" s="11">
        <v>8</v>
      </c>
      <c r="L1056" s="11">
        <v>8</v>
      </c>
      <c r="M1056" s="15">
        <v>0</v>
      </c>
      <c r="R1056" s="20">
        <v>0</v>
      </c>
      <c r="U1056" s="17">
        <v>0</v>
      </c>
      <c r="W1056" s="23">
        <v>0</v>
      </c>
      <c r="Y1056" s="26">
        <v>0</v>
      </c>
    </row>
    <row r="1057" spans="1:25" x14ac:dyDescent="0.25">
      <c r="A1057" s="7">
        <v>15</v>
      </c>
      <c r="B1057" s="6" t="s">
        <v>13</v>
      </c>
      <c r="C1057" s="32">
        <v>2.6</v>
      </c>
      <c r="D1057" s="6" t="s">
        <v>20</v>
      </c>
      <c r="E1057" s="29">
        <v>6.8</v>
      </c>
      <c r="F1057" s="13">
        <v>1.7</v>
      </c>
      <c r="G1057" s="31">
        <v>2.06</v>
      </c>
      <c r="H1057" s="13">
        <v>0.4</v>
      </c>
      <c r="I1057" s="6" t="s">
        <v>19</v>
      </c>
      <c r="J1057" s="11">
        <v>8</v>
      </c>
      <c r="K1057" s="11">
        <v>6</v>
      </c>
      <c r="L1057" s="11">
        <v>6</v>
      </c>
      <c r="M1057" s="15">
        <v>0</v>
      </c>
      <c r="R1057" s="20">
        <v>0</v>
      </c>
      <c r="U1057" s="17">
        <v>0</v>
      </c>
      <c r="W1057" s="23">
        <v>0</v>
      </c>
      <c r="Y1057" s="26">
        <v>0</v>
      </c>
    </row>
    <row r="1058" spans="1:25" x14ac:dyDescent="0.25">
      <c r="A1058" s="7">
        <v>19</v>
      </c>
      <c r="B1058" s="6" t="s">
        <v>13</v>
      </c>
      <c r="C1058" s="32">
        <v>5.7</v>
      </c>
      <c r="D1058" s="6" t="s">
        <v>17</v>
      </c>
      <c r="E1058" s="29">
        <v>6.4</v>
      </c>
      <c r="F1058" s="13">
        <v>0.9</v>
      </c>
      <c r="G1058" s="31">
        <v>3.57</v>
      </c>
      <c r="H1058" s="13">
        <v>1.5</v>
      </c>
      <c r="I1058" s="6" t="s">
        <v>18</v>
      </c>
      <c r="J1058" s="11">
        <v>3</v>
      </c>
      <c r="K1058" s="11">
        <v>7</v>
      </c>
      <c r="L1058" s="11">
        <v>2</v>
      </c>
      <c r="M1058" s="15">
        <v>0</v>
      </c>
      <c r="R1058" s="20">
        <v>0</v>
      </c>
      <c r="U1058" s="17">
        <v>0</v>
      </c>
      <c r="W1058" s="23">
        <v>0</v>
      </c>
      <c r="Y1058" s="26">
        <v>0</v>
      </c>
    </row>
    <row r="1059" spans="1:25" x14ac:dyDescent="0.25">
      <c r="A1059" s="7">
        <v>13</v>
      </c>
      <c r="B1059" s="6" t="s">
        <v>16</v>
      </c>
      <c r="C1059" s="32">
        <v>7.1</v>
      </c>
      <c r="D1059" s="6" t="s">
        <v>14</v>
      </c>
      <c r="E1059" s="29">
        <v>5.7</v>
      </c>
      <c r="F1059" s="13">
        <v>1.2</v>
      </c>
      <c r="G1059" s="31">
        <v>3.83</v>
      </c>
      <c r="H1059" s="13">
        <v>2</v>
      </c>
      <c r="I1059" s="6" t="s">
        <v>19</v>
      </c>
      <c r="J1059" s="11">
        <v>2</v>
      </c>
      <c r="K1059" s="11">
        <v>8</v>
      </c>
      <c r="L1059" s="11">
        <v>7</v>
      </c>
      <c r="M1059" s="15">
        <v>0</v>
      </c>
      <c r="R1059" s="20">
        <v>0</v>
      </c>
      <c r="U1059" s="17">
        <v>0</v>
      </c>
      <c r="W1059" s="23">
        <v>0</v>
      </c>
      <c r="Y1059" s="26">
        <v>0</v>
      </c>
    </row>
    <row r="1060" spans="1:25" x14ac:dyDescent="0.25">
      <c r="A1060" s="7">
        <v>13</v>
      </c>
      <c r="B1060" s="6" t="s">
        <v>16</v>
      </c>
      <c r="C1060" s="32">
        <v>1.3</v>
      </c>
      <c r="D1060" s="6" t="s">
        <v>17</v>
      </c>
      <c r="E1060" s="29">
        <v>8.6999999999999993</v>
      </c>
      <c r="F1060" s="13">
        <v>0.9</v>
      </c>
      <c r="G1060" s="31">
        <v>4</v>
      </c>
      <c r="H1060" s="13">
        <v>0.1</v>
      </c>
      <c r="I1060" s="6" t="s">
        <v>15</v>
      </c>
      <c r="J1060" s="11">
        <v>10</v>
      </c>
      <c r="K1060" s="11">
        <v>9</v>
      </c>
      <c r="L1060" s="11">
        <v>9</v>
      </c>
      <c r="M1060" s="15">
        <v>0</v>
      </c>
      <c r="R1060" s="20">
        <v>0</v>
      </c>
      <c r="U1060" s="17">
        <v>0</v>
      </c>
      <c r="W1060" s="23">
        <v>0</v>
      </c>
      <c r="Y1060" s="26">
        <v>0</v>
      </c>
    </row>
    <row r="1061" spans="1:25" x14ac:dyDescent="0.25">
      <c r="A1061" s="7">
        <v>13</v>
      </c>
      <c r="B1061" s="6" t="s">
        <v>16</v>
      </c>
      <c r="C1061" s="32">
        <v>1.1000000000000001</v>
      </c>
      <c r="D1061" s="6" t="s">
        <v>20</v>
      </c>
      <c r="E1061" s="29">
        <v>6.7</v>
      </c>
      <c r="F1061" s="13">
        <v>2</v>
      </c>
      <c r="G1061" s="31">
        <v>3.63</v>
      </c>
      <c r="H1061" s="13">
        <v>0.2</v>
      </c>
      <c r="I1061" s="6" t="s">
        <v>19</v>
      </c>
      <c r="J1061" s="11">
        <v>3</v>
      </c>
      <c r="K1061" s="11">
        <v>10</v>
      </c>
      <c r="L1061" s="11">
        <v>5</v>
      </c>
      <c r="M1061" s="15">
        <v>0</v>
      </c>
      <c r="R1061" s="20">
        <v>0</v>
      </c>
      <c r="U1061" s="17">
        <v>0</v>
      </c>
      <c r="W1061" s="23">
        <v>0</v>
      </c>
      <c r="Y1061" s="26">
        <v>0</v>
      </c>
    </row>
    <row r="1062" spans="1:25" x14ac:dyDescent="0.25">
      <c r="A1062" s="7">
        <v>13</v>
      </c>
      <c r="B1062" s="6" t="s">
        <v>16</v>
      </c>
      <c r="C1062" s="32">
        <v>3.3</v>
      </c>
      <c r="D1062" s="6" t="s">
        <v>17</v>
      </c>
      <c r="E1062" s="29">
        <v>9</v>
      </c>
      <c r="F1062" s="13">
        <v>0.7</v>
      </c>
      <c r="G1062" s="31">
        <v>2.4900000000000002</v>
      </c>
      <c r="H1062" s="13">
        <v>0.6</v>
      </c>
      <c r="I1062" s="6" t="s">
        <v>19</v>
      </c>
      <c r="J1062" s="11">
        <v>3</v>
      </c>
      <c r="K1062" s="11">
        <v>6</v>
      </c>
      <c r="L1062" s="11">
        <v>4</v>
      </c>
      <c r="M1062" s="15">
        <v>0</v>
      </c>
      <c r="R1062" s="20">
        <v>0</v>
      </c>
      <c r="U1062" s="17">
        <v>0</v>
      </c>
      <c r="W1062" s="23">
        <v>0</v>
      </c>
      <c r="Y1062" s="26">
        <v>0</v>
      </c>
    </row>
    <row r="1063" spans="1:25" x14ac:dyDescent="0.25">
      <c r="A1063" s="7">
        <v>16</v>
      </c>
      <c r="B1063" s="6" t="s">
        <v>13</v>
      </c>
      <c r="C1063" s="32">
        <v>7.4</v>
      </c>
      <c r="D1063" s="6" t="s">
        <v>20</v>
      </c>
      <c r="E1063" s="29">
        <v>7.2</v>
      </c>
      <c r="F1063" s="13">
        <v>1.8</v>
      </c>
      <c r="G1063" s="31">
        <v>2.11</v>
      </c>
      <c r="H1063" s="13">
        <v>1.4</v>
      </c>
      <c r="I1063" s="6" t="s">
        <v>19</v>
      </c>
      <c r="J1063" s="11">
        <v>3</v>
      </c>
      <c r="K1063" s="11">
        <v>7</v>
      </c>
      <c r="L1063" s="11">
        <v>3</v>
      </c>
      <c r="M1063" s="15">
        <v>0</v>
      </c>
      <c r="R1063" s="20">
        <v>0</v>
      </c>
      <c r="U1063" s="17">
        <v>0</v>
      </c>
      <c r="W1063" s="23">
        <v>0</v>
      </c>
      <c r="Y1063" s="26">
        <v>0</v>
      </c>
    </row>
    <row r="1064" spans="1:25" x14ac:dyDescent="0.25">
      <c r="A1064" s="7">
        <v>13</v>
      </c>
      <c r="B1064" s="6" t="s">
        <v>13</v>
      </c>
      <c r="C1064" s="32">
        <v>5.8</v>
      </c>
      <c r="D1064" s="6" t="s">
        <v>17</v>
      </c>
      <c r="E1064" s="29">
        <v>8.3000000000000007</v>
      </c>
      <c r="F1064" s="13">
        <v>2.8</v>
      </c>
      <c r="G1064" s="31">
        <v>2.63</v>
      </c>
      <c r="H1064" s="13">
        <v>0.6</v>
      </c>
      <c r="I1064" s="6" t="s">
        <v>18</v>
      </c>
      <c r="J1064" s="11">
        <v>5</v>
      </c>
      <c r="K1064" s="11">
        <v>3</v>
      </c>
      <c r="L1064" s="11">
        <v>7</v>
      </c>
      <c r="M1064" s="15">
        <v>0</v>
      </c>
      <c r="R1064" s="20">
        <v>0</v>
      </c>
      <c r="U1064" s="17">
        <v>0</v>
      </c>
      <c r="W1064" s="23">
        <v>0</v>
      </c>
      <c r="Y1064" s="26">
        <v>0</v>
      </c>
    </row>
    <row r="1065" spans="1:25" x14ac:dyDescent="0.25">
      <c r="A1065" s="7">
        <v>18</v>
      </c>
      <c r="B1065" s="6" t="s">
        <v>16</v>
      </c>
      <c r="C1065" s="32">
        <v>4.5999999999999996</v>
      </c>
      <c r="D1065" s="6" t="s">
        <v>17</v>
      </c>
      <c r="E1065" s="29">
        <v>6.8</v>
      </c>
      <c r="F1065" s="13">
        <v>1.5</v>
      </c>
      <c r="G1065" s="31">
        <v>2.4</v>
      </c>
      <c r="H1065" s="13">
        <v>1.4</v>
      </c>
      <c r="I1065" s="6" t="s">
        <v>19</v>
      </c>
      <c r="J1065" s="11">
        <v>5</v>
      </c>
      <c r="K1065" s="11">
        <v>10</v>
      </c>
      <c r="L1065" s="11">
        <v>2</v>
      </c>
      <c r="M1065" s="15">
        <v>0</v>
      </c>
      <c r="R1065" s="20">
        <v>0</v>
      </c>
      <c r="U1065" s="17">
        <v>0</v>
      </c>
      <c r="W1065" s="23">
        <v>0</v>
      </c>
      <c r="Y1065" s="26">
        <v>0</v>
      </c>
    </row>
    <row r="1066" spans="1:25" x14ac:dyDescent="0.25">
      <c r="A1066" s="7">
        <v>18</v>
      </c>
      <c r="B1066" s="6" t="s">
        <v>16</v>
      </c>
      <c r="C1066" s="32">
        <v>2.5</v>
      </c>
      <c r="D1066" s="6" t="s">
        <v>17</v>
      </c>
      <c r="E1066" s="29">
        <v>7.1</v>
      </c>
      <c r="F1066" s="13">
        <v>1.6</v>
      </c>
      <c r="G1066" s="31">
        <v>3.97</v>
      </c>
      <c r="H1066" s="13">
        <v>0.7</v>
      </c>
      <c r="I1066" s="6" t="s">
        <v>19</v>
      </c>
      <c r="J1066" s="11">
        <v>10</v>
      </c>
      <c r="K1066" s="11">
        <v>7</v>
      </c>
      <c r="L1066" s="11">
        <v>3</v>
      </c>
      <c r="M1066" s="15">
        <v>0</v>
      </c>
      <c r="R1066" s="20">
        <v>0</v>
      </c>
      <c r="U1066" s="17">
        <v>0</v>
      </c>
      <c r="W1066" s="23">
        <v>0</v>
      </c>
      <c r="Y1066" s="26">
        <v>0</v>
      </c>
    </row>
    <row r="1067" spans="1:25" x14ac:dyDescent="0.25">
      <c r="A1067" s="7">
        <v>18</v>
      </c>
      <c r="B1067" s="6" t="s">
        <v>13</v>
      </c>
      <c r="C1067" s="32">
        <v>4</v>
      </c>
      <c r="D1067" s="6" t="s">
        <v>20</v>
      </c>
      <c r="E1067" s="29">
        <v>8</v>
      </c>
      <c r="F1067" s="13">
        <v>2</v>
      </c>
      <c r="G1067" s="31">
        <v>3.04</v>
      </c>
      <c r="H1067" s="13">
        <v>1.4</v>
      </c>
      <c r="I1067" s="6" t="s">
        <v>18</v>
      </c>
      <c r="J1067" s="11">
        <v>3</v>
      </c>
      <c r="K1067" s="11">
        <v>1</v>
      </c>
      <c r="L1067" s="11">
        <v>8</v>
      </c>
      <c r="M1067" s="15">
        <v>0</v>
      </c>
      <c r="R1067" s="20">
        <v>0</v>
      </c>
      <c r="U1067" s="17">
        <v>0</v>
      </c>
      <c r="W1067" s="23">
        <v>0</v>
      </c>
      <c r="Y1067" s="26">
        <v>0</v>
      </c>
    </row>
    <row r="1068" spans="1:25" x14ac:dyDescent="0.25">
      <c r="A1068" s="7">
        <v>17</v>
      </c>
      <c r="B1068" s="6" t="s">
        <v>16</v>
      </c>
      <c r="C1068" s="32">
        <v>6.6</v>
      </c>
      <c r="D1068" s="6" t="s">
        <v>20</v>
      </c>
      <c r="E1068" s="29">
        <v>8</v>
      </c>
      <c r="F1068" s="13">
        <v>1.9</v>
      </c>
      <c r="G1068" s="31">
        <v>2.86</v>
      </c>
      <c r="H1068" s="13">
        <v>0.4</v>
      </c>
      <c r="I1068" s="6" t="s">
        <v>19</v>
      </c>
      <c r="J1068" s="11">
        <v>4</v>
      </c>
      <c r="K1068" s="11">
        <v>8</v>
      </c>
      <c r="L1068" s="11">
        <v>5</v>
      </c>
      <c r="M1068" s="15">
        <v>0</v>
      </c>
      <c r="R1068" s="20">
        <v>0</v>
      </c>
      <c r="U1068" s="17">
        <v>0</v>
      </c>
      <c r="W1068" s="23">
        <v>0</v>
      </c>
      <c r="Y1068" s="26">
        <v>0</v>
      </c>
    </row>
    <row r="1069" spans="1:25" x14ac:dyDescent="0.25">
      <c r="A1069" s="7">
        <v>14</v>
      </c>
      <c r="B1069" s="6" t="s">
        <v>16</v>
      </c>
      <c r="C1069" s="32">
        <v>2.9</v>
      </c>
      <c r="D1069" s="6" t="s">
        <v>17</v>
      </c>
      <c r="E1069" s="29">
        <v>5.8</v>
      </c>
      <c r="F1069" s="13">
        <v>1.6</v>
      </c>
      <c r="G1069" s="31">
        <v>3.34</v>
      </c>
      <c r="H1069" s="13">
        <v>1.1000000000000001</v>
      </c>
      <c r="I1069" s="6" t="s">
        <v>19</v>
      </c>
      <c r="J1069" s="11">
        <v>6</v>
      </c>
      <c r="K1069" s="11">
        <v>10</v>
      </c>
      <c r="L1069" s="11">
        <v>3</v>
      </c>
      <c r="M1069" s="15">
        <v>0</v>
      </c>
      <c r="R1069" s="20">
        <v>0</v>
      </c>
      <c r="U1069" s="17">
        <v>0</v>
      </c>
      <c r="W1069" s="23">
        <v>0</v>
      </c>
      <c r="Y1069" s="26">
        <v>0</v>
      </c>
    </row>
    <row r="1070" spans="1:25" x14ac:dyDescent="0.25">
      <c r="A1070" s="7">
        <v>14</v>
      </c>
      <c r="B1070" s="6" t="s">
        <v>13</v>
      </c>
      <c r="C1070" s="32">
        <v>7.2</v>
      </c>
      <c r="D1070" s="6" t="s">
        <v>17</v>
      </c>
      <c r="E1070" s="29">
        <v>5.7</v>
      </c>
      <c r="F1070" s="13">
        <v>2.7</v>
      </c>
      <c r="G1070" s="31">
        <v>2.76</v>
      </c>
      <c r="H1070" s="13">
        <v>0.4</v>
      </c>
      <c r="I1070" s="6" t="s">
        <v>15</v>
      </c>
      <c r="J1070" s="11">
        <v>7</v>
      </c>
      <c r="K1070" s="11">
        <v>3</v>
      </c>
      <c r="L1070" s="11">
        <v>7</v>
      </c>
      <c r="M1070" s="15">
        <v>0</v>
      </c>
      <c r="R1070" s="20">
        <v>0</v>
      </c>
      <c r="U1070" s="17">
        <v>0</v>
      </c>
      <c r="W1070" s="23">
        <v>0</v>
      </c>
      <c r="Y1070" s="26">
        <v>0</v>
      </c>
    </row>
    <row r="1071" spans="1:25" x14ac:dyDescent="0.25">
      <c r="A1071" s="7">
        <v>13</v>
      </c>
      <c r="B1071" s="6" t="s">
        <v>16</v>
      </c>
      <c r="C1071" s="32">
        <v>2.9</v>
      </c>
      <c r="D1071" s="6" t="s">
        <v>14</v>
      </c>
      <c r="E1071" s="29">
        <v>5.3</v>
      </c>
      <c r="F1071" s="13">
        <v>1</v>
      </c>
      <c r="G1071" s="31">
        <v>3.89</v>
      </c>
      <c r="H1071" s="13">
        <v>1.7</v>
      </c>
      <c r="I1071" s="6" t="s">
        <v>18</v>
      </c>
      <c r="J1071" s="11">
        <v>9</v>
      </c>
      <c r="K1071" s="11">
        <v>2</v>
      </c>
      <c r="L1071" s="11">
        <v>4</v>
      </c>
      <c r="M1071" s="15">
        <v>0</v>
      </c>
      <c r="R1071" s="20">
        <v>0</v>
      </c>
      <c r="U1071" s="17">
        <v>0</v>
      </c>
      <c r="W1071" s="23">
        <v>0</v>
      </c>
      <c r="Y1071" s="26">
        <v>0</v>
      </c>
    </row>
    <row r="1072" spans="1:25" x14ac:dyDescent="0.25">
      <c r="A1072" s="7">
        <v>15</v>
      </c>
      <c r="B1072" s="6" t="s">
        <v>16</v>
      </c>
      <c r="C1072" s="32">
        <v>7.3</v>
      </c>
      <c r="D1072" s="6" t="s">
        <v>20</v>
      </c>
      <c r="E1072" s="29">
        <v>5.7</v>
      </c>
      <c r="F1072" s="13">
        <v>2.9</v>
      </c>
      <c r="G1072" s="31">
        <v>3.48</v>
      </c>
      <c r="H1072" s="13">
        <v>1.8</v>
      </c>
      <c r="I1072" s="6" t="s">
        <v>19</v>
      </c>
      <c r="J1072" s="11">
        <v>2</v>
      </c>
      <c r="K1072" s="11">
        <v>7</v>
      </c>
      <c r="L1072" s="11">
        <v>8</v>
      </c>
      <c r="M1072" s="15">
        <v>0</v>
      </c>
      <c r="R1072" s="20">
        <v>0</v>
      </c>
      <c r="U1072" s="17">
        <v>0</v>
      </c>
      <c r="W1072" s="23">
        <v>0</v>
      </c>
      <c r="Y1072" s="26">
        <v>0</v>
      </c>
    </row>
    <row r="1073" spans="1:25" x14ac:dyDescent="0.25">
      <c r="A1073" s="7">
        <v>16</v>
      </c>
      <c r="B1073" s="6" t="s">
        <v>16</v>
      </c>
      <c r="C1073" s="32">
        <v>3.7</v>
      </c>
      <c r="D1073" s="6" t="s">
        <v>17</v>
      </c>
      <c r="E1073" s="29">
        <v>9</v>
      </c>
      <c r="F1073" s="13">
        <v>1.5</v>
      </c>
      <c r="G1073" s="31">
        <v>3.37</v>
      </c>
      <c r="H1073" s="13">
        <v>1.9</v>
      </c>
      <c r="I1073" s="6" t="s">
        <v>15</v>
      </c>
      <c r="J1073" s="11">
        <v>4</v>
      </c>
      <c r="K1073" s="11">
        <v>3</v>
      </c>
      <c r="L1073" s="11">
        <v>1</v>
      </c>
      <c r="M1073" s="15">
        <v>0</v>
      </c>
      <c r="R1073" s="20">
        <v>0</v>
      </c>
      <c r="U1073" s="17">
        <v>0</v>
      </c>
      <c r="W1073" s="23">
        <v>0</v>
      </c>
      <c r="Y1073" s="26">
        <v>0</v>
      </c>
    </row>
    <row r="1074" spans="1:25" x14ac:dyDescent="0.25">
      <c r="A1074" s="7">
        <v>16</v>
      </c>
      <c r="B1074" s="6" t="s">
        <v>13</v>
      </c>
      <c r="C1074" s="32">
        <v>7</v>
      </c>
      <c r="D1074" s="6" t="s">
        <v>14</v>
      </c>
      <c r="E1074" s="29">
        <v>4.8</v>
      </c>
      <c r="F1074" s="13">
        <v>1.7</v>
      </c>
      <c r="G1074" s="31">
        <v>2.9</v>
      </c>
      <c r="H1074" s="13">
        <v>0.3</v>
      </c>
      <c r="I1074" s="6" t="s">
        <v>15</v>
      </c>
      <c r="J1074" s="11">
        <v>4</v>
      </c>
      <c r="K1074" s="11">
        <v>1</v>
      </c>
      <c r="L1074" s="11">
        <v>8</v>
      </c>
      <c r="M1074" s="15">
        <v>0</v>
      </c>
      <c r="R1074" s="20">
        <v>0</v>
      </c>
      <c r="U1074" s="17">
        <v>0</v>
      </c>
      <c r="W1074" s="23">
        <v>0</v>
      </c>
      <c r="Y1074" s="26">
        <v>0</v>
      </c>
    </row>
    <row r="1075" spans="1:25" x14ac:dyDescent="0.25">
      <c r="A1075" s="7">
        <v>15</v>
      </c>
      <c r="B1075" s="6" t="s">
        <v>13</v>
      </c>
      <c r="C1075" s="32">
        <v>4</v>
      </c>
      <c r="D1075" s="6" t="s">
        <v>17</v>
      </c>
      <c r="E1075" s="29">
        <v>8.4</v>
      </c>
      <c r="F1075" s="13">
        <v>2.2999999999999998</v>
      </c>
      <c r="G1075" s="31">
        <v>2.52</v>
      </c>
      <c r="H1075" s="13">
        <v>0.9</v>
      </c>
      <c r="I1075" s="6" t="s">
        <v>15</v>
      </c>
      <c r="J1075" s="11">
        <v>4</v>
      </c>
      <c r="K1075" s="11">
        <v>5</v>
      </c>
      <c r="L1075" s="11">
        <v>3</v>
      </c>
      <c r="M1075" s="15">
        <v>0</v>
      </c>
      <c r="R1075" s="20">
        <v>0</v>
      </c>
      <c r="U1075" s="17">
        <v>0</v>
      </c>
      <c r="W1075" s="23">
        <v>0</v>
      </c>
      <c r="Y1075" s="26">
        <v>0</v>
      </c>
    </row>
    <row r="1076" spans="1:25" x14ac:dyDescent="0.25">
      <c r="A1076" s="7">
        <v>16</v>
      </c>
      <c r="B1076" s="6" t="s">
        <v>13</v>
      </c>
      <c r="C1076" s="32">
        <v>2.7</v>
      </c>
      <c r="D1076" s="6" t="s">
        <v>20</v>
      </c>
      <c r="E1076" s="29">
        <v>7.5</v>
      </c>
      <c r="F1076" s="13">
        <v>2.8</v>
      </c>
      <c r="G1076" s="31">
        <v>3.53</v>
      </c>
      <c r="H1076" s="13">
        <v>0.9</v>
      </c>
      <c r="I1076" s="6" t="s">
        <v>19</v>
      </c>
      <c r="J1076" s="11">
        <v>3</v>
      </c>
      <c r="K1076" s="11">
        <v>1</v>
      </c>
      <c r="L1076" s="11">
        <v>5</v>
      </c>
      <c r="M1076" s="15">
        <v>0</v>
      </c>
      <c r="R1076" s="20">
        <v>0</v>
      </c>
      <c r="U1076" s="17">
        <v>0</v>
      </c>
      <c r="W1076" s="23">
        <v>0</v>
      </c>
      <c r="Y1076" s="26">
        <v>0</v>
      </c>
    </row>
    <row r="1077" spans="1:25" x14ac:dyDescent="0.25">
      <c r="A1077" s="7">
        <v>15</v>
      </c>
      <c r="B1077" s="6" t="s">
        <v>13</v>
      </c>
      <c r="C1077" s="32">
        <v>7.2</v>
      </c>
      <c r="D1077" s="6" t="s">
        <v>20</v>
      </c>
      <c r="E1077" s="29">
        <v>5.7</v>
      </c>
      <c r="F1077" s="13">
        <v>0.7</v>
      </c>
      <c r="G1077" s="31">
        <v>3.89</v>
      </c>
      <c r="H1077" s="13">
        <v>1</v>
      </c>
      <c r="I1077" s="6" t="s">
        <v>19</v>
      </c>
      <c r="J1077" s="11">
        <v>1</v>
      </c>
      <c r="K1077" s="11">
        <v>3</v>
      </c>
      <c r="L1077" s="11">
        <v>6</v>
      </c>
      <c r="M1077" s="15">
        <v>0</v>
      </c>
      <c r="R1077" s="20">
        <v>0</v>
      </c>
      <c r="U1077" s="17">
        <v>0</v>
      </c>
      <c r="W1077" s="23">
        <v>0</v>
      </c>
      <c r="Y1077" s="26">
        <v>0</v>
      </c>
    </row>
    <row r="1078" spans="1:25" x14ac:dyDescent="0.25">
      <c r="A1078" s="7">
        <v>18</v>
      </c>
      <c r="B1078" s="6" t="s">
        <v>13</v>
      </c>
      <c r="C1078" s="32">
        <v>7.9</v>
      </c>
      <c r="D1078" s="6" t="s">
        <v>20</v>
      </c>
      <c r="E1078" s="29">
        <v>7</v>
      </c>
      <c r="F1078" s="13">
        <v>2.7</v>
      </c>
      <c r="G1078" s="31">
        <v>3.9</v>
      </c>
      <c r="H1078" s="13">
        <v>1</v>
      </c>
      <c r="I1078" s="6" t="s">
        <v>19</v>
      </c>
      <c r="J1078" s="11">
        <v>1</v>
      </c>
      <c r="K1078" s="11">
        <v>2</v>
      </c>
      <c r="L1078" s="11">
        <v>10</v>
      </c>
      <c r="M1078" s="15">
        <v>0</v>
      </c>
      <c r="R1078" s="20">
        <v>0</v>
      </c>
      <c r="U1078" s="17">
        <v>0</v>
      </c>
      <c r="W1078" s="23">
        <v>0</v>
      </c>
      <c r="Y1078" s="26">
        <v>0</v>
      </c>
    </row>
    <row r="1079" spans="1:25" x14ac:dyDescent="0.25">
      <c r="A1079" s="7">
        <v>14</v>
      </c>
      <c r="B1079" s="6" t="s">
        <v>16</v>
      </c>
      <c r="C1079" s="32">
        <v>5.0999999999999996</v>
      </c>
      <c r="D1079" s="6" t="s">
        <v>14</v>
      </c>
      <c r="E1079" s="29">
        <v>5.3</v>
      </c>
      <c r="F1079" s="13">
        <v>2.2999999999999998</v>
      </c>
      <c r="G1079" s="31">
        <v>2.31</v>
      </c>
      <c r="H1079" s="13">
        <v>0.2</v>
      </c>
      <c r="I1079" s="6" t="s">
        <v>18</v>
      </c>
      <c r="J1079" s="11">
        <v>3</v>
      </c>
      <c r="K1079" s="11">
        <v>3</v>
      </c>
      <c r="L1079" s="11">
        <v>6</v>
      </c>
      <c r="M1079" s="15">
        <v>0</v>
      </c>
      <c r="R1079" s="20">
        <v>0</v>
      </c>
      <c r="U1079" s="17">
        <v>0</v>
      </c>
      <c r="W1079" s="23">
        <v>0</v>
      </c>
      <c r="Y1079" s="26">
        <v>0</v>
      </c>
    </row>
    <row r="1080" spans="1:25" x14ac:dyDescent="0.25">
      <c r="A1080" s="7">
        <v>15</v>
      </c>
      <c r="B1080" s="6" t="s">
        <v>16</v>
      </c>
      <c r="C1080" s="32">
        <v>6.4</v>
      </c>
      <c r="D1080" s="6" t="s">
        <v>20</v>
      </c>
      <c r="E1080" s="29">
        <v>7.7</v>
      </c>
      <c r="F1080" s="13">
        <v>0.7</v>
      </c>
      <c r="G1080" s="31">
        <v>3.86</v>
      </c>
      <c r="H1080" s="13">
        <v>1.5</v>
      </c>
      <c r="I1080" s="6" t="s">
        <v>18</v>
      </c>
      <c r="J1080" s="11">
        <v>10</v>
      </c>
      <c r="K1080" s="11">
        <v>2</v>
      </c>
      <c r="L1080" s="11">
        <v>7</v>
      </c>
      <c r="M1080" s="15">
        <v>0</v>
      </c>
      <c r="R1080" s="20">
        <v>0</v>
      </c>
      <c r="U1080" s="17">
        <v>0</v>
      </c>
      <c r="W1080" s="23">
        <v>0</v>
      </c>
      <c r="Y1080" s="26">
        <v>0</v>
      </c>
    </row>
    <row r="1081" spans="1:25" x14ac:dyDescent="0.25">
      <c r="A1081" s="7">
        <v>16</v>
      </c>
      <c r="B1081" s="6" t="s">
        <v>16</v>
      </c>
      <c r="C1081" s="32">
        <v>4.4000000000000004</v>
      </c>
      <c r="D1081" s="6" t="s">
        <v>20</v>
      </c>
      <c r="E1081" s="29">
        <v>4.2</v>
      </c>
      <c r="F1081" s="13">
        <v>2</v>
      </c>
      <c r="G1081" s="31">
        <v>3.89</v>
      </c>
      <c r="H1081" s="13">
        <v>1.1000000000000001</v>
      </c>
      <c r="I1081" s="6" t="s">
        <v>19</v>
      </c>
      <c r="J1081" s="11">
        <v>2</v>
      </c>
      <c r="K1081" s="11">
        <v>9</v>
      </c>
      <c r="L1081" s="11">
        <v>8</v>
      </c>
      <c r="M1081" s="15">
        <v>0</v>
      </c>
      <c r="R1081" s="20">
        <v>0</v>
      </c>
      <c r="U1081" s="17">
        <v>0</v>
      </c>
      <c r="W1081" s="23">
        <v>0</v>
      </c>
      <c r="Y1081" s="26">
        <v>0</v>
      </c>
    </row>
    <row r="1082" spans="1:25" x14ac:dyDescent="0.25">
      <c r="A1082" s="7">
        <v>16</v>
      </c>
      <c r="B1082" s="6" t="s">
        <v>13</v>
      </c>
      <c r="C1082" s="32">
        <v>7</v>
      </c>
      <c r="D1082" s="6" t="s">
        <v>17</v>
      </c>
      <c r="E1082" s="29">
        <v>7.4</v>
      </c>
      <c r="F1082" s="13">
        <v>2.6</v>
      </c>
      <c r="G1082" s="31">
        <v>2.92</v>
      </c>
      <c r="H1082" s="13">
        <v>1</v>
      </c>
      <c r="I1082" s="6" t="s">
        <v>19</v>
      </c>
      <c r="J1082" s="11">
        <v>10</v>
      </c>
      <c r="K1082" s="11">
        <v>6</v>
      </c>
      <c r="L1082" s="11">
        <v>3</v>
      </c>
      <c r="M1082" s="15">
        <v>0</v>
      </c>
      <c r="R1082" s="20">
        <v>0</v>
      </c>
      <c r="U1082" s="17">
        <v>0</v>
      </c>
      <c r="W1082" s="23">
        <v>0</v>
      </c>
      <c r="Y1082" s="26">
        <v>0</v>
      </c>
    </row>
    <row r="1083" spans="1:25" x14ac:dyDescent="0.25">
      <c r="A1083" s="7">
        <v>17</v>
      </c>
      <c r="B1083" s="6" t="s">
        <v>16</v>
      </c>
      <c r="C1083" s="32">
        <v>7.8</v>
      </c>
      <c r="D1083" s="6" t="s">
        <v>17</v>
      </c>
      <c r="E1083" s="29">
        <v>5.7</v>
      </c>
      <c r="F1083" s="13">
        <v>1.2</v>
      </c>
      <c r="G1083" s="31">
        <v>3.72</v>
      </c>
      <c r="H1083" s="13">
        <v>1.2</v>
      </c>
      <c r="I1083" s="6" t="s">
        <v>18</v>
      </c>
      <c r="J1083" s="11">
        <v>10</v>
      </c>
      <c r="K1083" s="11">
        <v>2</v>
      </c>
      <c r="L1083" s="11">
        <v>6</v>
      </c>
      <c r="M1083" s="15">
        <v>0</v>
      </c>
      <c r="R1083" s="20">
        <v>0</v>
      </c>
      <c r="U1083" s="17">
        <v>0</v>
      </c>
      <c r="W1083" s="23">
        <v>0</v>
      </c>
      <c r="Y1083" s="26">
        <v>0</v>
      </c>
    </row>
    <row r="1084" spans="1:25" x14ac:dyDescent="0.25">
      <c r="A1084" s="7">
        <v>14</v>
      </c>
      <c r="B1084" s="6" t="s">
        <v>16</v>
      </c>
      <c r="C1084" s="32">
        <v>5</v>
      </c>
      <c r="D1084" s="6" t="s">
        <v>14</v>
      </c>
      <c r="E1084" s="29">
        <v>6.2</v>
      </c>
      <c r="F1084" s="13">
        <v>1</v>
      </c>
      <c r="G1084" s="31">
        <v>2</v>
      </c>
      <c r="H1084" s="13">
        <v>1.5</v>
      </c>
      <c r="I1084" s="6" t="s">
        <v>15</v>
      </c>
      <c r="J1084" s="11">
        <v>5</v>
      </c>
      <c r="K1084" s="11">
        <v>6</v>
      </c>
      <c r="L1084" s="11">
        <v>1</v>
      </c>
      <c r="M1084" s="15">
        <v>0</v>
      </c>
      <c r="R1084" s="20">
        <v>0</v>
      </c>
      <c r="U1084" s="17">
        <v>0</v>
      </c>
      <c r="W1084" s="23">
        <v>0</v>
      </c>
      <c r="Y1084" s="26">
        <v>0</v>
      </c>
    </row>
    <row r="1085" spans="1:25" x14ac:dyDescent="0.25">
      <c r="A1085" s="7">
        <v>17</v>
      </c>
      <c r="B1085" s="6" t="s">
        <v>13</v>
      </c>
      <c r="C1085" s="32">
        <v>6.6</v>
      </c>
      <c r="D1085" s="6" t="s">
        <v>17</v>
      </c>
      <c r="E1085" s="29">
        <v>5.3</v>
      </c>
      <c r="F1085" s="13">
        <v>1.1000000000000001</v>
      </c>
      <c r="G1085" s="31">
        <v>3.5</v>
      </c>
      <c r="H1085" s="13">
        <v>1.7</v>
      </c>
      <c r="I1085" s="6" t="s">
        <v>19</v>
      </c>
      <c r="J1085" s="11">
        <v>1</v>
      </c>
      <c r="K1085" s="11">
        <v>10</v>
      </c>
      <c r="L1085" s="11">
        <v>7</v>
      </c>
      <c r="M1085" s="15">
        <v>0</v>
      </c>
      <c r="R1085" s="20">
        <v>0</v>
      </c>
      <c r="U1085" s="17">
        <v>0</v>
      </c>
      <c r="W1085" s="23">
        <v>0</v>
      </c>
      <c r="Y1085" s="26">
        <v>0</v>
      </c>
    </row>
    <row r="1086" spans="1:25" x14ac:dyDescent="0.25">
      <c r="A1086" s="7">
        <v>18</v>
      </c>
      <c r="B1086" s="6" t="s">
        <v>13</v>
      </c>
      <c r="C1086" s="32">
        <v>2.6</v>
      </c>
      <c r="D1086" s="6" t="s">
        <v>20</v>
      </c>
      <c r="E1086" s="29">
        <v>8.6</v>
      </c>
      <c r="F1086" s="13">
        <v>2.7</v>
      </c>
      <c r="G1086" s="31">
        <v>3.28</v>
      </c>
      <c r="H1086" s="13">
        <v>0.8</v>
      </c>
      <c r="I1086" s="6" t="s">
        <v>18</v>
      </c>
      <c r="J1086" s="11">
        <v>5</v>
      </c>
      <c r="K1086" s="11">
        <v>4</v>
      </c>
      <c r="L1086" s="11">
        <v>6</v>
      </c>
      <c r="M1086" s="15">
        <v>0</v>
      </c>
      <c r="R1086" s="20">
        <v>0</v>
      </c>
      <c r="U1086" s="17">
        <v>0</v>
      </c>
      <c r="W1086" s="23">
        <v>0</v>
      </c>
      <c r="Y1086" s="26">
        <v>0</v>
      </c>
    </row>
    <row r="1087" spans="1:25" x14ac:dyDescent="0.25">
      <c r="A1087" s="7">
        <v>13</v>
      </c>
      <c r="B1087" s="6" t="s">
        <v>16</v>
      </c>
      <c r="C1087" s="32">
        <v>5.8</v>
      </c>
      <c r="D1087" s="6" t="s">
        <v>14</v>
      </c>
      <c r="E1087" s="29">
        <v>4.4000000000000004</v>
      </c>
      <c r="F1087" s="13">
        <v>1.8</v>
      </c>
      <c r="G1087" s="31">
        <v>3.8</v>
      </c>
      <c r="H1087" s="13">
        <v>1</v>
      </c>
      <c r="I1087" s="6" t="s">
        <v>18</v>
      </c>
      <c r="J1087" s="11">
        <v>2</v>
      </c>
      <c r="K1087" s="11">
        <v>2</v>
      </c>
      <c r="L1087" s="11">
        <v>1</v>
      </c>
      <c r="M1087" s="15">
        <v>0</v>
      </c>
      <c r="R1087" s="20">
        <v>0</v>
      </c>
      <c r="U1087" s="17">
        <v>0</v>
      </c>
      <c r="W1087" s="23">
        <v>0</v>
      </c>
      <c r="Y1087" s="26">
        <v>0</v>
      </c>
    </row>
    <row r="1088" spans="1:25" x14ac:dyDescent="0.25">
      <c r="A1088" s="7">
        <v>14</v>
      </c>
      <c r="B1088" s="6" t="s">
        <v>16</v>
      </c>
      <c r="C1088" s="32">
        <v>5.6</v>
      </c>
      <c r="D1088" s="6" t="s">
        <v>17</v>
      </c>
      <c r="E1088" s="29">
        <v>6.8</v>
      </c>
      <c r="F1088" s="13">
        <v>2.2999999999999998</v>
      </c>
      <c r="G1088" s="31">
        <v>2.66</v>
      </c>
      <c r="H1088" s="13">
        <v>1.1000000000000001</v>
      </c>
      <c r="I1088" s="6" t="s">
        <v>18</v>
      </c>
      <c r="J1088" s="11">
        <v>7</v>
      </c>
      <c r="K1088" s="11">
        <v>6</v>
      </c>
      <c r="L1088" s="11">
        <v>2</v>
      </c>
      <c r="M1088" s="15">
        <v>0</v>
      </c>
      <c r="R1088" s="20">
        <v>0</v>
      </c>
      <c r="U1088" s="17">
        <v>0</v>
      </c>
      <c r="W1088" s="23">
        <v>0</v>
      </c>
      <c r="Y1088" s="26">
        <v>0</v>
      </c>
    </row>
    <row r="1089" spans="1:25" x14ac:dyDescent="0.25">
      <c r="A1089" s="7">
        <v>18</v>
      </c>
      <c r="B1089" s="6" t="s">
        <v>13</v>
      </c>
      <c r="C1089" s="32">
        <v>4.5999999999999996</v>
      </c>
      <c r="D1089" s="6" t="s">
        <v>20</v>
      </c>
      <c r="E1089" s="29">
        <v>4.3</v>
      </c>
      <c r="F1089" s="13">
        <v>2.9</v>
      </c>
      <c r="G1089" s="31">
        <v>2.95</v>
      </c>
      <c r="H1089" s="13">
        <v>0.6</v>
      </c>
      <c r="I1089" s="6" t="s">
        <v>19</v>
      </c>
      <c r="J1089" s="11">
        <v>7</v>
      </c>
      <c r="K1089" s="11">
        <v>9</v>
      </c>
      <c r="L1089" s="11">
        <v>8</v>
      </c>
      <c r="M1089" s="15">
        <v>0</v>
      </c>
      <c r="R1089" s="20">
        <v>0</v>
      </c>
      <c r="U1089" s="17">
        <v>0</v>
      </c>
      <c r="W1089" s="23">
        <v>0</v>
      </c>
      <c r="Y1089" s="26">
        <v>0</v>
      </c>
    </row>
    <row r="1090" spans="1:25" x14ac:dyDescent="0.25">
      <c r="A1090" s="7">
        <v>19</v>
      </c>
      <c r="B1090" s="6" t="s">
        <v>13</v>
      </c>
      <c r="C1090" s="32">
        <v>1.4</v>
      </c>
      <c r="D1090" s="6" t="s">
        <v>20</v>
      </c>
      <c r="E1090" s="29">
        <v>4.7</v>
      </c>
      <c r="F1090" s="13">
        <v>0.5</v>
      </c>
      <c r="G1090" s="31">
        <v>3.57</v>
      </c>
      <c r="H1090" s="13">
        <v>1.7</v>
      </c>
      <c r="I1090" s="6" t="s">
        <v>18</v>
      </c>
      <c r="J1090" s="11">
        <v>1</v>
      </c>
      <c r="K1090" s="11">
        <v>5</v>
      </c>
      <c r="L1090" s="11">
        <v>6</v>
      </c>
      <c r="M1090" s="15">
        <v>0</v>
      </c>
      <c r="R1090" s="20">
        <v>0</v>
      </c>
      <c r="U1090" s="17">
        <v>0</v>
      </c>
      <c r="W1090" s="23">
        <v>0</v>
      </c>
      <c r="Y1090" s="26">
        <v>0</v>
      </c>
    </row>
    <row r="1091" spans="1:25" x14ac:dyDescent="0.25">
      <c r="A1091" s="7">
        <v>13</v>
      </c>
      <c r="B1091" s="6" t="s">
        <v>16</v>
      </c>
      <c r="C1091" s="32">
        <v>2.9</v>
      </c>
      <c r="D1091" s="6" t="s">
        <v>20</v>
      </c>
      <c r="E1091" s="29">
        <v>8.1999999999999993</v>
      </c>
      <c r="F1091" s="13">
        <v>2.2999999999999998</v>
      </c>
      <c r="G1091" s="31">
        <v>2.48</v>
      </c>
      <c r="H1091" s="13">
        <v>0.9</v>
      </c>
      <c r="I1091" s="6" t="s">
        <v>15</v>
      </c>
      <c r="J1091" s="11">
        <v>5</v>
      </c>
      <c r="K1091" s="11">
        <v>8</v>
      </c>
      <c r="L1091" s="11">
        <v>9</v>
      </c>
      <c r="M1091" s="15">
        <v>0</v>
      </c>
      <c r="R1091" s="20">
        <v>0</v>
      </c>
      <c r="U1091" s="17">
        <v>0</v>
      </c>
      <c r="W1091" s="23">
        <v>0</v>
      </c>
      <c r="Y1091" s="26">
        <v>0</v>
      </c>
    </row>
    <row r="1092" spans="1:25" x14ac:dyDescent="0.25">
      <c r="A1092" s="7">
        <v>16</v>
      </c>
      <c r="B1092" s="6" t="s">
        <v>16</v>
      </c>
      <c r="C1092" s="32">
        <v>7.9</v>
      </c>
      <c r="D1092" s="6" t="s">
        <v>14</v>
      </c>
      <c r="E1092" s="29">
        <v>6.3</v>
      </c>
      <c r="F1092" s="13">
        <v>2.7</v>
      </c>
      <c r="G1092" s="31">
        <v>2.88</v>
      </c>
      <c r="H1092" s="13">
        <v>0.2</v>
      </c>
      <c r="I1092" s="6" t="s">
        <v>18</v>
      </c>
      <c r="J1092" s="11">
        <v>2</v>
      </c>
      <c r="K1092" s="11">
        <v>7</v>
      </c>
      <c r="L1092" s="11">
        <v>5</v>
      </c>
      <c r="M1092" s="15">
        <v>0</v>
      </c>
      <c r="R1092" s="20">
        <v>0</v>
      </c>
      <c r="U1092" s="17">
        <v>0</v>
      </c>
      <c r="W1092" s="23">
        <v>0</v>
      </c>
      <c r="Y1092" s="26">
        <v>0</v>
      </c>
    </row>
    <row r="1093" spans="1:25" x14ac:dyDescent="0.25">
      <c r="A1093" s="7">
        <v>13</v>
      </c>
      <c r="B1093" s="6" t="s">
        <v>13</v>
      </c>
      <c r="C1093" s="32">
        <v>3.5</v>
      </c>
      <c r="D1093" s="6" t="s">
        <v>20</v>
      </c>
      <c r="E1093" s="29">
        <v>6.8</v>
      </c>
      <c r="F1093" s="13">
        <v>2.2999999999999998</v>
      </c>
      <c r="G1093" s="31">
        <v>2.2799999999999998</v>
      </c>
      <c r="H1093" s="13">
        <v>1</v>
      </c>
      <c r="I1093" s="6" t="s">
        <v>15</v>
      </c>
      <c r="J1093" s="11">
        <v>7</v>
      </c>
      <c r="K1093" s="11">
        <v>2</v>
      </c>
      <c r="L1093" s="11">
        <v>6</v>
      </c>
      <c r="M1093" s="15">
        <v>0</v>
      </c>
      <c r="R1093" s="20">
        <v>0</v>
      </c>
      <c r="U1093" s="17">
        <v>0</v>
      </c>
      <c r="W1093" s="23">
        <v>0</v>
      </c>
      <c r="Y1093" s="26">
        <v>0</v>
      </c>
    </row>
    <row r="1094" spans="1:25" x14ac:dyDescent="0.25">
      <c r="A1094" s="7">
        <v>14</v>
      </c>
      <c r="B1094" s="6" t="s">
        <v>16</v>
      </c>
      <c r="C1094" s="32">
        <v>3.8</v>
      </c>
      <c r="D1094" s="6" t="s">
        <v>14</v>
      </c>
      <c r="E1094" s="29">
        <v>7.9</v>
      </c>
      <c r="F1094" s="13">
        <v>1.2</v>
      </c>
      <c r="G1094" s="31">
        <v>3.24</v>
      </c>
      <c r="H1094" s="13">
        <v>1.6</v>
      </c>
      <c r="I1094" s="6" t="s">
        <v>18</v>
      </c>
      <c r="J1094" s="11">
        <v>6</v>
      </c>
      <c r="K1094" s="11">
        <v>10</v>
      </c>
      <c r="L1094" s="11">
        <v>5</v>
      </c>
      <c r="M1094" s="15">
        <v>0</v>
      </c>
      <c r="R1094" s="20">
        <v>0</v>
      </c>
      <c r="U1094" s="17">
        <v>0</v>
      </c>
      <c r="W1094" s="23">
        <v>0</v>
      </c>
      <c r="Y1094" s="26">
        <v>0</v>
      </c>
    </row>
    <row r="1095" spans="1:25" x14ac:dyDescent="0.25">
      <c r="A1095" s="7">
        <v>19</v>
      </c>
      <c r="B1095" s="6" t="s">
        <v>13</v>
      </c>
      <c r="C1095" s="32">
        <v>2.9</v>
      </c>
      <c r="D1095" s="6" t="s">
        <v>14</v>
      </c>
      <c r="E1095" s="29">
        <v>8.6999999999999993</v>
      </c>
      <c r="F1095" s="13">
        <v>0.9</v>
      </c>
      <c r="G1095" s="31">
        <v>2.99</v>
      </c>
      <c r="H1095" s="13">
        <v>0.8</v>
      </c>
      <c r="I1095" s="6" t="s">
        <v>19</v>
      </c>
      <c r="J1095" s="11">
        <v>7</v>
      </c>
      <c r="K1095" s="11">
        <v>8</v>
      </c>
      <c r="L1095" s="11">
        <v>2</v>
      </c>
      <c r="M1095" s="15">
        <v>0</v>
      </c>
      <c r="R1095" s="20">
        <v>0</v>
      </c>
      <c r="U1095" s="17">
        <v>0</v>
      </c>
      <c r="W1095" s="23">
        <v>0</v>
      </c>
      <c r="Y1095" s="26">
        <v>0</v>
      </c>
    </row>
    <row r="1096" spans="1:25" x14ac:dyDescent="0.25">
      <c r="A1096" s="7">
        <v>17</v>
      </c>
      <c r="B1096" s="6" t="s">
        <v>13</v>
      </c>
      <c r="C1096" s="32">
        <v>3.5</v>
      </c>
      <c r="D1096" s="6" t="s">
        <v>20</v>
      </c>
      <c r="E1096" s="29">
        <v>4.5999999999999996</v>
      </c>
      <c r="F1096" s="13">
        <v>0.7</v>
      </c>
      <c r="G1096" s="31">
        <v>3.9</v>
      </c>
      <c r="H1096" s="13">
        <v>0.6</v>
      </c>
      <c r="I1096" s="6" t="s">
        <v>18</v>
      </c>
      <c r="J1096" s="11">
        <v>7</v>
      </c>
      <c r="K1096" s="11">
        <v>3</v>
      </c>
      <c r="L1096" s="11">
        <v>1</v>
      </c>
      <c r="M1096" s="15">
        <v>0</v>
      </c>
      <c r="R1096" s="20">
        <v>0</v>
      </c>
      <c r="U1096" s="17">
        <v>0</v>
      </c>
      <c r="W1096" s="23">
        <v>0</v>
      </c>
      <c r="Y1096" s="26">
        <v>0</v>
      </c>
    </row>
    <row r="1097" spans="1:25" x14ac:dyDescent="0.25">
      <c r="A1097" s="7">
        <v>16</v>
      </c>
      <c r="B1097" s="6" t="s">
        <v>13</v>
      </c>
      <c r="C1097" s="32">
        <v>4.8</v>
      </c>
      <c r="D1097" s="6" t="s">
        <v>14</v>
      </c>
      <c r="E1097" s="29">
        <v>8.6</v>
      </c>
      <c r="F1097" s="13">
        <v>1.8</v>
      </c>
      <c r="G1097" s="31">
        <v>2.44</v>
      </c>
      <c r="H1097" s="13">
        <v>1.7</v>
      </c>
      <c r="I1097" s="6" t="s">
        <v>18</v>
      </c>
      <c r="J1097" s="11">
        <v>8</v>
      </c>
      <c r="K1097" s="11">
        <v>7</v>
      </c>
      <c r="L1097" s="11">
        <v>3</v>
      </c>
      <c r="M1097" s="15">
        <v>0</v>
      </c>
      <c r="R1097" s="20">
        <v>0</v>
      </c>
      <c r="U1097" s="17">
        <v>0</v>
      </c>
      <c r="W1097" s="23">
        <v>0</v>
      </c>
      <c r="Y1097" s="26">
        <v>0</v>
      </c>
    </row>
    <row r="1098" spans="1:25" x14ac:dyDescent="0.25">
      <c r="A1098" s="7">
        <v>13</v>
      </c>
      <c r="B1098" s="6" t="s">
        <v>13</v>
      </c>
      <c r="C1098" s="32">
        <v>5.8</v>
      </c>
      <c r="D1098" s="6" t="s">
        <v>17</v>
      </c>
      <c r="E1098" s="29">
        <v>7.2</v>
      </c>
      <c r="F1098" s="13">
        <v>1.1000000000000001</v>
      </c>
      <c r="G1098" s="31">
        <v>2.69</v>
      </c>
      <c r="H1098" s="13">
        <v>0.4</v>
      </c>
      <c r="I1098" s="6" t="s">
        <v>15</v>
      </c>
      <c r="J1098" s="11">
        <v>7</v>
      </c>
      <c r="K1098" s="11">
        <v>3</v>
      </c>
      <c r="L1098" s="11">
        <v>7</v>
      </c>
      <c r="M1098" s="15">
        <v>0</v>
      </c>
      <c r="R1098" s="20">
        <v>0</v>
      </c>
      <c r="U1098" s="17">
        <v>0</v>
      </c>
      <c r="W1098" s="23">
        <v>0</v>
      </c>
      <c r="Y1098" s="26">
        <v>0</v>
      </c>
    </row>
    <row r="1099" spans="1:25" x14ac:dyDescent="0.25">
      <c r="A1099" s="7">
        <v>16</v>
      </c>
      <c r="B1099" s="6" t="s">
        <v>16</v>
      </c>
      <c r="C1099" s="32">
        <v>6.1</v>
      </c>
      <c r="D1099" s="6" t="s">
        <v>20</v>
      </c>
      <c r="E1099" s="29">
        <v>7.5</v>
      </c>
      <c r="F1099" s="13">
        <v>2.5</v>
      </c>
      <c r="G1099" s="31">
        <v>3.14</v>
      </c>
      <c r="H1099" s="13">
        <v>0.5</v>
      </c>
      <c r="I1099" s="6" t="s">
        <v>15</v>
      </c>
      <c r="J1099" s="11">
        <v>9</v>
      </c>
      <c r="K1099" s="11">
        <v>6</v>
      </c>
      <c r="L1099" s="11">
        <v>10</v>
      </c>
      <c r="M1099" s="15">
        <v>0</v>
      </c>
      <c r="R1099" s="20">
        <v>0</v>
      </c>
      <c r="U1099" s="17">
        <v>0</v>
      </c>
      <c r="W1099" s="23">
        <v>0</v>
      </c>
      <c r="Y1099" s="26">
        <v>0</v>
      </c>
    </row>
    <row r="1100" spans="1:25" x14ac:dyDescent="0.25">
      <c r="A1100" s="7">
        <v>14</v>
      </c>
      <c r="B1100" s="6" t="s">
        <v>16</v>
      </c>
      <c r="C1100" s="32">
        <v>4.3</v>
      </c>
      <c r="D1100" s="6" t="s">
        <v>20</v>
      </c>
      <c r="E1100" s="29">
        <v>7.8</v>
      </c>
      <c r="F1100" s="13">
        <v>0.5</v>
      </c>
      <c r="G1100" s="31">
        <v>3.92</v>
      </c>
      <c r="H1100" s="13">
        <v>0.7</v>
      </c>
      <c r="I1100" s="6" t="s">
        <v>18</v>
      </c>
      <c r="J1100" s="11">
        <v>3</v>
      </c>
      <c r="K1100" s="11">
        <v>4</v>
      </c>
      <c r="L1100" s="11">
        <v>8</v>
      </c>
      <c r="M1100" s="15">
        <v>0</v>
      </c>
      <c r="R1100" s="20">
        <v>0</v>
      </c>
      <c r="U1100" s="17">
        <v>0</v>
      </c>
      <c r="W1100" s="23">
        <v>0</v>
      </c>
      <c r="Y1100" s="26">
        <v>0</v>
      </c>
    </row>
    <row r="1101" spans="1:25" x14ac:dyDescent="0.25">
      <c r="A1101" s="7">
        <v>15</v>
      </c>
      <c r="B1101" s="6" t="s">
        <v>16</v>
      </c>
      <c r="C1101" s="32">
        <v>7.8</v>
      </c>
      <c r="D1101" s="6" t="s">
        <v>14</v>
      </c>
      <c r="E1101" s="29">
        <v>4.5999999999999996</v>
      </c>
      <c r="F1101" s="13">
        <v>3</v>
      </c>
      <c r="G1101" s="31">
        <v>2.44</v>
      </c>
      <c r="H1101" s="13">
        <v>1.4</v>
      </c>
      <c r="I1101" s="6" t="s">
        <v>19</v>
      </c>
      <c r="J1101" s="11">
        <v>8</v>
      </c>
      <c r="K1101" s="11">
        <v>10</v>
      </c>
      <c r="L1101" s="11">
        <v>6</v>
      </c>
      <c r="M1101" s="15">
        <v>1</v>
      </c>
      <c r="R1101" s="20">
        <v>1</v>
      </c>
      <c r="U1101" s="17">
        <v>1</v>
      </c>
      <c r="W1101" s="23">
        <v>1</v>
      </c>
      <c r="Y1101" s="26">
        <v>1</v>
      </c>
    </row>
    <row r="1102" spans="1:25" x14ac:dyDescent="0.25">
      <c r="A1102" s="7">
        <v>15</v>
      </c>
      <c r="B1102" s="6" t="s">
        <v>16</v>
      </c>
      <c r="C1102" s="32">
        <v>5.2</v>
      </c>
      <c r="D1102" s="6" t="s">
        <v>17</v>
      </c>
      <c r="E1102" s="29">
        <v>7.5</v>
      </c>
      <c r="F1102" s="13">
        <v>1.1000000000000001</v>
      </c>
      <c r="G1102" s="31">
        <v>3.61</v>
      </c>
      <c r="H1102" s="13">
        <v>0.1</v>
      </c>
      <c r="I1102" s="6" t="s">
        <v>15</v>
      </c>
      <c r="J1102" s="11">
        <v>4</v>
      </c>
      <c r="K1102" s="11">
        <v>6</v>
      </c>
      <c r="L1102" s="11">
        <v>7</v>
      </c>
      <c r="M1102" s="15">
        <v>0</v>
      </c>
      <c r="R1102" s="20">
        <v>0</v>
      </c>
      <c r="U1102" s="17">
        <v>0</v>
      </c>
      <c r="W1102" s="23">
        <v>0</v>
      </c>
      <c r="Y1102" s="26">
        <v>0</v>
      </c>
    </row>
    <row r="1103" spans="1:25" x14ac:dyDescent="0.25">
      <c r="A1103" s="7">
        <v>17</v>
      </c>
      <c r="B1103" s="6" t="s">
        <v>13</v>
      </c>
      <c r="C1103" s="32">
        <v>3.5</v>
      </c>
      <c r="D1103" s="6" t="s">
        <v>14</v>
      </c>
      <c r="E1103" s="29">
        <v>4.3</v>
      </c>
      <c r="F1103" s="13">
        <v>2.2000000000000002</v>
      </c>
      <c r="G1103" s="31">
        <v>3.19</v>
      </c>
      <c r="H1103" s="13">
        <v>1</v>
      </c>
      <c r="I1103" s="6" t="s">
        <v>18</v>
      </c>
      <c r="J1103" s="11">
        <v>4</v>
      </c>
      <c r="K1103" s="11">
        <v>5</v>
      </c>
      <c r="L1103" s="11">
        <v>9</v>
      </c>
      <c r="M1103" s="15">
        <v>0</v>
      </c>
      <c r="R1103" s="20">
        <v>0</v>
      </c>
      <c r="U1103" s="17">
        <v>0</v>
      </c>
      <c r="W1103" s="23">
        <v>0</v>
      </c>
      <c r="Y1103" s="26">
        <v>0</v>
      </c>
    </row>
    <row r="1104" spans="1:25" x14ac:dyDescent="0.25">
      <c r="A1104" s="7">
        <v>16</v>
      </c>
      <c r="B1104" s="6" t="s">
        <v>16</v>
      </c>
      <c r="C1104" s="32">
        <v>6.5</v>
      </c>
      <c r="D1104" s="6" t="s">
        <v>17</v>
      </c>
      <c r="E1104" s="29">
        <v>4.5999999999999996</v>
      </c>
      <c r="F1104" s="13">
        <v>1.8</v>
      </c>
      <c r="G1104" s="31">
        <v>2.2000000000000002</v>
      </c>
      <c r="H1104" s="13">
        <v>1.2</v>
      </c>
      <c r="I1104" s="6" t="s">
        <v>15</v>
      </c>
      <c r="J1104" s="11">
        <v>7</v>
      </c>
      <c r="K1104" s="11">
        <v>4</v>
      </c>
      <c r="L1104" s="11">
        <v>4</v>
      </c>
      <c r="M1104" s="15">
        <v>0</v>
      </c>
      <c r="R1104" s="20">
        <v>0</v>
      </c>
      <c r="U1104" s="17">
        <v>0</v>
      </c>
      <c r="W1104" s="23">
        <v>0</v>
      </c>
      <c r="Y1104" s="26">
        <v>0</v>
      </c>
    </row>
    <row r="1105" spans="1:25" x14ac:dyDescent="0.25">
      <c r="A1105" s="7">
        <v>17</v>
      </c>
      <c r="B1105" s="6" t="s">
        <v>13</v>
      </c>
      <c r="C1105" s="32">
        <v>4.7</v>
      </c>
      <c r="D1105" s="6" t="s">
        <v>17</v>
      </c>
      <c r="E1105" s="29">
        <v>7.2</v>
      </c>
      <c r="F1105" s="13">
        <v>2.7</v>
      </c>
      <c r="G1105" s="31">
        <v>2.06</v>
      </c>
      <c r="H1105" s="13">
        <v>1.4</v>
      </c>
      <c r="I1105" s="6" t="s">
        <v>15</v>
      </c>
      <c r="J1105" s="11">
        <v>3</v>
      </c>
      <c r="K1105" s="11">
        <v>1</v>
      </c>
      <c r="L1105" s="11">
        <v>4</v>
      </c>
      <c r="M1105" s="15">
        <v>0</v>
      </c>
      <c r="R1105" s="20">
        <v>0</v>
      </c>
      <c r="U1105" s="17">
        <v>0</v>
      </c>
      <c r="W1105" s="23">
        <v>0</v>
      </c>
      <c r="Y1105" s="26">
        <v>0</v>
      </c>
    </row>
    <row r="1106" spans="1:25" x14ac:dyDescent="0.25">
      <c r="A1106" s="7">
        <v>13</v>
      </c>
      <c r="B1106" s="6" t="s">
        <v>13</v>
      </c>
      <c r="C1106" s="32">
        <v>2.5</v>
      </c>
      <c r="D1106" s="6" t="s">
        <v>14</v>
      </c>
      <c r="E1106" s="29">
        <v>6.3</v>
      </c>
      <c r="F1106" s="13">
        <v>1.8</v>
      </c>
      <c r="G1106" s="31">
        <v>2.2000000000000002</v>
      </c>
      <c r="H1106" s="13">
        <v>0.1</v>
      </c>
      <c r="I1106" s="6" t="s">
        <v>18</v>
      </c>
      <c r="J1106" s="11">
        <v>9</v>
      </c>
      <c r="K1106" s="11">
        <v>3</v>
      </c>
      <c r="L1106" s="11">
        <v>9</v>
      </c>
      <c r="M1106" s="15">
        <v>0</v>
      </c>
      <c r="R1106" s="20">
        <v>0</v>
      </c>
      <c r="U1106" s="17">
        <v>0</v>
      </c>
      <c r="W1106" s="23">
        <v>0</v>
      </c>
      <c r="Y1106" s="26">
        <v>0</v>
      </c>
    </row>
    <row r="1107" spans="1:25" x14ac:dyDescent="0.25">
      <c r="A1107" s="7">
        <v>19</v>
      </c>
      <c r="B1107" s="6" t="s">
        <v>16</v>
      </c>
      <c r="C1107" s="32">
        <v>5.5</v>
      </c>
      <c r="D1107" s="6" t="s">
        <v>17</v>
      </c>
      <c r="E1107" s="29">
        <v>7.4</v>
      </c>
      <c r="F1107" s="13">
        <v>2</v>
      </c>
      <c r="G1107" s="31">
        <v>2.8</v>
      </c>
      <c r="H1107" s="13">
        <v>1.8</v>
      </c>
      <c r="I1107" s="6" t="s">
        <v>18</v>
      </c>
      <c r="J1107" s="11">
        <v>9</v>
      </c>
      <c r="K1107" s="11">
        <v>8</v>
      </c>
      <c r="L1107" s="11">
        <v>10</v>
      </c>
      <c r="M1107" s="15">
        <v>0</v>
      </c>
      <c r="R1107" s="20">
        <v>0</v>
      </c>
      <c r="U1107" s="17">
        <v>0</v>
      </c>
      <c r="W1107" s="23">
        <v>0</v>
      </c>
      <c r="Y1107" s="26">
        <v>0</v>
      </c>
    </row>
    <row r="1108" spans="1:25" x14ac:dyDescent="0.25">
      <c r="A1108" s="7">
        <v>15</v>
      </c>
      <c r="B1108" s="6" t="s">
        <v>16</v>
      </c>
      <c r="C1108" s="32">
        <v>3.5</v>
      </c>
      <c r="D1108" s="6" t="s">
        <v>14</v>
      </c>
      <c r="E1108" s="29">
        <v>8</v>
      </c>
      <c r="F1108" s="13">
        <v>1.9</v>
      </c>
      <c r="G1108" s="31">
        <v>3.45</v>
      </c>
      <c r="H1108" s="13">
        <v>1.5</v>
      </c>
      <c r="I1108" s="6" t="s">
        <v>18</v>
      </c>
      <c r="J1108" s="11">
        <v>10</v>
      </c>
      <c r="K1108" s="11">
        <v>4</v>
      </c>
      <c r="L1108" s="11">
        <v>1</v>
      </c>
      <c r="M1108" s="15">
        <v>0</v>
      </c>
      <c r="R1108" s="20">
        <v>0</v>
      </c>
      <c r="U1108" s="17">
        <v>0</v>
      </c>
      <c r="W1108" s="23">
        <v>0</v>
      </c>
      <c r="Y1108" s="26">
        <v>0</v>
      </c>
    </row>
    <row r="1109" spans="1:25" x14ac:dyDescent="0.25">
      <c r="A1109" s="7">
        <v>14</v>
      </c>
      <c r="B1109" s="6" t="s">
        <v>16</v>
      </c>
      <c r="C1109" s="32">
        <v>4.5999999999999996</v>
      </c>
      <c r="D1109" s="6" t="s">
        <v>17</v>
      </c>
      <c r="E1109" s="29">
        <v>7</v>
      </c>
      <c r="F1109" s="13">
        <v>1.6</v>
      </c>
      <c r="G1109" s="31">
        <v>2.74</v>
      </c>
      <c r="H1109" s="13">
        <v>0.9</v>
      </c>
      <c r="I1109" s="6" t="s">
        <v>15</v>
      </c>
      <c r="J1109" s="11">
        <v>3</v>
      </c>
      <c r="K1109" s="11">
        <v>2</v>
      </c>
      <c r="L1109" s="11">
        <v>9</v>
      </c>
      <c r="M1109" s="15">
        <v>0</v>
      </c>
      <c r="R1109" s="20">
        <v>0</v>
      </c>
      <c r="U1109" s="17">
        <v>0</v>
      </c>
      <c r="W1109" s="23">
        <v>0</v>
      </c>
      <c r="Y1109" s="26">
        <v>0</v>
      </c>
    </row>
    <row r="1110" spans="1:25" x14ac:dyDescent="0.25">
      <c r="A1110" s="7">
        <v>13</v>
      </c>
      <c r="B1110" s="6" t="s">
        <v>16</v>
      </c>
      <c r="C1110" s="32">
        <v>3.5</v>
      </c>
      <c r="D1110" s="6" t="s">
        <v>14</v>
      </c>
      <c r="E1110" s="29">
        <v>6.9</v>
      </c>
      <c r="F1110" s="13">
        <v>1.6</v>
      </c>
      <c r="G1110" s="31">
        <v>2.08</v>
      </c>
      <c r="H1110" s="13">
        <v>0.7</v>
      </c>
      <c r="I1110" s="6" t="s">
        <v>15</v>
      </c>
      <c r="J1110" s="11">
        <v>9</v>
      </c>
      <c r="K1110" s="11">
        <v>9</v>
      </c>
      <c r="L1110" s="11">
        <v>9</v>
      </c>
      <c r="M1110" s="15">
        <v>0</v>
      </c>
      <c r="R1110" s="20">
        <v>0</v>
      </c>
      <c r="U1110" s="17">
        <v>0</v>
      </c>
      <c r="W1110" s="23">
        <v>0</v>
      </c>
      <c r="Y1110" s="26">
        <v>0</v>
      </c>
    </row>
    <row r="1111" spans="1:25" x14ac:dyDescent="0.25">
      <c r="A1111" s="7">
        <v>19</v>
      </c>
      <c r="B1111" s="6" t="s">
        <v>13</v>
      </c>
      <c r="C1111" s="32">
        <v>1.6</v>
      </c>
      <c r="D1111" s="6" t="s">
        <v>17</v>
      </c>
      <c r="E1111" s="29">
        <v>8.6</v>
      </c>
      <c r="F1111" s="13">
        <v>1.4</v>
      </c>
      <c r="G1111" s="31">
        <v>2.69</v>
      </c>
      <c r="H1111" s="13">
        <v>1.6</v>
      </c>
      <c r="I1111" s="6" t="s">
        <v>19</v>
      </c>
      <c r="J1111" s="11">
        <v>4</v>
      </c>
      <c r="K1111" s="11">
        <v>3</v>
      </c>
      <c r="L1111" s="11">
        <v>4</v>
      </c>
      <c r="M1111" s="15">
        <v>0</v>
      </c>
      <c r="R1111" s="20">
        <v>0</v>
      </c>
      <c r="U1111" s="17">
        <v>0</v>
      </c>
      <c r="W1111" s="23">
        <v>0</v>
      </c>
      <c r="Y1111" s="26">
        <v>0</v>
      </c>
    </row>
    <row r="1112" spans="1:25" x14ac:dyDescent="0.25">
      <c r="A1112" s="7">
        <v>13</v>
      </c>
      <c r="B1112" s="6" t="s">
        <v>16</v>
      </c>
      <c r="C1112" s="32">
        <v>3.2</v>
      </c>
      <c r="D1112" s="6" t="s">
        <v>20</v>
      </c>
      <c r="E1112" s="29">
        <v>5.9</v>
      </c>
      <c r="F1112" s="13">
        <v>0.7</v>
      </c>
      <c r="G1112" s="31">
        <v>3.98</v>
      </c>
      <c r="H1112" s="13">
        <v>0.8</v>
      </c>
      <c r="I1112" s="6" t="s">
        <v>15</v>
      </c>
      <c r="J1112" s="11">
        <v>6</v>
      </c>
      <c r="K1112" s="11">
        <v>8</v>
      </c>
      <c r="L1112" s="11">
        <v>1</v>
      </c>
      <c r="M1112" s="15">
        <v>0</v>
      </c>
      <c r="R1112" s="20">
        <v>0</v>
      </c>
      <c r="U1112" s="17">
        <v>0</v>
      </c>
      <c r="W1112" s="23">
        <v>0</v>
      </c>
      <c r="Y1112" s="26">
        <v>0</v>
      </c>
    </row>
    <row r="1113" spans="1:25" x14ac:dyDescent="0.25">
      <c r="A1113" s="7">
        <v>19</v>
      </c>
      <c r="B1113" s="6" t="s">
        <v>16</v>
      </c>
      <c r="C1113" s="32">
        <v>1.7</v>
      </c>
      <c r="D1113" s="6" t="s">
        <v>20</v>
      </c>
      <c r="E1113" s="29">
        <v>7</v>
      </c>
      <c r="F1113" s="13">
        <v>2.7</v>
      </c>
      <c r="G1113" s="31">
        <v>2.0699999999999998</v>
      </c>
      <c r="H1113" s="13">
        <v>0.5</v>
      </c>
      <c r="I1113" s="6" t="s">
        <v>18</v>
      </c>
      <c r="J1113" s="11">
        <v>6</v>
      </c>
      <c r="K1113" s="11">
        <v>4</v>
      </c>
      <c r="L1113" s="11">
        <v>10</v>
      </c>
      <c r="M1113" s="15">
        <v>0</v>
      </c>
      <c r="R1113" s="20">
        <v>0</v>
      </c>
      <c r="U1113" s="17">
        <v>0</v>
      </c>
      <c r="W1113" s="23">
        <v>0</v>
      </c>
      <c r="Y1113" s="26">
        <v>0</v>
      </c>
    </row>
    <row r="1114" spans="1:25" x14ac:dyDescent="0.25">
      <c r="A1114" s="7">
        <v>14</v>
      </c>
      <c r="B1114" s="6" t="s">
        <v>13</v>
      </c>
      <c r="C1114" s="32">
        <v>6.4</v>
      </c>
      <c r="D1114" s="6" t="s">
        <v>14</v>
      </c>
      <c r="E1114" s="29">
        <v>4.3</v>
      </c>
      <c r="F1114" s="13">
        <v>2.2999999999999998</v>
      </c>
      <c r="G1114" s="31">
        <v>3.99</v>
      </c>
      <c r="H1114" s="13">
        <v>1.1000000000000001</v>
      </c>
      <c r="I1114" s="6" t="s">
        <v>15</v>
      </c>
      <c r="J1114" s="11">
        <v>7</v>
      </c>
      <c r="K1114" s="11">
        <v>4</v>
      </c>
      <c r="L1114" s="11">
        <v>3</v>
      </c>
      <c r="M1114" s="15">
        <v>0</v>
      </c>
      <c r="R1114" s="20">
        <v>0</v>
      </c>
      <c r="U1114" s="17">
        <v>0</v>
      </c>
      <c r="W1114" s="23">
        <v>0</v>
      </c>
      <c r="Y1114" s="26">
        <v>0</v>
      </c>
    </row>
    <row r="1115" spans="1:25" x14ac:dyDescent="0.25">
      <c r="A1115" s="7">
        <v>13</v>
      </c>
      <c r="B1115" s="6" t="s">
        <v>16</v>
      </c>
      <c r="C1115" s="32">
        <v>3.3</v>
      </c>
      <c r="D1115" s="6" t="s">
        <v>17</v>
      </c>
      <c r="E1115" s="29">
        <v>6.4</v>
      </c>
      <c r="F1115" s="13">
        <v>1</v>
      </c>
      <c r="G1115" s="31">
        <v>2.4900000000000002</v>
      </c>
      <c r="H1115" s="13">
        <v>1</v>
      </c>
      <c r="I1115" s="6" t="s">
        <v>15</v>
      </c>
      <c r="J1115" s="11">
        <v>9</v>
      </c>
      <c r="K1115" s="11">
        <v>2</v>
      </c>
      <c r="L1115" s="11">
        <v>4</v>
      </c>
      <c r="M1115" s="15">
        <v>0</v>
      </c>
      <c r="R1115" s="20">
        <v>0</v>
      </c>
      <c r="U1115" s="17">
        <v>0</v>
      </c>
      <c r="W1115" s="23">
        <v>0</v>
      </c>
      <c r="Y1115" s="26">
        <v>0</v>
      </c>
    </row>
    <row r="1116" spans="1:25" x14ac:dyDescent="0.25">
      <c r="A1116" s="7">
        <v>18</v>
      </c>
      <c r="B1116" s="6" t="s">
        <v>13</v>
      </c>
      <c r="C1116" s="32">
        <v>1.2</v>
      </c>
      <c r="D1116" s="6" t="s">
        <v>20</v>
      </c>
      <c r="E1116" s="29">
        <v>6.8</v>
      </c>
      <c r="F1116" s="13">
        <v>2.6</v>
      </c>
      <c r="G1116" s="31">
        <v>2.85</v>
      </c>
      <c r="H1116" s="13">
        <v>1.8</v>
      </c>
      <c r="I1116" s="6" t="s">
        <v>19</v>
      </c>
      <c r="J1116" s="11">
        <v>4</v>
      </c>
      <c r="K1116" s="11">
        <v>3</v>
      </c>
      <c r="L1116" s="11">
        <v>9</v>
      </c>
      <c r="M1116" s="15">
        <v>0</v>
      </c>
      <c r="R1116" s="20">
        <v>0</v>
      </c>
      <c r="U1116" s="17">
        <v>0</v>
      </c>
      <c r="W1116" s="23">
        <v>0</v>
      </c>
      <c r="Y1116" s="26">
        <v>0</v>
      </c>
    </row>
    <row r="1117" spans="1:25" x14ac:dyDescent="0.25">
      <c r="A1117" s="7">
        <v>13</v>
      </c>
      <c r="B1117" s="6" t="s">
        <v>16</v>
      </c>
      <c r="C1117" s="32">
        <v>2.5</v>
      </c>
      <c r="D1117" s="6" t="s">
        <v>20</v>
      </c>
      <c r="E1117" s="29">
        <v>7.8</v>
      </c>
      <c r="F1117" s="13">
        <v>1.4</v>
      </c>
      <c r="G1117" s="31">
        <v>3.43</v>
      </c>
      <c r="H1117" s="13">
        <v>0.9</v>
      </c>
      <c r="I1117" s="6" t="s">
        <v>19</v>
      </c>
      <c r="J1117" s="11">
        <v>1</v>
      </c>
      <c r="K1117" s="11">
        <v>4</v>
      </c>
      <c r="L1117" s="11">
        <v>6</v>
      </c>
      <c r="M1117" s="15">
        <v>0</v>
      </c>
      <c r="R1117" s="20">
        <v>0</v>
      </c>
      <c r="U1117" s="17">
        <v>0</v>
      </c>
      <c r="W1117" s="23">
        <v>0</v>
      </c>
      <c r="Y1117" s="26">
        <v>0</v>
      </c>
    </row>
    <row r="1118" spans="1:25" x14ac:dyDescent="0.25">
      <c r="A1118" s="7">
        <v>16</v>
      </c>
      <c r="B1118" s="6" t="s">
        <v>13</v>
      </c>
      <c r="C1118" s="32">
        <v>2.2000000000000002</v>
      </c>
      <c r="D1118" s="6" t="s">
        <v>17</v>
      </c>
      <c r="E1118" s="29">
        <v>5.0999999999999996</v>
      </c>
      <c r="F1118" s="13">
        <v>2.2999999999999998</v>
      </c>
      <c r="G1118" s="31">
        <v>3.6</v>
      </c>
      <c r="H1118" s="13">
        <v>1</v>
      </c>
      <c r="I1118" s="6" t="s">
        <v>18</v>
      </c>
      <c r="J1118" s="11">
        <v>4</v>
      </c>
      <c r="K1118" s="11">
        <v>7</v>
      </c>
      <c r="L1118" s="11">
        <v>6</v>
      </c>
      <c r="M1118" s="15">
        <v>0</v>
      </c>
      <c r="R1118" s="20">
        <v>0</v>
      </c>
      <c r="U1118" s="17">
        <v>0</v>
      </c>
      <c r="W1118" s="23">
        <v>0</v>
      </c>
      <c r="Y1118" s="26">
        <v>0</v>
      </c>
    </row>
    <row r="1119" spans="1:25" x14ac:dyDescent="0.25">
      <c r="A1119" s="7">
        <v>18</v>
      </c>
      <c r="B1119" s="6" t="s">
        <v>16</v>
      </c>
      <c r="C1119" s="32">
        <v>5.2</v>
      </c>
      <c r="D1119" s="6" t="s">
        <v>20</v>
      </c>
      <c r="E1119" s="29">
        <v>7.1</v>
      </c>
      <c r="F1119" s="13">
        <v>1.9</v>
      </c>
      <c r="G1119" s="31">
        <v>2.87</v>
      </c>
      <c r="H1119" s="13">
        <v>1.7</v>
      </c>
      <c r="I1119" s="6" t="s">
        <v>19</v>
      </c>
      <c r="J1119" s="11">
        <v>5</v>
      </c>
      <c r="K1119" s="11">
        <v>8</v>
      </c>
      <c r="L1119" s="11">
        <v>6</v>
      </c>
      <c r="M1119" s="15">
        <v>0</v>
      </c>
      <c r="R1119" s="20">
        <v>0</v>
      </c>
      <c r="U1119" s="17">
        <v>0</v>
      </c>
      <c r="W1119" s="23">
        <v>0</v>
      </c>
      <c r="Y1119" s="26">
        <v>0</v>
      </c>
    </row>
    <row r="1120" spans="1:25" x14ac:dyDescent="0.25">
      <c r="A1120" s="7">
        <v>16</v>
      </c>
      <c r="B1120" s="6" t="s">
        <v>13</v>
      </c>
      <c r="C1120" s="32">
        <v>7.9</v>
      </c>
      <c r="D1120" s="6" t="s">
        <v>14</v>
      </c>
      <c r="E1120" s="29">
        <v>8.6999999999999993</v>
      </c>
      <c r="F1120" s="13">
        <v>2.5</v>
      </c>
      <c r="G1120" s="31">
        <v>2.29</v>
      </c>
      <c r="H1120" s="13">
        <v>0.7</v>
      </c>
      <c r="I1120" s="6" t="s">
        <v>18</v>
      </c>
      <c r="J1120" s="11">
        <v>7</v>
      </c>
      <c r="K1120" s="11">
        <v>7</v>
      </c>
      <c r="L1120" s="11">
        <v>4</v>
      </c>
      <c r="M1120" s="15">
        <v>0</v>
      </c>
      <c r="R1120" s="20">
        <v>0</v>
      </c>
      <c r="U1120" s="17">
        <v>0</v>
      </c>
      <c r="W1120" s="23">
        <v>0</v>
      </c>
      <c r="Y1120" s="26">
        <v>0</v>
      </c>
    </row>
    <row r="1121" spans="1:25" x14ac:dyDescent="0.25">
      <c r="A1121" s="7">
        <v>18</v>
      </c>
      <c r="B1121" s="6" t="s">
        <v>13</v>
      </c>
      <c r="C1121" s="32">
        <v>5.6</v>
      </c>
      <c r="D1121" s="6" t="s">
        <v>20</v>
      </c>
      <c r="E1121" s="29">
        <v>8</v>
      </c>
      <c r="F1121" s="13">
        <v>2.4</v>
      </c>
      <c r="G1121" s="31">
        <v>2.95</v>
      </c>
      <c r="H1121" s="13">
        <v>0</v>
      </c>
      <c r="I1121" s="6" t="s">
        <v>15</v>
      </c>
      <c r="J1121" s="11">
        <v>2</v>
      </c>
      <c r="K1121" s="11">
        <v>10</v>
      </c>
      <c r="L1121" s="11">
        <v>3</v>
      </c>
      <c r="M1121" s="15">
        <v>0</v>
      </c>
      <c r="R1121" s="20">
        <v>0</v>
      </c>
      <c r="U1121" s="17">
        <v>0</v>
      </c>
      <c r="W1121" s="23">
        <v>0</v>
      </c>
      <c r="Y1121" s="26">
        <v>0</v>
      </c>
    </row>
    <row r="1122" spans="1:25" x14ac:dyDescent="0.25">
      <c r="A1122" s="7">
        <v>16</v>
      </c>
      <c r="B1122" s="6" t="s">
        <v>13</v>
      </c>
      <c r="C1122" s="32">
        <v>3.9</v>
      </c>
      <c r="D1122" s="6" t="s">
        <v>17</v>
      </c>
      <c r="E1122" s="29">
        <v>4.2</v>
      </c>
      <c r="F1122" s="13">
        <v>2.1</v>
      </c>
      <c r="G1122" s="31">
        <v>2.2799999999999998</v>
      </c>
      <c r="H1122" s="13">
        <v>1.1000000000000001</v>
      </c>
      <c r="I1122" s="6" t="s">
        <v>19</v>
      </c>
      <c r="J1122" s="11">
        <v>6</v>
      </c>
      <c r="K1122" s="11">
        <v>5</v>
      </c>
      <c r="L1122" s="11">
        <v>7</v>
      </c>
      <c r="M1122" s="15">
        <v>0</v>
      </c>
      <c r="R1122" s="20">
        <v>0</v>
      </c>
      <c r="U1122" s="17">
        <v>0</v>
      </c>
      <c r="W1122" s="23">
        <v>0</v>
      </c>
      <c r="Y1122" s="26">
        <v>0</v>
      </c>
    </row>
    <row r="1123" spans="1:25" x14ac:dyDescent="0.25">
      <c r="A1123" s="7">
        <v>18</v>
      </c>
      <c r="B1123" s="6" t="s">
        <v>16</v>
      </c>
      <c r="C1123" s="32">
        <v>1.8</v>
      </c>
      <c r="D1123" s="6" t="s">
        <v>17</v>
      </c>
      <c r="E1123" s="29">
        <v>6.1</v>
      </c>
      <c r="F1123" s="13">
        <v>2.7</v>
      </c>
      <c r="G1123" s="31">
        <v>2.86</v>
      </c>
      <c r="H1123" s="13">
        <v>1.1000000000000001</v>
      </c>
      <c r="I1123" s="6" t="s">
        <v>15</v>
      </c>
      <c r="J1123" s="11">
        <v>4</v>
      </c>
      <c r="K1123" s="11">
        <v>2</v>
      </c>
      <c r="L1123" s="11">
        <v>4</v>
      </c>
      <c r="M1123" s="15">
        <v>0</v>
      </c>
      <c r="R1123" s="20">
        <v>0</v>
      </c>
      <c r="U1123" s="17">
        <v>0</v>
      </c>
      <c r="W1123" s="23">
        <v>0</v>
      </c>
      <c r="Y1123" s="26">
        <v>0</v>
      </c>
    </row>
    <row r="1124" spans="1:25" x14ac:dyDescent="0.25">
      <c r="A1124" s="7">
        <v>18</v>
      </c>
      <c r="B1124" s="6" t="s">
        <v>16</v>
      </c>
      <c r="C1124" s="32">
        <v>5.8</v>
      </c>
      <c r="D1124" s="6" t="s">
        <v>20</v>
      </c>
      <c r="E1124" s="29">
        <v>5.0999999999999996</v>
      </c>
      <c r="F1124" s="13">
        <v>1.2</v>
      </c>
      <c r="G1124" s="31">
        <v>3.24</v>
      </c>
      <c r="H1124" s="13">
        <v>0.4</v>
      </c>
      <c r="I1124" s="6" t="s">
        <v>18</v>
      </c>
      <c r="J1124" s="11">
        <v>5</v>
      </c>
      <c r="K1124" s="11">
        <v>9</v>
      </c>
      <c r="L1124" s="11">
        <v>2</v>
      </c>
      <c r="M1124" s="15">
        <v>0</v>
      </c>
      <c r="R1124" s="20">
        <v>0</v>
      </c>
      <c r="U1124" s="17">
        <v>0</v>
      </c>
      <c r="W1124" s="23">
        <v>0</v>
      </c>
      <c r="Y1124" s="26">
        <v>0</v>
      </c>
    </row>
    <row r="1125" spans="1:25" x14ac:dyDescent="0.25">
      <c r="A1125" s="7">
        <v>18</v>
      </c>
      <c r="B1125" s="6" t="s">
        <v>16</v>
      </c>
      <c r="C1125" s="32">
        <v>2.2000000000000002</v>
      </c>
      <c r="D1125" s="6" t="s">
        <v>14</v>
      </c>
      <c r="E1125" s="29">
        <v>4.4000000000000004</v>
      </c>
      <c r="F1125" s="13">
        <v>1.7</v>
      </c>
      <c r="G1125" s="31">
        <v>2.86</v>
      </c>
      <c r="H1125" s="13">
        <v>1.1000000000000001</v>
      </c>
      <c r="I1125" s="6" t="s">
        <v>18</v>
      </c>
      <c r="J1125" s="11">
        <v>8</v>
      </c>
      <c r="K1125" s="11">
        <v>9</v>
      </c>
      <c r="L1125" s="11">
        <v>7</v>
      </c>
      <c r="M1125" s="15">
        <v>0</v>
      </c>
      <c r="R1125" s="20">
        <v>0</v>
      </c>
      <c r="U1125" s="17">
        <v>0</v>
      </c>
      <c r="W1125" s="23">
        <v>0</v>
      </c>
      <c r="Y1125" s="26">
        <v>0</v>
      </c>
    </row>
    <row r="1126" spans="1:25" x14ac:dyDescent="0.25">
      <c r="A1126" s="7">
        <v>17</v>
      </c>
      <c r="B1126" s="6" t="s">
        <v>13</v>
      </c>
      <c r="C1126" s="32">
        <v>6.9</v>
      </c>
      <c r="D1126" s="6" t="s">
        <v>20</v>
      </c>
      <c r="E1126" s="29">
        <v>4.5999999999999996</v>
      </c>
      <c r="F1126" s="13">
        <v>2.5</v>
      </c>
      <c r="G1126" s="31">
        <v>2.04</v>
      </c>
      <c r="H1126" s="13">
        <v>0.8</v>
      </c>
      <c r="I1126" s="6" t="s">
        <v>18</v>
      </c>
      <c r="J1126" s="11">
        <v>10</v>
      </c>
      <c r="K1126" s="11">
        <v>9</v>
      </c>
      <c r="L1126" s="11">
        <v>2</v>
      </c>
      <c r="M1126" s="15">
        <v>1</v>
      </c>
      <c r="R1126" s="20">
        <v>1</v>
      </c>
      <c r="U1126" s="17">
        <v>1</v>
      </c>
      <c r="W1126" s="23">
        <v>1</v>
      </c>
      <c r="Y1126" s="26">
        <v>1</v>
      </c>
    </row>
    <row r="1127" spans="1:25" x14ac:dyDescent="0.25">
      <c r="A1127" s="7">
        <v>14</v>
      </c>
      <c r="B1127" s="6" t="s">
        <v>16</v>
      </c>
      <c r="C1127" s="32">
        <v>5.7</v>
      </c>
      <c r="D1127" s="6" t="s">
        <v>14</v>
      </c>
      <c r="E1127" s="29">
        <v>6.7</v>
      </c>
      <c r="F1127" s="13">
        <v>2.6</v>
      </c>
      <c r="G1127" s="31">
        <v>2.35</v>
      </c>
      <c r="H1127" s="13">
        <v>1.8</v>
      </c>
      <c r="I1127" s="6" t="s">
        <v>18</v>
      </c>
      <c r="J1127" s="11">
        <v>10</v>
      </c>
      <c r="K1127" s="11">
        <v>10</v>
      </c>
      <c r="L1127" s="11">
        <v>7</v>
      </c>
      <c r="M1127" s="15">
        <v>0</v>
      </c>
      <c r="R1127" s="20">
        <v>0</v>
      </c>
      <c r="U1127" s="17">
        <v>0</v>
      </c>
      <c r="W1127" s="23">
        <v>0</v>
      </c>
      <c r="Y1127" s="26">
        <v>0</v>
      </c>
    </row>
    <row r="1128" spans="1:25" x14ac:dyDescent="0.25">
      <c r="A1128" s="7">
        <v>17</v>
      </c>
      <c r="B1128" s="6" t="s">
        <v>13</v>
      </c>
      <c r="C1128" s="32">
        <v>7.5</v>
      </c>
      <c r="D1128" s="6" t="s">
        <v>17</v>
      </c>
      <c r="E1128" s="29">
        <v>5.6</v>
      </c>
      <c r="F1128" s="13">
        <v>2.2999999999999998</v>
      </c>
      <c r="G1128" s="31">
        <v>2.37</v>
      </c>
      <c r="H1128" s="13">
        <v>0</v>
      </c>
      <c r="I1128" s="6" t="s">
        <v>18</v>
      </c>
      <c r="J1128" s="11">
        <v>3</v>
      </c>
      <c r="K1128" s="11">
        <v>10</v>
      </c>
      <c r="L1128" s="11">
        <v>8</v>
      </c>
      <c r="M1128" s="15">
        <v>0</v>
      </c>
      <c r="R1128" s="20">
        <v>0</v>
      </c>
      <c r="U1128" s="17">
        <v>0</v>
      </c>
      <c r="W1128" s="23">
        <v>0</v>
      </c>
      <c r="Y1128" s="26">
        <v>0</v>
      </c>
    </row>
    <row r="1129" spans="1:25" x14ac:dyDescent="0.25">
      <c r="A1129" s="7">
        <v>13</v>
      </c>
      <c r="B1129" s="6" t="s">
        <v>13</v>
      </c>
      <c r="C1129" s="32">
        <v>5.2</v>
      </c>
      <c r="D1129" s="6" t="s">
        <v>20</v>
      </c>
      <c r="E1129" s="29">
        <v>6.4</v>
      </c>
      <c r="F1129" s="13">
        <v>2.5</v>
      </c>
      <c r="G1129" s="31">
        <v>3.13</v>
      </c>
      <c r="H1129" s="13">
        <v>0.3</v>
      </c>
      <c r="I1129" s="6" t="s">
        <v>19</v>
      </c>
      <c r="J1129" s="11">
        <v>8</v>
      </c>
      <c r="K1129" s="11">
        <v>6</v>
      </c>
      <c r="L1129" s="11">
        <v>7</v>
      </c>
      <c r="M1129" s="15">
        <v>0</v>
      </c>
      <c r="R1129" s="20">
        <v>0</v>
      </c>
      <c r="U1129" s="17">
        <v>0</v>
      </c>
      <c r="W1129" s="23">
        <v>0</v>
      </c>
      <c r="Y1129" s="26">
        <v>0</v>
      </c>
    </row>
    <row r="1130" spans="1:25" x14ac:dyDescent="0.25">
      <c r="A1130" s="7">
        <v>16</v>
      </c>
      <c r="B1130" s="6" t="s">
        <v>13</v>
      </c>
      <c r="C1130" s="32">
        <v>7.2</v>
      </c>
      <c r="D1130" s="6" t="s">
        <v>20</v>
      </c>
      <c r="E1130" s="29">
        <v>6.9</v>
      </c>
      <c r="F1130" s="13">
        <v>2.1</v>
      </c>
      <c r="G1130" s="31">
        <v>2.3199999999999998</v>
      </c>
      <c r="H1130" s="13">
        <v>1.1000000000000001</v>
      </c>
      <c r="I1130" s="6" t="s">
        <v>15</v>
      </c>
      <c r="J1130" s="11">
        <v>3</v>
      </c>
      <c r="K1130" s="11">
        <v>4</v>
      </c>
      <c r="L1130" s="11">
        <v>10</v>
      </c>
      <c r="M1130" s="15">
        <v>0</v>
      </c>
      <c r="R1130" s="20">
        <v>0</v>
      </c>
      <c r="U1130" s="17">
        <v>0</v>
      </c>
      <c r="W1130" s="23">
        <v>0</v>
      </c>
      <c r="Y1130" s="26">
        <v>0</v>
      </c>
    </row>
    <row r="1131" spans="1:25" x14ac:dyDescent="0.25">
      <c r="A1131" s="7">
        <v>19</v>
      </c>
      <c r="B1131" s="6" t="s">
        <v>13</v>
      </c>
      <c r="C1131" s="32">
        <v>2</v>
      </c>
      <c r="D1131" s="6" t="s">
        <v>17</v>
      </c>
      <c r="E1131" s="29">
        <v>4.3</v>
      </c>
      <c r="F1131" s="13">
        <v>0.8</v>
      </c>
      <c r="G1131" s="31">
        <v>3.4</v>
      </c>
      <c r="H1131" s="13">
        <v>0.7</v>
      </c>
      <c r="I1131" s="6" t="s">
        <v>15</v>
      </c>
      <c r="J1131" s="11">
        <v>8</v>
      </c>
      <c r="K1131" s="11">
        <v>1</v>
      </c>
      <c r="L1131" s="11">
        <v>1</v>
      </c>
      <c r="M1131" s="15">
        <v>0</v>
      </c>
      <c r="R1131" s="20">
        <v>0</v>
      </c>
      <c r="U1131" s="17">
        <v>0</v>
      </c>
      <c r="W1131" s="23">
        <v>0</v>
      </c>
      <c r="Y1131" s="26">
        <v>0</v>
      </c>
    </row>
    <row r="1132" spans="1:25" x14ac:dyDescent="0.25">
      <c r="A1132" s="7">
        <v>13</v>
      </c>
      <c r="B1132" s="6" t="s">
        <v>16</v>
      </c>
      <c r="C1132" s="32">
        <v>4.7</v>
      </c>
      <c r="D1132" s="6" t="s">
        <v>20</v>
      </c>
      <c r="E1132" s="29">
        <v>6.8</v>
      </c>
      <c r="F1132" s="13">
        <v>1.4</v>
      </c>
      <c r="G1132" s="31">
        <v>3.91</v>
      </c>
      <c r="H1132" s="13">
        <v>0.8</v>
      </c>
      <c r="I1132" s="6" t="s">
        <v>18</v>
      </c>
      <c r="J1132" s="11">
        <v>10</v>
      </c>
      <c r="K1132" s="11">
        <v>6</v>
      </c>
      <c r="L1132" s="11">
        <v>9</v>
      </c>
      <c r="M1132" s="15">
        <v>0</v>
      </c>
      <c r="R1132" s="20">
        <v>0</v>
      </c>
      <c r="U1132" s="17">
        <v>0</v>
      </c>
      <c r="W1132" s="23">
        <v>0</v>
      </c>
      <c r="Y1132" s="26">
        <v>0</v>
      </c>
    </row>
    <row r="1133" spans="1:25" x14ac:dyDescent="0.25">
      <c r="A1133" s="7">
        <v>14</v>
      </c>
      <c r="B1133" s="6" t="s">
        <v>13</v>
      </c>
      <c r="C1133" s="32">
        <v>5.6</v>
      </c>
      <c r="D1133" s="6" t="s">
        <v>20</v>
      </c>
      <c r="E1133" s="29">
        <v>4.5</v>
      </c>
      <c r="F1133" s="13">
        <v>1.4</v>
      </c>
      <c r="G1133" s="31">
        <v>2.44</v>
      </c>
      <c r="H1133" s="13">
        <v>1.2</v>
      </c>
      <c r="I1133" s="6" t="s">
        <v>15</v>
      </c>
      <c r="J1133" s="11">
        <v>5</v>
      </c>
      <c r="K1133" s="11">
        <v>10</v>
      </c>
      <c r="L1133" s="11">
        <v>9</v>
      </c>
      <c r="M1133" s="15">
        <v>0</v>
      </c>
      <c r="R1133" s="20">
        <v>0</v>
      </c>
      <c r="U1133" s="17">
        <v>0</v>
      </c>
      <c r="W1133" s="23">
        <v>0</v>
      </c>
      <c r="Y1133" s="26">
        <v>0</v>
      </c>
    </row>
    <row r="1134" spans="1:25" x14ac:dyDescent="0.25">
      <c r="A1134" s="7">
        <v>18</v>
      </c>
      <c r="B1134" s="6" t="s">
        <v>16</v>
      </c>
      <c r="C1134" s="32">
        <v>4.5</v>
      </c>
      <c r="D1134" s="6" t="s">
        <v>14</v>
      </c>
      <c r="E1134" s="29">
        <v>4</v>
      </c>
      <c r="F1134" s="13">
        <v>2.9</v>
      </c>
      <c r="G1134" s="31">
        <v>3.15</v>
      </c>
      <c r="H1134" s="13">
        <v>1.9</v>
      </c>
      <c r="I1134" s="6" t="s">
        <v>19</v>
      </c>
      <c r="J1134" s="11">
        <v>8</v>
      </c>
      <c r="K1134" s="11">
        <v>6</v>
      </c>
      <c r="L1134" s="11">
        <v>5</v>
      </c>
      <c r="M1134" s="15">
        <v>0</v>
      </c>
      <c r="R1134" s="20">
        <v>0</v>
      </c>
      <c r="U1134" s="17">
        <v>0</v>
      </c>
      <c r="W1134" s="23">
        <v>0</v>
      </c>
      <c r="Y1134" s="26">
        <v>0</v>
      </c>
    </row>
    <row r="1135" spans="1:25" x14ac:dyDescent="0.25">
      <c r="A1135" s="7">
        <v>15</v>
      </c>
      <c r="B1135" s="6" t="s">
        <v>16</v>
      </c>
      <c r="C1135" s="32">
        <v>1.1000000000000001</v>
      </c>
      <c r="D1135" s="6" t="s">
        <v>14</v>
      </c>
      <c r="E1135" s="29">
        <v>9</v>
      </c>
      <c r="F1135" s="13">
        <v>1.2</v>
      </c>
      <c r="G1135" s="31">
        <v>2.9</v>
      </c>
      <c r="H1135" s="13">
        <v>1.8</v>
      </c>
      <c r="I1135" s="6" t="s">
        <v>19</v>
      </c>
      <c r="J1135" s="11">
        <v>5</v>
      </c>
      <c r="K1135" s="11">
        <v>10</v>
      </c>
      <c r="L1135" s="11">
        <v>2</v>
      </c>
      <c r="M1135" s="15">
        <v>0</v>
      </c>
      <c r="R1135" s="20">
        <v>0</v>
      </c>
      <c r="U1135" s="17">
        <v>0</v>
      </c>
      <c r="W1135" s="23">
        <v>0</v>
      </c>
      <c r="Y1135" s="26">
        <v>0</v>
      </c>
    </row>
    <row r="1136" spans="1:25" x14ac:dyDescent="0.25">
      <c r="A1136" s="7">
        <v>18</v>
      </c>
      <c r="B1136" s="6" t="s">
        <v>16</v>
      </c>
      <c r="C1136" s="32">
        <v>5.3</v>
      </c>
      <c r="D1136" s="6" t="s">
        <v>20</v>
      </c>
      <c r="E1136" s="29">
        <v>4.5999999999999996</v>
      </c>
      <c r="F1136" s="13">
        <v>1.5</v>
      </c>
      <c r="G1136" s="31">
        <v>2.54</v>
      </c>
      <c r="H1136" s="13">
        <v>0.6</v>
      </c>
      <c r="I1136" s="6" t="s">
        <v>19</v>
      </c>
      <c r="J1136" s="11">
        <v>4</v>
      </c>
      <c r="K1136" s="11">
        <v>3</v>
      </c>
      <c r="L1136" s="11">
        <v>4</v>
      </c>
      <c r="M1136" s="15">
        <v>0</v>
      </c>
      <c r="R1136" s="20">
        <v>0</v>
      </c>
      <c r="U1136" s="17">
        <v>0</v>
      </c>
      <c r="W1136" s="23">
        <v>0</v>
      </c>
      <c r="Y1136" s="26">
        <v>0</v>
      </c>
    </row>
    <row r="1137" spans="1:25" x14ac:dyDescent="0.25">
      <c r="A1137" s="7">
        <v>14</v>
      </c>
      <c r="B1137" s="6" t="s">
        <v>16</v>
      </c>
      <c r="C1137" s="32">
        <v>3.5</v>
      </c>
      <c r="D1137" s="6" t="s">
        <v>20</v>
      </c>
      <c r="E1137" s="29">
        <v>5.3</v>
      </c>
      <c r="F1137" s="13">
        <v>2.5</v>
      </c>
      <c r="G1137" s="31">
        <v>2.29</v>
      </c>
      <c r="H1137" s="13">
        <v>0.7</v>
      </c>
      <c r="I1137" s="6" t="s">
        <v>15</v>
      </c>
      <c r="J1137" s="11">
        <v>1</v>
      </c>
      <c r="K1137" s="11">
        <v>10</v>
      </c>
      <c r="L1137" s="11">
        <v>3</v>
      </c>
      <c r="M1137" s="15">
        <v>0</v>
      </c>
      <c r="R1137" s="20">
        <v>0</v>
      </c>
      <c r="U1137" s="17">
        <v>0</v>
      </c>
      <c r="W1137" s="23">
        <v>0</v>
      </c>
      <c r="Y1137" s="26">
        <v>0</v>
      </c>
    </row>
    <row r="1138" spans="1:25" x14ac:dyDescent="0.25">
      <c r="A1138" s="7">
        <v>15</v>
      </c>
      <c r="B1138" s="6" t="s">
        <v>13</v>
      </c>
      <c r="C1138" s="32">
        <v>6.5</v>
      </c>
      <c r="D1138" s="6" t="s">
        <v>20</v>
      </c>
      <c r="E1138" s="29">
        <v>6.2</v>
      </c>
      <c r="F1138" s="13">
        <v>1.2</v>
      </c>
      <c r="G1138" s="31">
        <v>3.19</v>
      </c>
      <c r="H1138" s="13">
        <v>0</v>
      </c>
      <c r="I1138" s="6" t="s">
        <v>19</v>
      </c>
      <c r="J1138" s="11">
        <v>6</v>
      </c>
      <c r="K1138" s="11">
        <v>5</v>
      </c>
      <c r="L1138" s="11">
        <v>2</v>
      </c>
      <c r="M1138" s="15">
        <v>0</v>
      </c>
      <c r="R1138" s="20">
        <v>0</v>
      </c>
      <c r="U1138" s="17">
        <v>0</v>
      </c>
      <c r="W1138" s="23">
        <v>0</v>
      </c>
      <c r="Y1138" s="26">
        <v>0</v>
      </c>
    </row>
    <row r="1139" spans="1:25" x14ac:dyDescent="0.25">
      <c r="A1139" s="7">
        <v>14</v>
      </c>
      <c r="B1139" s="6" t="s">
        <v>13</v>
      </c>
      <c r="C1139" s="32">
        <v>7</v>
      </c>
      <c r="D1139" s="6" t="s">
        <v>20</v>
      </c>
      <c r="E1139" s="29">
        <v>6.7</v>
      </c>
      <c r="F1139" s="13">
        <v>1.9</v>
      </c>
      <c r="G1139" s="31">
        <v>2.48</v>
      </c>
      <c r="H1139" s="13">
        <v>1.3</v>
      </c>
      <c r="I1139" s="6" t="s">
        <v>15</v>
      </c>
      <c r="J1139" s="11">
        <v>7</v>
      </c>
      <c r="K1139" s="11">
        <v>1</v>
      </c>
      <c r="L1139" s="11">
        <v>5</v>
      </c>
      <c r="M1139" s="15">
        <v>0</v>
      </c>
      <c r="R1139" s="20">
        <v>0</v>
      </c>
      <c r="U1139" s="17">
        <v>0</v>
      </c>
      <c r="W1139" s="23">
        <v>0</v>
      </c>
      <c r="Y1139" s="26">
        <v>0</v>
      </c>
    </row>
    <row r="1140" spans="1:25" x14ac:dyDescent="0.25">
      <c r="A1140" s="7">
        <v>14</v>
      </c>
      <c r="B1140" s="6" t="s">
        <v>16</v>
      </c>
      <c r="C1140" s="32">
        <v>4</v>
      </c>
      <c r="D1140" s="6" t="s">
        <v>17</v>
      </c>
      <c r="E1140" s="29">
        <v>4.0999999999999996</v>
      </c>
      <c r="F1140" s="13">
        <v>0.9</v>
      </c>
      <c r="G1140" s="31">
        <v>2.99</v>
      </c>
      <c r="H1140" s="13">
        <v>1.9</v>
      </c>
      <c r="I1140" s="6" t="s">
        <v>15</v>
      </c>
      <c r="J1140" s="11">
        <v>2</v>
      </c>
      <c r="K1140" s="11">
        <v>9</v>
      </c>
      <c r="L1140" s="11">
        <v>10</v>
      </c>
      <c r="M1140" s="15">
        <v>0</v>
      </c>
      <c r="R1140" s="20">
        <v>0</v>
      </c>
      <c r="U1140" s="17">
        <v>0</v>
      </c>
      <c r="W1140" s="23">
        <v>0</v>
      </c>
      <c r="Y1140" s="26">
        <v>0</v>
      </c>
    </row>
    <row r="1141" spans="1:25" x14ac:dyDescent="0.25">
      <c r="A1141" s="7">
        <v>15</v>
      </c>
      <c r="B1141" s="6" t="s">
        <v>16</v>
      </c>
      <c r="C1141" s="32">
        <v>1.7</v>
      </c>
      <c r="D1141" s="6" t="s">
        <v>14</v>
      </c>
      <c r="E1141" s="29">
        <v>5.3</v>
      </c>
      <c r="F1141" s="13">
        <v>1.5</v>
      </c>
      <c r="G1141" s="31">
        <v>3.6</v>
      </c>
      <c r="H1141" s="13">
        <v>1.5</v>
      </c>
      <c r="I1141" s="6" t="s">
        <v>18</v>
      </c>
      <c r="J1141" s="11">
        <v>6</v>
      </c>
      <c r="K1141" s="11">
        <v>4</v>
      </c>
      <c r="L1141" s="11">
        <v>3</v>
      </c>
      <c r="M1141" s="15">
        <v>0</v>
      </c>
      <c r="R1141" s="20">
        <v>0</v>
      </c>
      <c r="U1141" s="17">
        <v>0</v>
      </c>
      <c r="W1141" s="23">
        <v>0</v>
      </c>
      <c r="Y1141" s="26">
        <v>0</v>
      </c>
    </row>
    <row r="1142" spans="1:25" x14ac:dyDescent="0.25">
      <c r="A1142" s="7">
        <v>14</v>
      </c>
      <c r="B1142" s="6" t="s">
        <v>16</v>
      </c>
      <c r="C1142" s="32">
        <v>7.8</v>
      </c>
      <c r="D1142" s="6" t="s">
        <v>17</v>
      </c>
      <c r="E1142" s="29">
        <v>4.7</v>
      </c>
      <c r="F1142" s="13">
        <v>2.2000000000000002</v>
      </c>
      <c r="G1142" s="31">
        <v>3.53</v>
      </c>
      <c r="H1142" s="13">
        <v>0.6</v>
      </c>
      <c r="I1142" s="6" t="s">
        <v>15</v>
      </c>
      <c r="J1142" s="11">
        <v>5</v>
      </c>
      <c r="K1142" s="11">
        <v>8</v>
      </c>
      <c r="L1142" s="11">
        <v>2</v>
      </c>
      <c r="M1142" s="15">
        <v>0</v>
      </c>
      <c r="R1142" s="20">
        <v>0</v>
      </c>
      <c r="U1142" s="17">
        <v>0</v>
      </c>
      <c r="W1142" s="23">
        <v>0</v>
      </c>
      <c r="Y1142" s="26">
        <v>0</v>
      </c>
    </row>
    <row r="1143" spans="1:25" x14ac:dyDescent="0.25">
      <c r="A1143" s="7">
        <v>15</v>
      </c>
      <c r="B1143" s="6" t="s">
        <v>16</v>
      </c>
      <c r="C1143" s="32">
        <v>5.2</v>
      </c>
      <c r="D1143" s="6" t="s">
        <v>14</v>
      </c>
      <c r="E1143" s="29">
        <v>6.7</v>
      </c>
      <c r="F1143" s="13">
        <v>3</v>
      </c>
      <c r="G1143" s="31">
        <v>3.18</v>
      </c>
      <c r="H1143" s="13">
        <v>0.6</v>
      </c>
      <c r="I1143" s="6" t="s">
        <v>15</v>
      </c>
      <c r="J1143" s="11">
        <v>9</v>
      </c>
      <c r="K1143" s="11">
        <v>7</v>
      </c>
      <c r="L1143" s="11">
        <v>9</v>
      </c>
      <c r="M1143" s="15">
        <v>0</v>
      </c>
      <c r="R1143" s="20">
        <v>0</v>
      </c>
      <c r="U1143" s="17">
        <v>0</v>
      </c>
      <c r="W1143" s="23">
        <v>0</v>
      </c>
      <c r="Y1143" s="26">
        <v>0</v>
      </c>
    </row>
    <row r="1144" spans="1:25" x14ac:dyDescent="0.25">
      <c r="A1144" s="7">
        <v>19</v>
      </c>
      <c r="B1144" s="6" t="s">
        <v>16</v>
      </c>
      <c r="C1144" s="32">
        <v>7.9</v>
      </c>
      <c r="D1144" s="6" t="s">
        <v>17</v>
      </c>
      <c r="E1144" s="29">
        <v>5.8</v>
      </c>
      <c r="F1144" s="13">
        <v>2.1</v>
      </c>
      <c r="G1144" s="31">
        <v>3.91</v>
      </c>
      <c r="H1144" s="13">
        <v>1.4</v>
      </c>
      <c r="I1144" s="6" t="s">
        <v>18</v>
      </c>
      <c r="J1144" s="11">
        <v>7</v>
      </c>
      <c r="K1144" s="11">
        <v>1</v>
      </c>
      <c r="L1144" s="11">
        <v>10</v>
      </c>
      <c r="M1144" s="15">
        <v>0</v>
      </c>
      <c r="R1144" s="20">
        <v>0</v>
      </c>
      <c r="U1144" s="17">
        <v>0</v>
      </c>
      <c r="W1144" s="23">
        <v>0</v>
      </c>
      <c r="Y1144" s="26">
        <v>0</v>
      </c>
    </row>
    <row r="1145" spans="1:25" x14ac:dyDescent="0.25">
      <c r="A1145" s="7">
        <v>17</v>
      </c>
      <c r="B1145" s="6" t="s">
        <v>13</v>
      </c>
      <c r="C1145" s="32">
        <v>5.9</v>
      </c>
      <c r="D1145" s="6" t="s">
        <v>20</v>
      </c>
      <c r="E1145" s="29">
        <v>6.6</v>
      </c>
      <c r="F1145" s="13">
        <v>1.3</v>
      </c>
      <c r="G1145" s="31">
        <v>2.11</v>
      </c>
      <c r="H1145" s="13">
        <v>1.4</v>
      </c>
      <c r="I1145" s="6" t="s">
        <v>15</v>
      </c>
      <c r="J1145" s="11">
        <v>10</v>
      </c>
      <c r="K1145" s="11">
        <v>4</v>
      </c>
      <c r="L1145" s="11">
        <v>9</v>
      </c>
      <c r="M1145" s="15">
        <v>0</v>
      </c>
      <c r="R1145" s="20">
        <v>0</v>
      </c>
      <c r="U1145" s="17">
        <v>0</v>
      </c>
      <c r="W1145" s="23">
        <v>0</v>
      </c>
      <c r="Y1145" s="26">
        <v>0</v>
      </c>
    </row>
    <row r="1146" spans="1:25" x14ac:dyDescent="0.25">
      <c r="A1146" s="7">
        <v>13</v>
      </c>
      <c r="B1146" s="6" t="s">
        <v>16</v>
      </c>
      <c r="C1146" s="32">
        <v>2.6</v>
      </c>
      <c r="D1146" s="6" t="s">
        <v>17</v>
      </c>
      <c r="E1146" s="29">
        <v>8.5</v>
      </c>
      <c r="F1146" s="13">
        <v>1.9</v>
      </c>
      <c r="G1146" s="31">
        <v>3.06</v>
      </c>
      <c r="H1146" s="13">
        <v>1.9</v>
      </c>
      <c r="I1146" s="6" t="s">
        <v>18</v>
      </c>
      <c r="J1146" s="11">
        <v>5</v>
      </c>
      <c r="K1146" s="11">
        <v>7</v>
      </c>
      <c r="L1146" s="11">
        <v>6</v>
      </c>
      <c r="M1146" s="15">
        <v>0</v>
      </c>
      <c r="R1146" s="20">
        <v>0</v>
      </c>
      <c r="U1146" s="17">
        <v>0</v>
      </c>
      <c r="W1146" s="23">
        <v>0</v>
      </c>
      <c r="Y1146" s="26">
        <v>0</v>
      </c>
    </row>
    <row r="1147" spans="1:25" x14ac:dyDescent="0.25">
      <c r="A1147" s="7">
        <v>18</v>
      </c>
      <c r="B1147" s="6" t="s">
        <v>16</v>
      </c>
      <c r="C1147" s="32">
        <v>6.3</v>
      </c>
      <c r="D1147" s="6" t="s">
        <v>17</v>
      </c>
      <c r="E1147" s="29">
        <v>4.8</v>
      </c>
      <c r="F1147" s="13">
        <v>1.2</v>
      </c>
      <c r="G1147" s="31">
        <v>2.91</v>
      </c>
      <c r="H1147" s="13">
        <v>1.3</v>
      </c>
      <c r="I1147" s="6" t="s">
        <v>19</v>
      </c>
      <c r="J1147" s="11">
        <v>9</v>
      </c>
      <c r="K1147" s="11">
        <v>10</v>
      </c>
      <c r="L1147" s="11">
        <v>3</v>
      </c>
      <c r="M1147" s="15">
        <v>1</v>
      </c>
      <c r="R1147" s="20">
        <v>1</v>
      </c>
      <c r="U1147" s="17">
        <v>1</v>
      </c>
      <c r="W1147" s="23">
        <v>1</v>
      </c>
      <c r="Y1147" s="26">
        <v>1</v>
      </c>
    </row>
    <row r="1148" spans="1:25" x14ac:dyDescent="0.25">
      <c r="A1148" s="7">
        <v>19</v>
      </c>
      <c r="B1148" s="6" t="s">
        <v>16</v>
      </c>
      <c r="C1148" s="32">
        <v>4.5</v>
      </c>
      <c r="D1148" s="6" t="s">
        <v>17</v>
      </c>
      <c r="E1148" s="29">
        <v>8.4</v>
      </c>
      <c r="F1148" s="13">
        <v>2.1</v>
      </c>
      <c r="G1148" s="31">
        <v>2.62</v>
      </c>
      <c r="H1148" s="13">
        <v>2</v>
      </c>
      <c r="I1148" s="6" t="s">
        <v>15</v>
      </c>
      <c r="J1148" s="11">
        <v>5</v>
      </c>
      <c r="K1148" s="11">
        <v>10</v>
      </c>
      <c r="L1148" s="11">
        <v>5</v>
      </c>
      <c r="M1148" s="15">
        <v>0</v>
      </c>
      <c r="R1148" s="20">
        <v>0</v>
      </c>
      <c r="U1148" s="17">
        <v>0</v>
      </c>
      <c r="W1148" s="23">
        <v>0</v>
      </c>
      <c r="Y1148" s="26">
        <v>0</v>
      </c>
    </row>
    <row r="1149" spans="1:25" x14ac:dyDescent="0.25">
      <c r="A1149" s="7">
        <v>19</v>
      </c>
      <c r="B1149" s="6" t="s">
        <v>13</v>
      </c>
      <c r="C1149" s="32">
        <v>5.3</v>
      </c>
      <c r="D1149" s="6" t="s">
        <v>14</v>
      </c>
      <c r="E1149" s="29">
        <v>4.7</v>
      </c>
      <c r="F1149" s="13">
        <v>2.8</v>
      </c>
      <c r="G1149" s="31">
        <v>2.82</v>
      </c>
      <c r="H1149" s="13">
        <v>0.3</v>
      </c>
      <c r="I1149" s="6" t="s">
        <v>18</v>
      </c>
      <c r="J1149" s="11">
        <v>1</v>
      </c>
      <c r="K1149" s="11">
        <v>9</v>
      </c>
      <c r="L1149" s="11">
        <v>6</v>
      </c>
      <c r="M1149" s="15">
        <v>0</v>
      </c>
      <c r="R1149" s="20">
        <v>0</v>
      </c>
      <c r="U1149" s="17">
        <v>0</v>
      </c>
      <c r="W1149" s="23">
        <v>0</v>
      </c>
      <c r="Y1149" s="26">
        <v>0</v>
      </c>
    </row>
    <row r="1150" spans="1:25" x14ac:dyDescent="0.25">
      <c r="A1150" s="7">
        <v>13</v>
      </c>
      <c r="B1150" s="6" t="s">
        <v>16</v>
      </c>
      <c r="C1150" s="32">
        <v>5.2</v>
      </c>
      <c r="D1150" s="6" t="s">
        <v>20</v>
      </c>
      <c r="E1150" s="29">
        <v>7.4</v>
      </c>
      <c r="F1150" s="13">
        <v>2.5</v>
      </c>
      <c r="G1150" s="31">
        <v>3.93</v>
      </c>
      <c r="H1150" s="13">
        <v>0.8</v>
      </c>
      <c r="I1150" s="6" t="s">
        <v>15</v>
      </c>
      <c r="J1150" s="11">
        <v>4</v>
      </c>
      <c r="K1150" s="11">
        <v>4</v>
      </c>
      <c r="L1150" s="11">
        <v>8</v>
      </c>
      <c r="M1150" s="15">
        <v>0</v>
      </c>
      <c r="R1150" s="20">
        <v>0</v>
      </c>
      <c r="U1150" s="17">
        <v>0</v>
      </c>
      <c r="W1150" s="23">
        <v>0</v>
      </c>
      <c r="Y1150" s="26">
        <v>0</v>
      </c>
    </row>
    <row r="1151" spans="1:25" x14ac:dyDescent="0.25">
      <c r="A1151" s="7">
        <v>15</v>
      </c>
      <c r="B1151" s="6" t="s">
        <v>13</v>
      </c>
      <c r="C1151" s="32">
        <v>3.3</v>
      </c>
      <c r="D1151" s="6" t="s">
        <v>20</v>
      </c>
      <c r="E1151" s="29">
        <v>6.1</v>
      </c>
      <c r="F1151" s="13">
        <v>1.2</v>
      </c>
      <c r="G1151" s="31">
        <v>2.56</v>
      </c>
      <c r="H1151" s="13">
        <v>1.4</v>
      </c>
      <c r="I1151" s="6" t="s">
        <v>15</v>
      </c>
      <c r="J1151" s="11">
        <v>8</v>
      </c>
      <c r="K1151" s="11">
        <v>6</v>
      </c>
      <c r="L1151" s="11">
        <v>3</v>
      </c>
      <c r="M1151" s="15">
        <v>0</v>
      </c>
      <c r="R1151" s="20">
        <v>0</v>
      </c>
      <c r="U1151" s="17">
        <v>0</v>
      </c>
      <c r="W1151" s="23">
        <v>0</v>
      </c>
      <c r="Y1151" s="26">
        <v>0</v>
      </c>
    </row>
    <row r="1152" spans="1:25" x14ac:dyDescent="0.25">
      <c r="A1152" s="7">
        <v>14</v>
      </c>
      <c r="B1152" s="6" t="s">
        <v>16</v>
      </c>
      <c r="C1152" s="32">
        <v>1.1000000000000001</v>
      </c>
      <c r="D1152" s="6" t="s">
        <v>20</v>
      </c>
      <c r="E1152" s="29">
        <v>5.4</v>
      </c>
      <c r="F1152" s="13">
        <v>1.6</v>
      </c>
      <c r="G1152" s="31">
        <v>3.34</v>
      </c>
      <c r="H1152" s="13">
        <v>1.5</v>
      </c>
      <c r="I1152" s="6" t="s">
        <v>19</v>
      </c>
      <c r="J1152" s="11">
        <v>4</v>
      </c>
      <c r="K1152" s="11">
        <v>5</v>
      </c>
      <c r="L1152" s="11">
        <v>8</v>
      </c>
      <c r="M1152" s="15">
        <v>0</v>
      </c>
      <c r="R1152" s="20">
        <v>0</v>
      </c>
      <c r="U1152" s="17">
        <v>0</v>
      </c>
      <c r="W1152" s="23">
        <v>0</v>
      </c>
      <c r="Y1152" s="26">
        <v>0</v>
      </c>
    </row>
    <row r="1153" spans="1:25" x14ac:dyDescent="0.25">
      <c r="A1153" s="7">
        <v>17</v>
      </c>
      <c r="B1153" s="6" t="s">
        <v>16</v>
      </c>
      <c r="C1153" s="32">
        <v>5</v>
      </c>
      <c r="D1153" s="6" t="s">
        <v>14</v>
      </c>
      <c r="E1153" s="29">
        <v>7.3</v>
      </c>
      <c r="F1153" s="13">
        <v>1.2</v>
      </c>
      <c r="G1153" s="31">
        <v>3.39</v>
      </c>
      <c r="H1153" s="13">
        <v>0.7</v>
      </c>
      <c r="I1153" s="6" t="s">
        <v>19</v>
      </c>
      <c r="J1153" s="11">
        <v>9</v>
      </c>
      <c r="K1153" s="11">
        <v>10</v>
      </c>
      <c r="L1153" s="11">
        <v>8</v>
      </c>
      <c r="M1153" s="15">
        <v>0</v>
      </c>
      <c r="R1153" s="20">
        <v>0</v>
      </c>
      <c r="U1153" s="17">
        <v>0</v>
      </c>
      <c r="W1153" s="23">
        <v>0</v>
      </c>
      <c r="Y1153" s="26">
        <v>0</v>
      </c>
    </row>
    <row r="1154" spans="1:25" x14ac:dyDescent="0.25">
      <c r="A1154" s="7">
        <v>15</v>
      </c>
      <c r="B1154" s="6" t="s">
        <v>16</v>
      </c>
      <c r="C1154" s="32">
        <v>7.4</v>
      </c>
      <c r="D1154" s="6" t="s">
        <v>17</v>
      </c>
      <c r="E1154" s="29">
        <v>8.6</v>
      </c>
      <c r="F1154" s="13">
        <v>1.4</v>
      </c>
      <c r="G1154" s="31">
        <v>2.19</v>
      </c>
      <c r="H1154" s="13">
        <v>1.8</v>
      </c>
      <c r="I1154" s="6" t="s">
        <v>15</v>
      </c>
      <c r="J1154" s="11">
        <v>10</v>
      </c>
      <c r="K1154" s="11">
        <v>10</v>
      </c>
      <c r="L1154" s="11">
        <v>1</v>
      </c>
      <c r="M1154" s="15">
        <v>0</v>
      </c>
      <c r="R1154" s="20">
        <v>0</v>
      </c>
      <c r="U1154" s="17">
        <v>0</v>
      </c>
      <c r="W1154" s="23">
        <v>0</v>
      </c>
      <c r="Y1154" s="26">
        <v>0</v>
      </c>
    </row>
    <row r="1155" spans="1:25" x14ac:dyDescent="0.25">
      <c r="A1155" s="7">
        <v>15</v>
      </c>
      <c r="B1155" s="6" t="s">
        <v>16</v>
      </c>
      <c r="C1155" s="32">
        <v>7.4</v>
      </c>
      <c r="D1155" s="6" t="s">
        <v>17</v>
      </c>
      <c r="E1155" s="29">
        <v>8.9</v>
      </c>
      <c r="F1155" s="13">
        <v>2.9</v>
      </c>
      <c r="G1155" s="31">
        <v>3.39</v>
      </c>
      <c r="H1155" s="13">
        <v>1.1000000000000001</v>
      </c>
      <c r="I1155" s="6" t="s">
        <v>18</v>
      </c>
      <c r="J1155" s="11">
        <v>4</v>
      </c>
      <c r="K1155" s="11">
        <v>9</v>
      </c>
      <c r="L1155" s="11">
        <v>1</v>
      </c>
      <c r="M1155" s="15">
        <v>0</v>
      </c>
      <c r="R1155" s="20">
        <v>0</v>
      </c>
      <c r="U1155" s="17">
        <v>0</v>
      </c>
      <c r="W1155" s="23">
        <v>0</v>
      </c>
      <c r="Y1155" s="26">
        <v>0</v>
      </c>
    </row>
    <row r="1156" spans="1:25" x14ac:dyDescent="0.25">
      <c r="A1156" s="7">
        <v>17</v>
      </c>
      <c r="B1156" s="6" t="s">
        <v>13</v>
      </c>
      <c r="C1156" s="32">
        <v>6.6</v>
      </c>
      <c r="D1156" s="6" t="s">
        <v>17</v>
      </c>
      <c r="E1156" s="29">
        <v>5.2</v>
      </c>
      <c r="F1156" s="13">
        <v>2.2000000000000002</v>
      </c>
      <c r="G1156" s="31">
        <v>2.98</v>
      </c>
      <c r="H1156" s="13">
        <v>0.8</v>
      </c>
      <c r="I1156" s="6" t="s">
        <v>18</v>
      </c>
      <c r="J1156" s="11">
        <v>6</v>
      </c>
      <c r="K1156" s="11">
        <v>8</v>
      </c>
      <c r="L1156" s="11">
        <v>7</v>
      </c>
      <c r="M1156" s="15">
        <v>0</v>
      </c>
      <c r="R1156" s="20">
        <v>0</v>
      </c>
      <c r="U1156" s="17">
        <v>0</v>
      </c>
      <c r="W1156" s="23">
        <v>0</v>
      </c>
      <c r="Y1156" s="26">
        <v>0</v>
      </c>
    </row>
    <row r="1157" spans="1:25" x14ac:dyDescent="0.25">
      <c r="A1157" s="7">
        <v>13</v>
      </c>
      <c r="B1157" s="6" t="s">
        <v>16</v>
      </c>
      <c r="C1157" s="32">
        <v>7.1</v>
      </c>
      <c r="D1157" s="6" t="s">
        <v>20</v>
      </c>
      <c r="E1157" s="29">
        <v>7.2</v>
      </c>
      <c r="F1157" s="13">
        <v>1.1000000000000001</v>
      </c>
      <c r="G1157" s="31">
        <v>3.69</v>
      </c>
      <c r="H1157" s="13">
        <v>1</v>
      </c>
      <c r="I1157" s="6" t="s">
        <v>15</v>
      </c>
      <c r="J1157" s="11">
        <v>4</v>
      </c>
      <c r="K1157" s="11">
        <v>6</v>
      </c>
      <c r="L1157" s="11">
        <v>3</v>
      </c>
      <c r="M1157" s="15">
        <v>0</v>
      </c>
      <c r="R1157" s="20">
        <v>0</v>
      </c>
      <c r="U1157" s="17">
        <v>0</v>
      </c>
      <c r="W1157" s="23">
        <v>0</v>
      </c>
      <c r="Y1157" s="26">
        <v>0</v>
      </c>
    </row>
    <row r="1158" spans="1:25" x14ac:dyDescent="0.25">
      <c r="A1158" s="7">
        <v>15</v>
      </c>
      <c r="B1158" s="6" t="s">
        <v>16</v>
      </c>
      <c r="C1158" s="32">
        <v>1.1000000000000001</v>
      </c>
      <c r="D1158" s="6" t="s">
        <v>17</v>
      </c>
      <c r="E1158" s="29">
        <v>8.6</v>
      </c>
      <c r="F1158" s="13">
        <v>2.2999999999999998</v>
      </c>
      <c r="G1158" s="31">
        <v>3.68</v>
      </c>
      <c r="H1158" s="13">
        <v>0.5</v>
      </c>
      <c r="I1158" s="6" t="s">
        <v>15</v>
      </c>
      <c r="J1158" s="11">
        <v>1</v>
      </c>
      <c r="K1158" s="11">
        <v>2</v>
      </c>
      <c r="L1158" s="11">
        <v>7</v>
      </c>
      <c r="M1158" s="15">
        <v>0</v>
      </c>
      <c r="R1158" s="20">
        <v>0</v>
      </c>
      <c r="U1158" s="17">
        <v>0</v>
      </c>
      <c r="W1158" s="23">
        <v>0</v>
      </c>
      <c r="Y1158" s="26">
        <v>0</v>
      </c>
    </row>
    <row r="1159" spans="1:25" x14ac:dyDescent="0.25">
      <c r="A1159" s="7">
        <v>13</v>
      </c>
      <c r="B1159" s="6" t="s">
        <v>16</v>
      </c>
      <c r="C1159" s="32">
        <v>3.6</v>
      </c>
      <c r="D1159" s="6" t="s">
        <v>17</v>
      </c>
      <c r="E1159" s="29">
        <v>8.6999999999999993</v>
      </c>
      <c r="F1159" s="13">
        <v>0.8</v>
      </c>
      <c r="G1159" s="31">
        <v>2.41</v>
      </c>
      <c r="H1159" s="13">
        <v>1.3</v>
      </c>
      <c r="I1159" s="6" t="s">
        <v>15</v>
      </c>
      <c r="J1159" s="11">
        <v>4</v>
      </c>
      <c r="K1159" s="11">
        <v>6</v>
      </c>
      <c r="L1159" s="11">
        <v>8</v>
      </c>
      <c r="M1159" s="15">
        <v>0</v>
      </c>
      <c r="R1159" s="20">
        <v>0</v>
      </c>
      <c r="U1159" s="17">
        <v>0</v>
      </c>
      <c r="W1159" s="23">
        <v>0</v>
      </c>
      <c r="Y1159" s="26">
        <v>0</v>
      </c>
    </row>
    <row r="1160" spans="1:25" x14ac:dyDescent="0.25">
      <c r="A1160" s="7">
        <v>16</v>
      </c>
      <c r="B1160" s="6" t="s">
        <v>13</v>
      </c>
      <c r="C1160" s="32">
        <v>5.0999999999999996</v>
      </c>
      <c r="D1160" s="6" t="s">
        <v>17</v>
      </c>
      <c r="E1160" s="29">
        <v>4.5999999999999996</v>
      </c>
      <c r="F1160" s="13">
        <v>1.1000000000000001</v>
      </c>
      <c r="G1160" s="31">
        <v>2.75</v>
      </c>
      <c r="H1160" s="13">
        <v>1.5</v>
      </c>
      <c r="I1160" s="6" t="s">
        <v>19</v>
      </c>
      <c r="J1160" s="11">
        <v>6</v>
      </c>
      <c r="K1160" s="11">
        <v>3</v>
      </c>
      <c r="L1160" s="11">
        <v>6</v>
      </c>
      <c r="M1160" s="15">
        <v>0</v>
      </c>
      <c r="R1160" s="20">
        <v>0</v>
      </c>
      <c r="U1160" s="17">
        <v>0</v>
      </c>
      <c r="W1160" s="23">
        <v>0</v>
      </c>
      <c r="Y1160" s="26">
        <v>0</v>
      </c>
    </row>
    <row r="1161" spans="1:25" x14ac:dyDescent="0.25">
      <c r="A1161" s="7">
        <v>19</v>
      </c>
      <c r="B1161" s="6" t="s">
        <v>16</v>
      </c>
      <c r="C1161" s="32">
        <v>7.3</v>
      </c>
      <c r="D1161" s="6" t="s">
        <v>14</v>
      </c>
      <c r="E1161" s="29">
        <v>7.8</v>
      </c>
      <c r="F1161" s="13">
        <v>1</v>
      </c>
      <c r="G1161" s="31">
        <v>2.91</v>
      </c>
      <c r="H1161" s="13">
        <v>0.8</v>
      </c>
      <c r="I1161" s="6" t="s">
        <v>19</v>
      </c>
      <c r="J1161" s="11">
        <v>9</v>
      </c>
      <c r="K1161" s="11">
        <v>7</v>
      </c>
      <c r="L1161" s="11">
        <v>5</v>
      </c>
      <c r="M1161" s="15">
        <v>0</v>
      </c>
      <c r="R1161" s="20">
        <v>0</v>
      </c>
      <c r="U1161" s="17">
        <v>0</v>
      </c>
      <c r="W1161" s="23">
        <v>0</v>
      </c>
      <c r="Y1161" s="26">
        <v>0</v>
      </c>
    </row>
    <row r="1162" spans="1:25" x14ac:dyDescent="0.25">
      <c r="A1162" s="7">
        <v>13</v>
      </c>
      <c r="B1162" s="6" t="s">
        <v>16</v>
      </c>
      <c r="C1162" s="32">
        <v>7.7</v>
      </c>
      <c r="D1162" s="6" t="s">
        <v>20</v>
      </c>
      <c r="E1162" s="29">
        <v>7.5</v>
      </c>
      <c r="F1162" s="13">
        <v>1.4</v>
      </c>
      <c r="G1162" s="31">
        <v>2.2400000000000002</v>
      </c>
      <c r="H1162" s="13">
        <v>0.1</v>
      </c>
      <c r="I1162" s="6" t="s">
        <v>15</v>
      </c>
      <c r="J1162" s="11">
        <v>5</v>
      </c>
      <c r="K1162" s="11">
        <v>3</v>
      </c>
      <c r="L1162" s="11">
        <v>3</v>
      </c>
      <c r="M1162" s="15">
        <v>0</v>
      </c>
      <c r="R1162" s="20">
        <v>0</v>
      </c>
      <c r="U1162" s="17">
        <v>0</v>
      </c>
      <c r="W1162" s="23">
        <v>0</v>
      </c>
      <c r="Y1162" s="26">
        <v>0</v>
      </c>
    </row>
    <row r="1163" spans="1:25" x14ac:dyDescent="0.25">
      <c r="A1163" s="7">
        <v>13</v>
      </c>
      <c r="B1163" s="6" t="s">
        <v>16</v>
      </c>
      <c r="C1163" s="32">
        <v>7.9</v>
      </c>
      <c r="D1163" s="6" t="s">
        <v>17</v>
      </c>
      <c r="E1163" s="29">
        <v>4.0999999999999996</v>
      </c>
      <c r="F1163" s="13">
        <v>1.6</v>
      </c>
      <c r="G1163" s="31">
        <v>2.74</v>
      </c>
      <c r="H1163" s="13">
        <v>0.9</v>
      </c>
      <c r="I1163" s="6" t="s">
        <v>19</v>
      </c>
      <c r="J1163" s="11">
        <v>9</v>
      </c>
      <c r="K1163" s="11">
        <v>3</v>
      </c>
      <c r="L1163" s="11">
        <v>5</v>
      </c>
      <c r="M1163" s="15">
        <v>0</v>
      </c>
      <c r="R1163" s="20">
        <v>0</v>
      </c>
      <c r="U1163" s="17">
        <v>0</v>
      </c>
      <c r="W1163" s="23">
        <v>0</v>
      </c>
      <c r="Y1163" s="26">
        <v>0</v>
      </c>
    </row>
    <row r="1164" spans="1:25" x14ac:dyDescent="0.25">
      <c r="A1164" s="7">
        <v>16</v>
      </c>
      <c r="B1164" s="6" t="s">
        <v>16</v>
      </c>
      <c r="C1164" s="32">
        <v>5.5</v>
      </c>
      <c r="D1164" s="6" t="s">
        <v>20</v>
      </c>
      <c r="E1164" s="29">
        <v>5.8</v>
      </c>
      <c r="F1164" s="13">
        <v>2.5</v>
      </c>
      <c r="G1164" s="31">
        <v>2.34</v>
      </c>
      <c r="H1164" s="13">
        <v>1</v>
      </c>
      <c r="I1164" s="6" t="s">
        <v>15</v>
      </c>
      <c r="J1164" s="11">
        <v>5</v>
      </c>
      <c r="K1164" s="11">
        <v>2</v>
      </c>
      <c r="L1164" s="11">
        <v>8</v>
      </c>
      <c r="M1164" s="15">
        <v>0</v>
      </c>
      <c r="R1164" s="20">
        <v>0</v>
      </c>
      <c r="U1164" s="17">
        <v>0</v>
      </c>
      <c r="W1164" s="23">
        <v>0</v>
      </c>
      <c r="Y1164" s="26">
        <v>0</v>
      </c>
    </row>
    <row r="1165" spans="1:25" x14ac:dyDescent="0.25">
      <c r="A1165" s="7">
        <v>19</v>
      </c>
      <c r="B1165" s="6" t="s">
        <v>13</v>
      </c>
      <c r="C1165" s="32">
        <v>4</v>
      </c>
      <c r="D1165" s="6" t="s">
        <v>14</v>
      </c>
      <c r="E1165" s="29">
        <v>7.8</v>
      </c>
      <c r="F1165" s="13">
        <v>0.6</v>
      </c>
      <c r="G1165" s="31">
        <v>3.61</v>
      </c>
      <c r="H1165" s="13">
        <v>1.7</v>
      </c>
      <c r="I1165" s="6" t="s">
        <v>18</v>
      </c>
      <c r="J1165" s="11">
        <v>2</v>
      </c>
      <c r="K1165" s="11">
        <v>7</v>
      </c>
      <c r="L1165" s="11">
        <v>9</v>
      </c>
      <c r="M1165" s="15">
        <v>0</v>
      </c>
      <c r="R1165" s="20">
        <v>0</v>
      </c>
      <c r="U1165" s="17">
        <v>0</v>
      </c>
      <c r="W1165" s="23">
        <v>0</v>
      </c>
      <c r="Y1165" s="26">
        <v>0</v>
      </c>
    </row>
    <row r="1166" spans="1:25" x14ac:dyDescent="0.25">
      <c r="A1166" s="7">
        <v>15</v>
      </c>
      <c r="B1166" s="6" t="s">
        <v>16</v>
      </c>
      <c r="C1166" s="32">
        <v>7.9</v>
      </c>
      <c r="D1166" s="6" t="s">
        <v>17</v>
      </c>
      <c r="E1166" s="29">
        <v>4.7</v>
      </c>
      <c r="F1166" s="13">
        <v>1.5</v>
      </c>
      <c r="G1166" s="31">
        <v>3.3</v>
      </c>
      <c r="H1166" s="13">
        <v>0</v>
      </c>
      <c r="I1166" s="6" t="s">
        <v>15</v>
      </c>
      <c r="J1166" s="11">
        <v>5</v>
      </c>
      <c r="K1166" s="11">
        <v>8</v>
      </c>
      <c r="L1166" s="11">
        <v>5</v>
      </c>
      <c r="M1166" s="15">
        <v>0</v>
      </c>
      <c r="R1166" s="20">
        <v>0</v>
      </c>
      <c r="U1166" s="17">
        <v>0</v>
      </c>
      <c r="W1166" s="23">
        <v>0</v>
      </c>
      <c r="Y1166" s="26">
        <v>0</v>
      </c>
    </row>
    <row r="1167" spans="1:25" x14ac:dyDescent="0.25">
      <c r="A1167" s="7">
        <v>18</v>
      </c>
      <c r="B1167" s="6" t="s">
        <v>16</v>
      </c>
      <c r="C1167" s="32">
        <v>5.5</v>
      </c>
      <c r="D1167" s="6" t="s">
        <v>20</v>
      </c>
      <c r="E1167" s="29">
        <v>8.1999999999999993</v>
      </c>
      <c r="F1167" s="13">
        <v>0.5</v>
      </c>
      <c r="G1167" s="31">
        <v>3.15</v>
      </c>
      <c r="H1167" s="13">
        <v>1.2</v>
      </c>
      <c r="I1167" s="6" t="s">
        <v>19</v>
      </c>
      <c r="J1167" s="11">
        <v>8</v>
      </c>
      <c r="K1167" s="11">
        <v>7</v>
      </c>
      <c r="L1167" s="11">
        <v>7</v>
      </c>
      <c r="M1167" s="15">
        <v>0</v>
      </c>
      <c r="R1167" s="20">
        <v>0</v>
      </c>
      <c r="U1167" s="17">
        <v>0</v>
      </c>
      <c r="W1167" s="23">
        <v>0</v>
      </c>
      <c r="Y1167" s="26">
        <v>0</v>
      </c>
    </row>
    <row r="1168" spans="1:25" x14ac:dyDescent="0.25">
      <c r="A1168" s="7">
        <v>17</v>
      </c>
      <c r="B1168" s="6" t="s">
        <v>16</v>
      </c>
      <c r="C1168" s="32">
        <v>7.6</v>
      </c>
      <c r="D1168" s="6" t="s">
        <v>20</v>
      </c>
      <c r="E1168" s="29">
        <v>7.1</v>
      </c>
      <c r="F1168" s="13">
        <v>1.1000000000000001</v>
      </c>
      <c r="G1168" s="31">
        <v>2.0699999999999998</v>
      </c>
      <c r="H1168" s="13">
        <v>1.9</v>
      </c>
      <c r="I1168" s="6" t="s">
        <v>18</v>
      </c>
      <c r="J1168" s="11">
        <v>3</v>
      </c>
      <c r="K1168" s="11">
        <v>2</v>
      </c>
      <c r="L1168" s="11">
        <v>6</v>
      </c>
      <c r="M1168" s="15">
        <v>0</v>
      </c>
      <c r="R1168" s="20">
        <v>0</v>
      </c>
      <c r="U1168" s="17">
        <v>0</v>
      </c>
      <c r="W1168" s="23">
        <v>0</v>
      </c>
      <c r="Y1168" s="26">
        <v>0</v>
      </c>
    </row>
    <row r="1169" spans="1:25" x14ac:dyDescent="0.25">
      <c r="A1169" s="7">
        <v>13</v>
      </c>
      <c r="B1169" s="6" t="s">
        <v>13</v>
      </c>
      <c r="C1169" s="32">
        <v>1.3</v>
      </c>
      <c r="D1169" s="6" t="s">
        <v>17</v>
      </c>
      <c r="E1169" s="29">
        <v>4.4000000000000004</v>
      </c>
      <c r="F1169" s="13">
        <v>0.9</v>
      </c>
      <c r="G1169" s="31">
        <v>2.99</v>
      </c>
      <c r="H1169" s="13">
        <v>0</v>
      </c>
      <c r="I1169" s="6" t="s">
        <v>18</v>
      </c>
      <c r="J1169" s="11">
        <v>8</v>
      </c>
      <c r="K1169" s="11">
        <v>2</v>
      </c>
      <c r="L1169" s="11">
        <v>5</v>
      </c>
      <c r="M1169" s="15">
        <v>0</v>
      </c>
      <c r="R1169" s="20">
        <v>0</v>
      </c>
      <c r="U1169" s="17">
        <v>0</v>
      </c>
      <c r="W1169" s="23">
        <v>0</v>
      </c>
      <c r="Y1169" s="26">
        <v>0</v>
      </c>
    </row>
    <row r="1170" spans="1:25" x14ac:dyDescent="0.25">
      <c r="A1170" s="7">
        <v>16</v>
      </c>
      <c r="B1170" s="6" t="s">
        <v>13</v>
      </c>
      <c r="C1170" s="32">
        <v>7.3</v>
      </c>
      <c r="D1170" s="6" t="s">
        <v>17</v>
      </c>
      <c r="E1170" s="29">
        <v>7</v>
      </c>
      <c r="F1170" s="13">
        <v>2.2000000000000002</v>
      </c>
      <c r="G1170" s="31">
        <v>2.0699999999999998</v>
      </c>
      <c r="H1170" s="13">
        <v>1</v>
      </c>
      <c r="I1170" s="6" t="s">
        <v>19</v>
      </c>
      <c r="J1170" s="11">
        <v>3</v>
      </c>
      <c r="K1170" s="11">
        <v>7</v>
      </c>
      <c r="L1170" s="11">
        <v>1</v>
      </c>
      <c r="M1170" s="15">
        <v>0</v>
      </c>
      <c r="R1170" s="20">
        <v>0</v>
      </c>
      <c r="U1170" s="17">
        <v>0</v>
      </c>
      <c r="W1170" s="23">
        <v>0</v>
      </c>
      <c r="Y1170" s="26">
        <v>0</v>
      </c>
    </row>
    <row r="1171" spans="1:25" x14ac:dyDescent="0.25">
      <c r="A1171" s="7">
        <v>18</v>
      </c>
      <c r="B1171" s="6" t="s">
        <v>13</v>
      </c>
      <c r="C1171" s="32">
        <v>4.3</v>
      </c>
      <c r="D1171" s="6" t="s">
        <v>14</v>
      </c>
      <c r="E1171" s="29">
        <v>6.7</v>
      </c>
      <c r="F1171" s="13">
        <v>2.5</v>
      </c>
      <c r="G1171" s="31">
        <v>3.19</v>
      </c>
      <c r="H1171" s="13">
        <v>1</v>
      </c>
      <c r="I1171" s="6" t="s">
        <v>18</v>
      </c>
      <c r="J1171" s="11">
        <v>5</v>
      </c>
      <c r="K1171" s="11">
        <v>5</v>
      </c>
      <c r="L1171" s="11">
        <v>5</v>
      </c>
      <c r="M1171" s="15">
        <v>0</v>
      </c>
      <c r="R1171" s="20">
        <v>0</v>
      </c>
      <c r="U1171" s="17">
        <v>0</v>
      </c>
      <c r="W1171" s="23">
        <v>0</v>
      </c>
      <c r="Y1171" s="26">
        <v>0</v>
      </c>
    </row>
    <row r="1172" spans="1:25" x14ac:dyDescent="0.25">
      <c r="A1172" s="7">
        <v>16</v>
      </c>
      <c r="B1172" s="6" t="s">
        <v>13</v>
      </c>
      <c r="C1172" s="32">
        <v>7.1</v>
      </c>
      <c r="D1172" s="6" t="s">
        <v>17</v>
      </c>
      <c r="E1172" s="29">
        <v>7.7</v>
      </c>
      <c r="F1172" s="13">
        <v>1.9</v>
      </c>
      <c r="G1172" s="31">
        <v>2.2400000000000002</v>
      </c>
      <c r="H1172" s="13">
        <v>0.6</v>
      </c>
      <c r="I1172" s="6" t="s">
        <v>18</v>
      </c>
      <c r="J1172" s="11">
        <v>8</v>
      </c>
      <c r="K1172" s="11">
        <v>10</v>
      </c>
      <c r="L1172" s="11">
        <v>5</v>
      </c>
      <c r="M1172" s="15">
        <v>0</v>
      </c>
      <c r="R1172" s="20">
        <v>0</v>
      </c>
      <c r="U1172" s="17">
        <v>0</v>
      </c>
      <c r="W1172" s="23">
        <v>0</v>
      </c>
      <c r="Y1172" s="26">
        <v>0</v>
      </c>
    </row>
    <row r="1173" spans="1:25" x14ac:dyDescent="0.25">
      <c r="A1173" s="7">
        <v>14</v>
      </c>
      <c r="B1173" s="6" t="s">
        <v>16</v>
      </c>
      <c r="C1173" s="32">
        <v>5.7</v>
      </c>
      <c r="D1173" s="6" t="s">
        <v>17</v>
      </c>
      <c r="E1173" s="29">
        <v>6.4</v>
      </c>
      <c r="F1173" s="13">
        <v>1.9</v>
      </c>
      <c r="G1173" s="31">
        <v>3.3</v>
      </c>
      <c r="H1173" s="13">
        <v>1.3</v>
      </c>
      <c r="I1173" s="6" t="s">
        <v>18</v>
      </c>
      <c r="J1173" s="11">
        <v>6</v>
      </c>
      <c r="K1173" s="11">
        <v>8</v>
      </c>
      <c r="L1173" s="11">
        <v>5</v>
      </c>
      <c r="M1173" s="15">
        <v>0</v>
      </c>
      <c r="R1173" s="20">
        <v>0</v>
      </c>
      <c r="U1173" s="17">
        <v>0</v>
      </c>
      <c r="W1173" s="23">
        <v>0</v>
      </c>
      <c r="Y1173" s="26">
        <v>0</v>
      </c>
    </row>
    <row r="1174" spans="1:25" x14ac:dyDescent="0.25">
      <c r="A1174" s="7">
        <v>18</v>
      </c>
      <c r="B1174" s="6" t="s">
        <v>16</v>
      </c>
      <c r="C1174" s="32">
        <v>5.2</v>
      </c>
      <c r="D1174" s="6" t="s">
        <v>20</v>
      </c>
      <c r="E1174" s="29">
        <v>7.3</v>
      </c>
      <c r="F1174" s="13">
        <v>1.7</v>
      </c>
      <c r="G1174" s="31">
        <v>3.33</v>
      </c>
      <c r="H1174" s="13">
        <v>0.9</v>
      </c>
      <c r="I1174" s="6" t="s">
        <v>15</v>
      </c>
      <c r="J1174" s="11">
        <v>7</v>
      </c>
      <c r="K1174" s="11">
        <v>4</v>
      </c>
      <c r="L1174" s="11">
        <v>9</v>
      </c>
      <c r="M1174" s="15">
        <v>0</v>
      </c>
      <c r="R1174" s="20">
        <v>0</v>
      </c>
      <c r="U1174" s="17">
        <v>0</v>
      </c>
      <c r="W1174" s="23">
        <v>0</v>
      </c>
      <c r="Y1174" s="26">
        <v>0</v>
      </c>
    </row>
    <row r="1175" spans="1:25" x14ac:dyDescent="0.25">
      <c r="A1175" s="7">
        <v>17</v>
      </c>
      <c r="B1175" s="6" t="s">
        <v>13</v>
      </c>
      <c r="C1175" s="32">
        <v>3.1</v>
      </c>
      <c r="D1175" s="6" t="s">
        <v>17</v>
      </c>
      <c r="E1175" s="29">
        <v>7.7</v>
      </c>
      <c r="F1175" s="13">
        <v>2.2000000000000002</v>
      </c>
      <c r="G1175" s="31">
        <v>3.72</v>
      </c>
      <c r="H1175" s="13">
        <v>1.4</v>
      </c>
      <c r="I1175" s="6" t="s">
        <v>19</v>
      </c>
      <c r="J1175" s="11">
        <v>1</v>
      </c>
      <c r="K1175" s="11">
        <v>5</v>
      </c>
      <c r="L1175" s="11">
        <v>8</v>
      </c>
      <c r="M1175" s="15">
        <v>0</v>
      </c>
      <c r="R1175" s="20">
        <v>0</v>
      </c>
      <c r="U1175" s="17">
        <v>0</v>
      </c>
      <c r="W1175" s="23">
        <v>0</v>
      </c>
      <c r="Y1175" s="26">
        <v>0</v>
      </c>
    </row>
    <row r="1176" spans="1:25" x14ac:dyDescent="0.25">
      <c r="A1176" s="7">
        <v>13</v>
      </c>
      <c r="B1176" s="6" t="s">
        <v>13</v>
      </c>
      <c r="C1176" s="32">
        <v>3</v>
      </c>
      <c r="D1176" s="6" t="s">
        <v>20</v>
      </c>
      <c r="E1176" s="29">
        <v>6.2</v>
      </c>
      <c r="F1176" s="13">
        <v>0.8</v>
      </c>
      <c r="G1176" s="31">
        <v>3.96</v>
      </c>
      <c r="H1176" s="13">
        <v>1.1000000000000001</v>
      </c>
      <c r="I1176" s="6" t="s">
        <v>15</v>
      </c>
      <c r="J1176" s="11">
        <v>9</v>
      </c>
      <c r="K1176" s="11">
        <v>10</v>
      </c>
      <c r="L1176" s="11">
        <v>3</v>
      </c>
      <c r="M1176" s="15">
        <v>0</v>
      </c>
      <c r="R1176" s="20">
        <v>0</v>
      </c>
      <c r="U1176" s="17">
        <v>0</v>
      </c>
      <c r="W1176" s="23">
        <v>0</v>
      </c>
      <c r="Y1176" s="26">
        <v>0</v>
      </c>
    </row>
    <row r="1177" spans="1:25" x14ac:dyDescent="0.25">
      <c r="A1177" s="7">
        <v>17</v>
      </c>
      <c r="B1177" s="6" t="s">
        <v>16</v>
      </c>
      <c r="C1177" s="32">
        <v>6</v>
      </c>
      <c r="D1177" s="6" t="s">
        <v>20</v>
      </c>
      <c r="E1177" s="29">
        <v>4.2</v>
      </c>
      <c r="F1177" s="13">
        <v>2.2000000000000002</v>
      </c>
      <c r="G1177" s="31">
        <v>2.27</v>
      </c>
      <c r="H1177" s="13">
        <v>0.5</v>
      </c>
      <c r="I1177" s="6" t="s">
        <v>19</v>
      </c>
      <c r="J1177" s="11">
        <v>1</v>
      </c>
      <c r="K1177" s="11">
        <v>4</v>
      </c>
      <c r="L1177" s="11">
        <v>5</v>
      </c>
      <c r="M1177" s="15">
        <v>0</v>
      </c>
      <c r="R1177" s="20">
        <v>0</v>
      </c>
      <c r="U1177" s="17">
        <v>0</v>
      </c>
      <c r="W1177" s="23">
        <v>0</v>
      </c>
      <c r="Y1177" s="26">
        <v>0</v>
      </c>
    </row>
    <row r="1178" spans="1:25" x14ac:dyDescent="0.25">
      <c r="A1178" s="7">
        <v>13</v>
      </c>
      <c r="B1178" s="6" t="s">
        <v>13</v>
      </c>
      <c r="C1178" s="32">
        <v>5.9</v>
      </c>
      <c r="D1178" s="6" t="s">
        <v>14</v>
      </c>
      <c r="E1178" s="29">
        <v>8.6</v>
      </c>
      <c r="F1178" s="13">
        <v>1.9</v>
      </c>
      <c r="G1178" s="31">
        <v>3.88</v>
      </c>
      <c r="H1178" s="13">
        <v>0.2</v>
      </c>
      <c r="I1178" s="6" t="s">
        <v>19</v>
      </c>
      <c r="J1178" s="11">
        <v>1</v>
      </c>
      <c r="K1178" s="11">
        <v>6</v>
      </c>
      <c r="L1178" s="11">
        <v>9</v>
      </c>
      <c r="M1178" s="15">
        <v>0</v>
      </c>
      <c r="R1178" s="20">
        <v>0</v>
      </c>
      <c r="U1178" s="17">
        <v>0</v>
      </c>
      <c r="W1178" s="23">
        <v>0</v>
      </c>
      <c r="Y1178" s="26">
        <v>0</v>
      </c>
    </row>
    <row r="1179" spans="1:25" x14ac:dyDescent="0.25">
      <c r="A1179" s="7">
        <v>15</v>
      </c>
      <c r="B1179" s="6" t="s">
        <v>13</v>
      </c>
      <c r="C1179" s="32">
        <v>5.0999999999999996</v>
      </c>
      <c r="D1179" s="6" t="s">
        <v>17</v>
      </c>
      <c r="E1179" s="29">
        <v>5.5</v>
      </c>
      <c r="F1179" s="13">
        <v>0.7</v>
      </c>
      <c r="G1179" s="31">
        <v>2.13</v>
      </c>
      <c r="H1179" s="13">
        <v>0.5</v>
      </c>
      <c r="I1179" s="6" t="s">
        <v>19</v>
      </c>
      <c r="J1179" s="11">
        <v>6</v>
      </c>
      <c r="K1179" s="11">
        <v>10</v>
      </c>
      <c r="L1179" s="11">
        <v>8</v>
      </c>
      <c r="M1179" s="15">
        <v>0</v>
      </c>
      <c r="R1179" s="20">
        <v>0</v>
      </c>
      <c r="U1179" s="17">
        <v>0</v>
      </c>
      <c r="W1179" s="23">
        <v>0</v>
      </c>
      <c r="Y1179" s="26">
        <v>0</v>
      </c>
    </row>
    <row r="1180" spans="1:25" x14ac:dyDescent="0.25">
      <c r="A1180" s="7">
        <v>19</v>
      </c>
      <c r="B1180" s="6" t="s">
        <v>16</v>
      </c>
      <c r="C1180" s="32">
        <v>3.5</v>
      </c>
      <c r="D1180" s="6" t="s">
        <v>14</v>
      </c>
      <c r="E1180" s="29">
        <v>4.9000000000000004</v>
      </c>
      <c r="F1180" s="13">
        <v>0.5</v>
      </c>
      <c r="G1180" s="31">
        <v>3.68</v>
      </c>
      <c r="H1180" s="13">
        <v>1.7</v>
      </c>
      <c r="I1180" s="6" t="s">
        <v>18</v>
      </c>
      <c r="J1180" s="11">
        <v>8</v>
      </c>
      <c r="K1180" s="11">
        <v>4</v>
      </c>
      <c r="L1180" s="11">
        <v>3</v>
      </c>
      <c r="M1180" s="15">
        <v>0</v>
      </c>
      <c r="R1180" s="20">
        <v>0</v>
      </c>
      <c r="U1180" s="17">
        <v>0</v>
      </c>
      <c r="W1180" s="23">
        <v>0</v>
      </c>
      <c r="Y1180" s="26">
        <v>0</v>
      </c>
    </row>
    <row r="1181" spans="1:25" x14ac:dyDescent="0.25">
      <c r="A1181" s="7">
        <v>16</v>
      </c>
      <c r="B1181" s="6" t="s">
        <v>13</v>
      </c>
      <c r="C1181" s="32">
        <v>5.3</v>
      </c>
      <c r="D1181" s="6" t="s">
        <v>17</v>
      </c>
      <c r="E1181" s="29">
        <v>5.3</v>
      </c>
      <c r="F1181" s="13">
        <v>2.4</v>
      </c>
      <c r="G1181" s="31">
        <v>3.01</v>
      </c>
      <c r="H1181" s="13">
        <v>1.6</v>
      </c>
      <c r="I1181" s="6" t="s">
        <v>19</v>
      </c>
      <c r="J1181" s="11">
        <v>2</v>
      </c>
      <c r="K1181" s="11">
        <v>9</v>
      </c>
      <c r="L1181" s="11">
        <v>1</v>
      </c>
      <c r="M1181" s="15">
        <v>0</v>
      </c>
      <c r="R1181" s="20">
        <v>0</v>
      </c>
      <c r="U1181" s="17">
        <v>0</v>
      </c>
      <c r="W1181" s="23">
        <v>0</v>
      </c>
      <c r="Y1181" s="26">
        <v>0</v>
      </c>
    </row>
    <row r="1182" spans="1:25" x14ac:dyDescent="0.25">
      <c r="A1182" s="7">
        <v>13</v>
      </c>
      <c r="B1182" s="6" t="s">
        <v>16</v>
      </c>
      <c r="C1182" s="32">
        <v>4.0999999999999996</v>
      </c>
      <c r="D1182" s="6" t="s">
        <v>14</v>
      </c>
      <c r="E1182" s="29">
        <v>7.5</v>
      </c>
      <c r="F1182" s="13">
        <v>1.7</v>
      </c>
      <c r="G1182" s="31">
        <v>3.12</v>
      </c>
      <c r="H1182" s="13">
        <v>2</v>
      </c>
      <c r="I1182" s="6" t="s">
        <v>19</v>
      </c>
      <c r="J1182" s="11">
        <v>1</v>
      </c>
      <c r="K1182" s="11">
        <v>4</v>
      </c>
      <c r="L1182" s="11">
        <v>9</v>
      </c>
      <c r="M1182" s="15">
        <v>0</v>
      </c>
      <c r="R1182" s="20">
        <v>0</v>
      </c>
      <c r="U1182" s="17">
        <v>0</v>
      </c>
      <c r="W1182" s="23">
        <v>0</v>
      </c>
      <c r="Y1182" s="26">
        <v>0</v>
      </c>
    </row>
    <row r="1183" spans="1:25" x14ac:dyDescent="0.25">
      <c r="A1183" s="7">
        <v>18</v>
      </c>
      <c r="B1183" s="6" t="s">
        <v>13</v>
      </c>
      <c r="C1183" s="32">
        <v>4.0999999999999996</v>
      </c>
      <c r="D1183" s="6" t="s">
        <v>14</v>
      </c>
      <c r="E1183" s="29">
        <v>6.7</v>
      </c>
      <c r="F1183" s="13">
        <v>2.1</v>
      </c>
      <c r="G1183" s="31">
        <v>2.5</v>
      </c>
      <c r="H1183" s="13">
        <v>0.1</v>
      </c>
      <c r="I1183" s="6" t="s">
        <v>19</v>
      </c>
      <c r="J1183" s="11">
        <v>8</v>
      </c>
      <c r="K1183" s="11">
        <v>1</v>
      </c>
      <c r="L1183" s="11">
        <v>5</v>
      </c>
      <c r="M1183" s="15">
        <v>0</v>
      </c>
      <c r="R1183" s="20">
        <v>0</v>
      </c>
      <c r="U1183" s="17">
        <v>0</v>
      </c>
      <c r="W1183" s="23">
        <v>0</v>
      </c>
      <c r="Y1183" s="26">
        <v>0</v>
      </c>
    </row>
    <row r="1184" spans="1:25" x14ac:dyDescent="0.25">
      <c r="A1184" s="7">
        <v>15</v>
      </c>
      <c r="B1184" s="6" t="s">
        <v>13</v>
      </c>
      <c r="C1184" s="32">
        <v>6.3</v>
      </c>
      <c r="D1184" s="6" t="s">
        <v>17</v>
      </c>
      <c r="E1184" s="29">
        <v>6.8</v>
      </c>
      <c r="F1184" s="13">
        <v>1.8</v>
      </c>
      <c r="G1184" s="31">
        <v>2.59</v>
      </c>
      <c r="H1184" s="13">
        <v>1.9</v>
      </c>
      <c r="I1184" s="6" t="s">
        <v>18</v>
      </c>
      <c r="J1184" s="11">
        <v>10</v>
      </c>
      <c r="K1184" s="11">
        <v>5</v>
      </c>
      <c r="L1184" s="11">
        <v>5</v>
      </c>
      <c r="M1184" s="15">
        <v>0</v>
      </c>
      <c r="R1184" s="20">
        <v>0</v>
      </c>
      <c r="U1184" s="17">
        <v>0</v>
      </c>
      <c r="W1184" s="23">
        <v>0</v>
      </c>
      <c r="Y1184" s="26">
        <v>0</v>
      </c>
    </row>
    <row r="1185" spans="1:25" x14ac:dyDescent="0.25">
      <c r="A1185" s="7">
        <v>19</v>
      </c>
      <c r="B1185" s="6" t="s">
        <v>16</v>
      </c>
      <c r="C1185" s="32">
        <v>6.6</v>
      </c>
      <c r="D1185" s="6" t="s">
        <v>20</v>
      </c>
      <c r="E1185" s="29">
        <v>9</v>
      </c>
      <c r="F1185" s="13">
        <v>2.9</v>
      </c>
      <c r="G1185" s="31">
        <v>2.4700000000000002</v>
      </c>
      <c r="H1185" s="13">
        <v>1.7</v>
      </c>
      <c r="I1185" s="6" t="s">
        <v>19</v>
      </c>
      <c r="J1185" s="11">
        <v>3</v>
      </c>
      <c r="K1185" s="11">
        <v>7</v>
      </c>
      <c r="L1185" s="11">
        <v>9</v>
      </c>
      <c r="M1185" s="15">
        <v>0</v>
      </c>
      <c r="R1185" s="20">
        <v>0</v>
      </c>
      <c r="U1185" s="17">
        <v>0</v>
      </c>
      <c r="W1185" s="23">
        <v>0</v>
      </c>
      <c r="Y1185" s="26">
        <v>0</v>
      </c>
    </row>
    <row r="1186" spans="1:25" x14ac:dyDescent="0.25">
      <c r="A1186" s="7">
        <v>19</v>
      </c>
      <c r="B1186" s="6" t="s">
        <v>13</v>
      </c>
      <c r="C1186" s="32">
        <v>1.4</v>
      </c>
      <c r="D1186" s="6" t="s">
        <v>20</v>
      </c>
      <c r="E1186" s="29">
        <v>4.5</v>
      </c>
      <c r="F1186" s="13">
        <v>2.2999999999999998</v>
      </c>
      <c r="G1186" s="31">
        <v>3.9</v>
      </c>
      <c r="H1186" s="13">
        <v>0</v>
      </c>
      <c r="I1186" s="6" t="s">
        <v>19</v>
      </c>
      <c r="J1186" s="11">
        <v>2</v>
      </c>
      <c r="K1186" s="11">
        <v>8</v>
      </c>
      <c r="L1186" s="11">
        <v>10</v>
      </c>
      <c r="M1186" s="15">
        <v>0</v>
      </c>
      <c r="R1186" s="20">
        <v>0</v>
      </c>
      <c r="U1186" s="17">
        <v>0</v>
      </c>
      <c r="W1186" s="23">
        <v>0</v>
      </c>
      <c r="Y1186" s="26">
        <v>0</v>
      </c>
    </row>
    <row r="1187" spans="1:25" x14ac:dyDescent="0.25">
      <c r="A1187" s="7">
        <v>19</v>
      </c>
      <c r="B1187" s="6" t="s">
        <v>13</v>
      </c>
      <c r="C1187" s="32">
        <v>2.4</v>
      </c>
      <c r="D1187" s="6" t="s">
        <v>17</v>
      </c>
      <c r="E1187" s="29">
        <v>9</v>
      </c>
      <c r="F1187" s="13">
        <v>2.4</v>
      </c>
      <c r="G1187" s="31">
        <v>3.13</v>
      </c>
      <c r="H1187" s="13">
        <v>0.5</v>
      </c>
      <c r="I1187" s="6" t="s">
        <v>18</v>
      </c>
      <c r="J1187" s="11">
        <v>5</v>
      </c>
      <c r="K1187" s="11">
        <v>3</v>
      </c>
      <c r="L1187" s="11">
        <v>3</v>
      </c>
      <c r="M1187" s="15">
        <v>0</v>
      </c>
      <c r="R1187" s="20">
        <v>0</v>
      </c>
      <c r="U1187" s="17">
        <v>0</v>
      </c>
      <c r="W1187" s="23">
        <v>0</v>
      </c>
      <c r="Y1187" s="26">
        <v>0</v>
      </c>
    </row>
    <row r="1188" spans="1:25" x14ac:dyDescent="0.25">
      <c r="A1188" s="7">
        <v>18</v>
      </c>
      <c r="B1188" s="6" t="s">
        <v>13</v>
      </c>
      <c r="C1188" s="32">
        <v>1.6</v>
      </c>
      <c r="D1188" s="6" t="s">
        <v>20</v>
      </c>
      <c r="E1188" s="29">
        <v>5.4</v>
      </c>
      <c r="F1188" s="13">
        <v>2</v>
      </c>
      <c r="G1188" s="31">
        <v>3.2</v>
      </c>
      <c r="H1188" s="13">
        <v>1.8</v>
      </c>
      <c r="I1188" s="6" t="s">
        <v>15</v>
      </c>
      <c r="J1188" s="11">
        <v>8</v>
      </c>
      <c r="K1188" s="11">
        <v>8</v>
      </c>
      <c r="L1188" s="11">
        <v>3</v>
      </c>
      <c r="M1188" s="15">
        <v>0</v>
      </c>
      <c r="R1188" s="20">
        <v>0</v>
      </c>
      <c r="U1188" s="17">
        <v>0</v>
      </c>
      <c r="W1188" s="23">
        <v>0</v>
      </c>
      <c r="Y1188" s="26">
        <v>0</v>
      </c>
    </row>
    <row r="1189" spans="1:25" x14ac:dyDescent="0.25">
      <c r="A1189" s="7">
        <v>18</v>
      </c>
      <c r="B1189" s="6" t="s">
        <v>13</v>
      </c>
      <c r="C1189" s="32">
        <v>2</v>
      </c>
      <c r="D1189" s="6" t="s">
        <v>14</v>
      </c>
      <c r="E1189" s="29">
        <v>8.9</v>
      </c>
      <c r="F1189" s="13">
        <v>0.8</v>
      </c>
      <c r="G1189" s="31">
        <v>2.96</v>
      </c>
      <c r="H1189" s="13">
        <v>0.5</v>
      </c>
      <c r="I1189" s="6" t="s">
        <v>19</v>
      </c>
      <c r="J1189" s="11">
        <v>6</v>
      </c>
      <c r="K1189" s="11">
        <v>2</v>
      </c>
      <c r="L1189" s="11">
        <v>2</v>
      </c>
      <c r="M1189" s="15">
        <v>0</v>
      </c>
      <c r="R1189" s="20">
        <v>0</v>
      </c>
      <c r="U1189" s="17">
        <v>0</v>
      </c>
      <c r="W1189" s="23">
        <v>0</v>
      </c>
      <c r="Y1189" s="26">
        <v>0</v>
      </c>
    </row>
    <row r="1190" spans="1:25" x14ac:dyDescent="0.25">
      <c r="A1190" s="7">
        <v>17</v>
      </c>
      <c r="B1190" s="6" t="s">
        <v>16</v>
      </c>
      <c r="C1190" s="32">
        <v>7.4</v>
      </c>
      <c r="D1190" s="6" t="s">
        <v>14</v>
      </c>
      <c r="E1190" s="29">
        <v>7.4</v>
      </c>
      <c r="F1190" s="13">
        <v>2</v>
      </c>
      <c r="G1190" s="31">
        <v>3.76</v>
      </c>
      <c r="H1190" s="13">
        <v>1.7</v>
      </c>
      <c r="I1190" s="6" t="s">
        <v>18</v>
      </c>
      <c r="J1190" s="11">
        <v>10</v>
      </c>
      <c r="K1190" s="11">
        <v>1</v>
      </c>
      <c r="L1190" s="11">
        <v>4</v>
      </c>
      <c r="M1190" s="15">
        <v>0</v>
      </c>
      <c r="R1190" s="20">
        <v>0</v>
      </c>
      <c r="U1190" s="17">
        <v>0</v>
      </c>
      <c r="W1190" s="23">
        <v>0</v>
      </c>
      <c r="Y1190" s="26">
        <v>0</v>
      </c>
    </row>
    <row r="1191" spans="1:25" x14ac:dyDescent="0.25">
      <c r="A1191" s="7">
        <v>14</v>
      </c>
      <c r="B1191" s="6" t="s">
        <v>16</v>
      </c>
      <c r="C1191" s="32">
        <v>1.6</v>
      </c>
      <c r="D1191" s="6" t="s">
        <v>17</v>
      </c>
      <c r="E1191" s="29">
        <v>4.8</v>
      </c>
      <c r="F1191" s="13">
        <v>2.4</v>
      </c>
      <c r="G1191" s="31">
        <v>2.97</v>
      </c>
      <c r="H1191" s="13">
        <v>1.9</v>
      </c>
      <c r="I1191" s="6" t="s">
        <v>15</v>
      </c>
      <c r="J1191" s="11">
        <v>9</v>
      </c>
      <c r="K1191" s="11">
        <v>9</v>
      </c>
      <c r="L1191" s="11">
        <v>10</v>
      </c>
      <c r="M1191" s="15">
        <v>0</v>
      </c>
      <c r="R1191" s="20">
        <v>0</v>
      </c>
      <c r="U1191" s="17">
        <v>0</v>
      </c>
      <c r="W1191" s="23">
        <v>0</v>
      </c>
      <c r="Y1191" s="26">
        <v>0</v>
      </c>
    </row>
    <row r="1192" spans="1:25" x14ac:dyDescent="0.25">
      <c r="A1192" s="7">
        <v>17</v>
      </c>
      <c r="B1192" s="6" t="s">
        <v>16</v>
      </c>
      <c r="C1192" s="32">
        <v>3.8</v>
      </c>
      <c r="D1192" s="6" t="s">
        <v>14</v>
      </c>
      <c r="E1192" s="29">
        <v>8.4</v>
      </c>
      <c r="F1192" s="13">
        <v>0.9</v>
      </c>
      <c r="G1192" s="31">
        <v>3.6</v>
      </c>
      <c r="H1192" s="13">
        <v>1.9</v>
      </c>
      <c r="I1192" s="6" t="s">
        <v>18</v>
      </c>
      <c r="J1192" s="11">
        <v>1</v>
      </c>
      <c r="K1192" s="11">
        <v>2</v>
      </c>
      <c r="L1192" s="11">
        <v>2</v>
      </c>
      <c r="M1192" s="15">
        <v>0</v>
      </c>
      <c r="R1192" s="20">
        <v>0</v>
      </c>
      <c r="U1192" s="17">
        <v>0</v>
      </c>
      <c r="W1192" s="23">
        <v>0</v>
      </c>
      <c r="Y1192" s="26">
        <v>0</v>
      </c>
    </row>
    <row r="1193" spans="1:25" x14ac:dyDescent="0.25">
      <c r="A1193" s="7">
        <v>19</v>
      </c>
      <c r="B1193" s="6" t="s">
        <v>13</v>
      </c>
      <c r="C1193" s="32">
        <v>8</v>
      </c>
      <c r="D1193" s="6" t="s">
        <v>17</v>
      </c>
      <c r="E1193" s="29">
        <v>4.7</v>
      </c>
      <c r="F1193" s="13">
        <v>0.5</v>
      </c>
      <c r="G1193" s="31">
        <v>2.1800000000000002</v>
      </c>
      <c r="H1193" s="13">
        <v>0.6</v>
      </c>
      <c r="I1193" s="6" t="s">
        <v>19</v>
      </c>
      <c r="J1193" s="11">
        <v>8</v>
      </c>
      <c r="K1193" s="11">
        <v>8</v>
      </c>
      <c r="L1193" s="11">
        <v>6</v>
      </c>
      <c r="M1193" s="15">
        <v>1</v>
      </c>
      <c r="R1193" s="20">
        <v>1</v>
      </c>
      <c r="U1193" s="17">
        <v>1</v>
      </c>
      <c r="W1193" s="23">
        <v>1</v>
      </c>
      <c r="Y1193" s="26">
        <v>1</v>
      </c>
    </row>
    <row r="1194" spans="1:25" x14ac:dyDescent="0.25">
      <c r="A1194" s="7">
        <v>13</v>
      </c>
      <c r="B1194" s="6" t="s">
        <v>13</v>
      </c>
      <c r="C1194" s="32">
        <v>7.8</v>
      </c>
      <c r="D1194" s="6" t="s">
        <v>17</v>
      </c>
      <c r="E1194" s="29">
        <v>5.9</v>
      </c>
      <c r="F1194" s="13">
        <v>1.5</v>
      </c>
      <c r="G1194" s="31">
        <v>3.31</v>
      </c>
      <c r="H1194" s="13">
        <v>1.9</v>
      </c>
      <c r="I1194" s="6" t="s">
        <v>18</v>
      </c>
      <c r="J1194" s="11">
        <v>10</v>
      </c>
      <c r="K1194" s="11">
        <v>1</v>
      </c>
      <c r="L1194" s="11">
        <v>10</v>
      </c>
      <c r="M1194" s="15">
        <v>0</v>
      </c>
      <c r="R1194" s="20">
        <v>0</v>
      </c>
      <c r="U1194" s="17">
        <v>0</v>
      </c>
      <c r="W1194" s="23">
        <v>0</v>
      </c>
      <c r="Y1194" s="26">
        <v>0</v>
      </c>
    </row>
    <row r="1195" spans="1:25" x14ac:dyDescent="0.25">
      <c r="A1195" s="7">
        <v>13</v>
      </c>
      <c r="B1195" s="6" t="s">
        <v>16</v>
      </c>
      <c r="C1195" s="32">
        <v>7.2</v>
      </c>
      <c r="D1195" s="6" t="s">
        <v>14</v>
      </c>
      <c r="E1195" s="29">
        <v>8.1</v>
      </c>
      <c r="F1195" s="13">
        <v>2.1</v>
      </c>
      <c r="G1195" s="31">
        <v>2.52</v>
      </c>
      <c r="H1195" s="13">
        <v>0.4</v>
      </c>
      <c r="I1195" s="6" t="s">
        <v>19</v>
      </c>
      <c r="J1195" s="11">
        <v>3</v>
      </c>
      <c r="K1195" s="11">
        <v>3</v>
      </c>
      <c r="L1195" s="11">
        <v>7</v>
      </c>
      <c r="M1195" s="15">
        <v>0</v>
      </c>
      <c r="R1195" s="20">
        <v>0</v>
      </c>
      <c r="U1195" s="17">
        <v>0</v>
      </c>
      <c r="W1195" s="23">
        <v>0</v>
      </c>
      <c r="Y1195" s="26">
        <v>0</v>
      </c>
    </row>
    <row r="1196" spans="1:25" x14ac:dyDescent="0.25">
      <c r="A1196" s="7">
        <v>17</v>
      </c>
      <c r="B1196" s="6" t="s">
        <v>13</v>
      </c>
      <c r="C1196" s="32">
        <v>2</v>
      </c>
      <c r="D1196" s="6" t="s">
        <v>20</v>
      </c>
      <c r="E1196" s="29">
        <v>4.5</v>
      </c>
      <c r="F1196" s="13">
        <v>1.7</v>
      </c>
      <c r="G1196" s="31">
        <v>2.65</v>
      </c>
      <c r="H1196" s="13">
        <v>0</v>
      </c>
      <c r="I1196" s="6" t="s">
        <v>19</v>
      </c>
      <c r="J1196" s="11">
        <v>9</v>
      </c>
      <c r="K1196" s="11">
        <v>4</v>
      </c>
      <c r="L1196" s="11">
        <v>2</v>
      </c>
      <c r="M1196" s="15">
        <v>0</v>
      </c>
      <c r="R1196" s="20">
        <v>0</v>
      </c>
      <c r="U1196" s="17">
        <v>0</v>
      </c>
      <c r="W1196" s="23">
        <v>0</v>
      </c>
      <c r="Y1196" s="26">
        <v>0</v>
      </c>
    </row>
    <row r="1197" spans="1:25" x14ac:dyDescent="0.25">
      <c r="A1197" s="7">
        <v>18</v>
      </c>
      <c r="B1197" s="6" t="s">
        <v>16</v>
      </c>
      <c r="C1197" s="32">
        <v>6.8</v>
      </c>
      <c r="D1197" s="6" t="s">
        <v>14</v>
      </c>
      <c r="E1197" s="29">
        <v>6.6</v>
      </c>
      <c r="F1197" s="13">
        <v>2</v>
      </c>
      <c r="G1197" s="31">
        <v>2.76</v>
      </c>
      <c r="H1197" s="13">
        <v>1</v>
      </c>
      <c r="I1197" s="6" t="s">
        <v>15</v>
      </c>
      <c r="J1197" s="11">
        <v>3</v>
      </c>
      <c r="K1197" s="11">
        <v>4</v>
      </c>
      <c r="L1197" s="11">
        <v>4</v>
      </c>
      <c r="M1197" s="15">
        <v>0</v>
      </c>
      <c r="R1197" s="20">
        <v>0</v>
      </c>
      <c r="U1197" s="17">
        <v>0</v>
      </c>
      <c r="W1197" s="23">
        <v>0</v>
      </c>
      <c r="Y1197" s="26">
        <v>0</v>
      </c>
    </row>
    <row r="1198" spans="1:25" x14ac:dyDescent="0.25">
      <c r="A1198" s="7">
        <v>16</v>
      </c>
      <c r="B1198" s="6" t="s">
        <v>13</v>
      </c>
      <c r="C1198" s="32">
        <v>2.2999999999999998</v>
      </c>
      <c r="D1198" s="6" t="s">
        <v>20</v>
      </c>
      <c r="E1198" s="29">
        <v>8</v>
      </c>
      <c r="F1198" s="13">
        <v>1.9</v>
      </c>
      <c r="G1198" s="31">
        <v>2.12</v>
      </c>
      <c r="H1198" s="13">
        <v>0.4</v>
      </c>
      <c r="I1198" s="6" t="s">
        <v>18</v>
      </c>
      <c r="J1198" s="11">
        <v>7</v>
      </c>
      <c r="K1198" s="11">
        <v>4</v>
      </c>
      <c r="L1198" s="11">
        <v>4</v>
      </c>
      <c r="M1198" s="15">
        <v>0</v>
      </c>
      <c r="R1198" s="20">
        <v>0</v>
      </c>
      <c r="U1198" s="17">
        <v>0</v>
      </c>
      <c r="W1198" s="23">
        <v>0</v>
      </c>
      <c r="Y1198" s="26">
        <v>0</v>
      </c>
    </row>
    <row r="1199" spans="1:25" x14ac:dyDescent="0.25">
      <c r="A1199" s="7">
        <v>14</v>
      </c>
      <c r="B1199" s="6" t="s">
        <v>16</v>
      </c>
      <c r="C1199" s="32">
        <v>1.7</v>
      </c>
      <c r="D1199" s="6" t="s">
        <v>20</v>
      </c>
      <c r="E1199" s="29">
        <v>8.6999999999999993</v>
      </c>
      <c r="F1199" s="13">
        <v>0.7</v>
      </c>
      <c r="G1199" s="31">
        <v>3.98</v>
      </c>
      <c r="H1199" s="13">
        <v>0.8</v>
      </c>
      <c r="I1199" s="6" t="s">
        <v>18</v>
      </c>
      <c r="J1199" s="11">
        <v>1</v>
      </c>
      <c r="K1199" s="11">
        <v>1</v>
      </c>
      <c r="L1199" s="11">
        <v>1</v>
      </c>
      <c r="M1199" s="15">
        <v>0</v>
      </c>
      <c r="R1199" s="20">
        <v>0</v>
      </c>
      <c r="U1199" s="17">
        <v>0</v>
      </c>
      <c r="W1199" s="23">
        <v>0</v>
      </c>
      <c r="Y1199" s="26">
        <v>0</v>
      </c>
    </row>
    <row r="1200" spans="1:25" x14ac:dyDescent="0.25">
      <c r="A1200" s="7">
        <v>15</v>
      </c>
      <c r="B1200" s="6" t="s">
        <v>13</v>
      </c>
      <c r="C1200" s="32">
        <v>3.9</v>
      </c>
      <c r="D1200" s="6" t="s">
        <v>20</v>
      </c>
      <c r="E1200" s="29">
        <v>8.5</v>
      </c>
      <c r="F1200" s="13">
        <v>2.1</v>
      </c>
      <c r="G1200" s="31">
        <v>3.19</v>
      </c>
      <c r="H1200" s="13">
        <v>0.6</v>
      </c>
      <c r="I1200" s="6" t="s">
        <v>18</v>
      </c>
      <c r="J1200" s="11">
        <v>7</v>
      </c>
      <c r="K1200" s="11">
        <v>9</v>
      </c>
      <c r="L1200" s="11">
        <v>9</v>
      </c>
      <c r="M1200" s="15">
        <v>0</v>
      </c>
      <c r="R1200" s="20">
        <v>0</v>
      </c>
      <c r="U1200" s="17">
        <v>0</v>
      </c>
      <c r="W1200" s="23">
        <v>0</v>
      </c>
      <c r="Y1200" s="26">
        <v>0</v>
      </c>
    </row>
    <row r="1201" spans="1:25" x14ac:dyDescent="0.25">
      <c r="A1201" s="7">
        <v>16</v>
      </c>
      <c r="B1201" s="6" t="s">
        <v>16</v>
      </c>
      <c r="C1201" s="32">
        <v>4.7</v>
      </c>
      <c r="D1201" s="6" t="s">
        <v>17</v>
      </c>
      <c r="E1201" s="29">
        <v>6.5</v>
      </c>
      <c r="F1201" s="13">
        <v>1</v>
      </c>
      <c r="G1201" s="31">
        <v>2.91</v>
      </c>
      <c r="H1201" s="13">
        <v>0.9</v>
      </c>
      <c r="I1201" s="6" t="s">
        <v>19</v>
      </c>
      <c r="J1201" s="11">
        <v>5</v>
      </c>
      <c r="K1201" s="11">
        <v>7</v>
      </c>
      <c r="L1201" s="11">
        <v>3</v>
      </c>
      <c r="M1201" s="15">
        <v>0</v>
      </c>
      <c r="R1201" s="20">
        <v>0</v>
      </c>
      <c r="U1201" s="17">
        <v>0</v>
      </c>
      <c r="W1201" s="23">
        <v>0</v>
      </c>
      <c r="Y1201" s="26">
        <v>0</v>
      </c>
    </row>
    <row r="1202" spans="1:25" x14ac:dyDescent="0.25">
      <c r="E1202"/>
    </row>
    <row r="1203" spans="1:25" x14ac:dyDescent="0.25">
      <c r="E1203"/>
    </row>
    <row r="1204" spans="1:25" x14ac:dyDescent="0.25">
      <c r="E1204"/>
    </row>
    <row r="1205" spans="1:25" x14ac:dyDescent="0.25">
      <c r="E1205"/>
    </row>
    <row r="1206" spans="1:25" x14ac:dyDescent="0.25">
      <c r="E1206"/>
    </row>
    <row r="1207" spans="1:25" x14ac:dyDescent="0.25">
      <c r="E1207"/>
    </row>
    <row r="1208" spans="1:25" x14ac:dyDescent="0.25">
      <c r="E1208"/>
    </row>
    <row r="1209" spans="1:25" x14ac:dyDescent="0.25">
      <c r="E1209"/>
    </row>
    <row r="1210" spans="1:25" x14ac:dyDescent="0.25">
      <c r="E1210"/>
    </row>
    <row r="1211" spans="1:25" x14ac:dyDescent="0.25">
      <c r="E1211"/>
    </row>
    <row r="1212" spans="1:25" x14ac:dyDescent="0.25">
      <c r="E1212"/>
    </row>
    <row r="1213" spans="1:25" x14ac:dyDescent="0.25">
      <c r="E1213"/>
    </row>
    <row r="1214" spans="1:25" x14ac:dyDescent="0.25">
      <c r="E1214"/>
    </row>
    <row r="1215" spans="1:25" x14ac:dyDescent="0.25">
      <c r="E1215"/>
    </row>
    <row r="1216" spans="1:2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x14ac:dyDescent="0.25">
      <c r="E2508"/>
    </row>
    <row r="2509" spans="5:5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x14ac:dyDescent="0.25">
      <c r="E2521"/>
    </row>
    <row r="2522" spans="5:5" x14ac:dyDescent="0.25">
      <c r="E2522"/>
    </row>
    <row r="2523" spans="5:5" x14ac:dyDescent="0.25">
      <c r="E2523"/>
    </row>
    <row r="2524" spans="5:5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x14ac:dyDescent="0.25">
      <c r="E2528"/>
    </row>
    <row r="2529" spans="5:5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x14ac:dyDescent="0.25">
      <c r="E2573"/>
    </row>
    <row r="2574" spans="5:5" x14ac:dyDescent="0.25">
      <c r="E2574"/>
    </row>
    <row r="2575" spans="5:5" x14ac:dyDescent="0.25">
      <c r="E2575"/>
    </row>
    <row r="2576" spans="5:5" x14ac:dyDescent="0.25">
      <c r="E2576"/>
    </row>
    <row r="2577" spans="5:5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x14ac:dyDescent="0.25">
      <c r="E2606"/>
    </row>
    <row r="2607" spans="5:5" x14ac:dyDescent="0.25">
      <c r="E2607"/>
    </row>
    <row r="2608" spans="5:5" x14ac:dyDescent="0.25">
      <c r="E2608"/>
    </row>
    <row r="2609" spans="5:5" x14ac:dyDescent="0.25">
      <c r="E2609"/>
    </row>
    <row r="2610" spans="5:5" x14ac:dyDescent="0.25">
      <c r="E2610"/>
    </row>
    <row r="2611" spans="5:5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x14ac:dyDescent="0.25">
      <c r="E2616"/>
    </row>
    <row r="2617" spans="5:5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x14ac:dyDescent="0.25">
      <c r="E2629"/>
    </row>
    <row r="2630" spans="5:5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x14ac:dyDescent="0.25">
      <c r="E2652"/>
    </row>
    <row r="2653" spans="5:5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x14ac:dyDescent="0.25">
      <c r="E2657"/>
    </row>
    <row r="2658" spans="5:5" x14ac:dyDescent="0.25">
      <c r="E2658"/>
    </row>
    <row r="2659" spans="5:5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x14ac:dyDescent="0.25">
      <c r="E2664"/>
    </row>
    <row r="2665" spans="5:5" x14ac:dyDescent="0.25">
      <c r="E2665"/>
    </row>
    <row r="2666" spans="5:5" x14ac:dyDescent="0.25">
      <c r="E2666"/>
    </row>
    <row r="2667" spans="5:5" x14ac:dyDescent="0.25">
      <c r="E2667"/>
    </row>
    <row r="2668" spans="5:5" x14ac:dyDescent="0.25">
      <c r="E2668"/>
    </row>
    <row r="2669" spans="5:5" x14ac:dyDescent="0.25">
      <c r="E2669"/>
    </row>
    <row r="2670" spans="5:5" x14ac:dyDescent="0.25">
      <c r="E2670"/>
    </row>
    <row r="2671" spans="5:5" x14ac:dyDescent="0.25">
      <c r="E2671"/>
    </row>
    <row r="2672" spans="5:5" x14ac:dyDescent="0.25">
      <c r="E2672"/>
    </row>
    <row r="2673" spans="5:5" x14ac:dyDescent="0.25">
      <c r="E2673"/>
    </row>
    <row r="2674" spans="5:5" x14ac:dyDescent="0.25">
      <c r="E2674"/>
    </row>
    <row r="2675" spans="5:5" x14ac:dyDescent="0.25">
      <c r="E2675"/>
    </row>
    <row r="2676" spans="5:5" x14ac:dyDescent="0.25">
      <c r="E2676"/>
    </row>
    <row r="2677" spans="5:5" x14ac:dyDescent="0.25">
      <c r="E2677"/>
    </row>
    <row r="2678" spans="5:5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x14ac:dyDescent="0.25">
      <c r="E2692"/>
    </row>
    <row r="2693" spans="5:5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x14ac:dyDescent="0.25">
      <c r="E2703"/>
    </row>
    <row r="2704" spans="5:5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x14ac:dyDescent="0.25">
      <c r="E2708"/>
    </row>
    <row r="2709" spans="5:5" x14ac:dyDescent="0.25">
      <c r="E2709"/>
    </row>
    <row r="2710" spans="5:5" x14ac:dyDescent="0.25">
      <c r="E2710"/>
    </row>
    <row r="2711" spans="5:5" x14ac:dyDescent="0.25">
      <c r="E2711"/>
    </row>
    <row r="2712" spans="5:5" x14ac:dyDescent="0.25">
      <c r="E2712"/>
    </row>
    <row r="2713" spans="5:5" x14ac:dyDescent="0.25">
      <c r="E2713"/>
    </row>
    <row r="2714" spans="5:5" x14ac:dyDescent="0.25">
      <c r="E2714"/>
    </row>
    <row r="2715" spans="5:5" x14ac:dyDescent="0.25">
      <c r="E2715"/>
    </row>
    <row r="2716" spans="5:5" x14ac:dyDescent="0.25">
      <c r="E2716"/>
    </row>
    <row r="2717" spans="5:5" x14ac:dyDescent="0.25">
      <c r="E2717"/>
    </row>
    <row r="2718" spans="5:5" x14ac:dyDescent="0.25">
      <c r="E2718"/>
    </row>
    <row r="2719" spans="5:5" x14ac:dyDescent="0.25">
      <c r="E2719"/>
    </row>
    <row r="2720" spans="5:5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x14ac:dyDescent="0.25">
      <c r="E2941"/>
    </row>
    <row r="2942" spans="5:5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x14ac:dyDescent="0.25">
      <c r="E3002"/>
    </row>
    <row r="3003" spans="5:5" x14ac:dyDescent="0.25">
      <c r="E3003"/>
    </row>
    <row r="3004" spans="5:5" x14ac:dyDescent="0.25">
      <c r="E3004"/>
    </row>
    <row r="3005" spans="5:5" x14ac:dyDescent="0.25">
      <c r="E3005"/>
    </row>
    <row r="3006" spans="5:5" x14ac:dyDescent="0.25">
      <c r="E3006"/>
    </row>
    <row r="3007" spans="5:5" x14ac:dyDescent="0.25">
      <c r="E3007"/>
    </row>
    <row r="3008" spans="5:5" x14ac:dyDescent="0.25">
      <c r="E3008"/>
    </row>
    <row r="3009" spans="5:5" x14ac:dyDescent="0.25">
      <c r="E3009"/>
    </row>
    <row r="3010" spans="5:5" x14ac:dyDescent="0.25">
      <c r="E3010"/>
    </row>
    <row r="3011" spans="5:5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x14ac:dyDescent="0.25">
      <c r="E3015"/>
    </row>
    <row r="3016" spans="5:5" x14ac:dyDescent="0.25">
      <c r="E3016"/>
    </row>
    <row r="3017" spans="5:5" x14ac:dyDescent="0.25">
      <c r="E3017"/>
    </row>
    <row r="3018" spans="5:5" x14ac:dyDescent="0.25">
      <c r="E3018"/>
    </row>
    <row r="3019" spans="5:5" x14ac:dyDescent="0.25">
      <c r="E3019"/>
    </row>
    <row r="3020" spans="5:5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x14ac:dyDescent="0.25">
      <c r="E3024"/>
    </row>
    <row r="3025" spans="5:5" x14ac:dyDescent="0.25">
      <c r="E3025"/>
    </row>
    <row r="3026" spans="5:5" x14ac:dyDescent="0.25">
      <c r="E3026"/>
    </row>
    <row r="3027" spans="5:5" x14ac:dyDescent="0.25">
      <c r="E3027"/>
    </row>
    <row r="3028" spans="5:5" x14ac:dyDescent="0.25">
      <c r="E3028"/>
    </row>
    <row r="3029" spans="5:5" x14ac:dyDescent="0.25">
      <c r="E3029"/>
    </row>
    <row r="3030" spans="5:5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x14ac:dyDescent="0.25">
      <c r="E3034"/>
    </row>
    <row r="3035" spans="5:5" x14ac:dyDescent="0.25">
      <c r="E3035"/>
    </row>
    <row r="3036" spans="5:5" x14ac:dyDescent="0.25">
      <c r="E3036"/>
    </row>
    <row r="3037" spans="5:5" x14ac:dyDescent="0.25">
      <c r="E3037"/>
    </row>
    <row r="3038" spans="5:5" x14ac:dyDescent="0.25">
      <c r="E3038"/>
    </row>
    <row r="3039" spans="5:5" x14ac:dyDescent="0.25">
      <c r="E3039"/>
    </row>
    <row r="3040" spans="5:5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x14ac:dyDescent="0.25">
      <c r="E3044"/>
    </row>
    <row r="3045" spans="5:5" x14ac:dyDescent="0.25">
      <c r="E3045"/>
    </row>
    <row r="3046" spans="5:5" x14ac:dyDescent="0.25">
      <c r="E3046"/>
    </row>
    <row r="3047" spans="5:5" x14ac:dyDescent="0.25">
      <c r="E3047"/>
    </row>
    <row r="3048" spans="5:5" x14ac:dyDescent="0.25">
      <c r="E3048"/>
    </row>
    <row r="3049" spans="5:5" x14ac:dyDescent="0.25">
      <c r="E3049"/>
    </row>
    <row r="3050" spans="5:5" x14ac:dyDescent="0.25">
      <c r="E3050"/>
    </row>
    <row r="3051" spans="5:5" x14ac:dyDescent="0.25">
      <c r="E3051"/>
    </row>
    <row r="3052" spans="5:5" x14ac:dyDescent="0.25">
      <c r="E3052"/>
    </row>
    <row r="3053" spans="5:5" x14ac:dyDescent="0.25">
      <c r="E3053"/>
    </row>
    <row r="3054" spans="5:5" x14ac:dyDescent="0.25">
      <c r="E3054"/>
    </row>
    <row r="3055" spans="5:5" x14ac:dyDescent="0.25">
      <c r="E3055"/>
    </row>
    <row r="3056" spans="5:5" x14ac:dyDescent="0.25">
      <c r="E3056"/>
    </row>
    <row r="3057" spans="5:5" x14ac:dyDescent="0.25">
      <c r="E3057"/>
    </row>
    <row r="3058" spans="5:5" x14ac:dyDescent="0.25">
      <c r="E3058"/>
    </row>
    <row r="3059" spans="5:5" x14ac:dyDescent="0.25">
      <c r="E3059"/>
    </row>
    <row r="3060" spans="5:5" x14ac:dyDescent="0.25">
      <c r="E3060"/>
    </row>
    <row r="3061" spans="5:5" x14ac:dyDescent="0.25">
      <c r="E3061"/>
    </row>
    <row r="3062" spans="5:5" x14ac:dyDescent="0.25">
      <c r="E3062"/>
    </row>
    <row r="3063" spans="5:5" x14ac:dyDescent="0.25">
      <c r="E3063"/>
    </row>
    <row r="3064" spans="5:5" x14ac:dyDescent="0.25">
      <c r="E3064"/>
    </row>
    <row r="3065" spans="5:5" x14ac:dyDescent="0.25">
      <c r="E3065"/>
    </row>
    <row r="3066" spans="5:5" x14ac:dyDescent="0.25">
      <c r="E3066"/>
    </row>
    <row r="3067" spans="5:5" x14ac:dyDescent="0.25">
      <c r="E3067"/>
    </row>
    <row r="3068" spans="5:5" x14ac:dyDescent="0.25">
      <c r="E3068"/>
    </row>
    <row r="3069" spans="5:5" x14ac:dyDescent="0.25">
      <c r="E3069"/>
    </row>
    <row r="3070" spans="5:5" x14ac:dyDescent="0.25">
      <c r="E3070"/>
    </row>
    <row r="3071" spans="5:5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x14ac:dyDescent="0.25">
      <c r="E3078"/>
    </row>
    <row r="3079" spans="5:5" x14ac:dyDescent="0.25">
      <c r="E3079"/>
    </row>
    <row r="3080" spans="5:5" x14ac:dyDescent="0.25">
      <c r="E3080"/>
    </row>
    <row r="3081" spans="5:5" x14ac:dyDescent="0.25">
      <c r="E3081"/>
    </row>
    <row r="3082" spans="5:5" x14ac:dyDescent="0.25">
      <c r="E3082"/>
    </row>
    <row r="3083" spans="5:5" x14ac:dyDescent="0.25">
      <c r="E3083"/>
    </row>
    <row r="3084" spans="5:5" x14ac:dyDescent="0.25">
      <c r="E3084"/>
    </row>
    <row r="3085" spans="5:5" x14ac:dyDescent="0.25">
      <c r="E3085"/>
    </row>
    <row r="3086" spans="5:5" x14ac:dyDescent="0.25">
      <c r="E3086"/>
    </row>
    <row r="3087" spans="5:5" x14ac:dyDescent="0.25">
      <c r="E3087"/>
    </row>
    <row r="3088" spans="5:5" x14ac:dyDescent="0.25">
      <c r="E3088"/>
    </row>
    <row r="3089" spans="5:5" x14ac:dyDescent="0.25">
      <c r="E3089"/>
    </row>
    <row r="3090" spans="5:5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x14ac:dyDescent="0.25">
      <c r="E3097"/>
    </row>
    <row r="3098" spans="5:5" x14ac:dyDescent="0.25">
      <c r="E3098"/>
    </row>
    <row r="3099" spans="5:5" x14ac:dyDescent="0.25">
      <c r="E3099"/>
    </row>
    <row r="3100" spans="5:5" x14ac:dyDescent="0.25">
      <c r="E3100"/>
    </row>
    <row r="3101" spans="5:5" x14ac:dyDescent="0.25">
      <c r="E3101"/>
    </row>
    <row r="3102" spans="5:5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x14ac:dyDescent="0.25">
      <c r="E3109"/>
    </row>
    <row r="3110" spans="5:5" x14ac:dyDescent="0.25">
      <c r="E3110"/>
    </row>
    <row r="3111" spans="5:5" x14ac:dyDescent="0.25">
      <c r="E3111"/>
    </row>
    <row r="3112" spans="5:5" x14ac:dyDescent="0.25">
      <c r="E3112"/>
    </row>
    <row r="3113" spans="5:5" x14ac:dyDescent="0.25">
      <c r="E3113"/>
    </row>
    <row r="3114" spans="5:5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x14ac:dyDescent="0.25">
      <c r="E3123"/>
    </row>
    <row r="3124" spans="5:5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x14ac:dyDescent="0.25">
      <c r="E3133"/>
    </row>
    <row r="3134" spans="5:5" x14ac:dyDescent="0.25">
      <c r="E3134"/>
    </row>
    <row r="3135" spans="5:5" x14ac:dyDescent="0.25">
      <c r="E3135"/>
    </row>
    <row r="3136" spans="5:5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x14ac:dyDescent="0.25">
      <c r="E3143"/>
    </row>
    <row r="3144" spans="5:5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x14ac:dyDescent="0.25">
      <c r="E3149"/>
    </row>
    <row r="3150" spans="5:5" x14ac:dyDescent="0.25">
      <c r="E3150"/>
    </row>
    <row r="3151" spans="5:5" x14ac:dyDescent="0.25">
      <c r="E3151"/>
    </row>
    <row r="3152" spans="5:5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x14ac:dyDescent="0.25">
      <c r="E3159"/>
    </row>
    <row r="3160" spans="5:5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x14ac:dyDescent="0.25">
      <c r="E3171"/>
    </row>
    <row r="3172" spans="5:5" x14ac:dyDescent="0.25">
      <c r="E3172"/>
    </row>
    <row r="3173" spans="5:5" x14ac:dyDescent="0.25">
      <c r="E3173"/>
    </row>
    <row r="3174" spans="5:5" x14ac:dyDescent="0.25">
      <c r="E3174"/>
    </row>
    <row r="3175" spans="5:5" x14ac:dyDescent="0.25">
      <c r="E3175"/>
    </row>
    <row r="3176" spans="5:5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  <row r="3573" spans="5:5" x14ac:dyDescent="0.25">
      <c r="E3573"/>
    </row>
    <row r="3574" spans="5:5" x14ac:dyDescent="0.25">
      <c r="E3574"/>
    </row>
    <row r="3575" spans="5:5" x14ac:dyDescent="0.25">
      <c r="E3575"/>
    </row>
    <row r="3576" spans="5:5" x14ac:dyDescent="0.25">
      <c r="E3576"/>
    </row>
    <row r="3577" spans="5:5" x14ac:dyDescent="0.25">
      <c r="E3577"/>
    </row>
    <row r="3578" spans="5:5" x14ac:dyDescent="0.25">
      <c r="E3578"/>
    </row>
    <row r="3579" spans="5:5" x14ac:dyDescent="0.25">
      <c r="E3579"/>
    </row>
    <row r="3580" spans="5:5" x14ac:dyDescent="0.25">
      <c r="E3580"/>
    </row>
    <row r="3581" spans="5:5" x14ac:dyDescent="0.25">
      <c r="E3581"/>
    </row>
    <row r="3582" spans="5:5" x14ac:dyDescent="0.25">
      <c r="E3582"/>
    </row>
    <row r="3583" spans="5:5" x14ac:dyDescent="0.25">
      <c r="E3583"/>
    </row>
    <row r="3584" spans="5:5" x14ac:dyDescent="0.25">
      <c r="E3584"/>
    </row>
    <row r="3585" spans="5:5" x14ac:dyDescent="0.25">
      <c r="E3585"/>
    </row>
    <row r="3586" spans="5:5" x14ac:dyDescent="0.25">
      <c r="E3586"/>
    </row>
    <row r="3587" spans="5:5" x14ac:dyDescent="0.25">
      <c r="E3587"/>
    </row>
    <row r="3588" spans="5:5" x14ac:dyDescent="0.25">
      <c r="E3588"/>
    </row>
    <row r="3589" spans="5:5" x14ac:dyDescent="0.25">
      <c r="E3589"/>
    </row>
    <row r="3590" spans="5:5" x14ac:dyDescent="0.25">
      <c r="E3590"/>
    </row>
    <row r="3591" spans="5:5" x14ac:dyDescent="0.25">
      <c r="E3591"/>
    </row>
    <row r="3592" spans="5:5" x14ac:dyDescent="0.25">
      <c r="E3592"/>
    </row>
    <row r="3593" spans="5:5" x14ac:dyDescent="0.25">
      <c r="E3593"/>
    </row>
    <row r="3594" spans="5:5" x14ac:dyDescent="0.25">
      <c r="E3594"/>
    </row>
    <row r="3595" spans="5:5" x14ac:dyDescent="0.25">
      <c r="E3595"/>
    </row>
    <row r="3596" spans="5:5" x14ac:dyDescent="0.25">
      <c r="E3596"/>
    </row>
    <row r="3597" spans="5:5" x14ac:dyDescent="0.25">
      <c r="E3597"/>
    </row>
    <row r="3598" spans="5:5" x14ac:dyDescent="0.25">
      <c r="E3598"/>
    </row>
    <row r="3599" spans="5:5" x14ac:dyDescent="0.25">
      <c r="E3599"/>
    </row>
    <row r="3600" spans="5:5" x14ac:dyDescent="0.25">
      <c r="E3600"/>
    </row>
    <row r="3601" spans="5:5" x14ac:dyDescent="0.25">
      <c r="E3601"/>
    </row>
    <row r="3602" spans="5:5" x14ac:dyDescent="0.25">
      <c r="E3602"/>
    </row>
    <row r="3603" spans="5:5" x14ac:dyDescent="0.25">
      <c r="E3603"/>
    </row>
    <row r="3604" spans="5:5" x14ac:dyDescent="0.25">
      <c r="E3604"/>
    </row>
    <row r="3605" spans="5:5" x14ac:dyDescent="0.25">
      <c r="E3605"/>
    </row>
    <row r="3606" spans="5:5" x14ac:dyDescent="0.25">
      <c r="E3606"/>
    </row>
    <row r="3607" spans="5:5" x14ac:dyDescent="0.25">
      <c r="E3607"/>
    </row>
    <row r="3608" spans="5:5" x14ac:dyDescent="0.25">
      <c r="E3608"/>
    </row>
    <row r="3609" spans="5:5" x14ac:dyDescent="0.25">
      <c r="E3609"/>
    </row>
    <row r="3610" spans="5:5" x14ac:dyDescent="0.25">
      <c r="E3610"/>
    </row>
    <row r="3611" spans="5:5" x14ac:dyDescent="0.25">
      <c r="E3611"/>
    </row>
    <row r="3612" spans="5:5" x14ac:dyDescent="0.25">
      <c r="E3612"/>
    </row>
    <row r="3613" spans="5:5" x14ac:dyDescent="0.25">
      <c r="E3613"/>
    </row>
    <row r="3614" spans="5:5" x14ac:dyDescent="0.25">
      <c r="E3614"/>
    </row>
    <row r="3615" spans="5:5" x14ac:dyDescent="0.25">
      <c r="E3615"/>
    </row>
    <row r="3616" spans="5:5" x14ac:dyDescent="0.25">
      <c r="E3616"/>
    </row>
    <row r="3617" spans="5:5" x14ac:dyDescent="0.25">
      <c r="E3617"/>
    </row>
    <row r="3618" spans="5:5" x14ac:dyDescent="0.25">
      <c r="E3618"/>
    </row>
    <row r="3619" spans="5:5" x14ac:dyDescent="0.25">
      <c r="E3619"/>
    </row>
    <row r="3620" spans="5:5" x14ac:dyDescent="0.25">
      <c r="E3620"/>
    </row>
    <row r="3621" spans="5:5" x14ac:dyDescent="0.25">
      <c r="E3621"/>
    </row>
    <row r="3622" spans="5:5" x14ac:dyDescent="0.25">
      <c r="E3622"/>
    </row>
    <row r="3623" spans="5:5" x14ac:dyDescent="0.25">
      <c r="E3623"/>
    </row>
    <row r="3624" spans="5:5" x14ac:dyDescent="0.25">
      <c r="E3624"/>
    </row>
    <row r="3625" spans="5:5" x14ac:dyDescent="0.25">
      <c r="E3625"/>
    </row>
    <row r="3626" spans="5:5" x14ac:dyDescent="0.25">
      <c r="E3626"/>
    </row>
    <row r="3627" spans="5:5" x14ac:dyDescent="0.25">
      <c r="E3627"/>
    </row>
    <row r="3628" spans="5:5" x14ac:dyDescent="0.25">
      <c r="E3628"/>
    </row>
    <row r="3629" spans="5:5" x14ac:dyDescent="0.25">
      <c r="E3629"/>
    </row>
    <row r="3630" spans="5:5" x14ac:dyDescent="0.25">
      <c r="E3630"/>
    </row>
    <row r="3631" spans="5:5" x14ac:dyDescent="0.25">
      <c r="E3631"/>
    </row>
    <row r="3632" spans="5:5" x14ac:dyDescent="0.25">
      <c r="E3632"/>
    </row>
    <row r="3633" spans="5:5" x14ac:dyDescent="0.25">
      <c r="E3633"/>
    </row>
    <row r="3634" spans="5:5" x14ac:dyDescent="0.25">
      <c r="E3634"/>
    </row>
    <row r="3635" spans="5:5" x14ac:dyDescent="0.25">
      <c r="E3635"/>
    </row>
    <row r="3636" spans="5:5" x14ac:dyDescent="0.25">
      <c r="E3636"/>
    </row>
    <row r="3637" spans="5:5" x14ac:dyDescent="0.25">
      <c r="E3637"/>
    </row>
    <row r="3638" spans="5:5" x14ac:dyDescent="0.25">
      <c r="E3638"/>
    </row>
    <row r="3639" spans="5:5" x14ac:dyDescent="0.25">
      <c r="E3639"/>
    </row>
    <row r="3640" spans="5:5" x14ac:dyDescent="0.25">
      <c r="E3640"/>
    </row>
    <row r="3641" spans="5:5" x14ac:dyDescent="0.25">
      <c r="E3641"/>
    </row>
    <row r="3642" spans="5:5" x14ac:dyDescent="0.25">
      <c r="E3642"/>
    </row>
    <row r="3643" spans="5:5" x14ac:dyDescent="0.25">
      <c r="E3643"/>
    </row>
    <row r="3644" spans="5:5" x14ac:dyDescent="0.25">
      <c r="E3644"/>
    </row>
    <row r="3645" spans="5:5" x14ac:dyDescent="0.25">
      <c r="E3645"/>
    </row>
    <row r="3646" spans="5:5" x14ac:dyDescent="0.25">
      <c r="E3646"/>
    </row>
    <row r="3647" spans="5:5" x14ac:dyDescent="0.25">
      <c r="E3647"/>
    </row>
    <row r="3648" spans="5:5" x14ac:dyDescent="0.25">
      <c r="E3648"/>
    </row>
    <row r="3649" spans="5:5" x14ac:dyDescent="0.25">
      <c r="E3649"/>
    </row>
    <row r="3650" spans="5:5" x14ac:dyDescent="0.25">
      <c r="E3650"/>
    </row>
    <row r="3651" spans="5:5" x14ac:dyDescent="0.25">
      <c r="E3651"/>
    </row>
    <row r="3652" spans="5:5" x14ac:dyDescent="0.25">
      <c r="E3652"/>
    </row>
    <row r="3653" spans="5:5" x14ac:dyDescent="0.25">
      <c r="E3653"/>
    </row>
    <row r="3654" spans="5:5" x14ac:dyDescent="0.25">
      <c r="E3654"/>
    </row>
    <row r="3655" spans="5:5" x14ac:dyDescent="0.25">
      <c r="E3655"/>
    </row>
    <row r="3656" spans="5:5" x14ac:dyDescent="0.25">
      <c r="E3656"/>
    </row>
    <row r="3657" spans="5:5" x14ac:dyDescent="0.25">
      <c r="E3657"/>
    </row>
    <row r="3658" spans="5:5" x14ac:dyDescent="0.25">
      <c r="E3658"/>
    </row>
    <row r="3659" spans="5:5" x14ac:dyDescent="0.25">
      <c r="E3659"/>
    </row>
    <row r="3660" spans="5:5" x14ac:dyDescent="0.25">
      <c r="E3660"/>
    </row>
    <row r="3661" spans="5:5" x14ac:dyDescent="0.25">
      <c r="E3661"/>
    </row>
    <row r="3662" spans="5:5" x14ac:dyDescent="0.25">
      <c r="E3662"/>
    </row>
    <row r="3663" spans="5:5" x14ac:dyDescent="0.25">
      <c r="E3663"/>
    </row>
    <row r="3664" spans="5:5" x14ac:dyDescent="0.25">
      <c r="E3664"/>
    </row>
    <row r="3665" spans="5:5" x14ac:dyDescent="0.25">
      <c r="E3665"/>
    </row>
    <row r="3666" spans="5:5" x14ac:dyDescent="0.25">
      <c r="E3666"/>
    </row>
    <row r="3667" spans="5:5" x14ac:dyDescent="0.25">
      <c r="E3667"/>
    </row>
    <row r="3668" spans="5:5" x14ac:dyDescent="0.25">
      <c r="E3668"/>
    </row>
    <row r="3669" spans="5:5" x14ac:dyDescent="0.25">
      <c r="E3669"/>
    </row>
    <row r="3670" spans="5:5" x14ac:dyDescent="0.25">
      <c r="E3670"/>
    </row>
    <row r="3671" spans="5:5" x14ac:dyDescent="0.25">
      <c r="E3671"/>
    </row>
    <row r="3672" spans="5:5" x14ac:dyDescent="0.25">
      <c r="E3672"/>
    </row>
    <row r="3673" spans="5:5" x14ac:dyDescent="0.25">
      <c r="E3673"/>
    </row>
    <row r="3674" spans="5:5" x14ac:dyDescent="0.25">
      <c r="E3674"/>
    </row>
    <row r="3675" spans="5:5" x14ac:dyDescent="0.25">
      <c r="E3675"/>
    </row>
    <row r="3676" spans="5:5" x14ac:dyDescent="0.25">
      <c r="E3676"/>
    </row>
    <row r="3677" spans="5:5" x14ac:dyDescent="0.25">
      <c r="E3677"/>
    </row>
    <row r="3678" spans="5:5" x14ac:dyDescent="0.25">
      <c r="E3678"/>
    </row>
    <row r="3679" spans="5:5" x14ac:dyDescent="0.25">
      <c r="E3679"/>
    </row>
    <row r="3680" spans="5:5" x14ac:dyDescent="0.25">
      <c r="E3680"/>
    </row>
    <row r="3681" spans="5:5" x14ac:dyDescent="0.25">
      <c r="E3681"/>
    </row>
    <row r="3682" spans="5:5" x14ac:dyDescent="0.25">
      <c r="E3682"/>
    </row>
    <row r="3683" spans="5:5" x14ac:dyDescent="0.25">
      <c r="E3683"/>
    </row>
    <row r="3684" spans="5:5" x14ac:dyDescent="0.25">
      <c r="E3684"/>
    </row>
    <row r="3685" spans="5:5" x14ac:dyDescent="0.25">
      <c r="E3685"/>
    </row>
    <row r="3686" spans="5:5" x14ac:dyDescent="0.25">
      <c r="E3686"/>
    </row>
    <row r="3687" spans="5:5" x14ac:dyDescent="0.25">
      <c r="E3687"/>
    </row>
    <row r="3688" spans="5:5" x14ac:dyDescent="0.25">
      <c r="E3688"/>
    </row>
    <row r="3689" spans="5:5" x14ac:dyDescent="0.25">
      <c r="E3689"/>
    </row>
    <row r="3690" spans="5:5" x14ac:dyDescent="0.25">
      <c r="E3690"/>
    </row>
    <row r="3691" spans="5:5" x14ac:dyDescent="0.25">
      <c r="E3691"/>
    </row>
    <row r="3692" spans="5:5" x14ac:dyDescent="0.25">
      <c r="E3692"/>
    </row>
    <row r="3693" spans="5:5" x14ac:dyDescent="0.25">
      <c r="E3693"/>
    </row>
    <row r="3694" spans="5:5" x14ac:dyDescent="0.25">
      <c r="E3694"/>
    </row>
    <row r="3695" spans="5:5" x14ac:dyDescent="0.25">
      <c r="E3695"/>
    </row>
    <row r="3696" spans="5:5" x14ac:dyDescent="0.25">
      <c r="E3696"/>
    </row>
    <row r="3697" spans="5:5" x14ac:dyDescent="0.25">
      <c r="E3697"/>
    </row>
    <row r="3698" spans="5:5" x14ac:dyDescent="0.25">
      <c r="E3698"/>
    </row>
    <row r="3699" spans="5:5" x14ac:dyDescent="0.25">
      <c r="E3699"/>
    </row>
    <row r="3700" spans="5:5" x14ac:dyDescent="0.25">
      <c r="E3700"/>
    </row>
    <row r="3701" spans="5:5" x14ac:dyDescent="0.25">
      <c r="E3701"/>
    </row>
    <row r="3702" spans="5:5" x14ac:dyDescent="0.25">
      <c r="E3702"/>
    </row>
    <row r="3703" spans="5:5" x14ac:dyDescent="0.25">
      <c r="E3703"/>
    </row>
    <row r="3704" spans="5:5" x14ac:dyDescent="0.25">
      <c r="E3704"/>
    </row>
    <row r="3705" spans="5:5" x14ac:dyDescent="0.25">
      <c r="E3705"/>
    </row>
    <row r="3706" spans="5:5" x14ac:dyDescent="0.25">
      <c r="E3706"/>
    </row>
    <row r="3707" spans="5:5" x14ac:dyDescent="0.25">
      <c r="E3707"/>
    </row>
    <row r="3708" spans="5:5" x14ac:dyDescent="0.25">
      <c r="E3708"/>
    </row>
    <row r="3709" spans="5:5" x14ac:dyDescent="0.25">
      <c r="E3709"/>
    </row>
    <row r="3710" spans="5:5" x14ac:dyDescent="0.25">
      <c r="E3710"/>
    </row>
    <row r="3711" spans="5:5" x14ac:dyDescent="0.25">
      <c r="E3711"/>
    </row>
    <row r="3712" spans="5:5" x14ac:dyDescent="0.25">
      <c r="E3712"/>
    </row>
    <row r="3713" spans="5:5" x14ac:dyDescent="0.25">
      <c r="E3713"/>
    </row>
    <row r="3714" spans="5:5" x14ac:dyDescent="0.25">
      <c r="E3714"/>
    </row>
    <row r="3715" spans="5:5" x14ac:dyDescent="0.25">
      <c r="E3715"/>
    </row>
    <row r="3716" spans="5:5" x14ac:dyDescent="0.25">
      <c r="E3716"/>
    </row>
    <row r="3717" spans="5:5" x14ac:dyDescent="0.25">
      <c r="E3717"/>
    </row>
    <row r="3718" spans="5:5" x14ac:dyDescent="0.25">
      <c r="E3718"/>
    </row>
    <row r="3719" spans="5:5" x14ac:dyDescent="0.25">
      <c r="E3719"/>
    </row>
    <row r="3720" spans="5:5" x14ac:dyDescent="0.25">
      <c r="E3720"/>
    </row>
    <row r="3721" spans="5:5" x14ac:dyDescent="0.25">
      <c r="E3721"/>
    </row>
    <row r="3722" spans="5:5" x14ac:dyDescent="0.25">
      <c r="E3722"/>
    </row>
    <row r="3723" spans="5:5" x14ac:dyDescent="0.25">
      <c r="E3723"/>
    </row>
    <row r="3724" spans="5:5" x14ac:dyDescent="0.25">
      <c r="E3724"/>
    </row>
    <row r="3725" spans="5:5" x14ac:dyDescent="0.25">
      <c r="E3725"/>
    </row>
    <row r="3726" spans="5:5" x14ac:dyDescent="0.25">
      <c r="E3726"/>
    </row>
    <row r="3727" spans="5:5" x14ac:dyDescent="0.25">
      <c r="E3727"/>
    </row>
    <row r="3728" spans="5:5" x14ac:dyDescent="0.25">
      <c r="E3728"/>
    </row>
    <row r="3729" spans="5:5" x14ac:dyDescent="0.25">
      <c r="E3729"/>
    </row>
    <row r="3730" spans="5:5" x14ac:dyDescent="0.25">
      <c r="E3730"/>
    </row>
    <row r="3731" spans="5:5" x14ac:dyDescent="0.25">
      <c r="E3731"/>
    </row>
    <row r="3732" spans="5:5" x14ac:dyDescent="0.25">
      <c r="E3732"/>
    </row>
    <row r="3733" spans="5:5" x14ac:dyDescent="0.25">
      <c r="E3733"/>
    </row>
    <row r="3734" spans="5:5" x14ac:dyDescent="0.25">
      <c r="E3734"/>
    </row>
    <row r="3735" spans="5:5" x14ac:dyDescent="0.25">
      <c r="E3735"/>
    </row>
    <row r="3736" spans="5:5" x14ac:dyDescent="0.25">
      <c r="E3736"/>
    </row>
    <row r="3737" spans="5:5" x14ac:dyDescent="0.25">
      <c r="E3737"/>
    </row>
    <row r="3738" spans="5:5" x14ac:dyDescent="0.25">
      <c r="E3738"/>
    </row>
    <row r="3739" spans="5:5" x14ac:dyDescent="0.25">
      <c r="E3739"/>
    </row>
    <row r="3740" spans="5:5" x14ac:dyDescent="0.25">
      <c r="E3740"/>
    </row>
    <row r="3741" spans="5:5" x14ac:dyDescent="0.25">
      <c r="E3741"/>
    </row>
    <row r="3742" spans="5:5" x14ac:dyDescent="0.25">
      <c r="E3742"/>
    </row>
    <row r="3743" spans="5:5" x14ac:dyDescent="0.25">
      <c r="E3743"/>
    </row>
    <row r="3744" spans="5:5" x14ac:dyDescent="0.25">
      <c r="E3744"/>
    </row>
    <row r="3745" spans="5:5" x14ac:dyDescent="0.25">
      <c r="E3745"/>
    </row>
    <row r="3746" spans="5:5" x14ac:dyDescent="0.25">
      <c r="E3746"/>
    </row>
    <row r="3747" spans="5:5" x14ac:dyDescent="0.25">
      <c r="E3747"/>
    </row>
    <row r="3748" spans="5:5" x14ac:dyDescent="0.25">
      <c r="E3748"/>
    </row>
    <row r="3749" spans="5:5" x14ac:dyDescent="0.25">
      <c r="E3749"/>
    </row>
    <row r="3750" spans="5:5" x14ac:dyDescent="0.25">
      <c r="E3750"/>
    </row>
    <row r="3751" spans="5:5" x14ac:dyDescent="0.25">
      <c r="E3751"/>
    </row>
    <row r="3752" spans="5:5" x14ac:dyDescent="0.25">
      <c r="E3752"/>
    </row>
    <row r="3753" spans="5:5" x14ac:dyDescent="0.25">
      <c r="E3753"/>
    </row>
    <row r="3754" spans="5:5" x14ac:dyDescent="0.25">
      <c r="E3754"/>
    </row>
    <row r="3755" spans="5:5" x14ac:dyDescent="0.25">
      <c r="E3755"/>
    </row>
    <row r="3756" spans="5:5" x14ac:dyDescent="0.25">
      <c r="E3756"/>
    </row>
    <row r="3757" spans="5:5" x14ac:dyDescent="0.25">
      <c r="E3757"/>
    </row>
    <row r="3758" spans="5:5" x14ac:dyDescent="0.25">
      <c r="E3758"/>
    </row>
    <row r="3759" spans="5:5" x14ac:dyDescent="0.25">
      <c r="E3759"/>
    </row>
    <row r="3760" spans="5:5" x14ac:dyDescent="0.25">
      <c r="E3760"/>
    </row>
    <row r="3761" spans="5:5" x14ac:dyDescent="0.25">
      <c r="E3761"/>
    </row>
    <row r="3762" spans="5:5" x14ac:dyDescent="0.25">
      <c r="E3762"/>
    </row>
    <row r="3763" spans="5:5" x14ac:dyDescent="0.25">
      <c r="E3763"/>
    </row>
    <row r="3764" spans="5:5" x14ac:dyDescent="0.25">
      <c r="E3764"/>
    </row>
    <row r="3765" spans="5:5" x14ac:dyDescent="0.25">
      <c r="E3765"/>
    </row>
    <row r="3766" spans="5:5" x14ac:dyDescent="0.25">
      <c r="E3766"/>
    </row>
    <row r="3767" spans="5:5" x14ac:dyDescent="0.25">
      <c r="E3767"/>
    </row>
    <row r="3768" spans="5:5" x14ac:dyDescent="0.25">
      <c r="E3768"/>
    </row>
    <row r="3769" spans="5:5" x14ac:dyDescent="0.25">
      <c r="E3769"/>
    </row>
    <row r="3770" spans="5:5" x14ac:dyDescent="0.25">
      <c r="E3770"/>
    </row>
    <row r="3771" spans="5:5" x14ac:dyDescent="0.25">
      <c r="E3771"/>
    </row>
    <row r="3772" spans="5:5" x14ac:dyDescent="0.25">
      <c r="E3772"/>
    </row>
    <row r="3773" spans="5:5" x14ac:dyDescent="0.25">
      <c r="E3773"/>
    </row>
    <row r="3774" spans="5:5" x14ac:dyDescent="0.25">
      <c r="E3774"/>
    </row>
    <row r="3775" spans="5:5" x14ac:dyDescent="0.25">
      <c r="E3775"/>
    </row>
    <row r="3776" spans="5:5" x14ac:dyDescent="0.25">
      <c r="E3776"/>
    </row>
    <row r="3777" spans="5:5" x14ac:dyDescent="0.25">
      <c r="E3777"/>
    </row>
    <row r="3778" spans="5:5" x14ac:dyDescent="0.25">
      <c r="E3778"/>
    </row>
    <row r="3779" spans="5:5" x14ac:dyDescent="0.25">
      <c r="E3779"/>
    </row>
    <row r="3780" spans="5:5" x14ac:dyDescent="0.25">
      <c r="E3780"/>
    </row>
    <row r="3781" spans="5:5" x14ac:dyDescent="0.25">
      <c r="E3781"/>
    </row>
    <row r="3782" spans="5:5" x14ac:dyDescent="0.25">
      <c r="E3782"/>
    </row>
    <row r="3783" spans="5:5" x14ac:dyDescent="0.25">
      <c r="E3783"/>
    </row>
    <row r="3784" spans="5:5" x14ac:dyDescent="0.25">
      <c r="E3784"/>
    </row>
    <row r="3785" spans="5:5" x14ac:dyDescent="0.25">
      <c r="E3785"/>
    </row>
    <row r="3786" spans="5:5" x14ac:dyDescent="0.25">
      <c r="E3786"/>
    </row>
    <row r="3787" spans="5:5" x14ac:dyDescent="0.25">
      <c r="E3787"/>
    </row>
    <row r="3788" spans="5:5" x14ac:dyDescent="0.25">
      <c r="E3788"/>
    </row>
    <row r="3789" spans="5:5" x14ac:dyDescent="0.25">
      <c r="E3789"/>
    </row>
    <row r="3790" spans="5:5" x14ac:dyDescent="0.25">
      <c r="E3790"/>
    </row>
    <row r="3791" spans="5:5" x14ac:dyDescent="0.25">
      <c r="E3791"/>
    </row>
    <row r="3792" spans="5:5" x14ac:dyDescent="0.25">
      <c r="E3792"/>
    </row>
    <row r="3793" spans="5:5" x14ac:dyDescent="0.25">
      <c r="E3793"/>
    </row>
    <row r="3794" spans="5:5" x14ac:dyDescent="0.25">
      <c r="E3794"/>
    </row>
    <row r="3795" spans="5:5" x14ac:dyDescent="0.25">
      <c r="E3795"/>
    </row>
    <row r="3796" spans="5:5" x14ac:dyDescent="0.25">
      <c r="E3796"/>
    </row>
    <row r="3797" spans="5:5" x14ac:dyDescent="0.25">
      <c r="E3797"/>
    </row>
    <row r="3798" spans="5:5" x14ac:dyDescent="0.25">
      <c r="E3798"/>
    </row>
    <row r="3799" spans="5:5" x14ac:dyDescent="0.25">
      <c r="E3799"/>
    </row>
    <row r="3800" spans="5:5" x14ac:dyDescent="0.25">
      <c r="E3800"/>
    </row>
    <row r="3801" spans="5:5" x14ac:dyDescent="0.25">
      <c r="E3801"/>
    </row>
    <row r="3802" spans="5:5" x14ac:dyDescent="0.25">
      <c r="E3802"/>
    </row>
    <row r="3803" spans="5:5" x14ac:dyDescent="0.25">
      <c r="E3803"/>
    </row>
    <row r="3804" spans="5:5" x14ac:dyDescent="0.25">
      <c r="E3804"/>
    </row>
    <row r="3805" spans="5:5" x14ac:dyDescent="0.25">
      <c r="E3805"/>
    </row>
    <row r="3806" spans="5:5" x14ac:dyDescent="0.25">
      <c r="E3806"/>
    </row>
    <row r="3807" spans="5:5" x14ac:dyDescent="0.25">
      <c r="E3807"/>
    </row>
    <row r="3808" spans="5:5" x14ac:dyDescent="0.25">
      <c r="E3808"/>
    </row>
    <row r="3809" spans="5:5" x14ac:dyDescent="0.25">
      <c r="E3809"/>
    </row>
    <row r="3810" spans="5:5" x14ac:dyDescent="0.25">
      <c r="E3810"/>
    </row>
    <row r="3811" spans="5:5" x14ac:dyDescent="0.25">
      <c r="E3811"/>
    </row>
    <row r="3812" spans="5:5" x14ac:dyDescent="0.25">
      <c r="E3812"/>
    </row>
    <row r="3813" spans="5:5" x14ac:dyDescent="0.25">
      <c r="E3813"/>
    </row>
    <row r="3814" spans="5:5" x14ac:dyDescent="0.25">
      <c r="E3814"/>
    </row>
    <row r="3815" spans="5:5" x14ac:dyDescent="0.25">
      <c r="E3815"/>
    </row>
    <row r="3816" spans="5:5" x14ac:dyDescent="0.25">
      <c r="E3816"/>
    </row>
    <row r="3817" spans="5:5" x14ac:dyDescent="0.25">
      <c r="E3817"/>
    </row>
    <row r="3818" spans="5:5" x14ac:dyDescent="0.25">
      <c r="E3818"/>
    </row>
    <row r="3819" spans="5:5" x14ac:dyDescent="0.25">
      <c r="E3819"/>
    </row>
    <row r="3820" spans="5:5" x14ac:dyDescent="0.25">
      <c r="E3820"/>
    </row>
    <row r="3821" spans="5:5" x14ac:dyDescent="0.25">
      <c r="E3821"/>
    </row>
    <row r="3822" spans="5:5" x14ac:dyDescent="0.25">
      <c r="E3822"/>
    </row>
    <row r="3823" spans="5:5" x14ac:dyDescent="0.25">
      <c r="E3823"/>
    </row>
    <row r="3824" spans="5:5" x14ac:dyDescent="0.25">
      <c r="E3824"/>
    </row>
    <row r="3825" spans="5:5" x14ac:dyDescent="0.25">
      <c r="E3825"/>
    </row>
    <row r="3826" spans="5:5" x14ac:dyDescent="0.25">
      <c r="E3826"/>
    </row>
    <row r="3827" spans="5:5" x14ac:dyDescent="0.25">
      <c r="E3827"/>
    </row>
    <row r="3828" spans="5:5" x14ac:dyDescent="0.25">
      <c r="E3828"/>
    </row>
    <row r="3829" spans="5:5" x14ac:dyDescent="0.25">
      <c r="E3829"/>
    </row>
    <row r="3830" spans="5:5" x14ac:dyDescent="0.25">
      <c r="E3830"/>
    </row>
    <row r="3831" spans="5:5" x14ac:dyDescent="0.25">
      <c r="E3831"/>
    </row>
    <row r="3832" spans="5:5" x14ac:dyDescent="0.25">
      <c r="E3832"/>
    </row>
    <row r="3833" spans="5:5" x14ac:dyDescent="0.25">
      <c r="E3833"/>
    </row>
    <row r="3834" spans="5:5" x14ac:dyDescent="0.25">
      <c r="E3834"/>
    </row>
    <row r="3835" spans="5:5" x14ac:dyDescent="0.25">
      <c r="E3835"/>
    </row>
    <row r="3836" spans="5:5" x14ac:dyDescent="0.25">
      <c r="E3836"/>
    </row>
    <row r="3837" spans="5:5" x14ac:dyDescent="0.25">
      <c r="E3837"/>
    </row>
    <row r="3838" spans="5:5" x14ac:dyDescent="0.25">
      <c r="E3838"/>
    </row>
    <row r="3839" spans="5:5" x14ac:dyDescent="0.25">
      <c r="E3839"/>
    </row>
    <row r="3840" spans="5:5" x14ac:dyDescent="0.25">
      <c r="E3840"/>
    </row>
    <row r="3841" spans="5:5" x14ac:dyDescent="0.25">
      <c r="E3841"/>
    </row>
    <row r="3842" spans="5:5" x14ac:dyDescent="0.25">
      <c r="E3842"/>
    </row>
    <row r="3843" spans="5:5" x14ac:dyDescent="0.25">
      <c r="E3843"/>
    </row>
    <row r="3844" spans="5:5" x14ac:dyDescent="0.25">
      <c r="E3844"/>
    </row>
    <row r="3845" spans="5:5" x14ac:dyDescent="0.25">
      <c r="E3845"/>
    </row>
    <row r="3846" spans="5:5" x14ac:dyDescent="0.25">
      <c r="E3846"/>
    </row>
    <row r="3847" spans="5:5" x14ac:dyDescent="0.25">
      <c r="E3847"/>
    </row>
    <row r="3848" spans="5:5" x14ac:dyDescent="0.25">
      <c r="E3848"/>
    </row>
    <row r="3849" spans="5:5" x14ac:dyDescent="0.25">
      <c r="E3849"/>
    </row>
    <row r="3850" spans="5:5" x14ac:dyDescent="0.25">
      <c r="E3850"/>
    </row>
    <row r="3851" spans="5:5" x14ac:dyDescent="0.25">
      <c r="E3851"/>
    </row>
    <row r="3852" spans="5:5" x14ac:dyDescent="0.25">
      <c r="E3852"/>
    </row>
    <row r="3853" spans="5:5" x14ac:dyDescent="0.25">
      <c r="E3853"/>
    </row>
    <row r="3854" spans="5:5" x14ac:dyDescent="0.25">
      <c r="E3854"/>
    </row>
    <row r="3855" spans="5:5" x14ac:dyDescent="0.25">
      <c r="E3855"/>
    </row>
    <row r="3856" spans="5:5" x14ac:dyDescent="0.25">
      <c r="E3856"/>
    </row>
    <row r="3857" spans="5:5" x14ac:dyDescent="0.25">
      <c r="E3857"/>
    </row>
    <row r="3858" spans="5:5" x14ac:dyDescent="0.25">
      <c r="E3858"/>
    </row>
    <row r="3859" spans="5:5" x14ac:dyDescent="0.25">
      <c r="E3859"/>
    </row>
    <row r="3860" spans="5:5" x14ac:dyDescent="0.25">
      <c r="E3860"/>
    </row>
    <row r="3861" spans="5:5" x14ac:dyDescent="0.25">
      <c r="E3861"/>
    </row>
    <row r="3862" spans="5:5" x14ac:dyDescent="0.25">
      <c r="E3862"/>
    </row>
    <row r="3863" spans="5:5" x14ac:dyDescent="0.25">
      <c r="E3863"/>
    </row>
    <row r="3864" spans="5:5" x14ac:dyDescent="0.25">
      <c r="E3864"/>
    </row>
    <row r="3865" spans="5:5" x14ac:dyDescent="0.25">
      <c r="E3865"/>
    </row>
    <row r="3866" spans="5:5" x14ac:dyDescent="0.25">
      <c r="E3866"/>
    </row>
    <row r="3867" spans="5:5" x14ac:dyDescent="0.25">
      <c r="E3867"/>
    </row>
    <row r="3868" spans="5:5" x14ac:dyDescent="0.25">
      <c r="E3868"/>
    </row>
    <row r="3869" spans="5:5" x14ac:dyDescent="0.25">
      <c r="E3869"/>
    </row>
    <row r="3870" spans="5:5" x14ac:dyDescent="0.25">
      <c r="E3870"/>
    </row>
    <row r="3871" spans="5:5" x14ac:dyDescent="0.25">
      <c r="E3871"/>
    </row>
    <row r="3872" spans="5:5" x14ac:dyDescent="0.25">
      <c r="E3872"/>
    </row>
    <row r="3873" spans="5:5" x14ac:dyDescent="0.25">
      <c r="E3873"/>
    </row>
    <row r="3874" spans="5:5" x14ac:dyDescent="0.25">
      <c r="E3874"/>
    </row>
    <row r="3875" spans="5:5" x14ac:dyDescent="0.25">
      <c r="E3875"/>
    </row>
    <row r="3876" spans="5:5" x14ac:dyDescent="0.25">
      <c r="E3876"/>
    </row>
    <row r="3877" spans="5:5" x14ac:dyDescent="0.25">
      <c r="E3877"/>
    </row>
    <row r="3878" spans="5:5" x14ac:dyDescent="0.25">
      <c r="E3878"/>
    </row>
    <row r="3879" spans="5:5" x14ac:dyDescent="0.25">
      <c r="E3879"/>
    </row>
    <row r="3880" spans="5:5" x14ac:dyDescent="0.25">
      <c r="E3880"/>
    </row>
    <row r="3881" spans="5:5" x14ac:dyDescent="0.25">
      <c r="E3881"/>
    </row>
    <row r="3882" spans="5:5" x14ac:dyDescent="0.25">
      <c r="E3882"/>
    </row>
    <row r="3883" spans="5:5" x14ac:dyDescent="0.25">
      <c r="E3883"/>
    </row>
    <row r="3884" spans="5:5" x14ac:dyDescent="0.25">
      <c r="E3884"/>
    </row>
    <row r="3885" spans="5:5" x14ac:dyDescent="0.25">
      <c r="E3885"/>
    </row>
    <row r="3886" spans="5:5" x14ac:dyDescent="0.25">
      <c r="E3886"/>
    </row>
    <row r="3887" spans="5:5" x14ac:dyDescent="0.25">
      <c r="E3887"/>
    </row>
    <row r="3888" spans="5:5" x14ac:dyDescent="0.25">
      <c r="E3888"/>
    </row>
    <row r="3889" spans="5:5" x14ac:dyDescent="0.25">
      <c r="E3889"/>
    </row>
    <row r="3890" spans="5:5" x14ac:dyDescent="0.25">
      <c r="E3890"/>
    </row>
    <row r="3891" spans="5:5" x14ac:dyDescent="0.25">
      <c r="E3891"/>
    </row>
    <row r="3892" spans="5:5" x14ac:dyDescent="0.25">
      <c r="E3892"/>
    </row>
    <row r="3893" spans="5:5" x14ac:dyDescent="0.25">
      <c r="E3893"/>
    </row>
    <row r="3894" spans="5:5" x14ac:dyDescent="0.25">
      <c r="E3894"/>
    </row>
    <row r="3895" spans="5:5" x14ac:dyDescent="0.25">
      <c r="E3895"/>
    </row>
    <row r="3896" spans="5:5" x14ac:dyDescent="0.25">
      <c r="E3896"/>
    </row>
    <row r="3897" spans="5:5" x14ac:dyDescent="0.25">
      <c r="E3897"/>
    </row>
    <row r="3898" spans="5:5" x14ac:dyDescent="0.25">
      <c r="E3898"/>
    </row>
    <row r="3899" spans="5:5" x14ac:dyDescent="0.25">
      <c r="E3899"/>
    </row>
    <row r="3900" spans="5:5" x14ac:dyDescent="0.25">
      <c r="E3900"/>
    </row>
    <row r="3901" spans="5:5" x14ac:dyDescent="0.25">
      <c r="E3901"/>
    </row>
    <row r="3902" spans="5:5" x14ac:dyDescent="0.25">
      <c r="E3902"/>
    </row>
    <row r="3903" spans="5:5" x14ac:dyDescent="0.25">
      <c r="E3903"/>
    </row>
    <row r="3904" spans="5:5" x14ac:dyDescent="0.25">
      <c r="E3904"/>
    </row>
    <row r="3905" spans="5:5" x14ac:dyDescent="0.25">
      <c r="E3905"/>
    </row>
    <row r="3906" spans="5:5" x14ac:dyDescent="0.25">
      <c r="E3906"/>
    </row>
    <row r="3907" spans="5:5" x14ac:dyDescent="0.25">
      <c r="E3907"/>
    </row>
    <row r="3908" spans="5:5" x14ac:dyDescent="0.25">
      <c r="E3908"/>
    </row>
    <row r="3909" spans="5:5" x14ac:dyDescent="0.25">
      <c r="E3909"/>
    </row>
    <row r="3910" spans="5:5" x14ac:dyDescent="0.25">
      <c r="E3910"/>
    </row>
    <row r="3911" spans="5:5" x14ac:dyDescent="0.25">
      <c r="E3911"/>
    </row>
    <row r="3912" spans="5:5" x14ac:dyDescent="0.25">
      <c r="E3912"/>
    </row>
    <row r="3913" spans="5:5" x14ac:dyDescent="0.25">
      <c r="E3913"/>
    </row>
    <row r="3914" spans="5:5" x14ac:dyDescent="0.25">
      <c r="E3914"/>
    </row>
    <row r="3915" spans="5:5" x14ac:dyDescent="0.25">
      <c r="E3915"/>
    </row>
    <row r="3916" spans="5:5" x14ac:dyDescent="0.25">
      <c r="E3916"/>
    </row>
    <row r="3917" spans="5:5" x14ac:dyDescent="0.25">
      <c r="E3917"/>
    </row>
    <row r="3918" spans="5:5" x14ac:dyDescent="0.25">
      <c r="E3918"/>
    </row>
    <row r="3919" spans="5:5" x14ac:dyDescent="0.25">
      <c r="E3919"/>
    </row>
    <row r="3920" spans="5:5" x14ac:dyDescent="0.25">
      <c r="E3920"/>
    </row>
    <row r="3921" spans="5:5" x14ac:dyDescent="0.25">
      <c r="E3921"/>
    </row>
    <row r="3922" spans="5:5" x14ac:dyDescent="0.25">
      <c r="E3922"/>
    </row>
    <row r="3923" spans="5:5" x14ac:dyDescent="0.25">
      <c r="E3923"/>
    </row>
    <row r="3924" spans="5:5" x14ac:dyDescent="0.25">
      <c r="E3924"/>
    </row>
    <row r="3925" spans="5:5" x14ac:dyDescent="0.25">
      <c r="E3925"/>
    </row>
    <row r="3926" spans="5:5" x14ac:dyDescent="0.25">
      <c r="E3926"/>
    </row>
    <row r="3927" spans="5:5" x14ac:dyDescent="0.25">
      <c r="E3927"/>
    </row>
    <row r="3928" spans="5:5" x14ac:dyDescent="0.25">
      <c r="E3928"/>
    </row>
    <row r="3929" spans="5:5" x14ac:dyDescent="0.25">
      <c r="E3929"/>
    </row>
    <row r="3930" spans="5:5" x14ac:dyDescent="0.25">
      <c r="E3930"/>
    </row>
    <row r="3931" spans="5:5" x14ac:dyDescent="0.25">
      <c r="E3931"/>
    </row>
    <row r="3932" spans="5:5" x14ac:dyDescent="0.25">
      <c r="E3932"/>
    </row>
    <row r="3933" spans="5:5" x14ac:dyDescent="0.25">
      <c r="E3933"/>
    </row>
    <row r="3934" spans="5:5" x14ac:dyDescent="0.25">
      <c r="E3934"/>
    </row>
    <row r="3935" spans="5:5" x14ac:dyDescent="0.25">
      <c r="E3935"/>
    </row>
    <row r="3936" spans="5:5" x14ac:dyDescent="0.25">
      <c r="E3936"/>
    </row>
    <row r="3937" spans="5:5" x14ac:dyDescent="0.25">
      <c r="E3937"/>
    </row>
    <row r="3938" spans="5:5" x14ac:dyDescent="0.25">
      <c r="E3938"/>
    </row>
    <row r="3939" spans="5:5" x14ac:dyDescent="0.25">
      <c r="E3939"/>
    </row>
    <row r="3940" spans="5:5" x14ac:dyDescent="0.25">
      <c r="E3940"/>
    </row>
    <row r="3941" spans="5:5" x14ac:dyDescent="0.25">
      <c r="E3941"/>
    </row>
    <row r="3942" spans="5:5" x14ac:dyDescent="0.25">
      <c r="E3942"/>
    </row>
    <row r="3943" spans="5:5" x14ac:dyDescent="0.25">
      <c r="E3943"/>
    </row>
    <row r="3944" spans="5:5" x14ac:dyDescent="0.25">
      <c r="E3944"/>
    </row>
    <row r="3945" spans="5:5" x14ac:dyDescent="0.25">
      <c r="E3945"/>
    </row>
    <row r="3946" spans="5:5" x14ac:dyDescent="0.25">
      <c r="E3946"/>
    </row>
    <row r="3947" spans="5:5" x14ac:dyDescent="0.25">
      <c r="E3947"/>
    </row>
    <row r="3948" spans="5:5" x14ac:dyDescent="0.25">
      <c r="E3948"/>
    </row>
    <row r="3949" spans="5:5" x14ac:dyDescent="0.25">
      <c r="E3949"/>
    </row>
    <row r="3950" spans="5:5" x14ac:dyDescent="0.25">
      <c r="E3950"/>
    </row>
    <row r="3951" spans="5:5" x14ac:dyDescent="0.25">
      <c r="E3951"/>
    </row>
    <row r="3952" spans="5:5" x14ac:dyDescent="0.25">
      <c r="E3952"/>
    </row>
    <row r="3953" spans="5:5" x14ac:dyDescent="0.25">
      <c r="E3953"/>
    </row>
    <row r="3954" spans="5:5" x14ac:dyDescent="0.25">
      <c r="E3954"/>
    </row>
    <row r="3955" spans="5:5" x14ac:dyDescent="0.25">
      <c r="E3955"/>
    </row>
    <row r="3956" spans="5:5" x14ac:dyDescent="0.25">
      <c r="E3956"/>
    </row>
    <row r="3957" spans="5:5" x14ac:dyDescent="0.25">
      <c r="E3957"/>
    </row>
    <row r="3958" spans="5:5" x14ac:dyDescent="0.25">
      <c r="E3958"/>
    </row>
    <row r="3959" spans="5:5" x14ac:dyDescent="0.25">
      <c r="E3959"/>
    </row>
    <row r="3960" spans="5:5" x14ac:dyDescent="0.25">
      <c r="E3960"/>
    </row>
    <row r="3961" spans="5:5" x14ac:dyDescent="0.25">
      <c r="E3961"/>
    </row>
    <row r="3962" spans="5:5" x14ac:dyDescent="0.25">
      <c r="E3962"/>
    </row>
    <row r="3963" spans="5:5" x14ac:dyDescent="0.25">
      <c r="E3963"/>
    </row>
    <row r="3964" spans="5:5" x14ac:dyDescent="0.25">
      <c r="E3964"/>
    </row>
    <row r="3965" spans="5:5" x14ac:dyDescent="0.25">
      <c r="E3965"/>
    </row>
    <row r="3966" spans="5:5" x14ac:dyDescent="0.25">
      <c r="E3966"/>
    </row>
    <row r="3967" spans="5:5" x14ac:dyDescent="0.25">
      <c r="E3967"/>
    </row>
    <row r="3968" spans="5:5" x14ac:dyDescent="0.25">
      <c r="E3968"/>
    </row>
    <row r="3969" spans="5:5" x14ac:dyDescent="0.25">
      <c r="E3969"/>
    </row>
    <row r="3970" spans="5:5" x14ac:dyDescent="0.25">
      <c r="E3970"/>
    </row>
    <row r="3971" spans="5:5" x14ac:dyDescent="0.25">
      <c r="E3971"/>
    </row>
    <row r="3972" spans="5:5" x14ac:dyDescent="0.25">
      <c r="E3972"/>
    </row>
    <row r="3973" spans="5:5" x14ac:dyDescent="0.25">
      <c r="E3973"/>
    </row>
    <row r="3974" spans="5:5" x14ac:dyDescent="0.25">
      <c r="E3974"/>
    </row>
    <row r="3975" spans="5:5" x14ac:dyDescent="0.25">
      <c r="E3975"/>
    </row>
    <row r="3976" spans="5:5" x14ac:dyDescent="0.25">
      <c r="E3976"/>
    </row>
    <row r="3977" spans="5:5" x14ac:dyDescent="0.25">
      <c r="E3977"/>
    </row>
    <row r="3978" spans="5:5" x14ac:dyDescent="0.25">
      <c r="E3978"/>
    </row>
    <row r="3979" spans="5:5" x14ac:dyDescent="0.25">
      <c r="E3979"/>
    </row>
    <row r="3980" spans="5:5" x14ac:dyDescent="0.25">
      <c r="E3980"/>
    </row>
    <row r="3981" spans="5:5" x14ac:dyDescent="0.25">
      <c r="E3981"/>
    </row>
    <row r="3982" spans="5:5" x14ac:dyDescent="0.25">
      <c r="E3982"/>
    </row>
    <row r="3983" spans="5:5" x14ac:dyDescent="0.25">
      <c r="E3983"/>
    </row>
    <row r="3984" spans="5:5" x14ac:dyDescent="0.25">
      <c r="E3984"/>
    </row>
    <row r="3985" spans="5:5" x14ac:dyDescent="0.25">
      <c r="E3985"/>
    </row>
    <row r="3986" spans="5:5" x14ac:dyDescent="0.25">
      <c r="E3986"/>
    </row>
    <row r="3987" spans="5:5" x14ac:dyDescent="0.25">
      <c r="E3987"/>
    </row>
    <row r="3988" spans="5:5" x14ac:dyDescent="0.25">
      <c r="E3988"/>
    </row>
    <row r="3989" spans="5:5" x14ac:dyDescent="0.25">
      <c r="E3989"/>
    </row>
    <row r="3990" spans="5:5" x14ac:dyDescent="0.25">
      <c r="E3990"/>
    </row>
    <row r="3991" spans="5:5" x14ac:dyDescent="0.25">
      <c r="E3991"/>
    </row>
    <row r="3992" spans="5:5" x14ac:dyDescent="0.25">
      <c r="E3992"/>
    </row>
    <row r="3993" spans="5:5" x14ac:dyDescent="0.25">
      <c r="E3993"/>
    </row>
    <row r="3994" spans="5:5" x14ac:dyDescent="0.25">
      <c r="E3994"/>
    </row>
    <row r="3995" spans="5:5" x14ac:dyDescent="0.25">
      <c r="E3995"/>
    </row>
    <row r="3996" spans="5:5" x14ac:dyDescent="0.25">
      <c r="E3996"/>
    </row>
    <row r="3997" spans="5:5" x14ac:dyDescent="0.25">
      <c r="E3997"/>
    </row>
    <row r="3998" spans="5:5" x14ac:dyDescent="0.25">
      <c r="E3998"/>
    </row>
    <row r="3999" spans="5:5" x14ac:dyDescent="0.25">
      <c r="E3999"/>
    </row>
    <row r="4000" spans="5:5" x14ac:dyDescent="0.25">
      <c r="E4000"/>
    </row>
    <row r="4001" spans="5:5" x14ac:dyDescent="0.25">
      <c r="E4001"/>
    </row>
    <row r="4002" spans="5:5" x14ac:dyDescent="0.25">
      <c r="E4002"/>
    </row>
    <row r="4003" spans="5:5" x14ac:dyDescent="0.25">
      <c r="E4003"/>
    </row>
    <row r="4004" spans="5:5" x14ac:dyDescent="0.25">
      <c r="E4004"/>
    </row>
    <row r="4005" spans="5:5" x14ac:dyDescent="0.25">
      <c r="E4005"/>
    </row>
    <row r="4006" spans="5:5" x14ac:dyDescent="0.25">
      <c r="E4006"/>
    </row>
    <row r="4007" spans="5:5" x14ac:dyDescent="0.25">
      <c r="E4007"/>
    </row>
    <row r="4008" spans="5:5" x14ac:dyDescent="0.25">
      <c r="E4008"/>
    </row>
    <row r="4009" spans="5:5" x14ac:dyDescent="0.25">
      <c r="E4009"/>
    </row>
    <row r="4010" spans="5:5" x14ac:dyDescent="0.25">
      <c r="E4010"/>
    </row>
    <row r="4011" spans="5:5" x14ac:dyDescent="0.25">
      <c r="E4011"/>
    </row>
    <row r="4012" spans="5:5" x14ac:dyDescent="0.25">
      <c r="E4012"/>
    </row>
    <row r="4013" spans="5:5" x14ac:dyDescent="0.25">
      <c r="E4013"/>
    </row>
    <row r="4014" spans="5:5" x14ac:dyDescent="0.25">
      <c r="E4014"/>
    </row>
    <row r="4015" spans="5:5" x14ac:dyDescent="0.25">
      <c r="E4015"/>
    </row>
    <row r="4016" spans="5:5" x14ac:dyDescent="0.25">
      <c r="E4016"/>
    </row>
    <row r="4017" spans="5:5" x14ac:dyDescent="0.25">
      <c r="E4017"/>
    </row>
    <row r="4018" spans="5:5" x14ac:dyDescent="0.25">
      <c r="E4018"/>
    </row>
    <row r="4019" spans="5:5" x14ac:dyDescent="0.25">
      <c r="E4019"/>
    </row>
    <row r="4020" spans="5:5" x14ac:dyDescent="0.25">
      <c r="E4020"/>
    </row>
    <row r="4021" spans="5:5" x14ac:dyDescent="0.25">
      <c r="E4021"/>
    </row>
    <row r="4022" spans="5:5" x14ac:dyDescent="0.25">
      <c r="E4022"/>
    </row>
    <row r="4023" spans="5:5" x14ac:dyDescent="0.25">
      <c r="E4023"/>
    </row>
    <row r="4024" spans="5:5" x14ac:dyDescent="0.25">
      <c r="E4024"/>
    </row>
    <row r="4025" spans="5:5" x14ac:dyDescent="0.25">
      <c r="E4025"/>
    </row>
    <row r="4026" spans="5:5" x14ac:dyDescent="0.25">
      <c r="E4026"/>
    </row>
    <row r="4027" spans="5:5" x14ac:dyDescent="0.25">
      <c r="E4027"/>
    </row>
    <row r="4028" spans="5:5" x14ac:dyDescent="0.25">
      <c r="E4028"/>
    </row>
    <row r="4029" spans="5:5" x14ac:dyDescent="0.25">
      <c r="E4029"/>
    </row>
    <row r="4030" spans="5:5" x14ac:dyDescent="0.25">
      <c r="E4030"/>
    </row>
    <row r="4031" spans="5:5" x14ac:dyDescent="0.25">
      <c r="E4031"/>
    </row>
    <row r="4032" spans="5:5" x14ac:dyDescent="0.25">
      <c r="E4032"/>
    </row>
    <row r="4033" spans="5:5" x14ac:dyDescent="0.25">
      <c r="E4033"/>
    </row>
    <row r="4034" spans="5:5" x14ac:dyDescent="0.25">
      <c r="E4034"/>
    </row>
    <row r="4035" spans="5:5" x14ac:dyDescent="0.25">
      <c r="E4035"/>
    </row>
    <row r="4036" spans="5:5" x14ac:dyDescent="0.25">
      <c r="E4036"/>
    </row>
    <row r="4037" spans="5:5" x14ac:dyDescent="0.25">
      <c r="E4037"/>
    </row>
    <row r="4038" spans="5:5" x14ac:dyDescent="0.25">
      <c r="E4038"/>
    </row>
    <row r="4039" spans="5:5" x14ac:dyDescent="0.25">
      <c r="E4039"/>
    </row>
    <row r="4040" spans="5:5" x14ac:dyDescent="0.25">
      <c r="E4040"/>
    </row>
    <row r="4041" spans="5:5" x14ac:dyDescent="0.25">
      <c r="E4041"/>
    </row>
    <row r="4042" spans="5:5" x14ac:dyDescent="0.25">
      <c r="E4042"/>
    </row>
    <row r="4043" spans="5:5" x14ac:dyDescent="0.25">
      <c r="E4043"/>
    </row>
    <row r="4044" spans="5:5" x14ac:dyDescent="0.25">
      <c r="E4044"/>
    </row>
    <row r="4045" spans="5:5" x14ac:dyDescent="0.25">
      <c r="E4045"/>
    </row>
    <row r="4046" spans="5:5" x14ac:dyDescent="0.25">
      <c r="E4046"/>
    </row>
    <row r="4047" spans="5:5" x14ac:dyDescent="0.25">
      <c r="E4047"/>
    </row>
    <row r="4048" spans="5:5" x14ac:dyDescent="0.25">
      <c r="E4048"/>
    </row>
    <row r="4049" spans="5:5" x14ac:dyDescent="0.25">
      <c r="E4049"/>
    </row>
    <row r="4050" spans="5:5" x14ac:dyDescent="0.25">
      <c r="E4050"/>
    </row>
    <row r="4051" spans="5:5" x14ac:dyDescent="0.25">
      <c r="E4051"/>
    </row>
    <row r="4052" spans="5:5" x14ac:dyDescent="0.25">
      <c r="E4052"/>
    </row>
    <row r="4053" spans="5:5" x14ac:dyDescent="0.25">
      <c r="E4053"/>
    </row>
    <row r="4054" spans="5:5" x14ac:dyDescent="0.25">
      <c r="E4054"/>
    </row>
    <row r="4055" spans="5:5" x14ac:dyDescent="0.25">
      <c r="E4055"/>
    </row>
    <row r="4056" spans="5:5" x14ac:dyDescent="0.25">
      <c r="E4056"/>
    </row>
    <row r="4057" spans="5:5" x14ac:dyDescent="0.25">
      <c r="E4057"/>
    </row>
    <row r="4058" spans="5:5" x14ac:dyDescent="0.25">
      <c r="E4058"/>
    </row>
    <row r="4059" spans="5:5" x14ac:dyDescent="0.25">
      <c r="E4059"/>
    </row>
    <row r="4060" spans="5:5" x14ac:dyDescent="0.25">
      <c r="E4060"/>
    </row>
    <row r="4061" spans="5:5" x14ac:dyDescent="0.25">
      <c r="E4061"/>
    </row>
    <row r="4062" spans="5:5" x14ac:dyDescent="0.25">
      <c r="E4062"/>
    </row>
    <row r="4063" spans="5:5" x14ac:dyDescent="0.25">
      <c r="E4063"/>
    </row>
    <row r="4064" spans="5:5" x14ac:dyDescent="0.25">
      <c r="E4064"/>
    </row>
    <row r="4065" spans="5:5" x14ac:dyDescent="0.25">
      <c r="E4065"/>
    </row>
    <row r="4066" spans="5:5" x14ac:dyDescent="0.25">
      <c r="E4066"/>
    </row>
    <row r="4067" spans="5:5" x14ac:dyDescent="0.25">
      <c r="E4067"/>
    </row>
    <row r="4068" spans="5:5" x14ac:dyDescent="0.25">
      <c r="E4068"/>
    </row>
    <row r="4069" spans="5:5" x14ac:dyDescent="0.25">
      <c r="E4069"/>
    </row>
    <row r="4070" spans="5:5" x14ac:dyDescent="0.25">
      <c r="E4070"/>
    </row>
    <row r="4071" spans="5:5" x14ac:dyDescent="0.25">
      <c r="E4071"/>
    </row>
    <row r="4072" spans="5:5" x14ac:dyDescent="0.25">
      <c r="E4072"/>
    </row>
    <row r="4073" spans="5:5" x14ac:dyDescent="0.25">
      <c r="E4073"/>
    </row>
    <row r="4074" spans="5:5" x14ac:dyDescent="0.25">
      <c r="E4074"/>
    </row>
    <row r="4075" spans="5:5" x14ac:dyDescent="0.25">
      <c r="E4075"/>
    </row>
    <row r="4076" spans="5:5" x14ac:dyDescent="0.25">
      <c r="E4076"/>
    </row>
    <row r="4077" spans="5:5" x14ac:dyDescent="0.25">
      <c r="E4077"/>
    </row>
    <row r="4078" spans="5:5" x14ac:dyDescent="0.25">
      <c r="E4078"/>
    </row>
    <row r="4079" spans="5:5" x14ac:dyDescent="0.25">
      <c r="E4079"/>
    </row>
    <row r="4080" spans="5:5" x14ac:dyDescent="0.25">
      <c r="E4080"/>
    </row>
    <row r="4081" spans="5:5" x14ac:dyDescent="0.25">
      <c r="E4081"/>
    </row>
    <row r="4082" spans="5:5" x14ac:dyDescent="0.25">
      <c r="E4082"/>
    </row>
    <row r="4083" spans="5:5" x14ac:dyDescent="0.25">
      <c r="E4083"/>
    </row>
    <row r="4084" spans="5:5" x14ac:dyDescent="0.25">
      <c r="E4084"/>
    </row>
    <row r="4085" spans="5:5" x14ac:dyDescent="0.25">
      <c r="E4085"/>
    </row>
    <row r="4086" spans="5:5" x14ac:dyDescent="0.25">
      <c r="E4086"/>
    </row>
    <row r="4087" spans="5:5" x14ac:dyDescent="0.25">
      <c r="E4087"/>
    </row>
    <row r="4088" spans="5:5" x14ac:dyDescent="0.25">
      <c r="E4088"/>
    </row>
    <row r="4089" spans="5:5" x14ac:dyDescent="0.25">
      <c r="E4089"/>
    </row>
    <row r="4090" spans="5:5" x14ac:dyDescent="0.25">
      <c r="E4090"/>
    </row>
    <row r="4091" spans="5:5" x14ac:dyDescent="0.25">
      <c r="E4091"/>
    </row>
    <row r="4092" spans="5:5" x14ac:dyDescent="0.25">
      <c r="E4092"/>
    </row>
    <row r="4093" spans="5:5" x14ac:dyDescent="0.25">
      <c r="E4093"/>
    </row>
    <row r="4094" spans="5:5" x14ac:dyDescent="0.25">
      <c r="E4094"/>
    </row>
    <row r="4095" spans="5:5" x14ac:dyDescent="0.25">
      <c r="E4095"/>
    </row>
    <row r="4096" spans="5:5" x14ac:dyDescent="0.25">
      <c r="E4096"/>
    </row>
    <row r="4097" spans="5:5" x14ac:dyDescent="0.25">
      <c r="E4097"/>
    </row>
    <row r="4098" spans="5:5" x14ac:dyDescent="0.25">
      <c r="E4098"/>
    </row>
    <row r="4099" spans="5:5" x14ac:dyDescent="0.25">
      <c r="E4099"/>
    </row>
    <row r="4100" spans="5:5" x14ac:dyDescent="0.25">
      <c r="E4100"/>
    </row>
    <row r="4101" spans="5:5" x14ac:dyDescent="0.25">
      <c r="E4101"/>
    </row>
    <row r="4102" spans="5:5" x14ac:dyDescent="0.25">
      <c r="E4102"/>
    </row>
    <row r="4103" spans="5:5" x14ac:dyDescent="0.25">
      <c r="E4103"/>
    </row>
    <row r="4104" spans="5:5" x14ac:dyDescent="0.25">
      <c r="E4104"/>
    </row>
    <row r="4105" spans="5:5" x14ac:dyDescent="0.25">
      <c r="E4105"/>
    </row>
    <row r="4106" spans="5:5" x14ac:dyDescent="0.25">
      <c r="E4106"/>
    </row>
    <row r="4107" spans="5:5" x14ac:dyDescent="0.25">
      <c r="E4107"/>
    </row>
    <row r="4108" spans="5:5" x14ac:dyDescent="0.25">
      <c r="E4108"/>
    </row>
    <row r="4109" spans="5:5" x14ac:dyDescent="0.25">
      <c r="E4109"/>
    </row>
    <row r="4110" spans="5:5" x14ac:dyDescent="0.25">
      <c r="E4110"/>
    </row>
    <row r="4111" spans="5:5" x14ac:dyDescent="0.25">
      <c r="E4111"/>
    </row>
    <row r="4112" spans="5:5" x14ac:dyDescent="0.25">
      <c r="E4112"/>
    </row>
    <row r="4113" spans="5:5" x14ac:dyDescent="0.25">
      <c r="E4113"/>
    </row>
    <row r="4114" spans="5:5" x14ac:dyDescent="0.25">
      <c r="E4114"/>
    </row>
    <row r="4115" spans="5:5" x14ac:dyDescent="0.25">
      <c r="E4115"/>
    </row>
    <row r="4116" spans="5:5" x14ac:dyDescent="0.25">
      <c r="E4116"/>
    </row>
    <row r="4117" spans="5:5" x14ac:dyDescent="0.25">
      <c r="E4117"/>
    </row>
    <row r="4118" spans="5:5" x14ac:dyDescent="0.25">
      <c r="E4118"/>
    </row>
    <row r="4119" spans="5:5" x14ac:dyDescent="0.25">
      <c r="E4119"/>
    </row>
    <row r="4120" spans="5:5" x14ac:dyDescent="0.25">
      <c r="E4120"/>
    </row>
    <row r="4121" spans="5:5" x14ac:dyDescent="0.25">
      <c r="E4121"/>
    </row>
    <row r="4122" spans="5:5" x14ac:dyDescent="0.25">
      <c r="E4122"/>
    </row>
    <row r="4123" spans="5:5" x14ac:dyDescent="0.25">
      <c r="E4123"/>
    </row>
    <row r="4124" spans="5:5" x14ac:dyDescent="0.25">
      <c r="E4124"/>
    </row>
    <row r="4125" spans="5:5" x14ac:dyDescent="0.25">
      <c r="E4125"/>
    </row>
    <row r="4126" spans="5:5" x14ac:dyDescent="0.25">
      <c r="E4126"/>
    </row>
    <row r="4127" spans="5:5" x14ac:dyDescent="0.25">
      <c r="E4127"/>
    </row>
    <row r="4128" spans="5:5" x14ac:dyDescent="0.25">
      <c r="E4128"/>
    </row>
    <row r="4129" spans="5:5" x14ac:dyDescent="0.25">
      <c r="E4129"/>
    </row>
    <row r="4130" spans="5:5" x14ac:dyDescent="0.25">
      <c r="E4130"/>
    </row>
    <row r="4131" spans="5:5" x14ac:dyDescent="0.25">
      <c r="E4131"/>
    </row>
    <row r="4132" spans="5:5" x14ac:dyDescent="0.25">
      <c r="E4132"/>
    </row>
    <row r="4133" spans="5:5" x14ac:dyDescent="0.25">
      <c r="E4133"/>
    </row>
    <row r="4134" spans="5:5" x14ac:dyDescent="0.25">
      <c r="E4134"/>
    </row>
    <row r="4135" spans="5:5" x14ac:dyDescent="0.25">
      <c r="E4135"/>
    </row>
    <row r="4136" spans="5:5" x14ac:dyDescent="0.25">
      <c r="E4136"/>
    </row>
    <row r="4137" spans="5:5" x14ac:dyDescent="0.25">
      <c r="E4137"/>
    </row>
    <row r="4138" spans="5:5" x14ac:dyDescent="0.25">
      <c r="E4138"/>
    </row>
    <row r="4139" spans="5:5" x14ac:dyDescent="0.25">
      <c r="E4139"/>
    </row>
    <row r="4140" spans="5:5" x14ac:dyDescent="0.25">
      <c r="E4140"/>
    </row>
    <row r="4141" spans="5:5" x14ac:dyDescent="0.25">
      <c r="E4141"/>
    </row>
    <row r="4142" spans="5:5" x14ac:dyDescent="0.25">
      <c r="E4142"/>
    </row>
    <row r="4143" spans="5:5" x14ac:dyDescent="0.25">
      <c r="E4143"/>
    </row>
    <row r="4144" spans="5:5" x14ac:dyDescent="0.25">
      <c r="E4144"/>
    </row>
    <row r="4145" spans="5:5" x14ac:dyDescent="0.25">
      <c r="E4145"/>
    </row>
    <row r="4146" spans="5:5" x14ac:dyDescent="0.25">
      <c r="E4146"/>
    </row>
    <row r="4147" spans="5:5" x14ac:dyDescent="0.25">
      <c r="E4147"/>
    </row>
    <row r="4148" spans="5:5" x14ac:dyDescent="0.25">
      <c r="E4148"/>
    </row>
    <row r="4149" spans="5:5" x14ac:dyDescent="0.25">
      <c r="E4149"/>
    </row>
    <row r="4150" spans="5:5" x14ac:dyDescent="0.25">
      <c r="E4150"/>
    </row>
    <row r="4151" spans="5:5" x14ac:dyDescent="0.25">
      <c r="E4151"/>
    </row>
    <row r="4152" spans="5:5" x14ac:dyDescent="0.25">
      <c r="E4152"/>
    </row>
    <row r="4153" spans="5:5" x14ac:dyDescent="0.25">
      <c r="E4153"/>
    </row>
    <row r="4154" spans="5:5" x14ac:dyDescent="0.25">
      <c r="E4154"/>
    </row>
    <row r="4155" spans="5:5" x14ac:dyDescent="0.25">
      <c r="E4155"/>
    </row>
    <row r="4156" spans="5:5" x14ac:dyDescent="0.25">
      <c r="E4156"/>
    </row>
    <row r="4157" spans="5:5" x14ac:dyDescent="0.25">
      <c r="E4157"/>
    </row>
    <row r="4158" spans="5:5" x14ac:dyDescent="0.25">
      <c r="E4158"/>
    </row>
    <row r="4159" spans="5:5" x14ac:dyDescent="0.25">
      <c r="E4159"/>
    </row>
    <row r="4160" spans="5:5" x14ac:dyDescent="0.25">
      <c r="E4160"/>
    </row>
    <row r="4161" spans="5:5" x14ac:dyDescent="0.25">
      <c r="E4161"/>
    </row>
    <row r="4162" spans="5:5" x14ac:dyDescent="0.25">
      <c r="E4162"/>
    </row>
    <row r="4163" spans="5:5" x14ac:dyDescent="0.25">
      <c r="E4163"/>
    </row>
    <row r="4164" spans="5:5" x14ac:dyDescent="0.25">
      <c r="E4164"/>
    </row>
    <row r="4165" spans="5:5" x14ac:dyDescent="0.25">
      <c r="E4165"/>
    </row>
    <row r="4166" spans="5:5" x14ac:dyDescent="0.25">
      <c r="E4166"/>
    </row>
    <row r="4167" spans="5:5" x14ac:dyDescent="0.25">
      <c r="E4167"/>
    </row>
    <row r="4168" spans="5:5" x14ac:dyDescent="0.25">
      <c r="E4168"/>
    </row>
    <row r="4169" spans="5:5" x14ac:dyDescent="0.25">
      <c r="E4169"/>
    </row>
    <row r="4170" spans="5:5" x14ac:dyDescent="0.25">
      <c r="E4170"/>
    </row>
    <row r="4171" spans="5:5" x14ac:dyDescent="0.25">
      <c r="E4171"/>
    </row>
    <row r="4172" spans="5:5" x14ac:dyDescent="0.25">
      <c r="E4172"/>
    </row>
    <row r="4173" spans="5:5" x14ac:dyDescent="0.25">
      <c r="E4173"/>
    </row>
    <row r="4174" spans="5:5" x14ac:dyDescent="0.25">
      <c r="E4174"/>
    </row>
    <row r="4175" spans="5:5" x14ac:dyDescent="0.25">
      <c r="E4175"/>
    </row>
    <row r="4176" spans="5:5" x14ac:dyDescent="0.25">
      <c r="E4176"/>
    </row>
    <row r="4177" spans="5:5" x14ac:dyDescent="0.25">
      <c r="E4177"/>
    </row>
    <row r="4178" spans="5:5" x14ac:dyDescent="0.25">
      <c r="E4178"/>
    </row>
    <row r="4179" spans="5:5" x14ac:dyDescent="0.25">
      <c r="E4179"/>
    </row>
    <row r="4180" spans="5:5" x14ac:dyDescent="0.25">
      <c r="E4180"/>
    </row>
    <row r="4181" spans="5:5" x14ac:dyDescent="0.25">
      <c r="E4181"/>
    </row>
    <row r="4182" spans="5:5" x14ac:dyDescent="0.25">
      <c r="E4182"/>
    </row>
    <row r="4183" spans="5:5" x14ac:dyDescent="0.25">
      <c r="E4183"/>
    </row>
    <row r="4184" spans="5:5" x14ac:dyDescent="0.25">
      <c r="E4184"/>
    </row>
    <row r="4185" spans="5:5" x14ac:dyDescent="0.25">
      <c r="E4185"/>
    </row>
    <row r="4186" spans="5:5" x14ac:dyDescent="0.25">
      <c r="E4186"/>
    </row>
    <row r="4187" spans="5:5" x14ac:dyDescent="0.25">
      <c r="E4187"/>
    </row>
    <row r="4188" spans="5:5" x14ac:dyDescent="0.25">
      <c r="E4188"/>
    </row>
    <row r="4189" spans="5:5" x14ac:dyDescent="0.25">
      <c r="E4189"/>
    </row>
    <row r="4190" spans="5:5" x14ac:dyDescent="0.25">
      <c r="E4190"/>
    </row>
    <row r="4191" spans="5:5" x14ac:dyDescent="0.25">
      <c r="E4191"/>
    </row>
    <row r="4192" spans="5:5" x14ac:dyDescent="0.25">
      <c r="E4192"/>
    </row>
    <row r="4193" spans="5:5" x14ac:dyDescent="0.25">
      <c r="E4193"/>
    </row>
    <row r="4194" spans="5:5" x14ac:dyDescent="0.25">
      <c r="E4194"/>
    </row>
    <row r="4195" spans="5:5" x14ac:dyDescent="0.25">
      <c r="E4195"/>
    </row>
    <row r="4196" spans="5:5" x14ac:dyDescent="0.25">
      <c r="E4196"/>
    </row>
    <row r="4197" spans="5:5" x14ac:dyDescent="0.25">
      <c r="E4197"/>
    </row>
    <row r="4198" spans="5:5" x14ac:dyDescent="0.25">
      <c r="E4198"/>
    </row>
    <row r="4199" spans="5:5" x14ac:dyDescent="0.25">
      <c r="E4199"/>
    </row>
    <row r="4200" spans="5:5" x14ac:dyDescent="0.25">
      <c r="E4200"/>
    </row>
    <row r="4201" spans="5:5" x14ac:dyDescent="0.25">
      <c r="E4201"/>
    </row>
    <row r="4202" spans="5:5" x14ac:dyDescent="0.25">
      <c r="E4202"/>
    </row>
    <row r="4203" spans="5:5" x14ac:dyDescent="0.25">
      <c r="E4203"/>
    </row>
    <row r="4204" spans="5:5" x14ac:dyDescent="0.25">
      <c r="E4204"/>
    </row>
    <row r="4205" spans="5:5" x14ac:dyDescent="0.25">
      <c r="E4205"/>
    </row>
    <row r="4206" spans="5:5" x14ac:dyDescent="0.25">
      <c r="E4206"/>
    </row>
    <row r="4207" spans="5:5" x14ac:dyDescent="0.25">
      <c r="E4207"/>
    </row>
    <row r="4208" spans="5:5" x14ac:dyDescent="0.25">
      <c r="E4208"/>
    </row>
    <row r="4209" spans="5:5" x14ac:dyDescent="0.25">
      <c r="E4209"/>
    </row>
    <row r="4210" spans="5:5" x14ac:dyDescent="0.25">
      <c r="E4210"/>
    </row>
    <row r="4211" spans="5:5" x14ac:dyDescent="0.25">
      <c r="E4211"/>
    </row>
    <row r="4212" spans="5:5" x14ac:dyDescent="0.25">
      <c r="E4212"/>
    </row>
    <row r="4213" spans="5:5" x14ac:dyDescent="0.25">
      <c r="E4213"/>
    </row>
    <row r="4214" spans="5:5" x14ac:dyDescent="0.25">
      <c r="E4214"/>
    </row>
    <row r="4215" spans="5:5" x14ac:dyDescent="0.25">
      <c r="E4215"/>
    </row>
    <row r="4216" spans="5:5" x14ac:dyDescent="0.25">
      <c r="E4216"/>
    </row>
    <row r="4217" spans="5:5" x14ac:dyDescent="0.25">
      <c r="E4217"/>
    </row>
    <row r="4218" spans="5:5" x14ac:dyDescent="0.25">
      <c r="E4218"/>
    </row>
    <row r="4219" spans="5:5" x14ac:dyDescent="0.25">
      <c r="E4219"/>
    </row>
    <row r="4220" spans="5:5" x14ac:dyDescent="0.25">
      <c r="E4220"/>
    </row>
    <row r="4221" spans="5:5" x14ac:dyDescent="0.25">
      <c r="E4221"/>
    </row>
    <row r="4222" spans="5:5" x14ac:dyDescent="0.25">
      <c r="E4222"/>
    </row>
    <row r="4223" spans="5:5" x14ac:dyDescent="0.25">
      <c r="E4223"/>
    </row>
    <row r="4224" spans="5:5" x14ac:dyDescent="0.25">
      <c r="E4224"/>
    </row>
    <row r="4225" spans="5:5" x14ac:dyDescent="0.25">
      <c r="E4225"/>
    </row>
    <row r="4226" spans="5:5" x14ac:dyDescent="0.25">
      <c r="E4226"/>
    </row>
    <row r="4227" spans="5:5" x14ac:dyDescent="0.25">
      <c r="E4227"/>
    </row>
    <row r="4228" spans="5:5" x14ac:dyDescent="0.25">
      <c r="E4228"/>
    </row>
    <row r="4229" spans="5:5" x14ac:dyDescent="0.25">
      <c r="E4229"/>
    </row>
    <row r="4230" spans="5:5" x14ac:dyDescent="0.25">
      <c r="E4230"/>
    </row>
    <row r="4231" spans="5:5" x14ac:dyDescent="0.25">
      <c r="E4231"/>
    </row>
    <row r="4232" spans="5:5" x14ac:dyDescent="0.25">
      <c r="E4232"/>
    </row>
    <row r="4233" spans="5:5" x14ac:dyDescent="0.25">
      <c r="E4233"/>
    </row>
    <row r="4234" spans="5:5" x14ac:dyDescent="0.25">
      <c r="E4234"/>
    </row>
    <row r="4235" spans="5:5" x14ac:dyDescent="0.25">
      <c r="E4235"/>
    </row>
    <row r="4236" spans="5:5" x14ac:dyDescent="0.25">
      <c r="E4236"/>
    </row>
    <row r="4237" spans="5:5" x14ac:dyDescent="0.25">
      <c r="E4237"/>
    </row>
    <row r="4238" spans="5:5" x14ac:dyDescent="0.25">
      <c r="E4238"/>
    </row>
    <row r="4239" spans="5:5" x14ac:dyDescent="0.25">
      <c r="E4239"/>
    </row>
    <row r="4240" spans="5:5" x14ac:dyDescent="0.25">
      <c r="E4240"/>
    </row>
    <row r="4241" spans="5:5" x14ac:dyDescent="0.25">
      <c r="E4241"/>
    </row>
    <row r="4242" spans="5:5" x14ac:dyDescent="0.25">
      <c r="E4242"/>
    </row>
    <row r="4243" spans="5:5" x14ac:dyDescent="0.25">
      <c r="E4243"/>
    </row>
    <row r="4244" spans="5:5" x14ac:dyDescent="0.25">
      <c r="E4244"/>
    </row>
    <row r="4245" spans="5:5" x14ac:dyDescent="0.25">
      <c r="E4245"/>
    </row>
    <row r="4246" spans="5:5" x14ac:dyDescent="0.25">
      <c r="E4246"/>
    </row>
    <row r="4247" spans="5:5" x14ac:dyDescent="0.25">
      <c r="E4247"/>
    </row>
    <row r="4248" spans="5:5" x14ac:dyDescent="0.25">
      <c r="E4248"/>
    </row>
    <row r="4249" spans="5:5" x14ac:dyDescent="0.25">
      <c r="E4249"/>
    </row>
    <row r="4250" spans="5:5" x14ac:dyDescent="0.25">
      <c r="E4250"/>
    </row>
    <row r="4251" spans="5:5" x14ac:dyDescent="0.25">
      <c r="E4251"/>
    </row>
    <row r="4252" spans="5:5" x14ac:dyDescent="0.25">
      <c r="E4252"/>
    </row>
    <row r="4253" spans="5:5" x14ac:dyDescent="0.25">
      <c r="E4253"/>
    </row>
    <row r="4254" spans="5:5" x14ac:dyDescent="0.25">
      <c r="E4254"/>
    </row>
    <row r="4255" spans="5:5" x14ac:dyDescent="0.25">
      <c r="E4255"/>
    </row>
    <row r="4256" spans="5:5" x14ac:dyDescent="0.25">
      <c r="E4256"/>
    </row>
    <row r="4257" spans="5:5" x14ac:dyDescent="0.25">
      <c r="E4257"/>
    </row>
    <row r="4258" spans="5:5" x14ac:dyDescent="0.25">
      <c r="E4258"/>
    </row>
    <row r="4259" spans="5:5" x14ac:dyDescent="0.25">
      <c r="E4259"/>
    </row>
    <row r="4260" spans="5:5" x14ac:dyDescent="0.25">
      <c r="E4260"/>
    </row>
    <row r="4261" spans="5:5" x14ac:dyDescent="0.25">
      <c r="E4261"/>
    </row>
    <row r="4262" spans="5:5" x14ac:dyDescent="0.25">
      <c r="E4262"/>
    </row>
    <row r="4263" spans="5:5" x14ac:dyDescent="0.25">
      <c r="E4263"/>
    </row>
    <row r="4264" spans="5:5" x14ac:dyDescent="0.25">
      <c r="E4264"/>
    </row>
    <row r="4265" spans="5:5" x14ac:dyDescent="0.25">
      <c r="E4265"/>
    </row>
    <row r="4266" spans="5:5" x14ac:dyDescent="0.25">
      <c r="E4266"/>
    </row>
    <row r="4267" spans="5:5" x14ac:dyDescent="0.25">
      <c r="E4267"/>
    </row>
    <row r="4268" spans="5:5" x14ac:dyDescent="0.25">
      <c r="E4268"/>
    </row>
    <row r="4269" spans="5:5" x14ac:dyDescent="0.25">
      <c r="E4269"/>
    </row>
    <row r="4270" spans="5:5" x14ac:dyDescent="0.25">
      <c r="E4270"/>
    </row>
    <row r="4271" spans="5:5" x14ac:dyDescent="0.25">
      <c r="E4271"/>
    </row>
    <row r="4272" spans="5:5" x14ac:dyDescent="0.25">
      <c r="E4272"/>
    </row>
    <row r="4273" spans="5:5" x14ac:dyDescent="0.25">
      <c r="E4273"/>
    </row>
    <row r="4274" spans="5:5" x14ac:dyDescent="0.25">
      <c r="E4274"/>
    </row>
    <row r="4275" spans="5:5" x14ac:dyDescent="0.25">
      <c r="E4275"/>
    </row>
    <row r="4276" spans="5:5" x14ac:dyDescent="0.25">
      <c r="E4276"/>
    </row>
    <row r="4277" spans="5:5" x14ac:dyDescent="0.25">
      <c r="E4277"/>
    </row>
    <row r="4278" spans="5:5" x14ac:dyDescent="0.25">
      <c r="E4278"/>
    </row>
    <row r="4279" spans="5:5" x14ac:dyDescent="0.25">
      <c r="E4279"/>
    </row>
    <row r="4280" spans="5:5" x14ac:dyDescent="0.25">
      <c r="E4280"/>
    </row>
    <row r="4281" spans="5:5" x14ac:dyDescent="0.25">
      <c r="E4281"/>
    </row>
    <row r="4282" spans="5:5" x14ac:dyDescent="0.25">
      <c r="E4282"/>
    </row>
    <row r="4283" spans="5:5" x14ac:dyDescent="0.25">
      <c r="E4283"/>
    </row>
    <row r="4284" spans="5:5" x14ac:dyDescent="0.25">
      <c r="E4284"/>
    </row>
    <row r="4285" spans="5:5" x14ac:dyDescent="0.25">
      <c r="E4285"/>
    </row>
    <row r="4286" spans="5:5" x14ac:dyDescent="0.25">
      <c r="E4286"/>
    </row>
    <row r="4287" spans="5:5" x14ac:dyDescent="0.25">
      <c r="E4287"/>
    </row>
    <row r="4288" spans="5:5" x14ac:dyDescent="0.25">
      <c r="E4288"/>
    </row>
    <row r="4289" spans="5:5" x14ac:dyDescent="0.25">
      <c r="E4289"/>
    </row>
    <row r="4290" spans="5:5" x14ac:dyDescent="0.25">
      <c r="E4290"/>
    </row>
    <row r="4291" spans="5:5" x14ac:dyDescent="0.25">
      <c r="E4291"/>
    </row>
    <row r="4292" spans="5:5" x14ac:dyDescent="0.25">
      <c r="E4292"/>
    </row>
    <row r="4293" spans="5:5" x14ac:dyDescent="0.25">
      <c r="E4293"/>
    </row>
    <row r="4294" spans="5:5" x14ac:dyDescent="0.25">
      <c r="E4294"/>
    </row>
    <row r="4295" spans="5:5" x14ac:dyDescent="0.25">
      <c r="E4295"/>
    </row>
    <row r="4296" spans="5:5" x14ac:dyDescent="0.25">
      <c r="E4296"/>
    </row>
    <row r="4297" spans="5:5" x14ac:dyDescent="0.25">
      <c r="E4297"/>
    </row>
    <row r="4298" spans="5:5" x14ac:dyDescent="0.25">
      <c r="E4298"/>
    </row>
    <row r="4299" spans="5:5" x14ac:dyDescent="0.25">
      <c r="E4299"/>
    </row>
    <row r="4300" spans="5:5" x14ac:dyDescent="0.25">
      <c r="E4300"/>
    </row>
    <row r="4301" spans="5:5" x14ac:dyDescent="0.25">
      <c r="E4301"/>
    </row>
    <row r="4302" spans="5:5" x14ac:dyDescent="0.25">
      <c r="E4302"/>
    </row>
    <row r="4303" spans="5:5" x14ac:dyDescent="0.25">
      <c r="E4303"/>
    </row>
    <row r="4304" spans="5:5" x14ac:dyDescent="0.25">
      <c r="E4304"/>
    </row>
    <row r="4305" spans="5:5" x14ac:dyDescent="0.25">
      <c r="E4305"/>
    </row>
    <row r="4306" spans="5:5" x14ac:dyDescent="0.25">
      <c r="E4306"/>
    </row>
    <row r="4307" spans="5:5" x14ac:dyDescent="0.25">
      <c r="E4307"/>
    </row>
    <row r="4308" spans="5:5" x14ac:dyDescent="0.25">
      <c r="E4308"/>
    </row>
    <row r="4309" spans="5:5" x14ac:dyDescent="0.25">
      <c r="E4309"/>
    </row>
    <row r="4310" spans="5:5" x14ac:dyDescent="0.25">
      <c r="E4310"/>
    </row>
    <row r="4311" spans="5:5" x14ac:dyDescent="0.25">
      <c r="E4311"/>
    </row>
    <row r="4312" spans="5:5" x14ac:dyDescent="0.25">
      <c r="E4312"/>
    </row>
    <row r="4313" spans="5:5" x14ac:dyDescent="0.25">
      <c r="E4313"/>
    </row>
    <row r="4314" spans="5:5" x14ac:dyDescent="0.25">
      <c r="E4314"/>
    </row>
    <row r="4315" spans="5:5" x14ac:dyDescent="0.25">
      <c r="E4315"/>
    </row>
    <row r="4316" spans="5:5" x14ac:dyDescent="0.25">
      <c r="E4316"/>
    </row>
    <row r="4317" spans="5:5" x14ac:dyDescent="0.25">
      <c r="E4317"/>
    </row>
    <row r="4318" spans="5:5" x14ac:dyDescent="0.25">
      <c r="E4318"/>
    </row>
    <row r="4319" spans="5:5" x14ac:dyDescent="0.25">
      <c r="E4319"/>
    </row>
    <row r="4320" spans="5:5" x14ac:dyDescent="0.25">
      <c r="E4320"/>
    </row>
    <row r="4321" spans="5:5" x14ac:dyDescent="0.25">
      <c r="E4321"/>
    </row>
    <row r="4322" spans="5:5" x14ac:dyDescent="0.25">
      <c r="E4322"/>
    </row>
    <row r="4323" spans="5:5" x14ac:dyDescent="0.25">
      <c r="E4323"/>
    </row>
    <row r="4324" spans="5:5" x14ac:dyDescent="0.25">
      <c r="E4324"/>
    </row>
    <row r="4325" spans="5:5" x14ac:dyDescent="0.25">
      <c r="E4325"/>
    </row>
    <row r="4326" spans="5:5" x14ac:dyDescent="0.25">
      <c r="E4326"/>
    </row>
    <row r="4327" spans="5:5" x14ac:dyDescent="0.25">
      <c r="E4327"/>
    </row>
    <row r="4328" spans="5:5" x14ac:dyDescent="0.25">
      <c r="E4328"/>
    </row>
    <row r="4329" spans="5:5" x14ac:dyDescent="0.25">
      <c r="E4329"/>
    </row>
    <row r="4330" spans="5:5" x14ac:dyDescent="0.25">
      <c r="E4330"/>
    </row>
    <row r="4331" spans="5:5" x14ac:dyDescent="0.25">
      <c r="E4331"/>
    </row>
    <row r="4332" spans="5:5" x14ac:dyDescent="0.25">
      <c r="E4332"/>
    </row>
    <row r="4333" spans="5:5" x14ac:dyDescent="0.25">
      <c r="E4333"/>
    </row>
    <row r="4334" spans="5:5" x14ac:dyDescent="0.25">
      <c r="E4334"/>
    </row>
    <row r="4335" spans="5:5" x14ac:dyDescent="0.25">
      <c r="E4335"/>
    </row>
    <row r="4336" spans="5:5" x14ac:dyDescent="0.25">
      <c r="E4336"/>
    </row>
    <row r="4337" spans="5:5" x14ac:dyDescent="0.25">
      <c r="E4337"/>
    </row>
    <row r="4338" spans="5:5" x14ac:dyDescent="0.25">
      <c r="E4338"/>
    </row>
    <row r="4339" spans="5:5" x14ac:dyDescent="0.25">
      <c r="E4339"/>
    </row>
    <row r="4340" spans="5:5" x14ac:dyDescent="0.25">
      <c r="E4340"/>
    </row>
    <row r="4341" spans="5:5" x14ac:dyDescent="0.25">
      <c r="E4341"/>
    </row>
    <row r="4342" spans="5:5" x14ac:dyDescent="0.25">
      <c r="E4342"/>
    </row>
    <row r="4343" spans="5:5" x14ac:dyDescent="0.25">
      <c r="E4343"/>
    </row>
    <row r="4344" spans="5:5" x14ac:dyDescent="0.25">
      <c r="E4344"/>
    </row>
    <row r="4345" spans="5:5" x14ac:dyDescent="0.25">
      <c r="E4345"/>
    </row>
    <row r="4346" spans="5:5" x14ac:dyDescent="0.25">
      <c r="E4346"/>
    </row>
    <row r="4347" spans="5:5" x14ac:dyDescent="0.25">
      <c r="E4347"/>
    </row>
    <row r="4348" spans="5:5" x14ac:dyDescent="0.25">
      <c r="E4348"/>
    </row>
    <row r="4349" spans="5:5" x14ac:dyDescent="0.25">
      <c r="E4349"/>
    </row>
    <row r="4350" spans="5:5" x14ac:dyDescent="0.25">
      <c r="E4350"/>
    </row>
    <row r="4351" spans="5:5" x14ac:dyDescent="0.25">
      <c r="E4351"/>
    </row>
    <row r="4352" spans="5:5" x14ac:dyDescent="0.25">
      <c r="E4352"/>
    </row>
    <row r="4353" spans="5:5" x14ac:dyDescent="0.25">
      <c r="E4353"/>
    </row>
    <row r="4354" spans="5:5" x14ac:dyDescent="0.25">
      <c r="E4354"/>
    </row>
    <row r="4355" spans="5:5" x14ac:dyDescent="0.25">
      <c r="E4355"/>
    </row>
    <row r="4356" spans="5:5" x14ac:dyDescent="0.25">
      <c r="E4356"/>
    </row>
    <row r="4357" spans="5:5" x14ac:dyDescent="0.25">
      <c r="E4357"/>
    </row>
    <row r="4358" spans="5:5" x14ac:dyDescent="0.25">
      <c r="E4358"/>
    </row>
    <row r="4359" spans="5:5" x14ac:dyDescent="0.25">
      <c r="E4359"/>
    </row>
    <row r="4360" spans="5:5" x14ac:dyDescent="0.25">
      <c r="E4360"/>
    </row>
    <row r="4361" spans="5:5" x14ac:dyDescent="0.25">
      <c r="E4361"/>
    </row>
    <row r="4362" spans="5:5" x14ac:dyDescent="0.25">
      <c r="E4362"/>
    </row>
    <row r="4363" spans="5:5" x14ac:dyDescent="0.25">
      <c r="E4363"/>
    </row>
    <row r="4364" spans="5:5" x14ac:dyDescent="0.25">
      <c r="E4364"/>
    </row>
    <row r="4365" spans="5:5" x14ac:dyDescent="0.25">
      <c r="E4365"/>
    </row>
    <row r="4366" spans="5:5" x14ac:dyDescent="0.25">
      <c r="E4366"/>
    </row>
    <row r="4367" spans="5:5" x14ac:dyDescent="0.25">
      <c r="E4367"/>
    </row>
    <row r="4368" spans="5:5" x14ac:dyDescent="0.25">
      <c r="E4368"/>
    </row>
    <row r="4369" spans="5:5" x14ac:dyDescent="0.25">
      <c r="E4369"/>
    </row>
    <row r="4370" spans="5:5" x14ac:dyDescent="0.25">
      <c r="E4370"/>
    </row>
    <row r="4371" spans="5:5" x14ac:dyDescent="0.25">
      <c r="E4371"/>
    </row>
    <row r="4372" spans="5:5" x14ac:dyDescent="0.25">
      <c r="E4372"/>
    </row>
    <row r="4373" spans="5:5" x14ac:dyDescent="0.25">
      <c r="E4373"/>
    </row>
    <row r="4374" spans="5:5" x14ac:dyDescent="0.25">
      <c r="E4374"/>
    </row>
    <row r="4375" spans="5:5" x14ac:dyDescent="0.25">
      <c r="E4375"/>
    </row>
    <row r="4376" spans="5:5" x14ac:dyDescent="0.25">
      <c r="E4376"/>
    </row>
    <row r="4377" spans="5:5" x14ac:dyDescent="0.25">
      <c r="E4377"/>
    </row>
    <row r="4378" spans="5:5" x14ac:dyDescent="0.25">
      <c r="E4378"/>
    </row>
    <row r="4379" spans="5:5" x14ac:dyDescent="0.25">
      <c r="E4379"/>
    </row>
    <row r="4380" spans="5:5" x14ac:dyDescent="0.25">
      <c r="E4380"/>
    </row>
    <row r="4381" spans="5:5" x14ac:dyDescent="0.25">
      <c r="E4381"/>
    </row>
    <row r="4382" spans="5:5" x14ac:dyDescent="0.25">
      <c r="E4382"/>
    </row>
    <row r="4383" spans="5:5" x14ac:dyDescent="0.25">
      <c r="E4383"/>
    </row>
    <row r="4384" spans="5:5" x14ac:dyDescent="0.25">
      <c r="E4384"/>
    </row>
    <row r="4385" spans="5:5" x14ac:dyDescent="0.25">
      <c r="E4385"/>
    </row>
    <row r="4386" spans="5:5" x14ac:dyDescent="0.25">
      <c r="E4386"/>
    </row>
    <row r="4387" spans="5:5" x14ac:dyDescent="0.25">
      <c r="E4387"/>
    </row>
    <row r="4388" spans="5:5" x14ac:dyDescent="0.25">
      <c r="E4388"/>
    </row>
    <row r="4389" spans="5:5" x14ac:dyDescent="0.25">
      <c r="E4389"/>
    </row>
    <row r="4390" spans="5:5" x14ac:dyDescent="0.25">
      <c r="E4390"/>
    </row>
    <row r="4391" spans="5:5" x14ac:dyDescent="0.25">
      <c r="E4391"/>
    </row>
    <row r="4392" spans="5:5" x14ac:dyDescent="0.25">
      <c r="E4392"/>
    </row>
    <row r="4393" spans="5:5" x14ac:dyDescent="0.25">
      <c r="E4393"/>
    </row>
    <row r="4394" spans="5:5" x14ac:dyDescent="0.25">
      <c r="E4394"/>
    </row>
    <row r="4395" spans="5:5" x14ac:dyDescent="0.25">
      <c r="E4395"/>
    </row>
    <row r="4396" spans="5:5" x14ac:dyDescent="0.25">
      <c r="E4396"/>
    </row>
    <row r="4397" spans="5:5" x14ac:dyDescent="0.25">
      <c r="E4397"/>
    </row>
    <row r="4398" spans="5:5" x14ac:dyDescent="0.25">
      <c r="E4398"/>
    </row>
    <row r="4399" spans="5:5" x14ac:dyDescent="0.25">
      <c r="E4399"/>
    </row>
    <row r="4400" spans="5:5" x14ac:dyDescent="0.25">
      <c r="E4400"/>
    </row>
    <row r="4401" spans="5:5" x14ac:dyDescent="0.25">
      <c r="E4401"/>
    </row>
    <row r="4402" spans="5:5" x14ac:dyDescent="0.25">
      <c r="E4402"/>
    </row>
    <row r="4403" spans="5:5" x14ac:dyDescent="0.25">
      <c r="E4403"/>
    </row>
    <row r="4404" spans="5:5" x14ac:dyDescent="0.25">
      <c r="E4404"/>
    </row>
    <row r="4405" spans="5:5" x14ac:dyDescent="0.25">
      <c r="E4405"/>
    </row>
    <row r="4406" spans="5:5" x14ac:dyDescent="0.25">
      <c r="E4406"/>
    </row>
    <row r="4407" spans="5:5" x14ac:dyDescent="0.25">
      <c r="E4407"/>
    </row>
    <row r="4408" spans="5:5" x14ac:dyDescent="0.25">
      <c r="E4408"/>
    </row>
    <row r="4409" spans="5:5" x14ac:dyDescent="0.25">
      <c r="E4409"/>
    </row>
    <row r="4410" spans="5:5" x14ac:dyDescent="0.25">
      <c r="E4410"/>
    </row>
    <row r="4411" spans="5:5" x14ac:dyDescent="0.25">
      <c r="E4411"/>
    </row>
    <row r="4412" spans="5:5" x14ac:dyDescent="0.25">
      <c r="E4412"/>
    </row>
    <row r="4413" spans="5:5" x14ac:dyDescent="0.25">
      <c r="E4413"/>
    </row>
    <row r="4414" spans="5:5" x14ac:dyDescent="0.25">
      <c r="E4414"/>
    </row>
    <row r="4415" spans="5:5" x14ac:dyDescent="0.25">
      <c r="E4415"/>
    </row>
    <row r="4416" spans="5:5" x14ac:dyDescent="0.25">
      <c r="E4416"/>
    </row>
    <row r="4417" spans="5:5" x14ac:dyDescent="0.25">
      <c r="E4417"/>
    </row>
    <row r="4418" spans="5:5" x14ac:dyDescent="0.25">
      <c r="E4418"/>
    </row>
    <row r="4419" spans="5:5" x14ac:dyDescent="0.25">
      <c r="E4419"/>
    </row>
    <row r="4420" spans="5:5" x14ac:dyDescent="0.25">
      <c r="E4420"/>
    </row>
    <row r="4421" spans="5:5" x14ac:dyDescent="0.25">
      <c r="E4421"/>
    </row>
    <row r="4422" spans="5:5" x14ac:dyDescent="0.25">
      <c r="E4422"/>
    </row>
    <row r="4423" spans="5:5" x14ac:dyDescent="0.25">
      <c r="E4423"/>
    </row>
    <row r="4424" spans="5:5" x14ac:dyDescent="0.25">
      <c r="E4424"/>
    </row>
    <row r="4425" spans="5:5" x14ac:dyDescent="0.25">
      <c r="E4425"/>
    </row>
    <row r="4426" spans="5:5" x14ac:dyDescent="0.25">
      <c r="E4426"/>
    </row>
    <row r="4427" spans="5:5" x14ac:dyDescent="0.25">
      <c r="E4427"/>
    </row>
    <row r="4428" spans="5:5" x14ac:dyDescent="0.25">
      <c r="E4428"/>
    </row>
    <row r="4429" spans="5:5" x14ac:dyDescent="0.25">
      <c r="E4429"/>
    </row>
    <row r="4430" spans="5:5" x14ac:dyDescent="0.25">
      <c r="E4430"/>
    </row>
    <row r="4431" spans="5:5" x14ac:dyDescent="0.25">
      <c r="E4431"/>
    </row>
    <row r="4432" spans="5:5" x14ac:dyDescent="0.25">
      <c r="E4432"/>
    </row>
    <row r="4433" spans="5:5" x14ac:dyDescent="0.25">
      <c r="E4433"/>
    </row>
    <row r="4434" spans="5:5" x14ac:dyDescent="0.25">
      <c r="E4434"/>
    </row>
    <row r="4435" spans="5:5" x14ac:dyDescent="0.25">
      <c r="E4435"/>
    </row>
    <row r="4436" spans="5:5" x14ac:dyDescent="0.25">
      <c r="E4436"/>
    </row>
    <row r="4437" spans="5:5" x14ac:dyDescent="0.25">
      <c r="E4437"/>
    </row>
    <row r="4438" spans="5:5" x14ac:dyDescent="0.25">
      <c r="E4438"/>
    </row>
    <row r="4439" spans="5:5" x14ac:dyDescent="0.25">
      <c r="E4439"/>
    </row>
    <row r="4440" spans="5:5" x14ac:dyDescent="0.25">
      <c r="E4440"/>
    </row>
    <row r="4441" spans="5:5" x14ac:dyDescent="0.25">
      <c r="E4441"/>
    </row>
    <row r="4442" spans="5:5" x14ac:dyDescent="0.25">
      <c r="E4442"/>
    </row>
    <row r="4443" spans="5:5" x14ac:dyDescent="0.25">
      <c r="E4443"/>
    </row>
    <row r="4444" spans="5:5" x14ac:dyDescent="0.25">
      <c r="E4444"/>
    </row>
    <row r="4445" spans="5:5" x14ac:dyDescent="0.25">
      <c r="E4445"/>
    </row>
    <row r="4446" spans="5:5" x14ac:dyDescent="0.25">
      <c r="E4446"/>
    </row>
    <row r="4447" spans="5:5" x14ac:dyDescent="0.25">
      <c r="E4447"/>
    </row>
    <row r="4448" spans="5:5" x14ac:dyDescent="0.25">
      <c r="E4448"/>
    </row>
    <row r="4449" spans="5:5" x14ac:dyDescent="0.25">
      <c r="E4449"/>
    </row>
    <row r="4450" spans="5:5" x14ac:dyDescent="0.25">
      <c r="E4450"/>
    </row>
    <row r="4451" spans="5:5" x14ac:dyDescent="0.25">
      <c r="E4451"/>
    </row>
    <row r="4452" spans="5:5" x14ac:dyDescent="0.25">
      <c r="E4452"/>
    </row>
    <row r="4453" spans="5:5" x14ac:dyDescent="0.25">
      <c r="E4453"/>
    </row>
    <row r="4454" spans="5:5" x14ac:dyDescent="0.25">
      <c r="E4454"/>
    </row>
    <row r="4455" spans="5:5" x14ac:dyDescent="0.25">
      <c r="E4455"/>
    </row>
    <row r="4456" spans="5:5" x14ac:dyDescent="0.25">
      <c r="E4456"/>
    </row>
    <row r="4457" spans="5:5" x14ac:dyDescent="0.25">
      <c r="E4457"/>
    </row>
    <row r="4458" spans="5:5" x14ac:dyDescent="0.25">
      <c r="E4458"/>
    </row>
    <row r="4459" spans="5:5" x14ac:dyDescent="0.25">
      <c r="E4459"/>
    </row>
    <row r="4460" spans="5:5" x14ac:dyDescent="0.25">
      <c r="E4460"/>
    </row>
    <row r="4461" spans="5:5" x14ac:dyDescent="0.25">
      <c r="E4461"/>
    </row>
    <row r="4462" spans="5:5" x14ac:dyDescent="0.25">
      <c r="E4462"/>
    </row>
    <row r="4463" spans="5:5" x14ac:dyDescent="0.25">
      <c r="E4463"/>
    </row>
    <row r="4464" spans="5:5" x14ac:dyDescent="0.25">
      <c r="E4464"/>
    </row>
    <row r="4465" spans="5:5" x14ac:dyDescent="0.25">
      <c r="E4465"/>
    </row>
    <row r="4466" spans="5:5" x14ac:dyDescent="0.25">
      <c r="E4466"/>
    </row>
    <row r="4467" spans="5:5" x14ac:dyDescent="0.25">
      <c r="E4467"/>
    </row>
    <row r="4468" spans="5:5" x14ac:dyDescent="0.25">
      <c r="E4468"/>
    </row>
    <row r="4469" spans="5:5" x14ac:dyDescent="0.25">
      <c r="E4469"/>
    </row>
    <row r="4470" spans="5:5" x14ac:dyDescent="0.25">
      <c r="E4470"/>
    </row>
    <row r="4471" spans="5:5" x14ac:dyDescent="0.25">
      <c r="E4471"/>
    </row>
    <row r="4472" spans="5:5" x14ac:dyDescent="0.25">
      <c r="E4472"/>
    </row>
    <row r="4473" spans="5:5" x14ac:dyDescent="0.25">
      <c r="E4473"/>
    </row>
    <row r="4474" spans="5:5" x14ac:dyDescent="0.25">
      <c r="E4474"/>
    </row>
    <row r="4475" spans="5:5" x14ac:dyDescent="0.25">
      <c r="E4475"/>
    </row>
    <row r="4476" spans="5:5" x14ac:dyDescent="0.25">
      <c r="E4476"/>
    </row>
    <row r="4477" spans="5:5" x14ac:dyDescent="0.25">
      <c r="E4477"/>
    </row>
    <row r="4478" spans="5:5" x14ac:dyDescent="0.25">
      <c r="E4478"/>
    </row>
    <row r="4479" spans="5:5" x14ac:dyDescent="0.25">
      <c r="E4479"/>
    </row>
    <row r="4480" spans="5:5" x14ac:dyDescent="0.25">
      <c r="E4480"/>
    </row>
    <row r="4481" spans="5:5" x14ac:dyDescent="0.25">
      <c r="E4481"/>
    </row>
    <row r="4482" spans="5:5" x14ac:dyDescent="0.25">
      <c r="E4482"/>
    </row>
    <row r="4483" spans="5:5" x14ac:dyDescent="0.25">
      <c r="E4483"/>
    </row>
    <row r="4484" spans="5:5" x14ac:dyDescent="0.25">
      <c r="E4484"/>
    </row>
    <row r="4485" spans="5:5" x14ac:dyDescent="0.25">
      <c r="E4485"/>
    </row>
    <row r="4486" spans="5:5" x14ac:dyDescent="0.25">
      <c r="E4486"/>
    </row>
    <row r="4487" spans="5:5" x14ac:dyDescent="0.25">
      <c r="E4487"/>
    </row>
    <row r="4488" spans="5:5" x14ac:dyDescent="0.25">
      <c r="E4488"/>
    </row>
    <row r="4489" spans="5:5" x14ac:dyDescent="0.25">
      <c r="E4489"/>
    </row>
    <row r="4490" spans="5:5" x14ac:dyDescent="0.25">
      <c r="E4490"/>
    </row>
    <row r="4491" spans="5:5" x14ac:dyDescent="0.25">
      <c r="E4491"/>
    </row>
    <row r="4492" spans="5:5" x14ac:dyDescent="0.25">
      <c r="E4492"/>
    </row>
    <row r="4493" spans="5:5" x14ac:dyDescent="0.25">
      <c r="E4493"/>
    </row>
    <row r="4494" spans="5:5" x14ac:dyDescent="0.25">
      <c r="E4494"/>
    </row>
    <row r="4495" spans="5:5" x14ac:dyDescent="0.25">
      <c r="E4495"/>
    </row>
    <row r="4496" spans="5:5" x14ac:dyDescent="0.25">
      <c r="E4496"/>
    </row>
    <row r="4497" spans="5:5" x14ac:dyDescent="0.25">
      <c r="E4497"/>
    </row>
    <row r="4498" spans="5:5" x14ac:dyDescent="0.25">
      <c r="E4498"/>
    </row>
    <row r="4499" spans="5:5" x14ac:dyDescent="0.25">
      <c r="E4499"/>
    </row>
    <row r="4500" spans="5:5" x14ac:dyDescent="0.25">
      <c r="E4500"/>
    </row>
    <row r="4501" spans="5:5" x14ac:dyDescent="0.25">
      <c r="E4501"/>
    </row>
    <row r="4502" spans="5:5" x14ac:dyDescent="0.25">
      <c r="E4502"/>
    </row>
    <row r="4503" spans="5:5" x14ac:dyDescent="0.25">
      <c r="E4503"/>
    </row>
    <row r="4504" spans="5:5" x14ac:dyDescent="0.25">
      <c r="E4504"/>
    </row>
    <row r="4505" spans="5:5" x14ac:dyDescent="0.25">
      <c r="E4505"/>
    </row>
    <row r="4506" spans="5:5" x14ac:dyDescent="0.25">
      <c r="E4506"/>
    </row>
    <row r="4507" spans="5:5" x14ac:dyDescent="0.25">
      <c r="E4507"/>
    </row>
    <row r="4508" spans="5:5" x14ac:dyDescent="0.25">
      <c r="E4508"/>
    </row>
    <row r="4509" spans="5:5" x14ac:dyDescent="0.25">
      <c r="E4509"/>
    </row>
    <row r="4510" spans="5:5" x14ac:dyDescent="0.25">
      <c r="E4510"/>
    </row>
    <row r="4511" spans="5:5" x14ac:dyDescent="0.25">
      <c r="E4511"/>
    </row>
    <row r="4512" spans="5:5" x14ac:dyDescent="0.25">
      <c r="E4512"/>
    </row>
    <row r="4513" spans="5:5" x14ac:dyDescent="0.25">
      <c r="E4513"/>
    </row>
    <row r="4514" spans="5:5" x14ac:dyDescent="0.25">
      <c r="E4514"/>
    </row>
    <row r="4515" spans="5:5" x14ac:dyDescent="0.25">
      <c r="E4515"/>
    </row>
    <row r="4516" spans="5:5" x14ac:dyDescent="0.25">
      <c r="E4516"/>
    </row>
    <row r="4517" spans="5:5" x14ac:dyDescent="0.25">
      <c r="E4517"/>
    </row>
    <row r="4518" spans="5:5" x14ac:dyDescent="0.25">
      <c r="E4518"/>
    </row>
    <row r="4519" spans="5:5" x14ac:dyDescent="0.25">
      <c r="E4519"/>
    </row>
    <row r="4520" spans="5:5" x14ac:dyDescent="0.25">
      <c r="E4520"/>
    </row>
    <row r="4521" spans="5:5" x14ac:dyDescent="0.25">
      <c r="E4521"/>
    </row>
    <row r="4522" spans="5:5" x14ac:dyDescent="0.25">
      <c r="E4522"/>
    </row>
    <row r="4523" spans="5:5" x14ac:dyDescent="0.25">
      <c r="E4523"/>
    </row>
    <row r="4524" spans="5:5" x14ac:dyDescent="0.25">
      <c r="E4524"/>
    </row>
    <row r="4525" spans="5:5" x14ac:dyDescent="0.25">
      <c r="E4525"/>
    </row>
    <row r="4526" spans="5:5" x14ac:dyDescent="0.25">
      <c r="E4526"/>
    </row>
    <row r="4527" spans="5:5" x14ac:dyDescent="0.25">
      <c r="E4527"/>
    </row>
    <row r="4528" spans="5:5" x14ac:dyDescent="0.25">
      <c r="E4528"/>
    </row>
    <row r="4529" spans="5:5" x14ac:dyDescent="0.25">
      <c r="E4529"/>
    </row>
    <row r="4530" spans="5:5" x14ac:dyDescent="0.25">
      <c r="E4530"/>
    </row>
    <row r="4531" spans="5:5" x14ac:dyDescent="0.25">
      <c r="E4531"/>
    </row>
    <row r="4532" spans="5:5" x14ac:dyDescent="0.25">
      <c r="E4532"/>
    </row>
    <row r="4533" spans="5:5" x14ac:dyDescent="0.25">
      <c r="E4533"/>
    </row>
    <row r="4534" spans="5:5" x14ac:dyDescent="0.25">
      <c r="E4534"/>
    </row>
    <row r="4535" spans="5:5" x14ac:dyDescent="0.25">
      <c r="E4535"/>
    </row>
    <row r="4536" spans="5:5" x14ac:dyDescent="0.25">
      <c r="E4536"/>
    </row>
    <row r="4537" spans="5:5" x14ac:dyDescent="0.25">
      <c r="E4537"/>
    </row>
    <row r="4538" spans="5:5" x14ac:dyDescent="0.25">
      <c r="E4538"/>
    </row>
    <row r="4539" spans="5:5" x14ac:dyDescent="0.25">
      <c r="E4539"/>
    </row>
    <row r="4540" spans="5:5" x14ac:dyDescent="0.25">
      <c r="E4540"/>
    </row>
    <row r="4541" spans="5:5" x14ac:dyDescent="0.25">
      <c r="E4541"/>
    </row>
    <row r="4542" spans="5:5" x14ac:dyDescent="0.25">
      <c r="E4542"/>
    </row>
    <row r="4543" spans="5:5" x14ac:dyDescent="0.25">
      <c r="E4543"/>
    </row>
    <row r="4544" spans="5:5" x14ac:dyDescent="0.25">
      <c r="E4544"/>
    </row>
    <row r="4545" spans="5:5" x14ac:dyDescent="0.25">
      <c r="E4545"/>
    </row>
    <row r="4546" spans="5:5" x14ac:dyDescent="0.25">
      <c r="E4546"/>
    </row>
    <row r="4547" spans="5:5" x14ac:dyDescent="0.25">
      <c r="E4547"/>
    </row>
    <row r="4548" spans="5:5" x14ac:dyDescent="0.25">
      <c r="E4548"/>
    </row>
    <row r="4549" spans="5:5" x14ac:dyDescent="0.25">
      <c r="E4549"/>
    </row>
    <row r="4550" spans="5:5" x14ac:dyDescent="0.25">
      <c r="E4550"/>
    </row>
    <row r="4551" spans="5:5" x14ac:dyDescent="0.25">
      <c r="E4551"/>
    </row>
    <row r="4552" spans="5:5" x14ac:dyDescent="0.25">
      <c r="E4552"/>
    </row>
    <row r="4553" spans="5:5" x14ac:dyDescent="0.25">
      <c r="E4553"/>
    </row>
    <row r="4554" spans="5:5" x14ac:dyDescent="0.25">
      <c r="E4554"/>
    </row>
    <row r="4555" spans="5:5" x14ac:dyDescent="0.25">
      <c r="E4555"/>
    </row>
    <row r="4556" spans="5:5" x14ac:dyDescent="0.25">
      <c r="E4556"/>
    </row>
    <row r="4557" spans="5:5" x14ac:dyDescent="0.25">
      <c r="E4557"/>
    </row>
    <row r="4558" spans="5:5" x14ac:dyDescent="0.25">
      <c r="E4558"/>
    </row>
    <row r="4559" spans="5:5" x14ac:dyDescent="0.25">
      <c r="E4559"/>
    </row>
    <row r="4560" spans="5:5" x14ac:dyDescent="0.25">
      <c r="E4560"/>
    </row>
    <row r="4561" spans="5:5" x14ac:dyDescent="0.25">
      <c r="E4561"/>
    </row>
    <row r="4562" spans="5:5" x14ac:dyDescent="0.25">
      <c r="E4562"/>
    </row>
    <row r="4563" spans="5:5" x14ac:dyDescent="0.25">
      <c r="E4563"/>
    </row>
    <row r="4564" spans="5:5" x14ac:dyDescent="0.25">
      <c r="E4564"/>
    </row>
    <row r="4565" spans="5:5" x14ac:dyDescent="0.25">
      <c r="E4565"/>
    </row>
    <row r="4566" spans="5:5" x14ac:dyDescent="0.25">
      <c r="E4566"/>
    </row>
    <row r="4567" spans="5:5" x14ac:dyDescent="0.25">
      <c r="E4567"/>
    </row>
    <row r="4568" spans="5:5" x14ac:dyDescent="0.25">
      <c r="E4568"/>
    </row>
    <row r="4569" spans="5:5" x14ac:dyDescent="0.25">
      <c r="E4569"/>
    </row>
    <row r="4570" spans="5:5" x14ac:dyDescent="0.25">
      <c r="E4570"/>
    </row>
    <row r="4571" spans="5:5" x14ac:dyDescent="0.25">
      <c r="E4571"/>
    </row>
    <row r="4572" spans="5:5" x14ac:dyDescent="0.25">
      <c r="E4572"/>
    </row>
    <row r="4573" spans="5:5" x14ac:dyDescent="0.25">
      <c r="E4573"/>
    </row>
    <row r="4574" spans="5:5" x14ac:dyDescent="0.25">
      <c r="E4574"/>
    </row>
    <row r="4575" spans="5:5" x14ac:dyDescent="0.25">
      <c r="E4575"/>
    </row>
    <row r="4576" spans="5:5" x14ac:dyDescent="0.25">
      <c r="E4576"/>
    </row>
    <row r="4577" spans="5:5" x14ac:dyDescent="0.25">
      <c r="E4577"/>
    </row>
    <row r="4578" spans="5:5" x14ac:dyDescent="0.25">
      <c r="E4578"/>
    </row>
    <row r="4579" spans="5:5" x14ac:dyDescent="0.25">
      <c r="E4579"/>
    </row>
    <row r="4580" spans="5:5" x14ac:dyDescent="0.25">
      <c r="E4580"/>
    </row>
    <row r="4581" spans="5:5" x14ac:dyDescent="0.25">
      <c r="E4581"/>
    </row>
    <row r="4582" spans="5:5" x14ac:dyDescent="0.25">
      <c r="E4582"/>
    </row>
    <row r="4583" spans="5:5" x14ac:dyDescent="0.25">
      <c r="E4583"/>
    </row>
    <row r="4584" spans="5:5" x14ac:dyDescent="0.25">
      <c r="E4584"/>
    </row>
    <row r="4585" spans="5:5" x14ac:dyDescent="0.25">
      <c r="E4585"/>
    </row>
    <row r="4586" spans="5:5" x14ac:dyDescent="0.25">
      <c r="E4586"/>
    </row>
    <row r="4587" spans="5:5" x14ac:dyDescent="0.25">
      <c r="E4587"/>
    </row>
    <row r="4588" spans="5:5" x14ac:dyDescent="0.25">
      <c r="E4588"/>
    </row>
    <row r="4589" spans="5:5" x14ac:dyDescent="0.25">
      <c r="E4589"/>
    </row>
    <row r="4590" spans="5:5" x14ac:dyDescent="0.25">
      <c r="E4590"/>
    </row>
    <row r="4591" spans="5:5" x14ac:dyDescent="0.25">
      <c r="E4591"/>
    </row>
    <row r="4592" spans="5:5" x14ac:dyDescent="0.25">
      <c r="E4592"/>
    </row>
    <row r="4593" spans="5:5" x14ac:dyDescent="0.25">
      <c r="E4593"/>
    </row>
    <row r="4594" spans="5:5" x14ac:dyDescent="0.25">
      <c r="E4594"/>
    </row>
    <row r="4595" spans="5:5" x14ac:dyDescent="0.25">
      <c r="E4595"/>
    </row>
    <row r="4596" spans="5:5" x14ac:dyDescent="0.25">
      <c r="E4596"/>
    </row>
    <row r="4597" spans="5:5" x14ac:dyDescent="0.25">
      <c r="E4597"/>
    </row>
    <row r="4598" spans="5:5" x14ac:dyDescent="0.25">
      <c r="E4598"/>
    </row>
    <row r="4599" spans="5:5" x14ac:dyDescent="0.25">
      <c r="E4599"/>
    </row>
    <row r="4600" spans="5:5" x14ac:dyDescent="0.25">
      <c r="E4600"/>
    </row>
    <row r="4601" spans="5:5" x14ac:dyDescent="0.25">
      <c r="E4601"/>
    </row>
    <row r="4602" spans="5:5" x14ac:dyDescent="0.25">
      <c r="E4602"/>
    </row>
    <row r="4603" spans="5:5" x14ac:dyDescent="0.25">
      <c r="E4603"/>
    </row>
    <row r="4604" spans="5:5" x14ac:dyDescent="0.25">
      <c r="E4604"/>
    </row>
    <row r="4605" spans="5:5" x14ac:dyDescent="0.25">
      <c r="E4605"/>
    </row>
    <row r="4606" spans="5:5" x14ac:dyDescent="0.25">
      <c r="E4606"/>
    </row>
    <row r="4607" spans="5:5" x14ac:dyDescent="0.25">
      <c r="E4607"/>
    </row>
    <row r="4608" spans="5:5" x14ac:dyDescent="0.25">
      <c r="E4608"/>
    </row>
    <row r="4609" spans="5:5" x14ac:dyDescent="0.25">
      <c r="E4609"/>
    </row>
    <row r="4610" spans="5:5" x14ac:dyDescent="0.25">
      <c r="E4610"/>
    </row>
    <row r="4611" spans="5:5" x14ac:dyDescent="0.25">
      <c r="E4611"/>
    </row>
    <row r="4612" spans="5:5" x14ac:dyDescent="0.25">
      <c r="E4612"/>
    </row>
    <row r="4613" spans="5:5" x14ac:dyDescent="0.25">
      <c r="E4613"/>
    </row>
    <row r="4614" spans="5:5" x14ac:dyDescent="0.25">
      <c r="E4614"/>
    </row>
    <row r="4615" spans="5:5" x14ac:dyDescent="0.25">
      <c r="E4615"/>
    </row>
    <row r="4616" spans="5:5" x14ac:dyDescent="0.25">
      <c r="E4616"/>
    </row>
    <row r="4617" spans="5:5" x14ac:dyDescent="0.25">
      <c r="E4617"/>
    </row>
    <row r="4618" spans="5:5" x14ac:dyDescent="0.25">
      <c r="E4618"/>
    </row>
    <row r="4619" spans="5:5" x14ac:dyDescent="0.25">
      <c r="E4619"/>
    </row>
    <row r="4620" spans="5:5" x14ac:dyDescent="0.25">
      <c r="E4620"/>
    </row>
    <row r="4621" spans="5:5" x14ac:dyDescent="0.25">
      <c r="E4621"/>
    </row>
    <row r="4622" spans="5:5" x14ac:dyDescent="0.25">
      <c r="E4622"/>
    </row>
    <row r="4623" spans="5:5" x14ac:dyDescent="0.25">
      <c r="E4623"/>
    </row>
    <row r="4624" spans="5:5" x14ac:dyDescent="0.25">
      <c r="E4624"/>
    </row>
    <row r="4625" spans="5:5" x14ac:dyDescent="0.25">
      <c r="E4625"/>
    </row>
    <row r="4626" spans="5:5" x14ac:dyDescent="0.25">
      <c r="E4626"/>
    </row>
    <row r="4627" spans="5:5" x14ac:dyDescent="0.25">
      <c r="E4627"/>
    </row>
    <row r="4628" spans="5:5" x14ac:dyDescent="0.25">
      <c r="E4628"/>
    </row>
    <row r="4629" spans="5:5" x14ac:dyDescent="0.25">
      <c r="E4629"/>
    </row>
    <row r="4630" spans="5:5" x14ac:dyDescent="0.25">
      <c r="E4630"/>
    </row>
    <row r="4631" spans="5:5" x14ac:dyDescent="0.25">
      <c r="E4631"/>
    </row>
    <row r="4632" spans="5:5" x14ac:dyDescent="0.25">
      <c r="E4632"/>
    </row>
    <row r="4633" spans="5:5" x14ac:dyDescent="0.25">
      <c r="E4633"/>
    </row>
    <row r="4634" spans="5:5" x14ac:dyDescent="0.25">
      <c r="E4634"/>
    </row>
    <row r="4635" spans="5:5" x14ac:dyDescent="0.25">
      <c r="E4635"/>
    </row>
    <row r="4636" spans="5:5" x14ac:dyDescent="0.25">
      <c r="E4636"/>
    </row>
    <row r="4637" spans="5:5" x14ac:dyDescent="0.25">
      <c r="E4637"/>
    </row>
    <row r="4638" spans="5:5" x14ac:dyDescent="0.25">
      <c r="E4638"/>
    </row>
    <row r="4639" spans="5:5" x14ac:dyDescent="0.25">
      <c r="E4639"/>
    </row>
    <row r="4640" spans="5:5" x14ac:dyDescent="0.25">
      <c r="E4640"/>
    </row>
    <row r="4641" spans="5:5" x14ac:dyDescent="0.25">
      <c r="E4641"/>
    </row>
    <row r="4642" spans="5:5" x14ac:dyDescent="0.25">
      <c r="E4642"/>
    </row>
    <row r="4643" spans="5:5" x14ac:dyDescent="0.25">
      <c r="E4643"/>
    </row>
    <row r="4644" spans="5:5" x14ac:dyDescent="0.25">
      <c r="E4644"/>
    </row>
    <row r="4645" spans="5:5" x14ac:dyDescent="0.25">
      <c r="E4645"/>
    </row>
    <row r="4646" spans="5:5" x14ac:dyDescent="0.25">
      <c r="E4646"/>
    </row>
    <row r="4647" spans="5:5" x14ac:dyDescent="0.25">
      <c r="E4647"/>
    </row>
    <row r="4648" spans="5:5" x14ac:dyDescent="0.25">
      <c r="E4648"/>
    </row>
    <row r="4649" spans="5:5" x14ac:dyDescent="0.25">
      <c r="E4649"/>
    </row>
    <row r="4650" spans="5:5" x14ac:dyDescent="0.25">
      <c r="E4650"/>
    </row>
    <row r="4651" spans="5:5" x14ac:dyDescent="0.25">
      <c r="E4651"/>
    </row>
    <row r="4652" spans="5:5" x14ac:dyDescent="0.25">
      <c r="E4652"/>
    </row>
    <row r="4653" spans="5:5" x14ac:dyDescent="0.25">
      <c r="E4653"/>
    </row>
    <row r="4654" spans="5:5" x14ac:dyDescent="0.25">
      <c r="E4654"/>
    </row>
    <row r="4655" spans="5:5" x14ac:dyDescent="0.25">
      <c r="E4655"/>
    </row>
    <row r="4656" spans="5:5" x14ac:dyDescent="0.25">
      <c r="E4656"/>
    </row>
    <row r="4657" spans="5:5" x14ac:dyDescent="0.25">
      <c r="E4657"/>
    </row>
    <row r="4658" spans="5:5" x14ac:dyDescent="0.25">
      <c r="E4658"/>
    </row>
    <row r="4659" spans="5:5" x14ac:dyDescent="0.25">
      <c r="E4659"/>
    </row>
    <row r="4660" spans="5:5" x14ac:dyDescent="0.25">
      <c r="E4660"/>
    </row>
    <row r="4661" spans="5:5" x14ac:dyDescent="0.25">
      <c r="E4661"/>
    </row>
    <row r="4662" spans="5:5" x14ac:dyDescent="0.25">
      <c r="E4662"/>
    </row>
    <row r="4663" spans="5:5" x14ac:dyDescent="0.25">
      <c r="E4663"/>
    </row>
    <row r="4664" spans="5:5" x14ac:dyDescent="0.25">
      <c r="E4664"/>
    </row>
    <row r="4665" spans="5:5" x14ac:dyDescent="0.25">
      <c r="E4665"/>
    </row>
    <row r="4666" spans="5:5" x14ac:dyDescent="0.25">
      <c r="E4666"/>
    </row>
    <row r="4667" spans="5:5" x14ac:dyDescent="0.25">
      <c r="E4667"/>
    </row>
    <row r="4668" spans="5:5" x14ac:dyDescent="0.25">
      <c r="E4668"/>
    </row>
    <row r="4669" spans="5:5" x14ac:dyDescent="0.25">
      <c r="E4669"/>
    </row>
    <row r="4670" spans="5:5" x14ac:dyDescent="0.25">
      <c r="E4670"/>
    </row>
    <row r="4671" spans="5:5" x14ac:dyDescent="0.25">
      <c r="E4671"/>
    </row>
    <row r="4672" spans="5:5" x14ac:dyDescent="0.25">
      <c r="E4672"/>
    </row>
    <row r="4673" spans="5:5" x14ac:dyDescent="0.25">
      <c r="E4673"/>
    </row>
    <row r="4674" spans="5:5" x14ac:dyDescent="0.25">
      <c r="E4674"/>
    </row>
    <row r="4675" spans="5:5" x14ac:dyDescent="0.25">
      <c r="E4675"/>
    </row>
    <row r="4676" spans="5:5" x14ac:dyDescent="0.25">
      <c r="E4676"/>
    </row>
    <row r="4677" spans="5:5" x14ac:dyDescent="0.25">
      <c r="E4677"/>
    </row>
    <row r="4678" spans="5:5" x14ac:dyDescent="0.25">
      <c r="E4678"/>
    </row>
    <row r="4679" spans="5:5" x14ac:dyDescent="0.25">
      <c r="E4679"/>
    </row>
    <row r="4680" spans="5:5" x14ac:dyDescent="0.25">
      <c r="E4680"/>
    </row>
    <row r="4681" spans="5:5" x14ac:dyDescent="0.25">
      <c r="E4681"/>
    </row>
    <row r="4682" spans="5:5" x14ac:dyDescent="0.25">
      <c r="E4682"/>
    </row>
    <row r="4683" spans="5:5" x14ac:dyDescent="0.25">
      <c r="E4683"/>
    </row>
    <row r="4684" spans="5:5" x14ac:dyDescent="0.25">
      <c r="E4684"/>
    </row>
    <row r="4685" spans="5:5" x14ac:dyDescent="0.25">
      <c r="E4685"/>
    </row>
    <row r="4686" spans="5:5" x14ac:dyDescent="0.25">
      <c r="E4686"/>
    </row>
    <row r="4687" spans="5:5" x14ac:dyDescent="0.25">
      <c r="E4687"/>
    </row>
    <row r="4688" spans="5:5" x14ac:dyDescent="0.25">
      <c r="E4688"/>
    </row>
    <row r="4689" spans="5:5" x14ac:dyDescent="0.25">
      <c r="E4689"/>
    </row>
    <row r="4690" spans="5:5" x14ac:dyDescent="0.25">
      <c r="E4690"/>
    </row>
    <row r="4691" spans="5:5" x14ac:dyDescent="0.25">
      <c r="E4691"/>
    </row>
    <row r="4692" spans="5:5" x14ac:dyDescent="0.25">
      <c r="E4692"/>
    </row>
    <row r="4693" spans="5:5" x14ac:dyDescent="0.25">
      <c r="E4693"/>
    </row>
    <row r="4694" spans="5:5" x14ac:dyDescent="0.25">
      <c r="E4694"/>
    </row>
    <row r="4695" spans="5:5" x14ac:dyDescent="0.25">
      <c r="E4695"/>
    </row>
    <row r="4696" spans="5:5" x14ac:dyDescent="0.25">
      <c r="E4696"/>
    </row>
    <row r="4697" spans="5:5" x14ac:dyDescent="0.25">
      <c r="E4697"/>
    </row>
    <row r="4698" spans="5:5" x14ac:dyDescent="0.25">
      <c r="E4698"/>
    </row>
    <row r="4699" spans="5:5" x14ac:dyDescent="0.25">
      <c r="E4699"/>
    </row>
    <row r="4700" spans="5:5" x14ac:dyDescent="0.25">
      <c r="E4700"/>
    </row>
    <row r="4701" spans="5:5" x14ac:dyDescent="0.25">
      <c r="E4701"/>
    </row>
    <row r="4702" spans="5:5" x14ac:dyDescent="0.25">
      <c r="E4702"/>
    </row>
    <row r="4703" spans="5:5" x14ac:dyDescent="0.25">
      <c r="E4703"/>
    </row>
    <row r="4704" spans="5:5" x14ac:dyDescent="0.25">
      <c r="E4704"/>
    </row>
    <row r="4705" spans="5:5" x14ac:dyDescent="0.25">
      <c r="E4705"/>
    </row>
    <row r="4706" spans="5:5" x14ac:dyDescent="0.25">
      <c r="E4706"/>
    </row>
    <row r="4707" spans="5:5" x14ac:dyDescent="0.25">
      <c r="E4707"/>
    </row>
    <row r="4708" spans="5:5" x14ac:dyDescent="0.25">
      <c r="E4708"/>
    </row>
    <row r="4709" spans="5:5" x14ac:dyDescent="0.25">
      <c r="E4709"/>
    </row>
    <row r="4710" spans="5:5" x14ac:dyDescent="0.25">
      <c r="E4710"/>
    </row>
    <row r="4711" spans="5:5" x14ac:dyDescent="0.25">
      <c r="E4711"/>
    </row>
    <row r="4712" spans="5:5" x14ac:dyDescent="0.25">
      <c r="E4712"/>
    </row>
    <row r="4713" spans="5:5" x14ac:dyDescent="0.25">
      <c r="E4713"/>
    </row>
    <row r="4714" spans="5:5" x14ac:dyDescent="0.25">
      <c r="E4714"/>
    </row>
    <row r="4715" spans="5:5" x14ac:dyDescent="0.25">
      <c r="E4715"/>
    </row>
    <row r="4716" spans="5:5" x14ac:dyDescent="0.25">
      <c r="E4716"/>
    </row>
    <row r="4717" spans="5:5" x14ac:dyDescent="0.25">
      <c r="E4717"/>
    </row>
    <row r="4718" spans="5:5" x14ac:dyDescent="0.25">
      <c r="E4718"/>
    </row>
    <row r="4719" spans="5:5" x14ac:dyDescent="0.25">
      <c r="E4719"/>
    </row>
    <row r="4720" spans="5:5" x14ac:dyDescent="0.25">
      <c r="E4720"/>
    </row>
    <row r="4721" spans="5:5" x14ac:dyDescent="0.25">
      <c r="E4721"/>
    </row>
    <row r="4722" spans="5:5" x14ac:dyDescent="0.25">
      <c r="E4722"/>
    </row>
    <row r="4723" spans="5:5" x14ac:dyDescent="0.25">
      <c r="E4723"/>
    </row>
    <row r="4724" spans="5:5" x14ac:dyDescent="0.25">
      <c r="E4724"/>
    </row>
    <row r="4725" spans="5:5" x14ac:dyDescent="0.25">
      <c r="E4725"/>
    </row>
    <row r="4726" spans="5:5" x14ac:dyDescent="0.25">
      <c r="E4726"/>
    </row>
    <row r="4727" spans="5:5" x14ac:dyDescent="0.25">
      <c r="E4727"/>
    </row>
    <row r="4728" spans="5:5" x14ac:dyDescent="0.25">
      <c r="E4728"/>
    </row>
    <row r="4729" spans="5:5" x14ac:dyDescent="0.25">
      <c r="E4729"/>
    </row>
    <row r="4730" spans="5:5" x14ac:dyDescent="0.25">
      <c r="E4730"/>
    </row>
    <row r="4731" spans="5:5" x14ac:dyDescent="0.25">
      <c r="E4731"/>
    </row>
    <row r="4732" spans="5:5" x14ac:dyDescent="0.25">
      <c r="E4732"/>
    </row>
    <row r="4733" spans="5:5" x14ac:dyDescent="0.25">
      <c r="E4733"/>
    </row>
    <row r="4734" spans="5:5" x14ac:dyDescent="0.25">
      <c r="E4734"/>
    </row>
    <row r="4735" spans="5:5" x14ac:dyDescent="0.25">
      <c r="E4735"/>
    </row>
    <row r="4736" spans="5:5" x14ac:dyDescent="0.25">
      <c r="E4736"/>
    </row>
    <row r="4737" spans="5:5" x14ac:dyDescent="0.25">
      <c r="E4737"/>
    </row>
    <row r="4738" spans="5:5" x14ac:dyDescent="0.25">
      <c r="E4738"/>
    </row>
    <row r="4739" spans="5:5" x14ac:dyDescent="0.25">
      <c r="E4739"/>
    </row>
    <row r="4740" spans="5:5" x14ac:dyDescent="0.25">
      <c r="E4740"/>
    </row>
    <row r="4741" spans="5:5" x14ac:dyDescent="0.25">
      <c r="E4741"/>
    </row>
    <row r="4742" spans="5:5" x14ac:dyDescent="0.25">
      <c r="E4742"/>
    </row>
    <row r="4743" spans="5:5" x14ac:dyDescent="0.25">
      <c r="E4743"/>
    </row>
    <row r="4744" spans="5:5" x14ac:dyDescent="0.25">
      <c r="E4744"/>
    </row>
    <row r="4745" spans="5:5" x14ac:dyDescent="0.25">
      <c r="E4745"/>
    </row>
    <row r="4746" spans="5:5" x14ac:dyDescent="0.25">
      <c r="E4746"/>
    </row>
    <row r="4747" spans="5:5" x14ac:dyDescent="0.25">
      <c r="E4747"/>
    </row>
    <row r="4748" spans="5:5" x14ac:dyDescent="0.25">
      <c r="E4748"/>
    </row>
    <row r="4749" spans="5:5" x14ac:dyDescent="0.25">
      <c r="E4749"/>
    </row>
    <row r="4750" spans="5:5" x14ac:dyDescent="0.25">
      <c r="E4750"/>
    </row>
    <row r="4751" spans="5:5" x14ac:dyDescent="0.25">
      <c r="E4751"/>
    </row>
    <row r="4752" spans="5:5" x14ac:dyDescent="0.25">
      <c r="E4752"/>
    </row>
    <row r="4753" spans="5:5" x14ac:dyDescent="0.25">
      <c r="E4753"/>
    </row>
    <row r="4754" spans="5:5" x14ac:dyDescent="0.25">
      <c r="E4754"/>
    </row>
    <row r="4755" spans="5:5" x14ac:dyDescent="0.25">
      <c r="E4755"/>
    </row>
    <row r="4756" spans="5:5" x14ac:dyDescent="0.25">
      <c r="E4756"/>
    </row>
    <row r="4757" spans="5:5" x14ac:dyDescent="0.25">
      <c r="E4757"/>
    </row>
    <row r="4758" spans="5:5" x14ac:dyDescent="0.25">
      <c r="E4758"/>
    </row>
    <row r="4759" spans="5:5" x14ac:dyDescent="0.25">
      <c r="E4759"/>
    </row>
    <row r="4760" spans="5:5" x14ac:dyDescent="0.25">
      <c r="E4760"/>
    </row>
    <row r="4761" spans="5:5" x14ac:dyDescent="0.25">
      <c r="E4761"/>
    </row>
    <row r="4762" spans="5:5" x14ac:dyDescent="0.25">
      <c r="E4762"/>
    </row>
    <row r="4763" spans="5:5" x14ac:dyDescent="0.25">
      <c r="E4763"/>
    </row>
    <row r="4764" spans="5:5" x14ac:dyDescent="0.25">
      <c r="E4764"/>
    </row>
    <row r="4765" spans="5:5" x14ac:dyDescent="0.25">
      <c r="E4765"/>
    </row>
    <row r="4766" spans="5:5" x14ac:dyDescent="0.25">
      <c r="E4766"/>
    </row>
    <row r="4767" spans="5:5" x14ac:dyDescent="0.25">
      <c r="E4767"/>
    </row>
    <row r="4768" spans="5:5" x14ac:dyDescent="0.25">
      <c r="E4768"/>
    </row>
    <row r="4769" spans="5:5" x14ac:dyDescent="0.25">
      <c r="E4769"/>
    </row>
    <row r="4770" spans="5:5" x14ac:dyDescent="0.25">
      <c r="E4770"/>
    </row>
    <row r="4771" spans="5:5" x14ac:dyDescent="0.25">
      <c r="E4771"/>
    </row>
    <row r="4772" spans="5:5" x14ac:dyDescent="0.25">
      <c r="E4772"/>
    </row>
    <row r="4773" spans="5:5" x14ac:dyDescent="0.25">
      <c r="E4773"/>
    </row>
    <row r="4774" spans="5:5" x14ac:dyDescent="0.25">
      <c r="E4774"/>
    </row>
    <row r="4775" spans="5:5" x14ac:dyDescent="0.25">
      <c r="E4775"/>
    </row>
    <row r="4776" spans="5:5" x14ac:dyDescent="0.25">
      <c r="E4776"/>
    </row>
    <row r="4777" spans="5:5" x14ac:dyDescent="0.25">
      <c r="E4777"/>
    </row>
    <row r="4778" spans="5:5" x14ac:dyDescent="0.25">
      <c r="E4778"/>
    </row>
    <row r="4779" spans="5:5" x14ac:dyDescent="0.25">
      <c r="E4779"/>
    </row>
    <row r="4780" spans="5:5" x14ac:dyDescent="0.25">
      <c r="E4780"/>
    </row>
    <row r="4781" spans="5:5" x14ac:dyDescent="0.25">
      <c r="E4781"/>
    </row>
    <row r="4782" spans="5:5" x14ac:dyDescent="0.25">
      <c r="E4782"/>
    </row>
    <row r="4783" spans="5:5" x14ac:dyDescent="0.25">
      <c r="E4783"/>
    </row>
    <row r="4784" spans="5:5" x14ac:dyDescent="0.25">
      <c r="E4784"/>
    </row>
    <row r="4785" spans="5:5" x14ac:dyDescent="0.25">
      <c r="E4785"/>
    </row>
    <row r="4786" spans="5:5" x14ac:dyDescent="0.25">
      <c r="E4786"/>
    </row>
    <row r="4787" spans="5:5" x14ac:dyDescent="0.25">
      <c r="E4787"/>
    </row>
    <row r="4788" spans="5:5" x14ac:dyDescent="0.25">
      <c r="E4788"/>
    </row>
    <row r="4789" spans="5:5" x14ac:dyDescent="0.25">
      <c r="E4789"/>
    </row>
    <row r="4790" spans="5:5" x14ac:dyDescent="0.25">
      <c r="E4790"/>
    </row>
    <row r="4791" spans="5:5" x14ac:dyDescent="0.25">
      <c r="E4791"/>
    </row>
    <row r="4792" spans="5:5" x14ac:dyDescent="0.25">
      <c r="E4792"/>
    </row>
    <row r="4793" spans="5:5" x14ac:dyDescent="0.25">
      <c r="E4793"/>
    </row>
    <row r="4794" spans="5:5" x14ac:dyDescent="0.25">
      <c r="E4794"/>
    </row>
    <row r="4795" spans="5:5" x14ac:dyDescent="0.25">
      <c r="E4795"/>
    </row>
    <row r="4796" spans="5:5" x14ac:dyDescent="0.25">
      <c r="E4796"/>
    </row>
    <row r="4797" spans="5:5" x14ac:dyDescent="0.25">
      <c r="E4797"/>
    </row>
    <row r="4798" spans="5:5" x14ac:dyDescent="0.25">
      <c r="E4798"/>
    </row>
    <row r="4799" spans="5:5" x14ac:dyDescent="0.25">
      <c r="E4799"/>
    </row>
    <row r="4800" spans="5:5" x14ac:dyDescent="0.25">
      <c r="E4800"/>
    </row>
    <row r="4801" spans="5:5" x14ac:dyDescent="0.25">
      <c r="E4801"/>
    </row>
    <row r="4802" spans="5:5" x14ac:dyDescent="0.25">
      <c r="E4802"/>
    </row>
    <row r="4803" spans="5:5" x14ac:dyDescent="0.25">
      <c r="E4803"/>
    </row>
    <row r="4804" spans="5:5" x14ac:dyDescent="0.25">
      <c r="E4804"/>
    </row>
    <row r="4805" spans="5:5" x14ac:dyDescent="0.25">
      <c r="E4805"/>
    </row>
    <row r="4806" spans="5:5" x14ac:dyDescent="0.25">
      <c r="E4806"/>
    </row>
    <row r="4807" spans="5:5" x14ac:dyDescent="0.25">
      <c r="E4807"/>
    </row>
    <row r="4808" spans="5:5" x14ac:dyDescent="0.25">
      <c r="E4808"/>
    </row>
    <row r="4809" spans="5:5" x14ac:dyDescent="0.25">
      <c r="E4809"/>
    </row>
    <row r="4810" spans="5:5" x14ac:dyDescent="0.25">
      <c r="E4810"/>
    </row>
    <row r="4811" spans="5:5" x14ac:dyDescent="0.25">
      <c r="E4811"/>
    </row>
    <row r="4812" spans="5:5" x14ac:dyDescent="0.25">
      <c r="E4812"/>
    </row>
    <row r="4813" spans="5:5" x14ac:dyDescent="0.25">
      <c r="E4813"/>
    </row>
    <row r="4814" spans="5:5" x14ac:dyDescent="0.25">
      <c r="E4814"/>
    </row>
    <row r="4815" spans="5:5" x14ac:dyDescent="0.25">
      <c r="E4815"/>
    </row>
    <row r="4816" spans="5:5" x14ac:dyDescent="0.25">
      <c r="E4816"/>
    </row>
    <row r="4817" spans="5:5" x14ac:dyDescent="0.25">
      <c r="E4817"/>
    </row>
    <row r="4818" spans="5:5" x14ac:dyDescent="0.25">
      <c r="E4818"/>
    </row>
    <row r="4819" spans="5:5" x14ac:dyDescent="0.25">
      <c r="E4819"/>
    </row>
    <row r="4820" spans="5:5" x14ac:dyDescent="0.25">
      <c r="E4820"/>
    </row>
    <row r="4821" spans="5:5" x14ac:dyDescent="0.25">
      <c r="E4821"/>
    </row>
    <row r="4822" spans="5:5" x14ac:dyDescent="0.25">
      <c r="E4822"/>
    </row>
    <row r="4823" spans="5:5" x14ac:dyDescent="0.25">
      <c r="E4823"/>
    </row>
    <row r="4824" spans="5:5" x14ac:dyDescent="0.25">
      <c r="E4824"/>
    </row>
    <row r="4825" spans="5:5" x14ac:dyDescent="0.25">
      <c r="E4825"/>
    </row>
    <row r="4826" spans="5:5" x14ac:dyDescent="0.25">
      <c r="E4826"/>
    </row>
    <row r="4827" spans="5:5" x14ac:dyDescent="0.25">
      <c r="E4827"/>
    </row>
    <row r="4828" spans="5:5" x14ac:dyDescent="0.25">
      <c r="E4828"/>
    </row>
    <row r="4829" spans="5:5" x14ac:dyDescent="0.25">
      <c r="E4829"/>
    </row>
    <row r="4830" spans="5:5" x14ac:dyDescent="0.25">
      <c r="E4830"/>
    </row>
    <row r="4831" spans="5:5" x14ac:dyDescent="0.25">
      <c r="E4831"/>
    </row>
    <row r="4832" spans="5:5" x14ac:dyDescent="0.25">
      <c r="E4832"/>
    </row>
    <row r="4833" spans="5:5" x14ac:dyDescent="0.25">
      <c r="E4833"/>
    </row>
    <row r="4834" spans="5:5" x14ac:dyDescent="0.25">
      <c r="E4834"/>
    </row>
    <row r="4835" spans="5:5" x14ac:dyDescent="0.25">
      <c r="E4835"/>
    </row>
    <row r="4836" spans="5:5" x14ac:dyDescent="0.25">
      <c r="E4836"/>
    </row>
    <row r="4837" spans="5:5" x14ac:dyDescent="0.25">
      <c r="E4837"/>
    </row>
    <row r="4838" spans="5:5" x14ac:dyDescent="0.25">
      <c r="E4838"/>
    </row>
    <row r="4839" spans="5:5" x14ac:dyDescent="0.25">
      <c r="E4839"/>
    </row>
    <row r="4840" spans="5:5" x14ac:dyDescent="0.25">
      <c r="E4840"/>
    </row>
    <row r="4841" spans="5:5" x14ac:dyDescent="0.25">
      <c r="E4841"/>
    </row>
    <row r="4842" spans="5:5" x14ac:dyDescent="0.25">
      <c r="E4842"/>
    </row>
    <row r="4843" spans="5:5" x14ac:dyDescent="0.25">
      <c r="E4843"/>
    </row>
    <row r="4844" spans="5:5" x14ac:dyDescent="0.25">
      <c r="E4844"/>
    </row>
    <row r="4845" spans="5:5" x14ac:dyDescent="0.25">
      <c r="E4845"/>
    </row>
    <row r="4846" spans="5:5" x14ac:dyDescent="0.25">
      <c r="E4846"/>
    </row>
    <row r="4847" spans="5:5" x14ac:dyDescent="0.25">
      <c r="E4847"/>
    </row>
    <row r="4848" spans="5:5" x14ac:dyDescent="0.25">
      <c r="E4848"/>
    </row>
    <row r="4849" spans="5:5" x14ac:dyDescent="0.25">
      <c r="E4849"/>
    </row>
    <row r="4850" spans="5:5" x14ac:dyDescent="0.25">
      <c r="E4850"/>
    </row>
    <row r="4851" spans="5:5" x14ac:dyDescent="0.25">
      <c r="E4851"/>
    </row>
    <row r="4852" spans="5:5" x14ac:dyDescent="0.25">
      <c r="E4852"/>
    </row>
    <row r="4853" spans="5:5" x14ac:dyDescent="0.25">
      <c r="E4853"/>
    </row>
    <row r="4854" spans="5:5" x14ac:dyDescent="0.25">
      <c r="E4854"/>
    </row>
    <row r="4855" spans="5:5" x14ac:dyDescent="0.25">
      <c r="E4855"/>
    </row>
    <row r="4856" spans="5:5" x14ac:dyDescent="0.25">
      <c r="E4856"/>
    </row>
    <row r="4857" spans="5:5" x14ac:dyDescent="0.25">
      <c r="E4857"/>
    </row>
    <row r="4858" spans="5:5" x14ac:dyDescent="0.25">
      <c r="E4858"/>
    </row>
    <row r="4859" spans="5:5" x14ac:dyDescent="0.25">
      <c r="E4859"/>
    </row>
    <row r="4860" spans="5:5" x14ac:dyDescent="0.25">
      <c r="E4860"/>
    </row>
    <row r="4861" spans="5:5" x14ac:dyDescent="0.25">
      <c r="E4861"/>
    </row>
    <row r="4862" spans="5:5" x14ac:dyDescent="0.25">
      <c r="E4862"/>
    </row>
    <row r="4863" spans="5:5" x14ac:dyDescent="0.25">
      <c r="E4863"/>
    </row>
    <row r="4864" spans="5:5" x14ac:dyDescent="0.25">
      <c r="E4864"/>
    </row>
    <row r="4865" spans="5:5" x14ac:dyDescent="0.25">
      <c r="E4865"/>
    </row>
    <row r="4866" spans="5:5" x14ac:dyDescent="0.25">
      <c r="E4866"/>
    </row>
    <row r="4867" spans="5:5" x14ac:dyDescent="0.25">
      <c r="E4867"/>
    </row>
    <row r="4868" spans="5:5" x14ac:dyDescent="0.25">
      <c r="E4868"/>
    </row>
    <row r="4869" spans="5:5" x14ac:dyDescent="0.25">
      <c r="E4869"/>
    </row>
    <row r="4870" spans="5:5" x14ac:dyDescent="0.25">
      <c r="E4870"/>
    </row>
    <row r="4871" spans="5:5" x14ac:dyDescent="0.25">
      <c r="E4871"/>
    </row>
    <row r="4872" spans="5:5" x14ac:dyDescent="0.25">
      <c r="E4872"/>
    </row>
    <row r="4873" spans="5:5" x14ac:dyDescent="0.25">
      <c r="E4873"/>
    </row>
    <row r="4874" spans="5:5" x14ac:dyDescent="0.25">
      <c r="E4874"/>
    </row>
    <row r="4875" spans="5:5" x14ac:dyDescent="0.25">
      <c r="E4875"/>
    </row>
    <row r="4876" spans="5:5" x14ac:dyDescent="0.25">
      <c r="E4876"/>
    </row>
    <row r="4877" spans="5:5" x14ac:dyDescent="0.25">
      <c r="E4877"/>
    </row>
    <row r="4878" spans="5:5" x14ac:dyDescent="0.25">
      <c r="E4878"/>
    </row>
    <row r="4879" spans="5:5" x14ac:dyDescent="0.25">
      <c r="E4879"/>
    </row>
    <row r="4880" spans="5:5" x14ac:dyDescent="0.25">
      <c r="E4880"/>
    </row>
    <row r="4881" spans="5:5" x14ac:dyDescent="0.25">
      <c r="E4881"/>
    </row>
    <row r="4882" spans="5:5" x14ac:dyDescent="0.25">
      <c r="E4882"/>
    </row>
    <row r="4883" spans="5:5" x14ac:dyDescent="0.25">
      <c r="E4883"/>
    </row>
    <row r="4884" spans="5:5" x14ac:dyDescent="0.25">
      <c r="E4884"/>
    </row>
    <row r="4885" spans="5:5" x14ac:dyDescent="0.25">
      <c r="E4885"/>
    </row>
    <row r="4886" spans="5:5" x14ac:dyDescent="0.25">
      <c r="E4886"/>
    </row>
    <row r="4887" spans="5:5" x14ac:dyDescent="0.25">
      <c r="E4887"/>
    </row>
    <row r="4888" spans="5:5" x14ac:dyDescent="0.25">
      <c r="E4888"/>
    </row>
    <row r="4889" spans="5:5" x14ac:dyDescent="0.25">
      <c r="E4889"/>
    </row>
    <row r="4890" spans="5:5" x14ac:dyDescent="0.25">
      <c r="E4890"/>
    </row>
    <row r="4891" spans="5:5" x14ac:dyDescent="0.25">
      <c r="E4891"/>
    </row>
    <row r="4892" spans="5:5" x14ac:dyDescent="0.25">
      <c r="E4892"/>
    </row>
    <row r="4893" spans="5:5" x14ac:dyDescent="0.25">
      <c r="E4893"/>
    </row>
    <row r="4894" spans="5:5" x14ac:dyDescent="0.25">
      <c r="E4894"/>
    </row>
    <row r="4895" spans="5:5" x14ac:dyDescent="0.25">
      <c r="E4895"/>
    </row>
    <row r="4896" spans="5:5" x14ac:dyDescent="0.25">
      <c r="E4896"/>
    </row>
    <row r="4897" spans="5:5" x14ac:dyDescent="0.25">
      <c r="E4897"/>
    </row>
    <row r="4898" spans="5:5" x14ac:dyDescent="0.25">
      <c r="E4898"/>
    </row>
    <row r="4899" spans="5:5" x14ac:dyDescent="0.25">
      <c r="E4899"/>
    </row>
    <row r="4900" spans="5:5" x14ac:dyDescent="0.25">
      <c r="E4900"/>
    </row>
    <row r="4901" spans="5:5" x14ac:dyDescent="0.25">
      <c r="E4901"/>
    </row>
    <row r="4902" spans="5:5" x14ac:dyDescent="0.25">
      <c r="E4902"/>
    </row>
    <row r="4903" spans="5:5" x14ac:dyDescent="0.25">
      <c r="E4903"/>
    </row>
    <row r="4904" spans="5:5" x14ac:dyDescent="0.25">
      <c r="E4904"/>
    </row>
    <row r="4905" spans="5:5" x14ac:dyDescent="0.25">
      <c r="E4905"/>
    </row>
    <row r="4906" spans="5:5" x14ac:dyDescent="0.25">
      <c r="E4906"/>
    </row>
    <row r="4907" spans="5:5" x14ac:dyDescent="0.25">
      <c r="E4907"/>
    </row>
    <row r="4908" spans="5:5" x14ac:dyDescent="0.25">
      <c r="E4908"/>
    </row>
    <row r="4909" spans="5:5" x14ac:dyDescent="0.25">
      <c r="E4909"/>
    </row>
    <row r="4910" spans="5:5" x14ac:dyDescent="0.25">
      <c r="E4910"/>
    </row>
    <row r="4911" spans="5:5" x14ac:dyDescent="0.25">
      <c r="E4911"/>
    </row>
    <row r="4912" spans="5:5" x14ac:dyDescent="0.25">
      <c r="E4912"/>
    </row>
    <row r="4913" spans="5:5" x14ac:dyDescent="0.25">
      <c r="E4913"/>
    </row>
    <row r="4914" spans="5:5" x14ac:dyDescent="0.25">
      <c r="E4914"/>
    </row>
    <row r="4915" spans="5:5" x14ac:dyDescent="0.25">
      <c r="E4915"/>
    </row>
    <row r="4916" spans="5:5" x14ac:dyDescent="0.25">
      <c r="E4916"/>
    </row>
    <row r="4917" spans="5:5" x14ac:dyDescent="0.25">
      <c r="E4917"/>
    </row>
    <row r="4918" spans="5:5" x14ac:dyDescent="0.25">
      <c r="E4918"/>
    </row>
    <row r="4919" spans="5:5" x14ac:dyDescent="0.25">
      <c r="E4919"/>
    </row>
    <row r="4920" spans="5:5" x14ac:dyDescent="0.25">
      <c r="E4920"/>
    </row>
    <row r="4921" spans="5:5" x14ac:dyDescent="0.25">
      <c r="E4921"/>
    </row>
    <row r="4922" spans="5:5" x14ac:dyDescent="0.25">
      <c r="E4922"/>
    </row>
    <row r="4923" spans="5:5" x14ac:dyDescent="0.25">
      <c r="E4923"/>
    </row>
    <row r="4924" spans="5:5" x14ac:dyDescent="0.25">
      <c r="E4924"/>
    </row>
    <row r="4925" spans="5:5" x14ac:dyDescent="0.25">
      <c r="E4925"/>
    </row>
    <row r="4926" spans="5:5" x14ac:dyDescent="0.25">
      <c r="E4926"/>
    </row>
    <row r="4927" spans="5:5" x14ac:dyDescent="0.25">
      <c r="E4927"/>
    </row>
    <row r="4928" spans="5:5" x14ac:dyDescent="0.25">
      <c r="E4928"/>
    </row>
    <row r="4929" spans="5:5" x14ac:dyDescent="0.25">
      <c r="E4929"/>
    </row>
    <row r="4930" spans="5:5" x14ac:dyDescent="0.25">
      <c r="E4930"/>
    </row>
    <row r="4931" spans="5:5" x14ac:dyDescent="0.25">
      <c r="E4931"/>
    </row>
    <row r="4932" spans="5:5" x14ac:dyDescent="0.25">
      <c r="E4932"/>
    </row>
    <row r="4933" spans="5:5" x14ac:dyDescent="0.25">
      <c r="E4933"/>
    </row>
    <row r="4934" spans="5:5" x14ac:dyDescent="0.25">
      <c r="E4934"/>
    </row>
    <row r="4935" spans="5:5" x14ac:dyDescent="0.25">
      <c r="E4935"/>
    </row>
    <row r="4936" spans="5:5" x14ac:dyDescent="0.25">
      <c r="E4936"/>
    </row>
    <row r="4937" spans="5:5" x14ac:dyDescent="0.25">
      <c r="E4937"/>
    </row>
    <row r="4938" spans="5:5" x14ac:dyDescent="0.25">
      <c r="E4938"/>
    </row>
    <row r="4939" spans="5:5" x14ac:dyDescent="0.25">
      <c r="E4939"/>
    </row>
    <row r="4940" spans="5:5" x14ac:dyDescent="0.25">
      <c r="E4940"/>
    </row>
    <row r="4941" spans="5:5" x14ac:dyDescent="0.25">
      <c r="E4941"/>
    </row>
    <row r="4942" spans="5:5" x14ac:dyDescent="0.25">
      <c r="E4942"/>
    </row>
    <row r="4943" spans="5:5" x14ac:dyDescent="0.25">
      <c r="E4943"/>
    </row>
    <row r="4944" spans="5:5" x14ac:dyDescent="0.25">
      <c r="E4944"/>
    </row>
    <row r="4945" spans="5:5" x14ac:dyDescent="0.25">
      <c r="E4945"/>
    </row>
    <row r="4946" spans="5:5" x14ac:dyDescent="0.25">
      <c r="E4946"/>
    </row>
    <row r="4947" spans="5:5" x14ac:dyDescent="0.25">
      <c r="E4947"/>
    </row>
    <row r="4948" spans="5:5" x14ac:dyDescent="0.25">
      <c r="E4948"/>
    </row>
    <row r="4949" spans="5:5" x14ac:dyDescent="0.25">
      <c r="E4949"/>
    </row>
    <row r="4950" spans="5:5" x14ac:dyDescent="0.25">
      <c r="E4950"/>
    </row>
    <row r="4951" spans="5:5" x14ac:dyDescent="0.25">
      <c r="E4951"/>
    </row>
    <row r="4952" spans="5:5" x14ac:dyDescent="0.25">
      <c r="E4952"/>
    </row>
    <row r="4953" spans="5:5" x14ac:dyDescent="0.25">
      <c r="E4953"/>
    </row>
    <row r="4954" spans="5:5" x14ac:dyDescent="0.25">
      <c r="E4954"/>
    </row>
    <row r="4955" spans="5:5" x14ac:dyDescent="0.25">
      <c r="E4955"/>
    </row>
    <row r="4956" spans="5:5" x14ac:dyDescent="0.25">
      <c r="E4956"/>
    </row>
    <row r="4957" spans="5:5" x14ac:dyDescent="0.25">
      <c r="E4957"/>
    </row>
    <row r="4958" spans="5:5" x14ac:dyDescent="0.25">
      <c r="E4958"/>
    </row>
    <row r="4959" spans="5:5" x14ac:dyDescent="0.25">
      <c r="E4959"/>
    </row>
    <row r="4960" spans="5:5" x14ac:dyDescent="0.25">
      <c r="E4960"/>
    </row>
    <row r="4961" spans="5:5" x14ac:dyDescent="0.25">
      <c r="E4961"/>
    </row>
    <row r="4962" spans="5:5" x14ac:dyDescent="0.25">
      <c r="E4962"/>
    </row>
    <row r="4963" spans="5:5" x14ac:dyDescent="0.25">
      <c r="E4963"/>
    </row>
    <row r="4964" spans="5:5" x14ac:dyDescent="0.25">
      <c r="E4964"/>
    </row>
    <row r="4965" spans="5:5" x14ac:dyDescent="0.25">
      <c r="E4965"/>
    </row>
    <row r="4966" spans="5:5" x14ac:dyDescent="0.25">
      <c r="E4966"/>
    </row>
    <row r="4967" spans="5:5" x14ac:dyDescent="0.25">
      <c r="E4967"/>
    </row>
    <row r="4968" spans="5:5" x14ac:dyDescent="0.25">
      <c r="E4968"/>
    </row>
    <row r="4969" spans="5:5" x14ac:dyDescent="0.25">
      <c r="E4969"/>
    </row>
    <row r="4970" spans="5:5" x14ac:dyDescent="0.25">
      <c r="E4970"/>
    </row>
    <row r="4971" spans="5:5" x14ac:dyDescent="0.25">
      <c r="E4971"/>
    </row>
    <row r="4972" spans="5:5" x14ac:dyDescent="0.25">
      <c r="E4972"/>
    </row>
    <row r="4973" spans="5:5" x14ac:dyDescent="0.25">
      <c r="E4973"/>
    </row>
    <row r="4974" spans="5:5" x14ac:dyDescent="0.25">
      <c r="E4974"/>
    </row>
    <row r="4975" spans="5:5" x14ac:dyDescent="0.25">
      <c r="E4975"/>
    </row>
    <row r="4976" spans="5:5" x14ac:dyDescent="0.25">
      <c r="E4976"/>
    </row>
    <row r="4977" spans="5:5" x14ac:dyDescent="0.25">
      <c r="E4977"/>
    </row>
    <row r="4978" spans="5:5" x14ac:dyDescent="0.25">
      <c r="E4978"/>
    </row>
    <row r="4979" spans="5:5" x14ac:dyDescent="0.25">
      <c r="E4979"/>
    </row>
    <row r="4980" spans="5:5" x14ac:dyDescent="0.25">
      <c r="E4980"/>
    </row>
    <row r="4981" spans="5:5" x14ac:dyDescent="0.25">
      <c r="E4981"/>
    </row>
    <row r="4982" spans="5:5" x14ac:dyDescent="0.25">
      <c r="E4982"/>
    </row>
    <row r="4983" spans="5:5" x14ac:dyDescent="0.25">
      <c r="E4983"/>
    </row>
    <row r="4984" spans="5:5" x14ac:dyDescent="0.25">
      <c r="E4984"/>
    </row>
    <row r="4985" spans="5:5" x14ac:dyDescent="0.25">
      <c r="E4985"/>
    </row>
    <row r="4986" spans="5:5" x14ac:dyDescent="0.25">
      <c r="E4986"/>
    </row>
    <row r="4987" spans="5:5" x14ac:dyDescent="0.25">
      <c r="E4987"/>
    </row>
    <row r="4988" spans="5:5" x14ac:dyDescent="0.25">
      <c r="E4988"/>
    </row>
    <row r="4989" spans="5:5" x14ac:dyDescent="0.25">
      <c r="E4989"/>
    </row>
    <row r="4990" spans="5:5" x14ac:dyDescent="0.25">
      <c r="E4990"/>
    </row>
    <row r="4991" spans="5:5" x14ac:dyDescent="0.25">
      <c r="E4991"/>
    </row>
    <row r="4992" spans="5:5" x14ac:dyDescent="0.25">
      <c r="E4992"/>
    </row>
    <row r="4993" spans="5:5" x14ac:dyDescent="0.25">
      <c r="E4993"/>
    </row>
    <row r="4994" spans="5:5" x14ac:dyDescent="0.25">
      <c r="E4994"/>
    </row>
    <row r="4995" spans="5:5" x14ac:dyDescent="0.25">
      <c r="E4995"/>
    </row>
    <row r="4996" spans="5:5" x14ac:dyDescent="0.25">
      <c r="E4996"/>
    </row>
    <row r="4997" spans="5:5" x14ac:dyDescent="0.25">
      <c r="E4997"/>
    </row>
    <row r="4998" spans="5:5" x14ac:dyDescent="0.25">
      <c r="E4998"/>
    </row>
    <row r="4999" spans="5:5" x14ac:dyDescent="0.25">
      <c r="E4999"/>
    </row>
    <row r="5000" spans="5:5" x14ac:dyDescent="0.25">
      <c r="E5000"/>
    </row>
    <row r="5001" spans="5:5" x14ac:dyDescent="0.25">
      <c r="E5001"/>
    </row>
    <row r="5002" spans="5:5" x14ac:dyDescent="0.25">
      <c r="E5002"/>
    </row>
    <row r="5003" spans="5:5" x14ac:dyDescent="0.25">
      <c r="E5003"/>
    </row>
    <row r="5004" spans="5:5" x14ac:dyDescent="0.25">
      <c r="E5004"/>
    </row>
    <row r="5005" spans="5:5" x14ac:dyDescent="0.25">
      <c r="E5005"/>
    </row>
    <row r="5006" spans="5:5" x14ac:dyDescent="0.25">
      <c r="E5006"/>
    </row>
    <row r="5007" spans="5:5" x14ac:dyDescent="0.25">
      <c r="E5007"/>
    </row>
    <row r="5008" spans="5:5" x14ac:dyDescent="0.25">
      <c r="E5008"/>
    </row>
    <row r="5009" spans="5:5" x14ac:dyDescent="0.25">
      <c r="E5009"/>
    </row>
    <row r="5010" spans="5:5" x14ac:dyDescent="0.25">
      <c r="E5010"/>
    </row>
    <row r="5011" spans="5:5" x14ac:dyDescent="0.25">
      <c r="E5011"/>
    </row>
    <row r="5012" spans="5:5" x14ac:dyDescent="0.25">
      <c r="E5012"/>
    </row>
    <row r="5013" spans="5:5" x14ac:dyDescent="0.25">
      <c r="E5013"/>
    </row>
    <row r="5014" spans="5:5" x14ac:dyDescent="0.25">
      <c r="E5014"/>
    </row>
    <row r="5015" spans="5:5" x14ac:dyDescent="0.25">
      <c r="E5015"/>
    </row>
    <row r="5016" spans="5:5" x14ac:dyDescent="0.25">
      <c r="E5016"/>
    </row>
    <row r="5017" spans="5:5" x14ac:dyDescent="0.25">
      <c r="E5017"/>
    </row>
    <row r="5018" spans="5:5" x14ac:dyDescent="0.25">
      <c r="E5018"/>
    </row>
    <row r="5019" spans="5:5" x14ac:dyDescent="0.25">
      <c r="E5019"/>
    </row>
    <row r="5020" spans="5:5" x14ac:dyDescent="0.25">
      <c r="E5020"/>
    </row>
    <row r="5021" spans="5:5" x14ac:dyDescent="0.25">
      <c r="E5021"/>
    </row>
    <row r="5022" spans="5:5" x14ac:dyDescent="0.25">
      <c r="E5022"/>
    </row>
    <row r="5023" spans="5:5" x14ac:dyDescent="0.25">
      <c r="E5023"/>
    </row>
    <row r="5024" spans="5:5" x14ac:dyDescent="0.25">
      <c r="E5024"/>
    </row>
    <row r="5025" spans="5:5" x14ac:dyDescent="0.25">
      <c r="E5025"/>
    </row>
    <row r="5026" spans="5:5" x14ac:dyDescent="0.25">
      <c r="E5026"/>
    </row>
    <row r="5027" spans="5:5" x14ac:dyDescent="0.25">
      <c r="E5027"/>
    </row>
    <row r="5028" spans="5:5" x14ac:dyDescent="0.25">
      <c r="E5028"/>
    </row>
    <row r="5029" spans="5:5" x14ac:dyDescent="0.25">
      <c r="E5029"/>
    </row>
    <row r="5030" spans="5:5" x14ac:dyDescent="0.25">
      <c r="E5030"/>
    </row>
    <row r="5031" spans="5:5" x14ac:dyDescent="0.25">
      <c r="E5031"/>
    </row>
    <row r="5032" spans="5:5" x14ac:dyDescent="0.25">
      <c r="E5032"/>
    </row>
    <row r="5033" spans="5:5" x14ac:dyDescent="0.25">
      <c r="E5033"/>
    </row>
    <row r="5034" spans="5:5" x14ac:dyDescent="0.25">
      <c r="E5034"/>
    </row>
    <row r="5035" spans="5:5" x14ac:dyDescent="0.25">
      <c r="E5035"/>
    </row>
    <row r="5036" spans="5:5" x14ac:dyDescent="0.25">
      <c r="E5036"/>
    </row>
    <row r="5037" spans="5:5" x14ac:dyDescent="0.25">
      <c r="E5037"/>
    </row>
    <row r="5038" spans="5:5" x14ac:dyDescent="0.25">
      <c r="E5038"/>
    </row>
    <row r="5039" spans="5:5" x14ac:dyDescent="0.25">
      <c r="E5039"/>
    </row>
    <row r="5040" spans="5:5" x14ac:dyDescent="0.25">
      <c r="E5040"/>
    </row>
    <row r="5041" spans="5:5" x14ac:dyDescent="0.25">
      <c r="E5041"/>
    </row>
    <row r="5042" spans="5:5" x14ac:dyDescent="0.25">
      <c r="E5042"/>
    </row>
    <row r="5043" spans="5:5" x14ac:dyDescent="0.25">
      <c r="E5043"/>
    </row>
    <row r="5044" spans="5:5" x14ac:dyDescent="0.25">
      <c r="E5044"/>
    </row>
    <row r="5045" spans="5:5" x14ac:dyDescent="0.25">
      <c r="E5045"/>
    </row>
    <row r="5046" spans="5:5" x14ac:dyDescent="0.25">
      <c r="E5046"/>
    </row>
    <row r="5047" spans="5:5" x14ac:dyDescent="0.25">
      <c r="E5047"/>
    </row>
    <row r="5048" spans="5:5" x14ac:dyDescent="0.25">
      <c r="E5048"/>
    </row>
    <row r="5049" spans="5:5" x14ac:dyDescent="0.25">
      <c r="E5049"/>
    </row>
    <row r="5050" spans="5:5" x14ac:dyDescent="0.25">
      <c r="E5050"/>
    </row>
    <row r="5051" spans="5:5" x14ac:dyDescent="0.25">
      <c r="E5051"/>
    </row>
    <row r="5052" spans="5:5" x14ac:dyDescent="0.25">
      <c r="E5052"/>
    </row>
    <row r="5053" spans="5:5" x14ac:dyDescent="0.25">
      <c r="E5053"/>
    </row>
    <row r="5054" spans="5:5" x14ac:dyDescent="0.25">
      <c r="E5054"/>
    </row>
    <row r="5055" spans="5:5" x14ac:dyDescent="0.25">
      <c r="E5055"/>
    </row>
    <row r="5056" spans="5:5" x14ac:dyDescent="0.25">
      <c r="E5056"/>
    </row>
    <row r="5057" spans="5:5" x14ac:dyDescent="0.25">
      <c r="E5057"/>
    </row>
    <row r="5058" spans="5:5" x14ac:dyDescent="0.25">
      <c r="E5058"/>
    </row>
    <row r="5059" spans="5:5" x14ac:dyDescent="0.25">
      <c r="E5059"/>
    </row>
    <row r="5060" spans="5:5" x14ac:dyDescent="0.25">
      <c r="E5060"/>
    </row>
    <row r="5061" spans="5:5" x14ac:dyDescent="0.25">
      <c r="E5061"/>
    </row>
    <row r="5062" spans="5:5" x14ac:dyDescent="0.25">
      <c r="E5062"/>
    </row>
    <row r="5063" spans="5:5" x14ac:dyDescent="0.25">
      <c r="E5063"/>
    </row>
    <row r="5064" spans="5:5" x14ac:dyDescent="0.25">
      <c r="E5064"/>
    </row>
    <row r="5065" spans="5:5" x14ac:dyDescent="0.25">
      <c r="E5065"/>
    </row>
    <row r="5066" spans="5:5" x14ac:dyDescent="0.25">
      <c r="E5066"/>
    </row>
    <row r="5067" spans="5:5" x14ac:dyDescent="0.25">
      <c r="E5067"/>
    </row>
    <row r="5068" spans="5:5" x14ac:dyDescent="0.25">
      <c r="E5068"/>
    </row>
    <row r="5069" spans="5:5" x14ac:dyDescent="0.25">
      <c r="E5069"/>
    </row>
    <row r="5070" spans="5:5" x14ac:dyDescent="0.25">
      <c r="E5070"/>
    </row>
    <row r="5071" spans="5:5" x14ac:dyDescent="0.25">
      <c r="E5071"/>
    </row>
    <row r="5072" spans="5:5" x14ac:dyDescent="0.25">
      <c r="E5072"/>
    </row>
    <row r="5073" spans="5:5" x14ac:dyDescent="0.25">
      <c r="E5073"/>
    </row>
    <row r="5074" spans="5:5" x14ac:dyDescent="0.25">
      <c r="E5074"/>
    </row>
    <row r="5075" spans="5:5" x14ac:dyDescent="0.25">
      <c r="E5075"/>
    </row>
    <row r="5076" spans="5:5" x14ac:dyDescent="0.25">
      <c r="E5076"/>
    </row>
    <row r="5077" spans="5:5" x14ac:dyDescent="0.25">
      <c r="E5077"/>
    </row>
    <row r="5078" spans="5:5" x14ac:dyDescent="0.25">
      <c r="E5078"/>
    </row>
    <row r="5079" spans="5:5" x14ac:dyDescent="0.25">
      <c r="E5079"/>
    </row>
    <row r="5080" spans="5:5" x14ac:dyDescent="0.25">
      <c r="E5080"/>
    </row>
    <row r="5081" spans="5:5" x14ac:dyDescent="0.25">
      <c r="E5081"/>
    </row>
    <row r="5082" spans="5:5" x14ac:dyDescent="0.25">
      <c r="E5082"/>
    </row>
    <row r="5083" spans="5:5" x14ac:dyDescent="0.25">
      <c r="E5083"/>
    </row>
    <row r="5084" spans="5:5" x14ac:dyDescent="0.25">
      <c r="E5084"/>
    </row>
    <row r="5085" spans="5:5" x14ac:dyDescent="0.25">
      <c r="E5085"/>
    </row>
    <row r="5086" spans="5:5" x14ac:dyDescent="0.25">
      <c r="E5086"/>
    </row>
    <row r="5087" spans="5:5" x14ac:dyDescent="0.25">
      <c r="E5087"/>
    </row>
    <row r="5088" spans="5:5" x14ac:dyDescent="0.25">
      <c r="E5088"/>
    </row>
    <row r="5089" spans="5:5" x14ac:dyDescent="0.25">
      <c r="E5089"/>
    </row>
    <row r="5090" spans="5:5" x14ac:dyDescent="0.25">
      <c r="E5090"/>
    </row>
    <row r="5091" spans="5:5" x14ac:dyDescent="0.25">
      <c r="E5091"/>
    </row>
    <row r="5092" spans="5:5" x14ac:dyDescent="0.25">
      <c r="E5092"/>
    </row>
    <row r="5093" spans="5:5" x14ac:dyDescent="0.25">
      <c r="E5093"/>
    </row>
    <row r="5094" spans="5:5" x14ac:dyDescent="0.25">
      <c r="E5094"/>
    </row>
    <row r="5095" spans="5:5" x14ac:dyDescent="0.25">
      <c r="E5095"/>
    </row>
    <row r="5096" spans="5:5" x14ac:dyDescent="0.25">
      <c r="E5096"/>
    </row>
    <row r="5097" spans="5:5" x14ac:dyDescent="0.25">
      <c r="E5097"/>
    </row>
    <row r="5098" spans="5:5" x14ac:dyDescent="0.25">
      <c r="E5098"/>
    </row>
    <row r="5099" spans="5:5" x14ac:dyDescent="0.25">
      <c r="E5099"/>
    </row>
    <row r="5100" spans="5:5" x14ac:dyDescent="0.25">
      <c r="E5100"/>
    </row>
    <row r="5101" spans="5:5" x14ac:dyDescent="0.25">
      <c r="E5101"/>
    </row>
    <row r="5102" spans="5:5" x14ac:dyDescent="0.25">
      <c r="E5102"/>
    </row>
    <row r="5103" spans="5:5" x14ac:dyDescent="0.25">
      <c r="E5103"/>
    </row>
    <row r="5104" spans="5:5" x14ac:dyDescent="0.25">
      <c r="E5104"/>
    </row>
    <row r="5105" spans="5:5" x14ac:dyDescent="0.25">
      <c r="E5105"/>
    </row>
    <row r="5106" spans="5:5" x14ac:dyDescent="0.25">
      <c r="E5106"/>
    </row>
    <row r="5107" spans="5:5" x14ac:dyDescent="0.25">
      <c r="E5107"/>
    </row>
    <row r="5108" spans="5:5" x14ac:dyDescent="0.25">
      <c r="E5108"/>
    </row>
    <row r="5109" spans="5:5" x14ac:dyDescent="0.25">
      <c r="E5109"/>
    </row>
    <row r="5110" spans="5:5" x14ac:dyDescent="0.25">
      <c r="E5110"/>
    </row>
    <row r="5111" spans="5:5" x14ac:dyDescent="0.25">
      <c r="E5111"/>
    </row>
    <row r="5112" spans="5:5" x14ac:dyDescent="0.25">
      <c r="E5112"/>
    </row>
    <row r="5113" spans="5:5" x14ac:dyDescent="0.25">
      <c r="E5113"/>
    </row>
    <row r="5114" spans="5:5" x14ac:dyDescent="0.25">
      <c r="E5114"/>
    </row>
    <row r="5115" spans="5:5" x14ac:dyDescent="0.25">
      <c r="E5115"/>
    </row>
    <row r="5116" spans="5:5" x14ac:dyDescent="0.25">
      <c r="E5116"/>
    </row>
    <row r="5117" spans="5:5" x14ac:dyDescent="0.25">
      <c r="E5117"/>
    </row>
    <row r="5118" spans="5:5" x14ac:dyDescent="0.25">
      <c r="E5118"/>
    </row>
    <row r="5119" spans="5:5" x14ac:dyDescent="0.25">
      <c r="E5119"/>
    </row>
    <row r="5120" spans="5:5" x14ac:dyDescent="0.25">
      <c r="E5120"/>
    </row>
    <row r="5121" spans="5:5" x14ac:dyDescent="0.25">
      <c r="E5121"/>
    </row>
    <row r="5122" spans="5:5" x14ac:dyDescent="0.25">
      <c r="E5122"/>
    </row>
    <row r="5123" spans="5:5" x14ac:dyDescent="0.25">
      <c r="E5123"/>
    </row>
    <row r="5124" spans="5:5" x14ac:dyDescent="0.25">
      <c r="E5124"/>
    </row>
    <row r="5125" spans="5:5" x14ac:dyDescent="0.25">
      <c r="E5125"/>
    </row>
    <row r="5126" spans="5:5" x14ac:dyDescent="0.25">
      <c r="E5126"/>
    </row>
    <row r="5127" spans="5:5" x14ac:dyDescent="0.25">
      <c r="E5127"/>
    </row>
    <row r="5128" spans="5:5" x14ac:dyDescent="0.25">
      <c r="E5128"/>
    </row>
    <row r="5129" spans="5:5" x14ac:dyDescent="0.25">
      <c r="E5129"/>
    </row>
    <row r="5130" spans="5:5" x14ac:dyDescent="0.25">
      <c r="E5130"/>
    </row>
    <row r="5131" spans="5:5" x14ac:dyDescent="0.25">
      <c r="E5131"/>
    </row>
    <row r="5132" spans="5:5" x14ac:dyDescent="0.25">
      <c r="E5132"/>
    </row>
    <row r="5133" spans="5:5" x14ac:dyDescent="0.25">
      <c r="E5133"/>
    </row>
    <row r="5134" spans="5:5" x14ac:dyDescent="0.25">
      <c r="E5134"/>
    </row>
    <row r="5135" spans="5:5" x14ac:dyDescent="0.25">
      <c r="E5135"/>
    </row>
    <row r="5136" spans="5:5" x14ac:dyDescent="0.25">
      <c r="E5136"/>
    </row>
    <row r="5137" spans="5:5" x14ac:dyDescent="0.25">
      <c r="E5137"/>
    </row>
    <row r="5138" spans="5:5" x14ac:dyDescent="0.25">
      <c r="E5138"/>
    </row>
    <row r="5139" spans="5:5" x14ac:dyDescent="0.25">
      <c r="E5139"/>
    </row>
    <row r="5140" spans="5:5" x14ac:dyDescent="0.25">
      <c r="E5140"/>
    </row>
    <row r="5141" spans="5:5" x14ac:dyDescent="0.25">
      <c r="E5141"/>
    </row>
    <row r="5142" spans="5:5" x14ac:dyDescent="0.25">
      <c r="E5142"/>
    </row>
    <row r="5143" spans="5:5" x14ac:dyDescent="0.25">
      <c r="E5143"/>
    </row>
    <row r="5144" spans="5:5" x14ac:dyDescent="0.25">
      <c r="E5144"/>
    </row>
    <row r="5145" spans="5:5" x14ac:dyDescent="0.25">
      <c r="E5145"/>
    </row>
    <row r="5146" spans="5:5" x14ac:dyDescent="0.25">
      <c r="E5146"/>
    </row>
    <row r="5147" spans="5:5" x14ac:dyDescent="0.25">
      <c r="E5147"/>
    </row>
    <row r="5148" spans="5:5" x14ac:dyDescent="0.25">
      <c r="E5148"/>
    </row>
    <row r="5149" spans="5:5" x14ac:dyDescent="0.25">
      <c r="E5149"/>
    </row>
    <row r="5150" spans="5:5" x14ac:dyDescent="0.25">
      <c r="E5150"/>
    </row>
    <row r="5151" spans="5:5" x14ac:dyDescent="0.25">
      <c r="E5151"/>
    </row>
    <row r="5152" spans="5:5" x14ac:dyDescent="0.25">
      <c r="E5152"/>
    </row>
    <row r="5153" spans="5:5" x14ac:dyDescent="0.25">
      <c r="E5153"/>
    </row>
    <row r="5154" spans="5:5" x14ac:dyDescent="0.25">
      <c r="E5154"/>
    </row>
    <row r="5155" spans="5:5" x14ac:dyDescent="0.25">
      <c r="E5155"/>
    </row>
    <row r="5156" spans="5:5" x14ac:dyDescent="0.25">
      <c r="E5156"/>
    </row>
    <row r="5157" spans="5:5" x14ac:dyDescent="0.25">
      <c r="E5157"/>
    </row>
    <row r="5158" spans="5:5" x14ac:dyDescent="0.25">
      <c r="E5158"/>
    </row>
    <row r="5159" spans="5:5" x14ac:dyDescent="0.25">
      <c r="E5159"/>
    </row>
    <row r="5160" spans="5:5" x14ac:dyDescent="0.25">
      <c r="E5160"/>
    </row>
    <row r="5161" spans="5:5" x14ac:dyDescent="0.25">
      <c r="E5161"/>
    </row>
    <row r="5162" spans="5:5" x14ac:dyDescent="0.25">
      <c r="E5162"/>
    </row>
    <row r="5163" spans="5:5" x14ac:dyDescent="0.25">
      <c r="E5163"/>
    </row>
    <row r="5164" spans="5:5" x14ac:dyDescent="0.25">
      <c r="E5164"/>
    </row>
    <row r="5165" spans="5:5" x14ac:dyDescent="0.25">
      <c r="E5165"/>
    </row>
    <row r="5166" spans="5:5" x14ac:dyDescent="0.25">
      <c r="E5166"/>
    </row>
    <row r="5167" spans="5:5" x14ac:dyDescent="0.25">
      <c r="E5167"/>
    </row>
    <row r="5168" spans="5:5" x14ac:dyDescent="0.25">
      <c r="E5168"/>
    </row>
    <row r="5169" spans="5:5" x14ac:dyDescent="0.25">
      <c r="E5169"/>
    </row>
    <row r="5170" spans="5:5" x14ac:dyDescent="0.25">
      <c r="E5170"/>
    </row>
    <row r="5171" spans="5:5" x14ac:dyDescent="0.25">
      <c r="E5171"/>
    </row>
    <row r="5172" spans="5:5" x14ac:dyDescent="0.25">
      <c r="E5172"/>
    </row>
    <row r="5173" spans="5:5" x14ac:dyDescent="0.25">
      <c r="E5173"/>
    </row>
    <row r="5174" spans="5:5" x14ac:dyDescent="0.25">
      <c r="E5174"/>
    </row>
    <row r="5175" spans="5:5" x14ac:dyDescent="0.25">
      <c r="E5175"/>
    </row>
    <row r="5176" spans="5:5" x14ac:dyDescent="0.25">
      <c r="E5176"/>
    </row>
    <row r="5177" spans="5:5" x14ac:dyDescent="0.25">
      <c r="E5177"/>
    </row>
    <row r="5178" spans="5:5" x14ac:dyDescent="0.25">
      <c r="E5178"/>
    </row>
    <row r="5179" spans="5:5" x14ac:dyDescent="0.25">
      <c r="E5179"/>
    </row>
    <row r="5180" spans="5:5" x14ac:dyDescent="0.25">
      <c r="E5180"/>
    </row>
    <row r="5181" spans="5:5" x14ac:dyDescent="0.25">
      <c r="E5181"/>
    </row>
    <row r="5182" spans="5:5" x14ac:dyDescent="0.25">
      <c r="E5182"/>
    </row>
    <row r="5183" spans="5:5" x14ac:dyDescent="0.25">
      <c r="E5183"/>
    </row>
    <row r="5184" spans="5:5" x14ac:dyDescent="0.25">
      <c r="E5184"/>
    </row>
    <row r="5185" spans="5:5" x14ac:dyDescent="0.25">
      <c r="E5185"/>
    </row>
    <row r="5186" spans="5:5" x14ac:dyDescent="0.25">
      <c r="E5186"/>
    </row>
    <row r="5187" spans="5:5" x14ac:dyDescent="0.25">
      <c r="E5187"/>
    </row>
    <row r="5188" spans="5:5" x14ac:dyDescent="0.25">
      <c r="E5188"/>
    </row>
    <row r="5189" spans="5:5" x14ac:dyDescent="0.25">
      <c r="E5189"/>
    </row>
    <row r="5190" spans="5:5" x14ac:dyDescent="0.25">
      <c r="E5190"/>
    </row>
    <row r="5191" spans="5:5" x14ac:dyDescent="0.25">
      <c r="E5191"/>
    </row>
    <row r="5192" spans="5:5" x14ac:dyDescent="0.25">
      <c r="E5192"/>
    </row>
    <row r="5193" spans="5:5" x14ac:dyDescent="0.25">
      <c r="E5193"/>
    </row>
    <row r="5194" spans="5:5" x14ac:dyDescent="0.25">
      <c r="E5194"/>
    </row>
    <row r="5195" spans="5:5" x14ac:dyDescent="0.25">
      <c r="E5195"/>
    </row>
    <row r="5196" spans="5:5" x14ac:dyDescent="0.25">
      <c r="E5196"/>
    </row>
    <row r="5197" spans="5:5" x14ac:dyDescent="0.25">
      <c r="E5197"/>
    </row>
    <row r="5198" spans="5:5" x14ac:dyDescent="0.25">
      <c r="E5198"/>
    </row>
    <row r="5199" spans="5:5" x14ac:dyDescent="0.25">
      <c r="E5199"/>
    </row>
    <row r="5200" spans="5:5" x14ac:dyDescent="0.25">
      <c r="E5200"/>
    </row>
    <row r="5201" spans="5:5" x14ac:dyDescent="0.25">
      <c r="E5201"/>
    </row>
    <row r="5202" spans="5:5" x14ac:dyDescent="0.25">
      <c r="E5202"/>
    </row>
    <row r="5203" spans="5:5" x14ac:dyDescent="0.25">
      <c r="E5203"/>
    </row>
    <row r="5204" spans="5:5" x14ac:dyDescent="0.25">
      <c r="E5204"/>
    </row>
    <row r="5205" spans="5:5" x14ac:dyDescent="0.25">
      <c r="E5205"/>
    </row>
    <row r="5206" spans="5:5" x14ac:dyDescent="0.25">
      <c r="E5206"/>
    </row>
    <row r="5207" spans="5:5" x14ac:dyDescent="0.25">
      <c r="E5207"/>
    </row>
    <row r="5208" spans="5:5" x14ac:dyDescent="0.25">
      <c r="E5208"/>
    </row>
    <row r="5209" spans="5:5" x14ac:dyDescent="0.25">
      <c r="E5209"/>
    </row>
    <row r="5210" spans="5:5" x14ac:dyDescent="0.25">
      <c r="E5210"/>
    </row>
    <row r="5211" spans="5:5" x14ac:dyDescent="0.25">
      <c r="E5211"/>
    </row>
    <row r="5212" spans="5:5" x14ac:dyDescent="0.25">
      <c r="E5212"/>
    </row>
    <row r="5213" spans="5:5" x14ac:dyDescent="0.25">
      <c r="E5213"/>
    </row>
    <row r="5214" spans="5:5" x14ac:dyDescent="0.25">
      <c r="E5214"/>
    </row>
    <row r="5215" spans="5:5" x14ac:dyDescent="0.25">
      <c r="E5215"/>
    </row>
    <row r="5216" spans="5:5" x14ac:dyDescent="0.25">
      <c r="E5216"/>
    </row>
    <row r="5217" spans="5:5" x14ac:dyDescent="0.25">
      <c r="E5217"/>
    </row>
    <row r="5218" spans="5:5" x14ac:dyDescent="0.25">
      <c r="E5218"/>
    </row>
    <row r="5219" spans="5:5" x14ac:dyDescent="0.25">
      <c r="E5219"/>
    </row>
    <row r="5220" spans="5:5" x14ac:dyDescent="0.25">
      <c r="E5220"/>
    </row>
    <row r="5221" spans="5:5" x14ac:dyDescent="0.25">
      <c r="E5221"/>
    </row>
    <row r="5222" spans="5:5" x14ac:dyDescent="0.25">
      <c r="E5222"/>
    </row>
    <row r="5223" spans="5:5" x14ac:dyDescent="0.25">
      <c r="E5223"/>
    </row>
    <row r="5224" spans="5:5" x14ac:dyDescent="0.25">
      <c r="E5224"/>
    </row>
    <row r="5225" spans="5:5" x14ac:dyDescent="0.25">
      <c r="E5225"/>
    </row>
    <row r="5226" spans="5:5" x14ac:dyDescent="0.25">
      <c r="E5226"/>
    </row>
    <row r="5227" spans="5:5" x14ac:dyDescent="0.25">
      <c r="E5227"/>
    </row>
    <row r="5228" spans="5:5" x14ac:dyDescent="0.25">
      <c r="E5228"/>
    </row>
    <row r="5229" spans="5:5" x14ac:dyDescent="0.25">
      <c r="E5229"/>
    </row>
    <row r="5230" spans="5:5" x14ac:dyDescent="0.25">
      <c r="E5230"/>
    </row>
    <row r="5231" spans="5:5" x14ac:dyDescent="0.25">
      <c r="E5231"/>
    </row>
    <row r="5232" spans="5:5" x14ac:dyDescent="0.25">
      <c r="E5232"/>
    </row>
    <row r="5233" spans="5:5" x14ac:dyDescent="0.25">
      <c r="E5233"/>
    </row>
    <row r="5234" spans="5:5" x14ac:dyDescent="0.25">
      <c r="E5234"/>
    </row>
    <row r="5235" spans="5:5" x14ac:dyDescent="0.25">
      <c r="E5235"/>
    </row>
    <row r="5236" spans="5:5" x14ac:dyDescent="0.25">
      <c r="E5236"/>
    </row>
    <row r="5237" spans="5:5" x14ac:dyDescent="0.25">
      <c r="E5237"/>
    </row>
    <row r="5238" spans="5:5" x14ac:dyDescent="0.25">
      <c r="E5238"/>
    </row>
    <row r="5239" spans="5:5" x14ac:dyDescent="0.25">
      <c r="E5239"/>
    </row>
    <row r="5240" spans="5:5" x14ac:dyDescent="0.25">
      <c r="E5240"/>
    </row>
    <row r="5241" spans="5:5" x14ac:dyDescent="0.25">
      <c r="E5241"/>
    </row>
    <row r="5242" spans="5:5" x14ac:dyDescent="0.25">
      <c r="E5242"/>
    </row>
    <row r="5243" spans="5:5" x14ac:dyDescent="0.25">
      <c r="E5243"/>
    </row>
    <row r="5244" spans="5:5" x14ac:dyDescent="0.25">
      <c r="E5244"/>
    </row>
    <row r="5245" spans="5:5" x14ac:dyDescent="0.25">
      <c r="E5245"/>
    </row>
    <row r="5246" spans="5:5" x14ac:dyDescent="0.25">
      <c r="E5246"/>
    </row>
    <row r="5247" spans="5:5" x14ac:dyDescent="0.25">
      <c r="E5247"/>
    </row>
    <row r="5248" spans="5:5" x14ac:dyDescent="0.25">
      <c r="E5248"/>
    </row>
    <row r="5249" spans="5:5" x14ac:dyDescent="0.25">
      <c r="E5249"/>
    </row>
    <row r="5250" spans="5:5" x14ac:dyDescent="0.25">
      <c r="E5250"/>
    </row>
    <row r="5251" spans="5:5" x14ac:dyDescent="0.25">
      <c r="E5251"/>
    </row>
    <row r="5252" spans="5:5" x14ac:dyDescent="0.25">
      <c r="E5252"/>
    </row>
    <row r="5253" spans="5:5" x14ac:dyDescent="0.25">
      <c r="E5253"/>
    </row>
    <row r="5254" spans="5:5" x14ac:dyDescent="0.25">
      <c r="E5254"/>
    </row>
    <row r="5255" spans="5:5" x14ac:dyDescent="0.25">
      <c r="E5255"/>
    </row>
    <row r="5256" spans="5:5" x14ac:dyDescent="0.25">
      <c r="E5256"/>
    </row>
    <row r="5257" spans="5:5" x14ac:dyDescent="0.25">
      <c r="E5257"/>
    </row>
    <row r="5258" spans="5:5" x14ac:dyDescent="0.25">
      <c r="E5258"/>
    </row>
    <row r="5259" spans="5:5" x14ac:dyDescent="0.25">
      <c r="E5259"/>
    </row>
    <row r="5260" spans="5:5" x14ac:dyDescent="0.25">
      <c r="E5260"/>
    </row>
    <row r="5261" spans="5:5" x14ac:dyDescent="0.25">
      <c r="E5261"/>
    </row>
    <row r="5262" spans="5:5" x14ac:dyDescent="0.25">
      <c r="E5262"/>
    </row>
    <row r="5263" spans="5:5" x14ac:dyDescent="0.25">
      <c r="E5263"/>
    </row>
    <row r="5264" spans="5:5" x14ac:dyDescent="0.25">
      <c r="E5264"/>
    </row>
    <row r="5265" spans="5:5" x14ac:dyDescent="0.25">
      <c r="E5265"/>
    </row>
    <row r="5266" spans="5:5" x14ac:dyDescent="0.25">
      <c r="E5266"/>
    </row>
    <row r="5267" spans="5:5" x14ac:dyDescent="0.25">
      <c r="E5267"/>
    </row>
    <row r="5268" spans="5:5" x14ac:dyDescent="0.25">
      <c r="E5268"/>
    </row>
    <row r="5269" spans="5:5" x14ac:dyDescent="0.25">
      <c r="E5269"/>
    </row>
    <row r="5270" spans="5:5" x14ac:dyDescent="0.25">
      <c r="E5270"/>
    </row>
    <row r="5271" spans="5:5" x14ac:dyDescent="0.25">
      <c r="E5271"/>
    </row>
    <row r="5272" spans="5:5" x14ac:dyDescent="0.25">
      <c r="E5272"/>
    </row>
    <row r="5273" spans="5:5" x14ac:dyDescent="0.25">
      <c r="E5273"/>
    </row>
    <row r="5274" spans="5:5" x14ac:dyDescent="0.25">
      <c r="E5274"/>
    </row>
    <row r="5275" spans="5:5" x14ac:dyDescent="0.25">
      <c r="E5275"/>
    </row>
    <row r="5276" spans="5:5" x14ac:dyDescent="0.25">
      <c r="E5276"/>
    </row>
    <row r="5277" spans="5:5" x14ac:dyDescent="0.25">
      <c r="E5277"/>
    </row>
    <row r="5278" spans="5:5" x14ac:dyDescent="0.25">
      <c r="E5278"/>
    </row>
    <row r="5279" spans="5:5" x14ac:dyDescent="0.25">
      <c r="E5279"/>
    </row>
    <row r="5280" spans="5:5" x14ac:dyDescent="0.25">
      <c r="E5280"/>
    </row>
    <row r="5281" spans="5:5" x14ac:dyDescent="0.25">
      <c r="E5281"/>
    </row>
    <row r="5282" spans="5:5" x14ac:dyDescent="0.25">
      <c r="E5282"/>
    </row>
    <row r="5283" spans="5:5" x14ac:dyDescent="0.25">
      <c r="E5283"/>
    </row>
    <row r="5284" spans="5:5" x14ac:dyDescent="0.25">
      <c r="E5284"/>
    </row>
    <row r="5285" spans="5:5" x14ac:dyDescent="0.25">
      <c r="E5285"/>
    </row>
    <row r="5286" spans="5:5" x14ac:dyDescent="0.25">
      <c r="E5286"/>
    </row>
    <row r="5287" spans="5:5" x14ac:dyDescent="0.25">
      <c r="E5287"/>
    </row>
    <row r="5288" spans="5:5" x14ac:dyDescent="0.25">
      <c r="E5288"/>
    </row>
    <row r="5289" spans="5:5" x14ac:dyDescent="0.25">
      <c r="E5289"/>
    </row>
    <row r="5290" spans="5:5" x14ac:dyDescent="0.25">
      <c r="E5290"/>
    </row>
    <row r="5291" spans="5:5" x14ac:dyDescent="0.25">
      <c r="E5291"/>
    </row>
    <row r="5292" spans="5:5" x14ac:dyDescent="0.25">
      <c r="E5292"/>
    </row>
    <row r="5293" spans="5:5" x14ac:dyDescent="0.25">
      <c r="E5293"/>
    </row>
    <row r="5294" spans="5:5" x14ac:dyDescent="0.25">
      <c r="E5294"/>
    </row>
    <row r="5295" spans="5:5" x14ac:dyDescent="0.25">
      <c r="E5295"/>
    </row>
    <row r="5296" spans="5:5" x14ac:dyDescent="0.25">
      <c r="E5296"/>
    </row>
    <row r="5297" spans="5:5" x14ac:dyDescent="0.25">
      <c r="E5297"/>
    </row>
    <row r="5298" spans="5:5" x14ac:dyDescent="0.25">
      <c r="E5298"/>
    </row>
    <row r="5299" spans="5:5" x14ac:dyDescent="0.25">
      <c r="E5299"/>
    </row>
    <row r="5300" spans="5:5" x14ac:dyDescent="0.25">
      <c r="E5300"/>
    </row>
    <row r="5301" spans="5:5" x14ac:dyDescent="0.25">
      <c r="E5301"/>
    </row>
    <row r="5302" spans="5:5" x14ac:dyDescent="0.25">
      <c r="E5302"/>
    </row>
    <row r="5303" spans="5:5" x14ac:dyDescent="0.25">
      <c r="E5303"/>
    </row>
    <row r="5304" spans="5:5" x14ac:dyDescent="0.25">
      <c r="E5304"/>
    </row>
    <row r="5305" spans="5:5" x14ac:dyDescent="0.25">
      <c r="E5305"/>
    </row>
    <row r="5306" spans="5:5" x14ac:dyDescent="0.25">
      <c r="E5306"/>
    </row>
    <row r="5307" spans="5:5" x14ac:dyDescent="0.25">
      <c r="E5307"/>
    </row>
    <row r="5308" spans="5:5" x14ac:dyDescent="0.25">
      <c r="E5308"/>
    </row>
    <row r="5309" spans="5:5" x14ac:dyDescent="0.25">
      <c r="E5309"/>
    </row>
    <row r="5310" spans="5:5" x14ac:dyDescent="0.25">
      <c r="E5310"/>
    </row>
    <row r="5311" spans="5:5" x14ac:dyDescent="0.25">
      <c r="E5311"/>
    </row>
    <row r="5312" spans="5:5" x14ac:dyDescent="0.25">
      <c r="E5312"/>
    </row>
    <row r="5313" spans="5:5" x14ac:dyDescent="0.25">
      <c r="E5313"/>
    </row>
    <row r="5314" spans="5:5" x14ac:dyDescent="0.25">
      <c r="E5314"/>
    </row>
    <row r="5315" spans="5:5" x14ac:dyDescent="0.25">
      <c r="E5315"/>
    </row>
    <row r="5316" spans="5:5" x14ac:dyDescent="0.25">
      <c r="E5316"/>
    </row>
    <row r="5317" spans="5:5" x14ac:dyDescent="0.25">
      <c r="E5317"/>
    </row>
    <row r="5318" spans="5:5" x14ac:dyDescent="0.25">
      <c r="E5318"/>
    </row>
    <row r="5319" spans="5:5" x14ac:dyDescent="0.25">
      <c r="E5319"/>
    </row>
    <row r="5320" spans="5:5" x14ac:dyDescent="0.25">
      <c r="E5320"/>
    </row>
    <row r="5321" spans="5:5" x14ac:dyDescent="0.25">
      <c r="E5321"/>
    </row>
    <row r="5322" spans="5:5" x14ac:dyDescent="0.25">
      <c r="E5322"/>
    </row>
    <row r="5323" spans="5:5" x14ac:dyDescent="0.25">
      <c r="E5323"/>
    </row>
    <row r="5324" spans="5:5" x14ac:dyDescent="0.25">
      <c r="E5324"/>
    </row>
    <row r="5325" spans="5:5" x14ac:dyDescent="0.25">
      <c r="E5325"/>
    </row>
    <row r="5326" spans="5:5" x14ac:dyDescent="0.25">
      <c r="E5326"/>
    </row>
    <row r="5327" spans="5:5" x14ac:dyDescent="0.25">
      <c r="E5327"/>
    </row>
    <row r="5328" spans="5:5" x14ac:dyDescent="0.25">
      <c r="E5328"/>
    </row>
    <row r="5329" spans="5:5" x14ac:dyDescent="0.25">
      <c r="E5329"/>
    </row>
    <row r="5330" spans="5:5" x14ac:dyDescent="0.25">
      <c r="E5330"/>
    </row>
    <row r="5331" spans="5:5" x14ac:dyDescent="0.25">
      <c r="E5331"/>
    </row>
    <row r="5332" spans="5:5" x14ac:dyDescent="0.25">
      <c r="E5332"/>
    </row>
    <row r="5333" spans="5:5" x14ac:dyDescent="0.25">
      <c r="E5333"/>
    </row>
    <row r="5334" spans="5:5" x14ac:dyDescent="0.25">
      <c r="E5334"/>
    </row>
    <row r="5335" spans="5:5" x14ac:dyDescent="0.25">
      <c r="E5335"/>
    </row>
    <row r="5336" spans="5:5" x14ac:dyDescent="0.25">
      <c r="E5336"/>
    </row>
    <row r="5337" spans="5:5" x14ac:dyDescent="0.25">
      <c r="E5337"/>
    </row>
    <row r="5338" spans="5:5" x14ac:dyDescent="0.25">
      <c r="E5338"/>
    </row>
    <row r="5339" spans="5:5" x14ac:dyDescent="0.25">
      <c r="E5339"/>
    </row>
    <row r="5340" spans="5:5" x14ac:dyDescent="0.25">
      <c r="E5340"/>
    </row>
    <row r="5341" spans="5:5" x14ac:dyDescent="0.25">
      <c r="E5341"/>
    </row>
    <row r="5342" spans="5:5" x14ac:dyDescent="0.25">
      <c r="E5342"/>
    </row>
    <row r="5343" spans="5:5" x14ac:dyDescent="0.25">
      <c r="E5343"/>
    </row>
    <row r="5344" spans="5:5" x14ac:dyDescent="0.25">
      <c r="E5344"/>
    </row>
    <row r="5345" spans="5:5" x14ac:dyDescent="0.25">
      <c r="E5345"/>
    </row>
    <row r="5346" spans="5:5" x14ac:dyDescent="0.25">
      <c r="E5346"/>
    </row>
    <row r="5347" spans="5:5" x14ac:dyDescent="0.25">
      <c r="E5347"/>
    </row>
    <row r="5348" spans="5:5" x14ac:dyDescent="0.25">
      <c r="E5348"/>
    </row>
    <row r="5349" spans="5:5" x14ac:dyDescent="0.25">
      <c r="E5349"/>
    </row>
    <row r="5350" spans="5:5" x14ac:dyDescent="0.25">
      <c r="E5350"/>
    </row>
    <row r="5351" spans="5:5" x14ac:dyDescent="0.25">
      <c r="E5351"/>
    </row>
    <row r="5352" spans="5:5" x14ac:dyDescent="0.25">
      <c r="E5352"/>
    </row>
    <row r="5353" spans="5:5" x14ac:dyDescent="0.25">
      <c r="E5353"/>
    </row>
    <row r="5354" spans="5:5" x14ac:dyDescent="0.25">
      <c r="E5354"/>
    </row>
    <row r="5355" spans="5:5" x14ac:dyDescent="0.25">
      <c r="E5355"/>
    </row>
    <row r="5356" spans="5:5" x14ac:dyDescent="0.25">
      <c r="E5356"/>
    </row>
    <row r="5357" spans="5:5" x14ac:dyDescent="0.25">
      <c r="E5357"/>
    </row>
    <row r="5358" spans="5:5" x14ac:dyDescent="0.25">
      <c r="E5358"/>
    </row>
    <row r="5359" spans="5:5" x14ac:dyDescent="0.25">
      <c r="E5359"/>
    </row>
    <row r="5360" spans="5:5" x14ac:dyDescent="0.25">
      <c r="E5360"/>
    </row>
    <row r="5361" spans="5:5" x14ac:dyDescent="0.25">
      <c r="E5361"/>
    </row>
    <row r="5362" spans="5:5" x14ac:dyDescent="0.25">
      <c r="E5362"/>
    </row>
    <row r="5363" spans="5:5" x14ac:dyDescent="0.25">
      <c r="E5363"/>
    </row>
    <row r="5364" spans="5:5" x14ac:dyDescent="0.25">
      <c r="E5364"/>
    </row>
    <row r="5365" spans="5:5" x14ac:dyDescent="0.25">
      <c r="E5365"/>
    </row>
    <row r="5366" spans="5:5" x14ac:dyDescent="0.25">
      <c r="E5366"/>
    </row>
    <row r="5367" spans="5:5" x14ac:dyDescent="0.25">
      <c r="E5367"/>
    </row>
    <row r="5368" spans="5:5" x14ac:dyDescent="0.25">
      <c r="E5368"/>
    </row>
    <row r="5369" spans="5:5" x14ac:dyDescent="0.25">
      <c r="E5369"/>
    </row>
    <row r="5370" spans="5:5" x14ac:dyDescent="0.25">
      <c r="E5370"/>
    </row>
    <row r="5371" spans="5:5" x14ac:dyDescent="0.25">
      <c r="E5371"/>
    </row>
    <row r="5372" spans="5:5" x14ac:dyDescent="0.25">
      <c r="E5372"/>
    </row>
    <row r="5373" spans="5:5" x14ac:dyDescent="0.25">
      <c r="E5373"/>
    </row>
    <row r="5374" spans="5:5" x14ac:dyDescent="0.25">
      <c r="E5374"/>
    </row>
    <row r="5375" spans="5:5" x14ac:dyDescent="0.25">
      <c r="E5375"/>
    </row>
    <row r="5376" spans="5:5" x14ac:dyDescent="0.25">
      <c r="E5376"/>
    </row>
    <row r="5377" spans="5:5" x14ac:dyDescent="0.25">
      <c r="E5377"/>
    </row>
    <row r="5378" spans="5:5" x14ac:dyDescent="0.25">
      <c r="E5378"/>
    </row>
    <row r="5379" spans="5:5" x14ac:dyDescent="0.25">
      <c r="E5379"/>
    </row>
    <row r="5380" spans="5:5" x14ac:dyDescent="0.25">
      <c r="E5380"/>
    </row>
    <row r="5381" spans="5:5" x14ac:dyDescent="0.25">
      <c r="E5381"/>
    </row>
    <row r="5382" spans="5:5" x14ac:dyDescent="0.25">
      <c r="E5382"/>
    </row>
    <row r="5383" spans="5:5" x14ac:dyDescent="0.25">
      <c r="E5383"/>
    </row>
    <row r="5384" spans="5:5" x14ac:dyDescent="0.25">
      <c r="E5384"/>
    </row>
    <row r="5385" spans="5:5" x14ac:dyDescent="0.25">
      <c r="E5385"/>
    </row>
    <row r="5386" spans="5:5" x14ac:dyDescent="0.25">
      <c r="E5386"/>
    </row>
    <row r="5387" spans="5:5" x14ac:dyDescent="0.25">
      <c r="E5387"/>
    </row>
    <row r="5388" spans="5:5" x14ac:dyDescent="0.25">
      <c r="E5388"/>
    </row>
    <row r="5389" spans="5:5" x14ac:dyDescent="0.25">
      <c r="E5389"/>
    </row>
    <row r="5390" spans="5:5" x14ac:dyDescent="0.25">
      <c r="E5390"/>
    </row>
    <row r="5391" spans="5:5" x14ac:dyDescent="0.25">
      <c r="E5391"/>
    </row>
    <row r="5392" spans="5:5" x14ac:dyDescent="0.25">
      <c r="E5392"/>
    </row>
    <row r="5393" spans="5:5" x14ac:dyDescent="0.25">
      <c r="E5393"/>
    </row>
    <row r="5394" spans="5:5" x14ac:dyDescent="0.25">
      <c r="E5394"/>
    </row>
    <row r="5395" spans="5:5" x14ac:dyDescent="0.25">
      <c r="E5395"/>
    </row>
    <row r="5396" spans="5:5" x14ac:dyDescent="0.25">
      <c r="E5396"/>
    </row>
    <row r="5397" spans="5:5" x14ac:dyDescent="0.25">
      <c r="E5397"/>
    </row>
    <row r="5398" spans="5:5" x14ac:dyDescent="0.25">
      <c r="E5398"/>
    </row>
    <row r="5399" spans="5:5" x14ac:dyDescent="0.25">
      <c r="E5399"/>
    </row>
    <row r="5400" spans="5:5" x14ac:dyDescent="0.25">
      <c r="E5400"/>
    </row>
    <row r="5401" spans="5:5" x14ac:dyDescent="0.25">
      <c r="E5401"/>
    </row>
    <row r="5402" spans="5:5" x14ac:dyDescent="0.25">
      <c r="E5402"/>
    </row>
    <row r="5403" spans="5:5" x14ac:dyDescent="0.25">
      <c r="E5403"/>
    </row>
    <row r="5404" spans="5:5" x14ac:dyDescent="0.25">
      <c r="E5404"/>
    </row>
    <row r="5405" spans="5:5" x14ac:dyDescent="0.25">
      <c r="E5405"/>
    </row>
    <row r="5406" spans="5:5" x14ac:dyDescent="0.25">
      <c r="E5406"/>
    </row>
    <row r="5407" spans="5:5" x14ac:dyDescent="0.25">
      <c r="E5407"/>
    </row>
    <row r="5408" spans="5:5" x14ac:dyDescent="0.25">
      <c r="E5408"/>
    </row>
    <row r="5409" spans="5:5" x14ac:dyDescent="0.25">
      <c r="E5409"/>
    </row>
    <row r="5410" spans="5:5" x14ac:dyDescent="0.25">
      <c r="E5410"/>
    </row>
    <row r="5411" spans="5:5" x14ac:dyDescent="0.25">
      <c r="E5411"/>
    </row>
    <row r="5412" spans="5:5" x14ac:dyDescent="0.25">
      <c r="E5412"/>
    </row>
    <row r="5413" spans="5:5" x14ac:dyDescent="0.25">
      <c r="E5413"/>
    </row>
    <row r="5414" spans="5:5" x14ac:dyDescent="0.25">
      <c r="E5414"/>
    </row>
    <row r="5415" spans="5:5" x14ac:dyDescent="0.25">
      <c r="E5415"/>
    </row>
    <row r="5416" spans="5:5" x14ac:dyDescent="0.25">
      <c r="E5416"/>
    </row>
    <row r="5417" spans="5:5" x14ac:dyDescent="0.25">
      <c r="E5417"/>
    </row>
    <row r="5418" spans="5:5" x14ac:dyDescent="0.25">
      <c r="E5418"/>
    </row>
    <row r="5419" spans="5:5" x14ac:dyDescent="0.25">
      <c r="E5419"/>
    </row>
    <row r="5420" spans="5:5" x14ac:dyDescent="0.25">
      <c r="E5420"/>
    </row>
    <row r="5421" spans="5:5" x14ac:dyDescent="0.25">
      <c r="E5421"/>
    </row>
    <row r="5422" spans="5:5" x14ac:dyDescent="0.25">
      <c r="E5422"/>
    </row>
    <row r="5423" spans="5:5" x14ac:dyDescent="0.25">
      <c r="E5423"/>
    </row>
    <row r="5424" spans="5:5" x14ac:dyDescent="0.25">
      <c r="E5424"/>
    </row>
    <row r="5425" spans="5:5" x14ac:dyDescent="0.25">
      <c r="E5425"/>
    </row>
    <row r="5426" spans="5:5" x14ac:dyDescent="0.25">
      <c r="E5426"/>
    </row>
    <row r="5427" spans="5:5" x14ac:dyDescent="0.25">
      <c r="E5427"/>
    </row>
    <row r="5428" spans="5:5" x14ac:dyDescent="0.25">
      <c r="E5428"/>
    </row>
    <row r="5429" spans="5:5" x14ac:dyDescent="0.25">
      <c r="E5429"/>
    </row>
    <row r="5430" spans="5:5" x14ac:dyDescent="0.25">
      <c r="E5430"/>
    </row>
    <row r="5431" spans="5:5" x14ac:dyDescent="0.25">
      <c r="E5431"/>
    </row>
    <row r="5432" spans="5:5" x14ac:dyDescent="0.25">
      <c r="E5432"/>
    </row>
    <row r="5433" spans="5:5" x14ac:dyDescent="0.25">
      <c r="E5433"/>
    </row>
    <row r="5434" spans="5:5" x14ac:dyDescent="0.25">
      <c r="E5434"/>
    </row>
    <row r="5435" spans="5:5" x14ac:dyDescent="0.25">
      <c r="E5435"/>
    </row>
    <row r="5436" spans="5:5" x14ac:dyDescent="0.25">
      <c r="E5436"/>
    </row>
    <row r="5437" spans="5:5" x14ac:dyDescent="0.25">
      <c r="E5437"/>
    </row>
    <row r="5438" spans="5:5" x14ac:dyDescent="0.25">
      <c r="E5438"/>
    </row>
    <row r="5439" spans="5:5" x14ac:dyDescent="0.25">
      <c r="E5439"/>
    </row>
    <row r="5440" spans="5:5" x14ac:dyDescent="0.25">
      <c r="E5440"/>
    </row>
    <row r="5441" spans="5:5" x14ac:dyDescent="0.25">
      <c r="E5441"/>
    </row>
    <row r="5442" spans="5:5" x14ac:dyDescent="0.25">
      <c r="E5442"/>
    </row>
    <row r="5443" spans="5:5" x14ac:dyDescent="0.25">
      <c r="E5443"/>
    </row>
    <row r="5444" spans="5:5" x14ac:dyDescent="0.25">
      <c r="E5444"/>
    </row>
    <row r="5445" spans="5:5" x14ac:dyDescent="0.25">
      <c r="E5445"/>
    </row>
    <row r="5446" spans="5:5" x14ac:dyDescent="0.25">
      <c r="E5446"/>
    </row>
    <row r="5447" spans="5:5" x14ac:dyDescent="0.25">
      <c r="E5447"/>
    </row>
    <row r="5448" spans="5:5" x14ac:dyDescent="0.25">
      <c r="E5448"/>
    </row>
    <row r="5449" spans="5:5" x14ac:dyDescent="0.25">
      <c r="E5449"/>
    </row>
    <row r="5450" spans="5:5" x14ac:dyDescent="0.25">
      <c r="E5450"/>
    </row>
    <row r="5451" spans="5:5" x14ac:dyDescent="0.25">
      <c r="E5451"/>
    </row>
    <row r="5452" spans="5:5" x14ac:dyDescent="0.25">
      <c r="E5452"/>
    </row>
    <row r="5453" spans="5:5" x14ac:dyDescent="0.25">
      <c r="E5453"/>
    </row>
    <row r="5454" spans="5:5" x14ac:dyDescent="0.25">
      <c r="E5454"/>
    </row>
    <row r="5455" spans="5:5" x14ac:dyDescent="0.25">
      <c r="E5455"/>
    </row>
    <row r="5456" spans="5:5" x14ac:dyDescent="0.25">
      <c r="E5456"/>
    </row>
    <row r="5457" spans="5:5" x14ac:dyDescent="0.25">
      <c r="E5457"/>
    </row>
    <row r="5458" spans="5:5" x14ac:dyDescent="0.25">
      <c r="E5458"/>
    </row>
    <row r="5459" spans="5:5" x14ac:dyDescent="0.25">
      <c r="E5459"/>
    </row>
    <row r="5460" spans="5:5" x14ac:dyDescent="0.25">
      <c r="E5460"/>
    </row>
    <row r="5461" spans="5:5" x14ac:dyDescent="0.25">
      <c r="E5461"/>
    </row>
    <row r="5462" spans="5:5" x14ac:dyDescent="0.25">
      <c r="E5462"/>
    </row>
    <row r="5463" spans="5:5" x14ac:dyDescent="0.25">
      <c r="E5463"/>
    </row>
    <row r="5464" spans="5:5" x14ac:dyDescent="0.25">
      <c r="E5464"/>
    </row>
    <row r="5465" spans="5:5" x14ac:dyDescent="0.25">
      <c r="E5465"/>
    </row>
    <row r="5466" spans="5:5" x14ac:dyDescent="0.25">
      <c r="E5466"/>
    </row>
    <row r="5467" spans="5:5" x14ac:dyDescent="0.25">
      <c r="E5467"/>
    </row>
    <row r="5468" spans="5:5" x14ac:dyDescent="0.25">
      <c r="E5468"/>
    </row>
    <row r="5469" spans="5:5" x14ac:dyDescent="0.25">
      <c r="E5469"/>
    </row>
    <row r="5470" spans="5:5" x14ac:dyDescent="0.25">
      <c r="E5470"/>
    </row>
    <row r="5471" spans="5:5" x14ac:dyDescent="0.25">
      <c r="E5471"/>
    </row>
    <row r="5472" spans="5:5" x14ac:dyDescent="0.25">
      <c r="E5472"/>
    </row>
    <row r="5473" spans="5:5" x14ac:dyDescent="0.25">
      <c r="E5473"/>
    </row>
    <row r="5474" spans="5:5" x14ac:dyDescent="0.25">
      <c r="E5474"/>
    </row>
    <row r="5475" spans="5:5" x14ac:dyDescent="0.25">
      <c r="E5475"/>
    </row>
    <row r="5476" spans="5:5" x14ac:dyDescent="0.25">
      <c r="E5476"/>
    </row>
    <row r="5477" spans="5:5" x14ac:dyDescent="0.25">
      <c r="E5477"/>
    </row>
    <row r="5478" spans="5:5" x14ac:dyDescent="0.25">
      <c r="E5478"/>
    </row>
    <row r="5479" spans="5:5" x14ac:dyDescent="0.25">
      <c r="E5479"/>
    </row>
    <row r="5480" spans="5:5" x14ac:dyDescent="0.25">
      <c r="E5480"/>
    </row>
    <row r="5481" spans="5:5" x14ac:dyDescent="0.25">
      <c r="E5481"/>
    </row>
    <row r="5482" spans="5:5" x14ac:dyDescent="0.25">
      <c r="E5482"/>
    </row>
    <row r="5483" spans="5:5" x14ac:dyDescent="0.25">
      <c r="E5483"/>
    </row>
    <row r="5484" spans="5:5" x14ac:dyDescent="0.25">
      <c r="E5484"/>
    </row>
    <row r="5485" spans="5:5" x14ac:dyDescent="0.25">
      <c r="E5485"/>
    </row>
    <row r="5486" spans="5:5" x14ac:dyDescent="0.25">
      <c r="E5486"/>
    </row>
    <row r="5487" spans="5:5" x14ac:dyDescent="0.25">
      <c r="E5487"/>
    </row>
    <row r="5488" spans="5:5" x14ac:dyDescent="0.25">
      <c r="E5488"/>
    </row>
    <row r="5489" spans="5:5" x14ac:dyDescent="0.25">
      <c r="E5489"/>
    </row>
    <row r="5490" spans="5:5" x14ac:dyDescent="0.25">
      <c r="E5490"/>
    </row>
    <row r="5491" spans="5:5" x14ac:dyDescent="0.25">
      <c r="E5491"/>
    </row>
    <row r="5492" spans="5:5" x14ac:dyDescent="0.25">
      <c r="E5492"/>
    </row>
    <row r="5493" spans="5:5" x14ac:dyDescent="0.25">
      <c r="E5493"/>
    </row>
    <row r="5494" spans="5:5" x14ac:dyDescent="0.25">
      <c r="E5494"/>
    </row>
    <row r="5495" spans="5:5" x14ac:dyDescent="0.25">
      <c r="E5495"/>
    </row>
    <row r="5496" spans="5:5" x14ac:dyDescent="0.25">
      <c r="E5496"/>
    </row>
    <row r="5497" spans="5:5" x14ac:dyDescent="0.25">
      <c r="E5497"/>
    </row>
    <row r="5498" spans="5:5" x14ac:dyDescent="0.25">
      <c r="E5498"/>
    </row>
    <row r="5499" spans="5:5" x14ac:dyDescent="0.25">
      <c r="E5499"/>
    </row>
    <row r="5500" spans="5:5" x14ac:dyDescent="0.25">
      <c r="E5500"/>
    </row>
    <row r="5501" spans="5:5" x14ac:dyDescent="0.25">
      <c r="E5501"/>
    </row>
    <row r="5502" spans="5:5" x14ac:dyDescent="0.25">
      <c r="E5502"/>
    </row>
    <row r="5503" spans="5:5" x14ac:dyDescent="0.25">
      <c r="E5503"/>
    </row>
    <row r="5504" spans="5:5" x14ac:dyDescent="0.25">
      <c r="E5504"/>
    </row>
    <row r="5505" spans="5:5" x14ac:dyDescent="0.25">
      <c r="E5505"/>
    </row>
    <row r="5506" spans="5:5" x14ac:dyDescent="0.25">
      <c r="E5506"/>
    </row>
    <row r="5507" spans="5:5" x14ac:dyDescent="0.25">
      <c r="E5507"/>
    </row>
    <row r="5508" spans="5:5" x14ac:dyDescent="0.25">
      <c r="E5508"/>
    </row>
    <row r="5509" spans="5:5" x14ac:dyDescent="0.25">
      <c r="E5509"/>
    </row>
    <row r="5510" spans="5:5" x14ac:dyDescent="0.25">
      <c r="E5510"/>
    </row>
    <row r="5511" spans="5:5" x14ac:dyDescent="0.25">
      <c r="E5511"/>
    </row>
    <row r="5512" spans="5:5" x14ac:dyDescent="0.25">
      <c r="E5512"/>
    </row>
    <row r="5513" spans="5:5" x14ac:dyDescent="0.25">
      <c r="E5513"/>
    </row>
    <row r="5514" spans="5:5" x14ac:dyDescent="0.25">
      <c r="E5514"/>
    </row>
    <row r="5515" spans="5:5" x14ac:dyDescent="0.25">
      <c r="E5515"/>
    </row>
    <row r="5516" spans="5:5" x14ac:dyDescent="0.25">
      <c r="E5516"/>
    </row>
    <row r="5517" spans="5:5" x14ac:dyDescent="0.25">
      <c r="E5517"/>
    </row>
    <row r="5518" spans="5:5" x14ac:dyDescent="0.25">
      <c r="E5518"/>
    </row>
    <row r="5519" spans="5:5" x14ac:dyDescent="0.25">
      <c r="E5519"/>
    </row>
    <row r="5520" spans="5:5" x14ac:dyDescent="0.25">
      <c r="E5520"/>
    </row>
    <row r="5521" spans="5:5" x14ac:dyDescent="0.25">
      <c r="E5521"/>
    </row>
    <row r="5522" spans="5:5" x14ac:dyDescent="0.25">
      <c r="E5522"/>
    </row>
    <row r="5523" spans="5:5" x14ac:dyDescent="0.25">
      <c r="E5523"/>
    </row>
    <row r="5524" spans="5:5" x14ac:dyDescent="0.25">
      <c r="E5524"/>
    </row>
    <row r="5525" spans="5:5" x14ac:dyDescent="0.25">
      <c r="E5525"/>
    </row>
    <row r="5526" spans="5:5" x14ac:dyDescent="0.25">
      <c r="E5526"/>
    </row>
    <row r="5527" spans="5:5" x14ac:dyDescent="0.25">
      <c r="E5527"/>
    </row>
    <row r="5528" spans="5:5" x14ac:dyDescent="0.25">
      <c r="E5528"/>
    </row>
    <row r="5529" spans="5:5" x14ac:dyDescent="0.25">
      <c r="E5529"/>
    </row>
    <row r="5530" spans="5:5" x14ac:dyDescent="0.25">
      <c r="E5530"/>
    </row>
    <row r="5531" spans="5:5" x14ac:dyDescent="0.25">
      <c r="E5531"/>
    </row>
    <row r="5532" spans="5:5" x14ac:dyDescent="0.25">
      <c r="E5532"/>
    </row>
    <row r="5533" spans="5:5" x14ac:dyDescent="0.25">
      <c r="E5533"/>
    </row>
    <row r="5534" spans="5:5" x14ac:dyDescent="0.25">
      <c r="E5534"/>
    </row>
    <row r="5535" spans="5:5" x14ac:dyDescent="0.25">
      <c r="E5535"/>
    </row>
    <row r="5536" spans="5:5" x14ac:dyDescent="0.25">
      <c r="E5536"/>
    </row>
    <row r="5537" spans="5:5" x14ac:dyDescent="0.25">
      <c r="E5537"/>
    </row>
    <row r="5538" spans="5:5" x14ac:dyDescent="0.25">
      <c r="E5538"/>
    </row>
    <row r="5539" spans="5:5" x14ac:dyDescent="0.25">
      <c r="E5539"/>
    </row>
    <row r="5540" spans="5:5" x14ac:dyDescent="0.25">
      <c r="E5540"/>
    </row>
    <row r="5541" spans="5:5" x14ac:dyDescent="0.25">
      <c r="E5541"/>
    </row>
    <row r="5542" spans="5:5" x14ac:dyDescent="0.25">
      <c r="E5542"/>
    </row>
    <row r="5543" spans="5:5" x14ac:dyDescent="0.25">
      <c r="E5543"/>
    </row>
    <row r="5544" spans="5:5" x14ac:dyDescent="0.25">
      <c r="E5544"/>
    </row>
    <row r="5545" spans="5:5" x14ac:dyDescent="0.25">
      <c r="E5545"/>
    </row>
    <row r="5546" spans="5:5" x14ac:dyDescent="0.25">
      <c r="E5546"/>
    </row>
    <row r="5547" spans="5:5" x14ac:dyDescent="0.25">
      <c r="E5547"/>
    </row>
    <row r="5548" spans="5:5" x14ac:dyDescent="0.25">
      <c r="E5548"/>
    </row>
    <row r="5549" spans="5:5" x14ac:dyDescent="0.25">
      <c r="E5549"/>
    </row>
    <row r="5550" spans="5:5" x14ac:dyDescent="0.25">
      <c r="E5550"/>
    </row>
    <row r="5551" spans="5:5" x14ac:dyDescent="0.25">
      <c r="E5551"/>
    </row>
    <row r="5552" spans="5:5" x14ac:dyDescent="0.25">
      <c r="E5552"/>
    </row>
    <row r="5553" spans="5:5" x14ac:dyDescent="0.25">
      <c r="E5553"/>
    </row>
    <row r="5554" spans="5:5" x14ac:dyDescent="0.25">
      <c r="E5554"/>
    </row>
    <row r="5555" spans="5:5" x14ac:dyDescent="0.25">
      <c r="E5555"/>
    </row>
    <row r="5556" spans="5:5" x14ac:dyDescent="0.25">
      <c r="E5556"/>
    </row>
    <row r="5557" spans="5:5" x14ac:dyDescent="0.25">
      <c r="E5557"/>
    </row>
    <row r="5558" spans="5:5" x14ac:dyDescent="0.25">
      <c r="E5558"/>
    </row>
    <row r="5559" spans="5:5" x14ac:dyDescent="0.25">
      <c r="E5559"/>
    </row>
    <row r="5560" spans="5:5" x14ac:dyDescent="0.25">
      <c r="E5560"/>
    </row>
    <row r="5561" spans="5:5" x14ac:dyDescent="0.25">
      <c r="E5561"/>
    </row>
    <row r="5562" spans="5:5" x14ac:dyDescent="0.25">
      <c r="E5562"/>
    </row>
    <row r="5563" spans="5:5" x14ac:dyDescent="0.25">
      <c r="E5563"/>
    </row>
    <row r="5564" spans="5:5" x14ac:dyDescent="0.25">
      <c r="E5564"/>
    </row>
    <row r="5565" spans="5:5" x14ac:dyDescent="0.25">
      <c r="E5565"/>
    </row>
    <row r="5566" spans="5:5" x14ac:dyDescent="0.25">
      <c r="E5566"/>
    </row>
    <row r="5567" spans="5:5" x14ac:dyDescent="0.25">
      <c r="E5567"/>
    </row>
    <row r="5568" spans="5:5" x14ac:dyDescent="0.25">
      <c r="E5568"/>
    </row>
    <row r="5569" spans="5:5" x14ac:dyDescent="0.25">
      <c r="E5569"/>
    </row>
    <row r="5570" spans="5:5" x14ac:dyDescent="0.25">
      <c r="E5570"/>
    </row>
    <row r="5571" spans="5:5" x14ac:dyDescent="0.25">
      <c r="E5571"/>
    </row>
    <row r="5572" spans="5:5" x14ac:dyDescent="0.25">
      <c r="E5572"/>
    </row>
    <row r="5573" spans="5:5" x14ac:dyDescent="0.25">
      <c r="E5573"/>
    </row>
    <row r="5574" spans="5:5" x14ac:dyDescent="0.25">
      <c r="E5574"/>
    </row>
    <row r="5575" spans="5:5" x14ac:dyDescent="0.25">
      <c r="E5575"/>
    </row>
    <row r="5576" spans="5:5" x14ac:dyDescent="0.25">
      <c r="E5576"/>
    </row>
    <row r="5577" spans="5:5" x14ac:dyDescent="0.25">
      <c r="E5577"/>
    </row>
    <row r="5578" spans="5:5" x14ac:dyDescent="0.25">
      <c r="E5578"/>
    </row>
    <row r="5579" spans="5:5" x14ac:dyDescent="0.25">
      <c r="E5579"/>
    </row>
    <row r="5580" spans="5:5" x14ac:dyDescent="0.25">
      <c r="E5580"/>
    </row>
    <row r="5581" spans="5:5" x14ac:dyDescent="0.25">
      <c r="E5581"/>
    </row>
    <row r="5582" spans="5:5" x14ac:dyDescent="0.25">
      <c r="E5582"/>
    </row>
    <row r="5583" spans="5:5" x14ac:dyDescent="0.25">
      <c r="E5583"/>
    </row>
    <row r="5584" spans="5:5" x14ac:dyDescent="0.25">
      <c r="E5584"/>
    </row>
    <row r="5585" spans="5:5" x14ac:dyDescent="0.25">
      <c r="E5585"/>
    </row>
    <row r="5586" spans="5:5" x14ac:dyDescent="0.25">
      <c r="E5586"/>
    </row>
    <row r="5587" spans="5:5" x14ac:dyDescent="0.25">
      <c r="E5587"/>
    </row>
    <row r="5588" spans="5:5" x14ac:dyDescent="0.25">
      <c r="E5588"/>
    </row>
    <row r="5589" spans="5:5" x14ac:dyDescent="0.25">
      <c r="E5589"/>
    </row>
    <row r="5590" spans="5:5" x14ac:dyDescent="0.25">
      <c r="E5590"/>
    </row>
    <row r="5591" spans="5:5" x14ac:dyDescent="0.25">
      <c r="E5591"/>
    </row>
    <row r="5592" spans="5:5" x14ac:dyDescent="0.25">
      <c r="E5592"/>
    </row>
    <row r="5593" spans="5:5" x14ac:dyDescent="0.25">
      <c r="E5593"/>
    </row>
    <row r="5594" spans="5:5" x14ac:dyDescent="0.25">
      <c r="E5594"/>
    </row>
    <row r="5595" spans="5:5" x14ac:dyDescent="0.25">
      <c r="E5595"/>
    </row>
    <row r="5596" spans="5:5" x14ac:dyDescent="0.25">
      <c r="E5596"/>
    </row>
    <row r="5597" spans="5:5" x14ac:dyDescent="0.25">
      <c r="E5597"/>
    </row>
    <row r="5598" spans="5:5" x14ac:dyDescent="0.25">
      <c r="E5598"/>
    </row>
    <row r="5599" spans="5:5" x14ac:dyDescent="0.25">
      <c r="E5599"/>
    </row>
    <row r="5600" spans="5:5" x14ac:dyDescent="0.25">
      <c r="E5600"/>
    </row>
    <row r="5601" spans="5:5" x14ac:dyDescent="0.25">
      <c r="E5601"/>
    </row>
    <row r="5602" spans="5:5" x14ac:dyDescent="0.25">
      <c r="E5602"/>
    </row>
    <row r="5603" spans="5:5" x14ac:dyDescent="0.25">
      <c r="E5603"/>
    </row>
    <row r="5604" spans="5:5" x14ac:dyDescent="0.25">
      <c r="E5604"/>
    </row>
    <row r="5605" spans="5:5" x14ac:dyDescent="0.25">
      <c r="E5605"/>
    </row>
    <row r="5606" spans="5:5" x14ac:dyDescent="0.25">
      <c r="E5606"/>
    </row>
    <row r="5607" spans="5:5" x14ac:dyDescent="0.25">
      <c r="E5607"/>
    </row>
    <row r="5608" spans="5:5" x14ac:dyDescent="0.25">
      <c r="E5608"/>
    </row>
    <row r="5609" spans="5:5" x14ac:dyDescent="0.25">
      <c r="E5609"/>
    </row>
    <row r="5610" spans="5:5" x14ac:dyDescent="0.25">
      <c r="E5610"/>
    </row>
    <row r="5611" spans="5:5" x14ac:dyDescent="0.25">
      <c r="E5611"/>
    </row>
    <row r="5612" spans="5:5" x14ac:dyDescent="0.25">
      <c r="E5612"/>
    </row>
    <row r="5613" spans="5:5" x14ac:dyDescent="0.25">
      <c r="E5613"/>
    </row>
    <row r="5614" spans="5:5" x14ac:dyDescent="0.25">
      <c r="E5614"/>
    </row>
    <row r="5615" spans="5:5" x14ac:dyDescent="0.25">
      <c r="E5615"/>
    </row>
    <row r="5616" spans="5:5" x14ac:dyDescent="0.25">
      <c r="E5616"/>
    </row>
    <row r="5617" spans="5:5" x14ac:dyDescent="0.25">
      <c r="E5617"/>
    </row>
    <row r="5618" spans="5:5" x14ac:dyDescent="0.25">
      <c r="E5618"/>
    </row>
    <row r="5619" spans="5:5" x14ac:dyDescent="0.25">
      <c r="E5619"/>
    </row>
    <row r="5620" spans="5:5" x14ac:dyDescent="0.25">
      <c r="E5620"/>
    </row>
    <row r="5621" spans="5:5" x14ac:dyDescent="0.25">
      <c r="E5621"/>
    </row>
    <row r="5622" spans="5:5" x14ac:dyDescent="0.25">
      <c r="E5622"/>
    </row>
    <row r="5623" spans="5:5" x14ac:dyDescent="0.25">
      <c r="E5623"/>
    </row>
    <row r="5624" spans="5:5" x14ac:dyDescent="0.25">
      <c r="E5624"/>
    </row>
    <row r="5625" spans="5:5" x14ac:dyDescent="0.25">
      <c r="E5625"/>
    </row>
    <row r="5626" spans="5:5" x14ac:dyDescent="0.25">
      <c r="E5626"/>
    </row>
    <row r="5627" spans="5:5" x14ac:dyDescent="0.25">
      <c r="E5627"/>
    </row>
    <row r="5628" spans="5:5" x14ac:dyDescent="0.25">
      <c r="E5628"/>
    </row>
    <row r="5629" spans="5:5" x14ac:dyDescent="0.25">
      <c r="E5629"/>
    </row>
    <row r="5630" spans="5:5" x14ac:dyDescent="0.25">
      <c r="E5630"/>
    </row>
    <row r="5631" spans="5:5" x14ac:dyDescent="0.25">
      <c r="E5631"/>
    </row>
    <row r="5632" spans="5:5" x14ac:dyDescent="0.25">
      <c r="E5632"/>
    </row>
    <row r="5633" spans="5:5" x14ac:dyDescent="0.25">
      <c r="E5633"/>
    </row>
    <row r="5634" spans="5:5" x14ac:dyDescent="0.25">
      <c r="E5634"/>
    </row>
    <row r="5635" spans="5:5" x14ac:dyDescent="0.25">
      <c r="E5635"/>
    </row>
    <row r="5636" spans="5:5" x14ac:dyDescent="0.25">
      <c r="E5636"/>
    </row>
    <row r="5637" spans="5:5" x14ac:dyDescent="0.25">
      <c r="E5637"/>
    </row>
    <row r="5638" spans="5:5" x14ac:dyDescent="0.25">
      <c r="E5638"/>
    </row>
    <row r="5639" spans="5:5" x14ac:dyDescent="0.25">
      <c r="E5639"/>
    </row>
    <row r="5640" spans="5:5" x14ac:dyDescent="0.25">
      <c r="E5640"/>
    </row>
    <row r="5641" spans="5:5" x14ac:dyDescent="0.25">
      <c r="E5641"/>
    </row>
    <row r="5642" spans="5:5" x14ac:dyDescent="0.25">
      <c r="E5642"/>
    </row>
    <row r="5643" spans="5:5" x14ac:dyDescent="0.25">
      <c r="E5643"/>
    </row>
    <row r="5644" spans="5:5" x14ac:dyDescent="0.25">
      <c r="E5644"/>
    </row>
    <row r="5645" spans="5:5" x14ac:dyDescent="0.25">
      <c r="E5645"/>
    </row>
    <row r="5646" spans="5:5" x14ac:dyDescent="0.25">
      <c r="E5646"/>
    </row>
    <row r="5647" spans="5:5" x14ac:dyDescent="0.25">
      <c r="E5647"/>
    </row>
    <row r="5648" spans="5:5" x14ac:dyDescent="0.25">
      <c r="E5648"/>
    </row>
    <row r="5649" spans="5:5" x14ac:dyDescent="0.25">
      <c r="E5649"/>
    </row>
    <row r="5650" spans="5:5" x14ac:dyDescent="0.25">
      <c r="E5650"/>
    </row>
    <row r="5651" spans="5:5" x14ac:dyDescent="0.25">
      <c r="E5651"/>
    </row>
    <row r="5652" spans="5:5" x14ac:dyDescent="0.25">
      <c r="E5652"/>
    </row>
    <row r="5653" spans="5:5" x14ac:dyDescent="0.25">
      <c r="E5653"/>
    </row>
    <row r="5654" spans="5:5" x14ac:dyDescent="0.25">
      <c r="E5654"/>
    </row>
    <row r="5655" spans="5:5" x14ac:dyDescent="0.25">
      <c r="E5655"/>
    </row>
    <row r="5656" spans="5:5" x14ac:dyDescent="0.25">
      <c r="E5656"/>
    </row>
    <row r="5657" spans="5:5" x14ac:dyDescent="0.25">
      <c r="E5657"/>
    </row>
    <row r="5658" spans="5:5" x14ac:dyDescent="0.25">
      <c r="E5658"/>
    </row>
    <row r="5659" spans="5:5" x14ac:dyDescent="0.25">
      <c r="E5659"/>
    </row>
    <row r="5660" spans="5:5" x14ac:dyDescent="0.25">
      <c r="E5660"/>
    </row>
    <row r="5661" spans="5:5" x14ac:dyDescent="0.25">
      <c r="E5661"/>
    </row>
    <row r="5662" spans="5:5" x14ac:dyDescent="0.25">
      <c r="E5662"/>
    </row>
    <row r="5663" spans="5:5" x14ac:dyDescent="0.25">
      <c r="E5663"/>
    </row>
    <row r="5664" spans="5:5" x14ac:dyDescent="0.25">
      <c r="E5664"/>
    </row>
    <row r="5665" spans="5:5" x14ac:dyDescent="0.25">
      <c r="E5665"/>
    </row>
    <row r="5666" spans="5:5" x14ac:dyDescent="0.25">
      <c r="E5666"/>
    </row>
    <row r="5667" spans="5:5" x14ac:dyDescent="0.25">
      <c r="E5667"/>
    </row>
    <row r="5668" spans="5:5" x14ac:dyDescent="0.25">
      <c r="E5668"/>
    </row>
    <row r="5669" spans="5:5" x14ac:dyDescent="0.25">
      <c r="E5669"/>
    </row>
    <row r="5670" spans="5:5" x14ac:dyDescent="0.25">
      <c r="E5670"/>
    </row>
    <row r="5671" spans="5:5" x14ac:dyDescent="0.25">
      <c r="E5671"/>
    </row>
    <row r="5672" spans="5:5" x14ac:dyDescent="0.25">
      <c r="E5672"/>
    </row>
    <row r="5673" spans="5:5" x14ac:dyDescent="0.25">
      <c r="E5673"/>
    </row>
    <row r="5674" spans="5:5" x14ac:dyDescent="0.25">
      <c r="E5674"/>
    </row>
    <row r="5675" spans="5:5" x14ac:dyDescent="0.25">
      <c r="E5675"/>
    </row>
    <row r="5676" spans="5:5" x14ac:dyDescent="0.25">
      <c r="E5676"/>
    </row>
    <row r="5677" spans="5:5" x14ac:dyDescent="0.25">
      <c r="E5677"/>
    </row>
    <row r="5678" spans="5:5" x14ac:dyDescent="0.25">
      <c r="E5678"/>
    </row>
    <row r="5679" spans="5:5" x14ac:dyDescent="0.25">
      <c r="E5679"/>
    </row>
    <row r="5680" spans="5:5" x14ac:dyDescent="0.25">
      <c r="E5680"/>
    </row>
    <row r="5681" spans="5:5" x14ac:dyDescent="0.25">
      <c r="E5681"/>
    </row>
    <row r="5682" spans="5:5" x14ac:dyDescent="0.25">
      <c r="E5682"/>
    </row>
    <row r="5683" spans="5:5" x14ac:dyDescent="0.25">
      <c r="E5683"/>
    </row>
    <row r="5684" spans="5:5" x14ac:dyDescent="0.25">
      <c r="E5684"/>
    </row>
    <row r="5685" spans="5:5" x14ac:dyDescent="0.25">
      <c r="E5685"/>
    </row>
    <row r="5686" spans="5:5" x14ac:dyDescent="0.25">
      <c r="E5686"/>
    </row>
    <row r="5687" spans="5:5" x14ac:dyDescent="0.25">
      <c r="E5687"/>
    </row>
    <row r="5688" spans="5:5" x14ac:dyDescent="0.25">
      <c r="E5688"/>
    </row>
    <row r="5689" spans="5:5" x14ac:dyDescent="0.25">
      <c r="E5689"/>
    </row>
    <row r="5690" spans="5:5" x14ac:dyDescent="0.25">
      <c r="E5690"/>
    </row>
    <row r="5691" spans="5:5" x14ac:dyDescent="0.25">
      <c r="E5691"/>
    </row>
    <row r="5692" spans="5:5" x14ac:dyDescent="0.25">
      <c r="E5692"/>
    </row>
    <row r="5693" spans="5:5" x14ac:dyDescent="0.25">
      <c r="E5693"/>
    </row>
    <row r="5694" spans="5:5" x14ac:dyDescent="0.25">
      <c r="E5694"/>
    </row>
    <row r="5695" spans="5:5" x14ac:dyDescent="0.25">
      <c r="E5695"/>
    </row>
    <row r="5696" spans="5:5" x14ac:dyDescent="0.25">
      <c r="E5696"/>
    </row>
    <row r="5697" spans="5:5" x14ac:dyDescent="0.25">
      <c r="E5697"/>
    </row>
    <row r="5698" spans="5:5" x14ac:dyDescent="0.25">
      <c r="E5698"/>
    </row>
    <row r="5699" spans="5:5" x14ac:dyDescent="0.25">
      <c r="E5699"/>
    </row>
    <row r="5700" spans="5:5" x14ac:dyDescent="0.25">
      <c r="E5700"/>
    </row>
    <row r="5701" spans="5:5" x14ac:dyDescent="0.25">
      <c r="E5701"/>
    </row>
    <row r="5702" spans="5:5" x14ac:dyDescent="0.25">
      <c r="E5702"/>
    </row>
    <row r="5703" spans="5:5" x14ac:dyDescent="0.25">
      <c r="E5703"/>
    </row>
    <row r="5704" spans="5:5" x14ac:dyDescent="0.25">
      <c r="E5704"/>
    </row>
    <row r="5705" spans="5:5" x14ac:dyDescent="0.25">
      <c r="E5705"/>
    </row>
    <row r="5706" spans="5:5" x14ac:dyDescent="0.25">
      <c r="E5706"/>
    </row>
    <row r="5707" spans="5:5" x14ac:dyDescent="0.25">
      <c r="E5707"/>
    </row>
    <row r="5708" spans="5:5" x14ac:dyDescent="0.25">
      <c r="E5708"/>
    </row>
    <row r="5709" spans="5:5" x14ac:dyDescent="0.25">
      <c r="E5709"/>
    </row>
    <row r="5710" spans="5:5" x14ac:dyDescent="0.25">
      <c r="E5710"/>
    </row>
    <row r="5711" spans="5:5" x14ac:dyDescent="0.25">
      <c r="E5711"/>
    </row>
    <row r="5712" spans="5:5" x14ac:dyDescent="0.25">
      <c r="E5712"/>
    </row>
    <row r="5713" spans="5:5" x14ac:dyDescent="0.25">
      <c r="E5713"/>
    </row>
    <row r="5714" spans="5:5" x14ac:dyDescent="0.25">
      <c r="E5714"/>
    </row>
    <row r="5715" spans="5:5" x14ac:dyDescent="0.25">
      <c r="E5715"/>
    </row>
    <row r="5716" spans="5:5" x14ac:dyDescent="0.25">
      <c r="E5716"/>
    </row>
    <row r="5717" spans="5:5" x14ac:dyDescent="0.25">
      <c r="E5717"/>
    </row>
    <row r="5718" spans="5:5" x14ac:dyDescent="0.25">
      <c r="E5718"/>
    </row>
    <row r="5719" spans="5:5" x14ac:dyDescent="0.25">
      <c r="E5719"/>
    </row>
    <row r="5720" spans="5:5" x14ac:dyDescent="0.25">
      <c r="E5720"/>
    </row>
    <row r="5721" spans="5:5" x14ac:dyDescent="0.25">
      <c r="E5721"/>
    </row>
    <row r="5722" spans="5:5" x14ac:dyDescent="0.25">
      <c r="E5722"/>
    </row>
    <row r="5723" spans="5:5" x14ac:dyDescent="0.25">
      <c r="E5723"/>
    </row>
    <row r="5724" spans="5:5" x14ac:dyDescent="0.25">
      <c r="E5724"/>
    </row>
    <row r="5725" spans="5:5" x14ac:dyDescent="0.25">
      <c r="E5725"/>
    </row>
    <row r="5726" spans="5:5" x14ac:dyDescent="0.25">
      <c r="E5726"/>
    </row>
    <row r="5727" spans="5:5" x14ac:dyDescent="0.25">
      <c r="E5727"/>
    </row>
    <row r="5728" spans="5:5" x14ac:dyDescent="0.25">
      <c r="E5728"/>
    </row>
    <row r="5729" spans="5:5" x14ac:dyDescent="0.25">
      <c r="E5729"/>
    </row>
    <row r="5730" spans="5:5" x14ac:dyDescent="0.25">
      <c r="E5730"/>
    </row>
    <row r="5731" spans="5:5" x14ac:dyDescent="0.25">
      <c r="E5731"/>
    </row>
    <row r="5732" spans="5:5" x14ac:dyDescent="0.25">
      <c r="E5732"/>
    </row>
    <row r="5733" spans="5:5" x14ac:dyDescent="0.25">
      <c r="E5733"/>
    </row>
    <row r="5734" spans="5:5" x14ac:dyDescent="0.25">
      <c r="E5734"/>
    </row>
    <row r="5735" spans="5:5" x14ac:dyDescent="0.25">
      <c r="E5735"/>
    </row>
    <row r="5736" spans="5:5" x14ac:dyDescent="0.25">
      <c r="E5736"/>
    </row>
    <row r="5737" spans="5:5" x14ac:dyDescent="0.25">
      <c r="E5737"/>
    </row>
    <row r="5738" spans="5:5" x14ac:dyDescent="0.25">
      <c r="E5738"/>
    </row>
    <row r="5739" spans="5:5" x14ac:dyDescent="0.25">
      <c r="E5739"/>
    </row>
    <row r="5740" spans="5:5" x14ac:dyDescent="0.25">
      <c r="E5740"/>
    </row>
    <row r="5741" spans="5:5" x14ac:dyDescent="0.25">
      <c r="E5741"/>
    </row>
    <row r="5742" spans="5:5" x14ac:dyDescent="0.25">
      <c r="E5742"/>
    </row>
    <row r="5743" spans="5:5" x14ac:dyDescent="0.25">
      <c r="E5743"/>
    </row>
    <row r="5744" spans="5:5" x14ac:dyDescent="0.25">
      <c r="E5744"/>
    </row>
    <row r="5745" spans="5:5" x14ac:dyDescent="0.25">
      <c r="E5745"/>
    </row>
    <row r="5746" spans="5:5" x14ac:dyDescent="0.25">
      <c r="E5746"/>
    </row>
    <row r="5747" spans="5:5" x14ac:dyDescent="0.25">
      <c r="E5747"/>
    </row>
    <row r="5748" spans="5:5" x14ac:dyDescent="0.25">
      <c r="E5748"/>
    </row>
    <row r="5749" spans="5:5" x14ac:dyDescent="0.25">
      <c r="E5749"/>
    </row>
    <row r="5750" spans="5:5" x14ac:dyDescent="0.25">
      <c r="E5750"/>
    </row>
    <row r="5751" spans="5:5" x14ac:dyDescent="0.25">
      <c r="E5751"/>
    </row>
    <row r="5752" spans="5:5" x14ac:dyDescent="0.25">
      <c r="E5752"/>
    </row>
    <row r="5753" spans="5:5" x14ac:dyDescent="0.25">
      <c r="E5753"/>
    </row>
    <row r="5754" spans="5:5" x14ac:dyDescent="0.25">
      <c r="E5754"/>
    </row>
    <row r="5755" spans="5:5" x14ac:dyDescent="0.25">
      <c r="E5755"/>
    </row>
    <row r="5756" spans="5:5" x14ac:dyDescent="0.25">
      <c r="E5756"/>
    </row>
    <row r="5757" spans="5:5" x14ac:dyDescent="0.25">
      <c r="E5757"/>
    </row>
    <row r="5758" spans="5:5" x14ac:dyDescent="0.25">
      <c r="E5758"/>
    </row>
    <row r="5759" spans="5:5" x14ac:dyDescent="0.25">
      <c r="E5759"/>
    </row>
    <row r="5760" spans="5:5" x14ac:dyDescent="0.25">
      <c r="E5760"/>
    </row>
    <row r="5761" spans="5:5" x14ac:dyDescent="0.25">
      <c r="E5761"/>
    </row>
    <row r="5762" spans="5:5" x14ac:dyDescent="0.25">
      <c r="E5762"/>
    </row>
    <row r="5763" spans="5:5" x14ac:dyDescent="0.25">
      <c r="E5763"/>
    </row>
    <row r="5764" spans="5:5" x14ac:dyDescent="0.25">
      <c r="E5764"/>
    </row>
    <row r="5765" spans="5:5" x14ac:dyDescent="0.25">
      <c r="E5765"/>
    </row>
    <row r="5766" spans="5:5" x14ac:dyDescent="0.25">
      <c r="E5766"/>
    </row>
    <row r="5767" spans="5:5" x14ac:dyDescent="0.25">
      <c r="E5767"/>
    </row>
    <row r="5768" spans="5:5" x14ac:dyDescent="0.25">
      <c r="E5768"/>
    </row>
    <row r="5769" spans="5:5" x14ac:dyDescent="0.25">
      <c r="E5769"/>
    </row>
    <row r="5770" spans="5:5" x14ac:dyDescent="0.25">
      <c r="E5770"/>
    </row>
    <row r="5771" spans="5:5" x14ac:dyDescent="0.25">
      <c r="E5771"/>
    </row>
    <row r="5772" spans="5:5" x14ac:dyDescent="0.25">
      <c r="E5772"/>
    </row>
    <row r="5773" spans="5:5" x14ac:dyDescent="0.25">
      <c r="E5773"/>
    </row>
    <row r="5774" spans="5:5" x14ac:dyDescent="0.25">
      <c r="E5774"/>
    </row>
    <row r="5775" spans="5:5" x14ac:dyDescent="0.25">
      <c r="E5775"/>
    </row>
    <row r="5776" spans="5:5" x14ac:dyDescent="0.25">
      <c r="E5776"/>
    </row>
    <row r="5777" spans="5:5" x14ac:dyDescent="0.25">
      <c r="E5777"/>
    </row>
    <row r="5778" spans="5:5" x14ac:dyDescent="0.25">
      <c r="E5778"/>
    </row>
    <row r="5779" spans="5:5" x14ac:dyDescent="0.25">
      <c r="E5779"/>
    </row>
    <row r="5780" spans="5:5" x14ac:dyDescent="0.25">
      <c r="E5780"/>
    </row>
    <row r="5781" spans="5:5" x14ac:dyDescent="0.25">
      <c r="E5781"/>
    </row>
    <row r="5782" spans="5:5" x14ac:dyDescent="0.25">
      <c r="E5782"/>
    </row>
    <row r="5783" spans="5:5" x14ac:dyDescent="0.25">
      <c r="E5783"/>
    </row>
    <row r="5784" spans="5:5" x14ac:dyDescent="0.25">
      <c r="E5784"/>
    </row>
    <row r="5785" spans="5:5" x14ac:dyDescent="0.25">
      <c r="E5785"/>
    </row>
    <row r="5786" spans="5:5" x14ac:dyDescent="0.25">
      <c r="E5786"/>
    </row>
    <row r="5787" spans="5:5" x14ac:dyDescent="0.25">
      <c r="E5787"/>
    </row>
    <row r="5788" spans="5:5" x14ac:dyDescent="0.25">
      <c r="E5788"/>
    </row>
    <row r="5789" spans="5:5" x14ac:dyDescent="0.25">
      <c r="E5789"/>
    </row>
    <row r="5790" spans="5:5" x14ac:dyDescent="0.25">
      <c r="E5790"/>
    </row>
    <row r="5791" spans="5:5" x14ac:dyDescent="0.25">
      <c r="E5791"/>
    </row>
    <row r="5792" spans="5:5" x14ac:dyDescent="0.25">
      <c r="E5792"/>
    </row>
    <row r="5793" spans="5:5" x14ac:dyDescent="0.25">
      <c r="E5793"/>
    </row>
    <row r="5794" spans="5:5" x14ac:dyDescent="0.25">
      <c r="E5794"/>
    </row>
    <row r="5795" spans="5:5" x14ac:dyDescent="0.25">
      <c r="E5795"/>
    </row>
    <row r="5796" spans="5:5" x14ac:dyDescent="0.25">
      <c r="E5796"/>
    </row>
    <row r="5797" spans="5:5" x14ac:dyDescent="0.25">
      <c r="E5797"/>
    </row>
    <row r="5798" spans="5:5" x14ac:dyDescent="0.25">
      <c r="E5798"/>
    </row>
    <row r="5799" spans="5:5" x14ac:dyDescent="0.25">
      <c r="E5799"/>
    </row>
    <row r="5800" spans="5:5" x14ac:dyDescent="0.25">
      <c r="E5800"/>
    </row>
    <row r="5801" spans="5:5" x14ac:dyDescent="0.25">
      <c r="E5801"/>
    </row>
    <row r="5802" spans="5:5" x14ac:dyDescent="0.25">
      <c r="E5802"/>
    </row>
    <row r="5803" spans="5:5" x14ac:dyDescent="0.25">
      <c r="E5803"/>
    </row>
    <row r="5804" spans="5:5" x14ac:dyDescent="0.25">
      <c r="E5804"/>
    </row>
    <row r="5805" spans="5:5" x14ac:dyDescent="0.25">
      <c r="E5805"/>
    </row>
    <row r="5806" spans="5:5" x14ac:dyDescent="0.25">
      <c r="E5806"/>
    </row>
    <row r="5807" spans="5:5" x14ac:dyDescent="0.25">
      <c r="E5807"/>
    </row>
    <row r="5808" spans="5:5" x14ac:dyDescent="0.25">
      <c r="E5808"/>
    </row>
    <row r="5809" spans="5:5" x14ac:dyDescent="0.25">
      <c r="E5809"/>
    </row>
    <row r="5810" spans="5:5" x14ac:dyDescent="0.25">
      <c r="E5810"/>
    </row>
    <row r="5811" spans="5:5" x14ac:dyDescent="0.25">
      <c r="E5811"/>
    </row>
    <row r="5812" spans="5:5" x14ac:dyDescent="0.25">
      <c r="E5812"/>
    </row>
    <row r="5813" spans="5:5" x14ac:dyDescent="0.25">
      <c r="E5813"/>
    </row>
    <row r="5814" spans="5:5" x14ac:dyDescent="0.25">
      <c r="E5814"/>
    </row>
    <row r="5815" spans="5:5" x14ac:dyDescent="0.25">
      <c r="E5815"/>
    </row>
    <row r="5816" spans="5:5" x14ac:dyDescent="0.25">
      <c r="E5816"/>
    </row>
    <row r="5817" spans="5:5" x14ac:dyDescent="0.25">
      <c r="E5817"/>
    </row>
    <row r="5818" spans="5:5" x14ac:dyDescent="0.25">
      <c r="E5818"/>
    </row>
    <row r="5819" spans="5:5" x14ac:dyDescent="0.25">
      <c r="E5819"/>
    </row>
    <row r="5820" spans="5:5" x14ac:dyDescent="0.25">
      <c r="E5820"/>
    </row>
    <row r="5821" spans="5:5" x14ac:dyDescent="0.25">
      <c r="E5821"/>
    </row>
    <row r="5822" spans="5:5" x14ac:dyDescent="0.25">
      <c r="E5822"/>
    </row>
    <row r="5823" spans="5:5" x14ac:dyDescent="0.25">
      <c r="E5823"/>
    </row>
    <row r="5824" spans="5:5" x14ac:dyDescent="0.25">
      <c r="E5824"/>
    </row>
    <row r="5825" spans="5:5" x14ac:dyDescent="0.25">
      <c r="E5825"/>
    </row>
    <row r="5826" spans="5:5" x14ac:dyDescent="0.25">
      <c r="E5826"/>
    </row>
    <row r="5827" spans="5:5" x14ac:dyDescent="0.25">
      <c r="E5827"/>
    </row>
    <row r="5828" spans="5:5" x14ac:dyDescent="0.25">
      <c r="E5828"/>
    </row>
    <row r="5829" spans="5:5" x14ac:dyDescent="0.25">
      <c r="E5829"/>
    </row>
    <row r="5830" spans="5:5" x14ac:dyDescent="0.25">
      <c r="E5830"/>
    </row>
    <row r="5831" spans="5:5" x14ac:dyDescent="0.25">
      <c r="E5831"/>
    </row>
    <row r="5832" spans="5:5" x14ac:dyDescent="0.25">
      <c r="E5832"/>
    </row>
    <row r="5833" spans="5:5" x14ac:dyDescent="0.25">
      <c r="E5833"/>
    </row>
    <row r="5834" spans="5:5" x14ac:dyDescent="0.25">
      <c r="E5834"/>
    </row>
    <row r="5835" spans="5:5" x14ac:dyDescent="0.25">
      <c r="E5835"/>
    </row>
    <row r="5836" spans="5:5" x14ac:dyDescent="0.25">
      <c r="E5836"/>
    </row>
    <row r="5837" spans="5:5" x14ac:dyDescent="0.25">
      <c r="E5837"/>
    </row>
    <row r="5838" spans="5:5" x14ac:dyDescent="0.25">
      <c r="E5838"/>
    </row>
    <row r="5839" spans="5:5" x14ac:dyDescent="0.25">
      <c r="E5839"/>
    </row>
    <row r="5840" spans="5:5" x14ac:dyDescent="0.25">
      <c r="E5840"/>
    </row>
    <row r="5841" spans="5:5" x14ac:dyDescent="0.25">
      <c r="E5841"/>
    </row>
    <row r="5842" spans="5:5" x14ac:dyDescent="0.25">
      <c r="E5842"/>
    </row>
    <row r="5843" spans="5:5" x14ac:dyDescent="0.25">
      <c r="E5843"/>
    </row>
    <row r="5844" spans="5:5" x14ac:dyDescent="0.25">
      <c r="E5844"/>
    </row>
    <row r="5845" spans="5:5" x14ac:dyDescent="0.25">
      <c r="E5845"/>
    </row>
    <row r="5846" spans="5:5" x14ac:dyDescent="0.25">
      <c r="E5846"/>
    </row>
    <row r="5847" spans="5:5" x14ac:dyDescent="0.25">
      <c r="E5847"/>
    </row>
    <row r="5848" spans="5:5" x14ac:dyDescent="0.25">
      <c r="E5848"/>
    </row>
    <row r="5849" spans="5:5" x14ac:dyDescent="0.25">
      <c r="E5849"/>
    </row>
    <row r="5850" spans="5:5" x14ac:dyDescent="0.25">
      <c r="E5850"/>
    </row>
    <row r="5851" spans="5:5" x14ac:dyDescent="0.25">
      <c r="E5851"/>
    </row>
    <row r="5852" spans="5:5" x14ac:dyDescent="0.25">
      <c r="E5852"/>
    </row>
    <row r="5853" spans="5:5" x14ac:dyDescent="0.25">
      <c r="E5853"/>
    </row>
    <row r="5854" spans="5:5" x14ac:dyDescent="0.25">
      <c r="E5854"/>
    </row>
    <row r="5855" spans="5:5" x14ac:dyDescent="0.25">
      <c r="E5855"/>
    </row>
    <row r="5856" spans="5:5" x14ac:dyDescent="0.25">
      <c r="E5856"/>
    </row>
    <row r="5857" spans="5:5" x14ac:dyDescent="0.25">
      <c r="E5857"/>
    </row>
    <row r="5858" spans="5:5" x14ac:dyDescent="0.25">
      <c r="E5858"/>
    </row>
    <row r="5859" spans="5:5" x14ac:dyDescent="0.25">
      <c r="E5859"/>
    </row>
    <row r="5860" spans="5:5" x14ac:dyDescent="0.25">
      <c r="E5860"/>
    </row>
    <row r="5861" spans="5:5" x14ac:dyDescent="0.25">
      <c r="E5861"/>
    </row>
    <row r="5862" spans="5:5" x14ac:dyDescent="0.25">
      <c r="E5862"/>
    </row>
    <row r="5863" spans="5:5" x14ac:dyDescent="0.25">
      <c r="E5863"/>
    </row>
    <row r="5864" spans="5:5" x14ac:dyDescent="0.25">
      <c r="E5864"/>
    </row>
    <row r="5865" spans="5:5" x14ac:dyDescent="0.25">
      <c r="E5865"/>
    </row>
    <row r="5866" spans="5:5" x14ac:dyDescent="0.25">
      <c r="E5866"/>
    </row>
    <row r="5867" spans="5:5" x14ac:dyDescent="0.25">
      <c r="E5867"/>
    </row>
    <row r="5868" spans="5:5" x14ac:dyDescent="0.25">
      <c r="E5868"/>
    </row>
    <row r="5869" spans="5:5" x14ac:dyDescent="0.25">
      <c r="E5869"/>
    </row>
    <row r="5870" spans="5:5" x14ac:dyDescent="0.25">
      <c r="E5870"/>
    </row>
    <row r="5871" spans="5:5" x14ac:dyDescent="0.25">
      <c r="E5871"/>
    </row>
    <row r="5872" spans="5:5" x14ac:dyDescent="0.25">
      <c r="E5872"/>
    </row>
    <row r="5873" spans="5:5" x14ac:dyDescent="0.25">
      <c r="E5873"/>
    </row>
    <row r="5874" spans="5:5" x14ac:dyDescent="0.25">
      <c r="E5874"/>
    </row>
    <row r="5875" spans="5:5" x14ac:dyDescent="0.25">
      <c r="E5875"/>
    </row>
    <row r="5876" spans="5:5" x14ac:dyDescent="0.25">
      <c r="E5876"/>
    </row>
    <row r="5877" spans="5:5" x14ac:dyDescent="0.25">
      <c r="E5877"/>
    </row>
    <row r="5878" spans="5:5" x14ac:dyDescent="0.25">
      <c r="E5878"/>
    </row>
    <row r="5879" spans="5:5" x14ac:dyDescent="0.25">
      <c r="E5879"/>
    </row>
    <row r="5880" spans="5:5" x14ac:dyDescent="0.25">
      <c r="E5880"/>
    </row>
    <row r="5881" spans="5:5" x14ac:dyDescent="0.25">
      <c r="E5881"/>
    </row>
    <row r="5882" spans="5:5" x14ac:dyDescent="0.25">
      <c r="E5882"/>
    </row>
    <row r="5883" spans="5:5" x14ac:dyDescent="0.25">
      <c r="E5883"/>
    </row>
    <row r="5884" spans="5:5" x14ac:dyDescent="0.25">
      <c r="E5884"/>
    </row>
    <row r="5885" spans="5:5" x14ac:dyDescent="0.25">
      <c r="E5885"/>
    </row>
    <row r="5886" spans="5:5" x14ac:dyDescent="0.25">
      <c r="E5886"/>
    </row>
    <row r="5887" spans="5:5" x14ac:dyDescent="0.25">
      <c r="E5887"/>
    </row>
    <row r="5888" spans="5:5" x14ac:dyDescent="0.25">
      <c r="E5888"/>
    </row>
    <row r="5889" spans="5:5" x14ac:dyDescent="0.25">
      <c r="E5889"/>
    </row>
    <row r="5890" spans="5:5" x14ac:dyDescent="0.25">
      <c r="E5890"/>
    </row>
    <row r="5891" spans="5:5" x14ac:dyDescent="0.25">
      <c r="E5891"/>
    </row>
    <row r="5892" spans="5:5" x14ac:dyDescent="0.25">
      <c r="E5892"/>
    </row>
    <row r="5893" spans="5:5" x14ac:dyDescent="0.25">
      <c r="E5893"/>
    </row>
    <row r="5894" spans="5:5" x14ac:dyDescent="0.25">
      <c r="E5894"/>
    </row>
    <row r="5895" spans="5:5" x14ac:dyDescent="0.25">
      <c r="E5895"/>
    </row>
    <row r="5896" spans="5:5" x14ac:dyDescent="0.25">
      <c r="E5896"/>
    </row>
    <row r="5897" spans="5:5" x14ac:dyDescent="0.25">
      <c r="E5897"/>
    </row>
    <row r="5898" spans="5:5" x14ac:dyDescent="0.25">
      <c r="E5898"/>
    </row>
    <row r="5899" spans="5:5" x14ac:dyDescent="0.25">
      <c r="E5899"/>
    </row>
    <row r="5900" spans="5:5" x14ac:dyDescent="0.25">
      <c r="E5900"/>
    </row>
    <row r="5901" spans="5:5" x14ac:dyDescent="0.25">
      <c r="E5901"/>
    </row>
    <row r="5902" spans="5:5" x14ac:dyDescent="0.25">
      <c r="E5902"/>
    </row>
    <row r="5903" spans="5:5" x14ac:dyDescent="0.25">
      <c r="E5903"/>
    </row>
    <row r="5904" spans="5:5" x14ac:dyDescent="0.25">
      <c r="E5904"/>
    </row>
    <row r="5905" spans="5:5" x14ac:dyDescent="0.25">
      <c r="E5905"/>
    </row>
    <row r="5906" spans="5:5" x14ac:dyDescent="0.25">
      <c r="E5906"/>
    </row>
    <row r="5907" spans="5:5" x14ac:dyDescent="0.25">
      <c r="E5907"/>
    </row>
    <row r="5908" spans="5:5" x14ac:dyDescent="0.25">
      <c r="E5908"/>
    </row>
    <row r="5909" spans="5:5" x14ac:dyDescent="0.25">
      <c r="E5909"/>
    </row>
    <row r="5910" spans="5:5" x14ac:dyDescent="0.25">
      <c r="E5910"/>
    </row>
    <row r="5911" spans="5:5" x14ac:dyDescent="0.25">
      <c r="E5911"/>
    </row>
    <row r="5912" spans="5:5" x14ac:dyDescent="0.25">
      <c r="E5912"/>
    </row>
    <row r="5913" spans="5:5" x14ac:dyDescent="0.25">
      <c r="E5913"/>
    </row>
    <row r="5914" spans="5:5" x14ac:dyDescent="0.25">
      <c r="E5914"/>
    </row>
    <row r="5915" spans="5:5" x14ac:dyDescent="0.25">
      <c r="E5915"/>
    </row>
    <row r="5916" spans="5:5" x14ac:dyDescent="0.25">
      <c r="E5916"/>
    </row>
    <row r="5917" spans="5:5" x14ac:dyDescent="0.25">
      <c r="E5917"/>
    </row>
    <row r="5918" spans="5:5" x14ac:dyDescent="0.25">
      <c r="E5918"/>
    </row>
    <row r="5919" spans="5:5" x14ac:dyDescent="0.25">
      <c r="E5919"/>
    </row>
    <row r="5920" spans="5:5" x14ac:dyDescent="0.25">
      <c r="E5920"/>
    </row>
    <row r="5921" spans="5:5" x14ac:dyDescent="0.25">
      <c r="E5921"/>
    </row>
    <row r="5922" spans="5:5" x14ac:dyDescent="0.25">
      <c r="E5922"/>
    </row>
    <row r="5923" spans="5:5" x14ac:dyDescent="0.25">
      <c r="E5923"/>
    </row>
    <row r="5924" spans="5:5" x14ac:dyDescent="0.25">
      <c r="E5924"/>
    </row>
    <row r="5925" spans="5:5" x14ac:dyDescent="0.25">
      <c r="E5925"/>
    </row>
    <row r="5926" spans="5:5" x14ac:dyDescent="0.25">
      <c r="E5926"/>
    </row>
    <row r="5927" spans="5:5" x14ac:dyDescent="0.25">
      <c r="E5927"/>
    </row>
    <row r="5928" spans="5:5" x14ac:dyDescent="0.25">
      <c r="E5928"/>
    </row>
    <row r="5929" spans="5:5" x14ac:dyDescent="0.25">
      <c r="E5929"/>
    </row>
    <row r="5930" spans="5:5" x14ac:dyDescent="0.25">
      <c r="E5930"/>
    </row>
    <row r="5931" spans="5:5" x14ac:dyDescent="0.25">
      <c r="E5931"/>
    </row>
    <row r="5932" spans="5:5" x14ac:dyDescent="0.25">
      <c r="E5932"/>
    </row>
    <row r="5933" spans="5:5" x14ac:dyDescent="0.25">
      <c r="E5933"/>
    </row>
    <row r="5934" spans="5:5" x14ac:dyDescent="0.25">
      <c r="E5934"/>
    </row>
    <row r="5935" spans="5:5" x14ac:dyDescent="0.25">
      <c r="E5935"/>
    </row>
    <row r="5936" spans="5:5" x14ac:dyDescent="0.25">
      <c r="E5936"/>
    </row>
    <row r="5937" spans="5:5" x14ac:dyDescent="0.25">
      <c r="E5937"/>
    </row>
    <row r="5938" spans="5:5" x14ac:dyDescent="0.25">
      <c r="E5938"/>
    </row>
    <row r="5939" spans="5:5" x14ac:dyDescent="0.25">
      <c r="E5939"/>
    </row>
    <row r="5940" spans="5:5" x14ac:dyDescent="0.25">
      <c r="E5940"/>
    </row>
    <row r="5941" spans="5:5" x14ac:dyDescent="0.25">
      <c r="E5941"/>
    </row>
    <row r="5942" spans="5:5" x14ac:dyDescent="0.25">
      <c r="E5942"/>
    </row>
    <row r="5943" spans="5:5" x14ac:dyDescent="0.25">
      <c r="E5943"/>
    </row>
    <row r="5944" spans="5:5" x14ac:dyDescent="0.25">
      <c r="E5944"/>
    </row>
    <row r="5945" spans="5:5" x14ac:dyDescent="0.25">
      <c r="E5945"/>
    </row>
    <row r="5946" spans="5:5" x14ac:dyDescent="0.25">
      <c r="E5946"/>
    </row>
    <row r="5947" spans="5:5" x14ac:dyDescent="0.25">
      <c r="E5947"/>
    </row>
    <row r="5948" spans="5:5" x14ac:dyDescent="0.25">
      <c r="E5948"/>
    </row>
    <row r="5949" spans="5:5" x14ac:dyDescent="0.25">
      <c r="E5949"/>
    </row>
    <row r="5950" spans="5:5" x14ac:dyDescent="0.25">
      <c r="E5950"/>
    </row>
    <row r="5951" spans="5:5" x14ac:dyDescent="0.25">
      <c r="E5951"/>
    </row>
    <row r="5952" spans="5:5" x14ac:dyDescent="0.25">
      <c r="E5952"/>
    </row>
    <row r="5953" spans="5:5" x14ac:dyDescent="0.25">
      <c r="E5953"/>
    </row>
    <row r="5954" spans="5:5" x14ac:dyDescent="0.25">
      <c r="E5954"/>
    </row>
    <row r="5955" spans="5:5" x14ac:dyDescent="0.25">
      <c r="E5955"/>
    </row>
    <row r="5956" spans="5:5" x14ac:dyDescent="0.25">
      <c r="E5956"/>
    </row>
    <row r="5957" spans="5:5" x14ac:dyDescent="0.25">
      <c r="E5957"/>
    </row>
    <row r="5958" spans="5:5" x14ac:dyDescent="0.25">
      <c r="E5958"/>
    </row>
    <row r="5959" spans="5:5" x14ac:dyDescent="0.25">
      <c r="E5959"/>
    </row>
    <row r="5960" spans="5:5" x14ac:dyDescent="0.25">
      <c r="E5960"/>
    </row>
    <row r="5961" spans="5:5" x14ac:dyDescent="0.25">
      <c r="E5961"/>
    </row>
    <row r="5962" spans="5:5" x14ac:dyDescent="0.25">
      <c r="E5962"/>
    </row>
    <row r="5963" spans="5:5" x14ac:dyDescent="0.25">
      <c r="E5963"/>
    </row>
    <row r="5964" spans="5:5" x14ac:dyDescent="0.25">
      <c r="E5964"/>
    </row>
    <row r="5965" spans="5:5" x14ac:dyDescent="0.25">
      <c r="E5965"/>
    </row>
    <row r="5966" spans="5:5" x14ac:dyDescent="0.25">
      <c r="E5966"/>
    </row>
    <row r="5967" spans="5:5" x14ac:dyDescent="0.25">
      <c r="E5967"/>
    </row>
    <row r="5968" spans="5:5" x14ac:dyDescent="0.25">
      <c r="E5968"/>
    </row>
    <row r="5969" spans="5:5" x14ac:dyDescent="0.25">
      <c r="E5969"/>
    </row>
    <row r="5970" spans="5:5" x14ac:dyDescent="0.25">
      <c r="E5970"/>
    </row>
    <row r="5971" spans="5:5" x14ac:dyDescent="0.25">
      <c r="E5971"/>
    </row>
    <row r="5972" spans="5:5" x14ac:dyDescent="0.25">
      <c r="E5972"/>
    </row>
    <row r="5973" spans="5:5" x14ac:dyDescent="0.25">
      <c r="E5973"/>
    </row>
    <row r="5974" spans="5:5" x14ac:dyDescent="0.25">
      <c r="E5974"/>
    </row>
    <row r="5975" spans="5:5" x14ac:dyDescent="0.25">
      <c r="E5975"/>
    </row>
    <row r="5976" spans="5:5" x14ac:dyDescent="0.25">
      <c r="E5976"/>
    </row>
    <row r="5977" spans="5:5" x14ac:dyDescent="0.25">
      <c r="E5977"/>
    </row>
    <row r="5978" spans="5:5" x14ac:dyDescent="0.25">
      <c r="E5978"/>
    </row>
    <row r="5979" spans="5:5" x14ac:dyDescent="0.25">
      <c r="E5979"/>
    </row>
    <row r="5980" spans="5:5" x14ac:dyDescent="0.25">
      <c r="E5980"/>
    </row>
    <row r="5981" spans="5:5" x14ac:dyDescent="0.25">
      <c r="E5981"/>
    </row>
    <row r="5982" spans="5:5" x14ac:dyDescent="0.25">
      <c r="E5982"/>
    </row>
    <row r="5983" spans="5:5" x14ac:dyDescent="0.25">
      <c r="E5983"/>
    </row>
    <row r="5984" spans="5:5" x14ac:dyDescent="0.25">
      <c r="E5984"/>
    </row>
    <row r="5985" spans="5:5" x14ac:dyDescent="0.25">
      <c r="E5985"/>
    </row>
    <row r="5986" spans="5:5" x14ac:dyDescent="0.25">
      <c r="E5986"/>
    </row>
    <row r="5987" spans="5:5" x14ac:dyDescent="0.25">
      <c r="E5987"/>
    </row>
    <row r="5988" spans="5:5" x14ac:dyDescent="0.25">
      <c r="E5988"/>
    </row>
    <row r="5989" spans="5:5" x14ac:dyDescent="0.25">
      <c r="E5989"/>
    </row>
    <row r="5990" spans="5:5" x14ac:dyDescent="0.25">
      <c r="E5990"/>
    </row>
    <row r="5991" spans="5:5" x14ac:dyDescent="0.25">
      <c r="E5991"/>
    </row>
    <row r="5992" spans="5:5" x14ac:dyDescent="0.25">
      <c r="E5992"/>
    </row>
    <row r="5993" spans="5:5" x14ac:dyDescent="0.25">
      <c r="E5993"/>
    </row>
    <row r="5994" spans="5:5" x14ac:dyDescent="0.25">
      <c r="E5994"/>
    </row>
    <row r="5995" spans="5:5" x14ac:dyDescent="0.25">
      <c r="E5995"/>
    </row>
    <row r="5996" spans="5:5" x14ac:dyDescent="0.25">
      <c r="E5996"/>
    </row>
    <row r="5997" spans="5:5" x14ac:dyDescent="0.25">
      <c r="E5997"/>
    </row>
    <row r="5998" spans="5:5" x14ac:dyDescent="0.25">
      <c r="E5998"/>
    </row>
    <row r="5999" spans="5:5" x14ac:dyDescent="0.25">
      <c r="E5999"/>
    </row>
    <row r="6000" spans="5:5" x14ac:dyDescent="0.25">
      <c r="E6000"/>
    </row>
    <row r="6001" spans="5:5" x14ac:dyDescent="0.25">
      <c r="E6001"/>
    </row>
    <row r="6002" spans="5:5" x14ac:dyDescent="0.25">
      <c r="E6002"/>
    </row>
    <row r="6003" spans="5:5" x14ac:dyDescent="0.25">
      <c r="E6003"/>
    </row>
    <row r="6004" spans="5:5" x14ac:dyDescent="0.25">
      <c r="E6004"/>
    </row>
    <row r="6005" spans="5:5" x14ac:dyDescent="0.25">
      <c r="E6005"/>
    </row>
    <row r="6006" spans="5:5" x14ac:dyDescent="0.25">
      <c r="E6006"/>
    </row>
    <row r="6007" spans="5:5" x14ac:dyDescent="0.25">
      <c r="E6007"/>
    </row>
    <row r="6008" spans="5:5" x14ac:dyDescent="0.25">
      <c r="E6008"/>
    </row>
    <row r="6009" spans="5:5" x14ac:dyDescent="0.25">
      <c r="E6009"/>
    </row>
    <row r="6010" spans="5:5" x14ac:dyDescent="0.25">
      <c r="E6010"/>
    </row>
    <row r="6011" spans="5:5" x14ac:dyDescent="0.25">
      <c r="E6011"/>
    </row>
    <row r="6012" spans="5:5" x14ac:dyDescent="0.25">
      <c r="E6012"/>
    </row>
    <row r="6013" spans="5:5" x14ac:dyDescent="0.25">
      <c r="E6013"/>
    </row>
    <row r="6014" spans="5:5" x14ac:dyDescent="0.25">
      <c r="E6014"/>
    </row>
    <row r="6015" spans="5:5" x14ac:dyDescent="0.25">
      <c r="E6015"/>
    </row>
    <row r="6016" spans="5:5" x14ac:dyDescent="0.25">
      <c r="E6016"/>
    </row>
    <row r="6017" spans="5:5" x14ac:dyDescent="0.25">
      <c r="E6017"/>
    </row>
    <row r="6018" spans="5:5" x14ac:dyDescent="0.25">
      <c r="E6018"/>
    </row>
    <row r="6019" spans="5:5" x14ac:dyDescent="0.25">
      <c r="E6019"/>
    </row>
    <row r="6020" spans="5:5" x14ac:dyDescent="0.25">
      <c r="E6020"/>
    </row>
    <row r="6021" spans="5:5" x14ac:dyDescent="0.25">
      <c r="E6021"/>
    </row>
    <row r="6022" spans="5:5" x14ac:dyDescent="0.25">
      <c r="E6022"/>
    </row>
    <row r="6023" spans="5:5" x14ac:dyDescent="0.25">
      <c r="E6023"/>
    </row>
    <row r="6024" spans="5:5" x14ac:dyDescent="0.25">
      <c r="E6024"/>
    </row>
    <row r="6025" spans="5:5" x14ac:dyDescent="0.25">
      <c r="E6025"/>
    </row>
    <row r="6026" spans="5:5" x14ac:dyDescent="0.25">
      <c r="E6026"/>
    </row>
    <row r="6027" spans="5:5" x14ac:dyDescent="0.25">
      <c r="E6027"/>
    </row>
    <row r="6028" spans="5:5" x14ac:dyDescent="0.25">
      <c r="E6028"/>
    </row>
    <row r="6029" spans="5:5" x14ac:dyDescent="0.25">
      <c r="E6029"/>
    </row>
    <row r="6030" spans="5:5" x14ac:dyDescent="0.25">
      <c r="E6030"/>
    </row>
    <row r="6031" spans="5:5" x14ac:dyDescent="0.25">
      <c r="E6031"/>
    </row>
    <row r="6032" spans="5:5" x14ac:dyDescent="0.25">
      <c r="E6032"/>
    </row>
    <row r="6033" spans="5:5" x14ac:dyDescent="0.25">
      <c r="E6033"/>
    </row>
    <row r="6034" spans="5:5" x14ac:dyDescent="0.25">
      <c r="E6034"/>
    </row>
    <row r="6035" spans="5:5" x14ac:dyDescent="0.25">
      <c r="E6035"/>
    </row>
    <row r="6036" spans="5:5" x14ac:dyDescent="0.25">
      <c r="E6036"/>
    </row>
    <row r="6037" spans="5:5" x14ac:dyDescent="0.25">
      <c r="E6037"/>
    </row>
    <row r="6038" spans="5:5" x14ac:dyDescent="0.25">
      <c r="E6038"/>
    </row>
    <row r="6039" spans="5:5" x14ac:dyDescent="0.25">
      <c r="E6039"/>
    </row>
    <row r="6040" spans="5:5" x14ac:dyDescent="0.25">
      <c r="E6040"/>
    </row>
    <row r="6041" spans="5:5" x14ac:dyDescent="0.25">
      <c r="E6041"/>
    </row>
    <row r="6042" spans="5:5" x14ac:dyDescent="0.25">
      <c r="E6042"/>
    </row>
    <row r="6043" spans="5:5" x14ac:dyDescent="0.25">
      <c r="E6043"/>
    </row>
    <row r="6044" spans="5:5" x14ac:dyDescent="0.25">
      <c r="E6044"/>
    </row>
    <row r="6045" spans="5:5" x14ac:dyDescent="0.25">
      <c r="E6045"/>
    </row>
    <row r="6046" spans="5:5" x14ac:dyDescent="0.25">
      <c r="E6046"/>
    </row>
    <row r="6047" spans="5:5" x14ac:dyDescent="0.25">
      <c r="E6047"/>
    </row>
    <row r="6048" spans="5:5" x14ac:dyDescent="0.25">
      <c r="E6048"/>
    </row>
    <row r="6049" spans="5:5" x14ac:dyDescent="0.25">
      <c r="E6049"/>
    </row>
    <row r="6050" spans="5:5" x14ac:dyDescent="0.25">
      <c r="E6050"/>
    </row>
    <row r="6051" spans="5:5" x14ac:dyDescent="0.25">
      <c r="E6051"/>
    </row>
    <row r="6052" spans="5:5" x14ac:dyDescent="0.25">
      <c r="E6052"/>
    </row>
    <row r="6053" spans="5:5" x14ac:dyDescent="0.25">
      <c r="E6053"/>
    </row>
    <row r="6054" spans="5:5" x14ac:dyDescent="0.25">
      <c r="E6054"/>
    </row>
    <row r="6055" spans="5:5" x14ac:dyDescent="0.25">
      <c r="E6055"/>
    </row>
    <row r="6056" spans="5:5" x14ac:dyDescent="0.25">
      <c r="E6056"/>
    </row>
    <row r="6057" spans="5:5" x14ac:dyDescent="0.25">
      <c r="E6057"/>
    </row>
    <row r="6058" spans="5:5" x14ac:dyDescent="0.25">
      <c r="E6058"/>
    </row>
    <row r="6059" spans="5:5" x14ac:dyDescent="0.25">
      <c r="E6059"/>
    </row>
    <row r="6060" spans="5:5" x14ac:dyDescent="0.25">
      <c r="E6060"/>
    </row>
    <row r="6061" spans="5:5" x14ac:dyDescent="0.25">
      <c r="E6061"/>
    </row>
    <row r="6062" spans="5:5" x14ac:dyDescent="0.25">
      <c r="E6062"/>
    </row>
    <row r="6063" spans="5:5" x14ac:dyDescent="0.25">
      <c r="E6063"/>
    </row>
    <row r="6064" spans="5:5" x14ac:dyDescent="0.25">
      <c r="E6064"/>
    </row>
    <row r="6065" spans="5:5" x14ac:dyDescent="0.25">
      <c r="E6065"/>
    </row>
    <row r="6066" spans="5:5" x14ac:dyDescent="0.25">
      <c r="E6066"/>
    </row>
    <row r="6067" spans="5:5" x14ac:dyDescent="0.25">
      <c r="E6067"/>
    </row>
    <row r="6068" spans="5:5" x14ac:dyDescent="0.25">
      <c r="E6068"/>
    </row>
    <row r="6069" spans="5:5" x14ac:dyDescent="0.25">
      <c r="E6069"/>
    </row>
    <row r="6070" spans="5:5" x14ac:dyDescent="0.25">
      <c r="E6070"/>
    </row>
    <row r="6071" spans="5:5" x14ac:dyDescent="0.25">
      <c r="E6071"/>
    </row>
    <row r="6072" spans="5:5" x14ac:dyDescent="0.25">
      <c r="E6072"/>
    </row>
    <row r="6073" spans="5:5" x14ac:dyDescent="0.25">
      <c r="E6073"/>
    </row>
    <row r="6074" spans="5:5" x14ac:dyDescent="0.25">
      <c r="E6074"/>
    </row>
    <row r="6075" spans="5:5" x14ac:dyDescent="0.25">
      <c r="E6075"/>
    </row>
    <row r="6076" spans="5:5" x14ac:dyDescent="0.25">
      <c r="E6076"/>
    </row>
    <row r="6077" spans="5:5" x14ac:dyDescent="0.25">
      <c r="E6077"/>
    </row>
    <row r="6078" spans="5:5" x14ac:dyDescent="0.25">
      <c r="E6078"/>
    </row>
    <row r="6079" spans="5:5" x14ac:dyDescent="0.25">
      <c r="E6079"/>
    </row>
    <row r="6080" spans="5:5" x14ac:dyDescent="0.25">
      <c r="E6080"/>
    </row>
    <row r="6081" spans="5:5" x14ac:dyDescent="0.25">
      <c r="E6081"/>
    </row>
    <row r="6082" spans="5:5" x14ac:dyDescent="0.25">
      <c r="E6082"/>
    </row>
    <row r="6083" spans="5:5" x14ac:dyDescent="0.25">
      <c r="E6083"/>
    </row>
    <row r="6084" spans="5:5" x14ac:dyDescent="0.25">
      <c r="E6084"/>
    </row>
    <row r="6085" spans="5:5" x14ac:dyDescent="0.25">
      <c r="E6085"/>
    </row>
    <row r="6086" spans="5:5" x14ac:dyDescent="0.25">
      <c r="E6086"/>
    </row>
    <row r="6087" spans="5:5" x14ac:dyDescent="0.25">
      <c r="E6087"/>
    </row>
    <row r="6088" spans="5:5" x14ac:dyDescent="0.25">
      <c r="E6088"/>
    </row>
    <row r="6089" spans="5:5" x14ac:dyDescent="0.25">
      <c r="E6089"/>
    </row>
    <row r="6090" spans="5:5" x14ac:dyDescent="0.25">
      <c r="E6090"/>
    </row>
    <row r="6091" spans="5:5" x14ac:dyDescent="0.25">
      <c r="E6091"/>
    </row>
    <row r="6092" spans="5:5" x14ac:dyDescent="0.25">
      <c r="E6092"/>
    </row>
    <row r="6093" spans="5:5" x14ac:dyDescent="0.25">
      <c r="E6093"/>
    </row>
    <row r="6094" spans="5:5" x14ac:dyDescent="0.25">
      <c r="E6094"/>
    </row>
    <row r="6095" spans="5:5" x14ac:dyDescent="0.25">
      <c r="E6095"/>
    </row>
    <row r="6096" spans="5:5" x14ac:dyDescent="0.25">
      <c r="E6096"/>
    </row>
    <row r="6097" spans="5:5" x14ac:dyDescent="0.25">
      <c r="E6097"/>
    </row>
    <row r="6098" spans="5:5" x14ac:dyDescent="0.25">
      <c r="E6098"/>
    </row>
    <row r="6099" spans="5:5" x14ac:dyDescent="0.25">
      <c r="E6099"/>
    </row>
    <row r="6100" spans="5:5" x14ac:dyDescent="0.25">
      <c r="E6100"/>
    </row>
    <row r="6101" spans="5:5" x14ac:dyDescent="0.25">
      <c r="E6101"/>
    </row>
    <row r="6102" spans="5:5" x14ac:dyDescent="0.25">
      <c r="E6102"/>
    </row>
    <row r="6103" spans="5:5" x14ac:dyDescent="0.25">
      <c r="E6103"/>
    </row>
    <row r="6104" spans="5:5" x14ac:dyDescent="0.25">
      <c r="E6104"/>
    </row>
    <row r="6105" spans="5:5" x14ac:dyDescent="0.25">
      <c r="E6105"/>
    </row>
    <row r="6106" spans="5:5" x14ac:dyDescent="0.25">
      <c r="E6106"/>
    </row>
    <row r="6107" spans="5:5" x14ac:dyDescent="0.25">
      <c r="E6107"/>
    </row>
    <row r="6108" spans="5:5" x14ac:dyDescent="0.25">
      <c r="E6108"/>
    </row>
    <row r="6109" spans="5:5" x14ac:dyDescent="0.25">
      <c r="E6109"/>
    </row>
    <row r="6110" spans="5:5" x14ac:dyDescent="0.25">
      <c r="E6110"/>
    </row>
    <row r="6111" spans="5:5" x14ac:dyDescent="0.25">
      <c r="E6111"/>
    </row>
    <row r="6112" spans="5:5" x14ac:dyDescent="0.25">
      <c r="E6112"/>
    </row>
    <row r="6113" spans="5:5" x14ac:dyDescent="0.25">
      <c r="E6113"/>
    </row>
    <row r="6114" spans="5:5" x14ac:dyDescent="0.25">
      <c r="E6114"/>
    </row>
    <row r="6115" spans="5:5" x14ac:dyDescent="0.25">
      <c r="E6115"/>
    </row>
    <row r="6116" spans="5:5" x14ac:dyDescent="0.25">
      <c r="E6116"/>
    </row>
    <row r="6117" spans="5:5" x14ac:dyDescent="0.25">
      <c r="E6117"/>
    </row>
    <row r="6118" spans="5:5" x14ac:dyDescent="0.25">
      <c r="E6118"/>
    </row>
    <row r="6119" spans="5:5" x14ac:dyDescent="0.25">
      <c r="E6119"/>
    </row>
    <row r="6120" spans="5:5" x14ac:dyDescent="0.25">
      <c r="E6120"/>
    </row>
    <row r="6121" spans="5:5" x14ac:dyDescent="0.25">
      <c r="E6121"/>
    </row>
    <row r="6122" spans="5:5" x14ac:dyDescent="0.25">
      <c r="E6122"/>
    </row>
    <row r="6123" spans="5:5" x14ac:dyDescent="0.25">
      <c r="E6123"/>
    </row>
    <row r="6124" spans="5:5" x14ac:dyDescent="0.25">
      <c r="E6124"/>
    </row>
    <row r="6125" spans="5:5" x14ac:dyDescent="0.25">
      <c r="E6125"/>
    </row>
    <row r="6126" spans="5:5" x14ac:dyDescent="0.25">
      <c r="E6126"/>
    </row>
    <row r="6127" spans="5:5" x14ac:dyDescent="0.25">
      <c r="E6127"/>
    </row>
    <row r="6128" spans="5:5" x14ac:dyDescent="0.25">
      <c r="E6128"/>
    </row>
    <row r="6129" spans="5:5" x14ac:dyDescent="0.25">
      <c r="E6129"/>
    </row>
    <row r="6130" spans="5:5" x14ac:dyDescent="0.25">
      <c r="E6130"/>
    </row>
    <row r="6131" spans="5:5" x14ac:dyDescent="0.25">
      <c r="E6131"/>
    </row>
    <row r="6132" spans="5:5" x14ac:dyDescent="0.25">
      <c r="E6132"/>
    </row>
    <row r="6133" spans="5:5" x14ac:dyDescent="0.25">
      <c r="E6133"/>
    </row>
    <row r="6134" spans="5:5" x14ac:dyDescent="0.25">
      <c r="E6134"/>
    </row>
    <row r="6135" spans="5:5" x14ac:dyDescent="0.25">
      <c r="E6135"/>
    </row>
    <row r="6136" spans="5:5" x14ac:dyDescent="0.25">
      <c r="E6136"/>
    </row>
    <row r="6137" spans="5:5" x14ac:dyDescent="0.25">
      <c r="E6137"/>
    </row>
    <row r="6138" spans="5:5" x14ac:dyDescent="0.25">
      <c r="E6138"/>
    </row>
    <row r="6139" spans="5:5" x14ac:dyDescent="0.25">
      <c r="E6139"/>
    </row>
    <row r="6140" spans="5:5" x14ac:dyDescent="0.25">
      <c r="E6140"/>
    </row>
    <row r="6141" spans="5:5" x14ac:dyDescent="0.25">
      <c r="E6141"/>
    </row>
    <row r="6142" spans="5:5" x14ac:dyDescent="0.25">
      <c r="E6142"/>
    </row>
    <row r="6143" spans="5:5" x14ac:dyDescent="0.25">
      <c r="E6143"/>
    </row>
    <row r="6144" spans="5:5" x14ac:dyDescent="0.25">
      <c r="E6144"/>
    </row>
    <row r="6145" spans="5:5" x14ac:dyDescent="0.25">
      <c r="E6145"/>
    </row>
    <row r="6146" spans="5:5" x14ac:dyDescent="0.25">
      <c r="E6146"/>
    </row>
    <row r="6147" spans="5:5" x14ac:dyDescent="0.25">
      <c r="E6147"/>
    </row>
    <row r="6148" spans="5:5" x14ac:dyDescent="0.25">
      <c r="E6148"/>
    </row>
    <row r="6149" spans="5:5" x14ac:dyDescent="0.25">
      <c r="E6149"/>
    </row>
    <row r="6150" spans="5:5" x14ac:dyDescent="0.25">
      <c r="E6150"/>
    </row>
    <row r="6151" spans="5:5" x14ac:dyDescent="0.25">
      <c r="E6151"/>
    </row>
    <row r="6152" spans="5:5" x14ac:dyDescent="0.25">
      <c r="E6152"/>
    </row>
    <row r="6153" spans="5:5" x14ac:dyDescent="0.25">
      <c r="E6153"/>
    </row>
    <row r="6154" spans="5:5" x14ac:dyDescent="0.25">
      <c r="E6154"/>
    </row>
    <row r="6155" spans="5:5" x14ac:dyDescent="0.25">
      <c r="E6155"/>
    </row>
    <row r="6156" spans="5:5" x14ac:dyDescent="0.25">
      <c r="E6156"/>
    </row>
    <row r="6157" spans="5:5" x14ac:dyDescent="0.25">
      <c r="E6157"/>
    </row>
    <row r="6158" spans="5:5" x14ac:dyDescent="0.25">
      <c r="E6158"/>
    </row>
    <row r="6159" spans="5:5" x14ac:dyDescent="0.25">
      <c r="E6159"/>
    </row>
    <row r="6160" spans="5:5" x14ac:dyDescent="0.25">
      <c r="E6160"/>
    </row>
    <row r="6161" spans="5:5" x14ac:dyDescent="0.25">
      <c r="E6161"/>
    </row>
    <row r="6162" spans="5:5" x14ac:dyDescent="0.25">
      <c r="E6162"/>
    </row>
    <row r="6163" spans="5:5" x14ac:dyDescent="0.25">
      <c r="E6163"/>
    </row>
    <row r="6164" spans="5:5" x14ac:dyDescent="0.25">
      <c r="E6164"/>
    </row>
    <row r="6165" spans="5:5" x14ac:dyDescent="0.25">
      <c r="E6165"/>
    </row>
    <row r="6166" spans="5:5" x14ac:dyDescent="0.25">
      <c r="E6166"/>
    </row>
    <row r="6167" spans="5:5" x14ac:dyDescent="0.25">
      <c r="E6167"/>
    </row>
    <row r="6168" spans="5:5" x14ac:dyDescent="0.25">
      <c r="E6168"/>
    </row>
    <row r="6169" spans="5:5" x14ac:dyDescent="0.25">
      <c r="E6169"/>
    </row>
    <row r="6170" spans="5:5" x14ac:dyDescent="0.25">
      <c r="E6170"/>
    </row>
    <row r="6171" spans="5:5" x14ac:dyDescent="0.25">
      <c r="E6171"/>
    </row>
    <row r="6172" spans="5:5" x14ac:dyDescent="0.25">
      <c r="E6172"/>
    </row>
    <row r="6173" spans="5:5" x14ac:dyDescent="0.25">
      <c r="E6173"/>
    </row>
    <row r="6174" spans="5:5" x14ac:dyDescent="0.25">
      <c r="E6174"/>
    </row>
    <row r="6175" spans="5:5" x14ac:dyDescent="0.25">
      <c r="E6175"/>
    </row>
    <row r="6176" spans="5:5" x14ac:dyDescent="0.25">
      <c r="E6176"/>
    </row>
    <row r="6177" spans="5:5" x14ac:dyDescent="0.25">
      <c r="E6177"/>
    </row>
    <row r="6178" spans="5:5" x14ac:dyDescent="0.25">
      <c r="E6178"/>
    </row>
    <row r="6179" spans="5:5" x14ac:dyDescent="0.25">
      <c r="E6179"/>
    </row>
    <row r="6180" spans="5:5" x14ac:dyDescent="0.25">
      <c r="E6180"/>
    </row>
    <row r="6181" spans="5:5" x14ac:dyDescent="0.25">
      <c r="E6181"/>
    </row>
    <row r="6182" spans="5:5" x14ac:dyDescent="0.25">
      <c r="E6182"/>
    </row>
    <row r="6183" spans="5:5" x14ac:dyDescent="0.25">
      <c r="E6183"/>
    </row>
    <row r="6184" spans="5:5" x14ac:dyDescent="0.25">
      <c r="E6184"/>
    </row>
    <row r="6185" spans="5:5" x14ac:dyDescent="0.25">
      <c r="E6185"/>
    </row>
    <row r="6186" spans="5:5" x14ac:dyDescent="0.25">
      <c r="E6186"/>
    </row>
    <row r="6187" spans="5:5" x14ac:dyDescent="0.25">
      <c r="E6187"/>
    </row>
    <row r="6188" spans="5:5" x14ac:dyDescent="0.25">
      <c r="E6188"/>
    </row>
    <row r="6189" spans="5:5" x14ac:dyDescent="0.25">
      <c r="E6189"/>
    </row>
    <row r="6190" spans="5:5" x14ac:dyDescent="0.25">
      <c r="E6190"/>
    </row>
    <row r="6191" spans="5:5" x14ac:dyDescent="0.25">
      <c r="E6191"/>
    </row>
    <row r="6192" spans="5:5" x14ac:dyDescent="0.25">
      <c r="E6192"/>
    </row>
    <row r="6193" spans="5:5" x14ac:dyDescent="0.25">
      <c r="E6193"/>
    </row>
    <row r="6194" spans="5:5" x14ac:dyDescent="0.25">
      <c r="E6194"/>
    </row>
    <row r="6195" spans="5:5" x14ac:dyDescent="0.25">
      <c r="E6195"/>
    </row>
    <row r="6196" spans="5:5" x14ac:dyDescent="0.25">
      <c r="E6196"/>
    </row>
    <row r="6197" spans="5:5" x14ac:dyDescent="0.25">
      <c r="E6197"/>
    </row>
    <row r="6198" spans="5:5" x14ac:dyDescent="0.25">
      <c r="E6198"/>
    </row>
    <row r="6199" spans="5:5" x14ac:dyDescent="0.25">
      <c r="E6199"/>
    </row>
    <row r="6200" spans="5:5" x14ac:dyDescent="0.25">
      <c r="E6200"/>
    </row>
    <row r="6201" spans="5:5" x14ac:dyDescent="0.25">
      <c r="E6201"/>
    </row>
    <row r="6202" spans="5:5" x14ac:dyDescent="0.25">
      <c r="E6202"/>
    </row>
    <row r="6203" spans="5:5" x14ac:dyDescent="0.25">
      <c r="E6203"/>
    </row>
    <row r="6204" spans="5:5" x14ac:dyDescent="0.25">
      <c r="E6204"/>
    </row>
    <row r="6205" spans="5:5" x14ac:dyDescent="0.25">
      <c r="E6205"/>
    </row>
    <row r="6206" spans="5:5" x14ac:dyDescent="0.25">
      <c r="E6206"/>
    </row>
    <row r="6207" spans="5:5" x14ac:dyDescent="0.25">
      <c r="E6207"/>
    </row>
    <row r="6208" spans="5:5" x14ac:dyDescent="0.25">
      <c r="E6208"/>
    </row>
    <row r="6209" spans="5:5" x14ac:dyDescent="0.25">
      <c r="E6209"/>
    </row>
    <row r="6210" spans="5:5" x14ac:dyDescent="0.25">
      <c r="E6210"/>
    </row>
    <row r="6211" spans="5:5" x14ac:dyDescent="0.25">
      <c r="E6211"/>
    </row>
    <row r="6212" spans="5:5" x14ac:dyDescent="0.25">
      <c r="E6212"/>
    </row>
    <row r="6213" spans="5:5" x14ac:dyDescent="0.25">
      <c r="E6213"/>
    </row>
    <row r="6214" spans="5:5" x14ac:dyDescent="0.25">
      <c r="E6214"/>
    </row>
    <row r="6215" spans="5:5" x14ac:dyDescent="0.25">
      <c r="E6215"/>
    </row>
    <row r="6216" spans="5:5" x14ac:dyDescent="0.25">
      <c r="E6216"/>
    </row>
    <row r="6217" spans="5:5" x14ac:dyDescent="0.25">
      <c r="E6217"/>
    </row>
    <row r="6218" spans="5:5" x14ac:dyDescent="0.25">
      <c r="E6218"/>
    </row>
    <row r="6219" spans="5:5" x14ac:dyDescent="0.25">
      <c r="E6219"/>
    </row>
    <row r="6220" spans="5:5" x14ac:dyDescent="0.25">
      <c r="E6220"/>
    </row>
    <row r="6221" spans="5:5" x14ac:dyDescent="0.25">
      <c r="E6221"/>
    </row>
    <row r="6222" spans="5:5" x14ac:dyDescent="0.25">
      <c r="E6222"/>
    </row>
    <row r="6223" spans="5:5" x14ac:dyDescent="0.25">
      <c r="E6223"/>
    </row>
    <row r="6224" spans="5:5" x14ac:dyDescent="0.25">
      <c r="E6224"/>
    </row>
    <row r="6225" spans="5:5" x14ac:dyDescent="0.25">
      <c r="E6225"/>
    </row>
    <row r="6226" spans="5:5" x14ac:dyDescent="0.25">
      <c r="E6226"/>
    </row>
    <row r="6227" spans="5:5" x14ac:dyDescent="0.25">
      <c r="E6227"/>
    </row>
    <row r="6228" spans="5:5" x14ac:dyDescent="0.25">
      <c r="E6228"/>
    </row>
    <row r="6229" spans="5:5" x14ac:dyDescent="0.25">
      <c r="E6229"/>
    </row>
    <row r="6230" spans="5:5" x14ac:dyDescent="0.25">
      <c r="E6230"/>
    </row>
    <row r="6231" spans="5:5" x14ac:dyDescent="0.25">
      <c r="E6231"/>
    </row>
    <row r="6232" spans="5:5" x14ac:dyDescent="0.25">
      <c r="E6232"/>
    </row>
    <row r="6233" spans="5:5" x14ac:dyDescent="0.25">
      <c r="E6233"/>
    </row>
    <row r="6234" spans="5:5" x14ac:dyDescent="0.25">
      <c r="E6234"/>
    </row>
    <row r="6235" spans="5:5" x14ac:dyDescent="0.25">
      <c r="E6235"/>
    </row>
    <row r="6236" spans="5:5" x14ac:dyDescent="0.25">
      <c r="E6236"/>
    </row>
    <row r="6237" spans="5:5" x14ac:dyDescent="0.25">
      <c r="E6237"/>
    </row>
    <row r="6238" spans="5:5" x14ac:dyDescent="0.25">
      <c r="E6238"/>
    </row>
    <row r="6239" spans="5:5" x14ac:dyDescent="0.25">
      <c r="E6239"/>
    </row>
    <row r="6240" spans="5:5" x14ac:dyDescent="0.25">
      <c r="E6240"/>
    </row>
    <row r="6241" spans="5:5" x14ac:dyDescent="0.25">
      <c r="E6241"/>
    </row>
    <row r="6242" spans="5:5" x14ac:dyDescent="0.25">
      <c r="E6242"/>
    </row>
    <row r="6243" spans="5:5" x14ac:dyDescent="0.25">
      <c r="E6243"/>
    </row>
    <row r="6244" spans="5:5" x14ac:dyDescent="0.25">
      <c r="E6244"/>
    </row>
    <row r="6245" spans="5:5" x14ac:dyDescent="0.25">
      <c r="E6245"/>
    </row>
    <row r="6246" spans="5:5" x14ac:dyDescent="0.25">
      <c r="E6246"/>
    </row>
    <row r="6247" spans="5:5" x14ac:dyDescent="0.25">
      <c r="E6247"/>
    </row>
    <row r="6248" spans="5:5" x14ac:dyDescent="0.25">
      <c r="E6248"/>
    </row>
    <row r="6249" spans="5:5" x14ac:dyDescent="0.25">
      <c r="E6249"/>
    </row>
    <row r="6250" spans="5:5" x14ac:dyDescent="0.25">
      <c r="E6250"/>
    </row>
    <row r="6251" spans="5:5" x14ac:dyDescent="0.25">
      <c r="E6251"/>
    </row>
    <row r="6252" spans="5:5" x14ac:dyDescent="0.25">
      <c r="E6252"/>
    </row>
    <row r="6253" spans="5:5" x14ac:dyDescent="0.25">
      <c r="E6253"/>
    </row>
    <row r="6254" spans="5:5" x14ac:dyDescent="0.25">
      <c r="E6254"/>
    </row>
    <row r="6255" spans="5:5" x14ac:dyDescent="0.25">
      <c r="E6255"/>
    </row>
    <row r="6256" spans="5:5" x14ac:dyDescent="0.25">
      <c r="E6256"/>
    </row>
    <row r="6257" spans="5:5" x14ac:dyDescent="0.25">
      <c r="E6257"/>
    </row>
    <row r="6258" spans="5:5" x14ac:dyDescent="0.25">
      <c r="E6258"/>
    </row>
    <row r="6259" spans="5:5" x14ac:dyDescent="0.25">
      <c r="E6259"/>
    </row>
    <row r="6260" spans="5:5" x14ac:dyDescent="0.25">
      <c r="E6260"/>
    </row>
    <row r="6261" spans="5:5" x14ac:dyDescent="0.25">
      <c r="E6261"/>
    </row>
    <row r="6262" spans="5:5" x14ac:dyDescent="0.25">
      <c r="E6262"/>
    </row>
    <row r="6263" spans="5:5" x14ac:dyDescent="0.25">
      <c r="E6263"/>
    </row>
    <row r="6264" spans="5:5" x14ac:dyDescent="0.25">
      <c r="E6264"/>
    </row>
    <row r="6265" spans="5:5" x14ac:dyDescent="0.25">
      <c r="E6265"/>
    </row>
    <row r="6266" spans="5:5" x14ac:dyDescent="0.25">
      <c r="E6266"/>
    </row>
    <row r="6267" spans="5:5" x14ac:dyDescent="0.25">
      <c r="E6267"/>
    </row>
    <row r="6268" spans="5:5" x14ac:dyDescent="0.25">
      <c r="E6268"/>
    </row>
    <row r="6269" spans="5:5" x14ac:dyDescent="0.25">
      <c r="E6269"/>
    </row>
    <row r="6270" spans="5:5" x14ac:dyDescent="0.25">
      <c r="E6270"/>
    </row>
    <row r="6271" spans="5:5" x14ac:dyDescent="0.25">
      <c r="E6271"/>
    </row>
    <row r="6272" spans="5:5" x14ac:dyDescent="0.25">
      <c r="E6272"/>
    </row>
    <row r="6273" spans="5:5" x14ac:dyDescent="0.25">
      <c r="E6273"/>
    </row>
    <row r="6274" spans="5:5" x14ac:dyDescent="0.25">
      <c r="E6274"/>
    </row>
    <row r="6275" spans="5:5" x14ac:dyDescent="0.25">
      <c r="E6275"/>
    </row>
    <row r="6276" spans="5:5" x14ac:dyDescent="0.25">
      <c r="E6276"/>
    </row>
    <row r="6277" spans="5:5" x14ac:dyDescent="0.25">
      <c r="E6277"/>
    </row>
    <row r="6278" spans="5:5" x14ac:dyDescent="0.25">
      <c r="E6278"/>
    </row>
    <row r="6279" spans="5:5" x14ac:dyDescent="0.25">
      <c r="E6279"/>
    </row>
    <row r="6280" spans="5:5" x14ac:dyDescent="0.25">
      <c r="E6280"/>
    </row>
    <row r="6281" spans="5:5" x14ac:dyDescent="0.25">
      <c r="E6281"/>
    </row>
    <row r="6282" spans="5:5" x14ac:dyDescent="0.25">
      <c r="E6282"/>
    </row>
    <row r="6283" spans="5:5" x14ac:dyDescent="0.25">
      <c r="E6283"/>
    </row>
    <row r="6284" spans="5:5" x14ac:dyDescent="0.25">
      <c r="E6284"/>
    </row>
    <row r="6285" spans="5:5" x14ac:dyDescent="0.25">
      <c r="E6285"/>
    </row>
    <row r="6286" spans="5:5" x14ac:dyDescent="0.25">
      <c r="E6286"/>
    </row>
    <row r="6287" spans="5:5" x14ac:dyDescent="0.25">
      <c r="E6287"/>
    </row>
    <row r="6288" spans="5:5" x14ac:dyDescent="0.25">
      <c r="E6288"/>
    </row>
    <row r="6289" spans="5:5" x14ac:dyDescent="0.25">
      <c r="E6289"/>
    </row>
    <row r="6290" spans="5:5" x14ac:dyDescent="0.25">
      <c r="E6290"/>
    </row>
    <row r="6291" spans="5:5" x14ac:dyDescent="0.25">
      <c r="E6291"/>
    </row>
    <row r="6292" spans="5:5" x14ac:dyDescent="0.25">
      <c r="E6292"/>
    </row>
    <row r="6293" spans="5:5" x14ac:dyDescent="0.25">
      <c r="E6293"/>
    </row>
    <row r="6294" spans="5:5" x14ac:dyDescent="0.25">
      <c r="E6294"/>
    </row>
    <row r="6295" spans="5:5" x14ac:dyDescent="0.25">
      <c r="E6295"/>
    </row>
    <row r="6296" spans="5:5" x14ac:dyDescent="0.25">
      <c r="E6296"/>
    </row>
    <row r="6297" spans="5:5" x14ac:dyDescent="0.25">
      <c r="E6297"/>
    </row>
    <row r="6298" spans="5:5" x14ac:dyDescent="0.25">
      <c r="E6298"/>
    </row>
    <row r="6299" spans="5:5" x14ac:dyDescent="0.25">
      <c r="E6299"/>
    </row>
    <row r="6300" spans="5:5" x14ac:dyDescent="0.25">
      <c r="E6300"/>
    </row>
    <row r="6301" spans="5:5" x14ac:dyDescent="0.25">
      <c r="E6301"/>
    </row>
    <row r="6302" spans="5:5" x14ac:dyDescent="0.25">
      <c r="E6302"/>
    </row>
    <row r="6303" spans="5:5" x14ac:dyDescent="0.25">
      <c r="E6303"/>
    </row>
    <row r="6304" spans="5:5" x14ac:dyDescent="0.25">
      <c r="E6304"/>
    </row>
    <row r="6305" spans="5:5" x14ac:dyDescent="0.25">
      <c r="E6305"/>
    </row>
    <row r="6306" spans="5:5" x14ac:dyDescent="0.25">
      <c r="E6306"/>
    </row>
    <row r="6307" spans="5:5" x14ac:dyDescent="0.25">
      <c r="E6307"/>
    </row>
    <row r="6308" spans="5:5" x14ac:dyDescent="0.25">
      <c r="E6308"/>
    </row>
    <row r="6309" spans="5:5" x14ac:dyDescent="0.25">
      <c r="E6309"/>
    </row>
    <row r="6310" spans="5:5" x14ac:dyDescent="0.25">
      <c r="E6310"/>
    </row>
    <row r="6311" spans="5:5" x14ac:dyDescent="0.25">
      <c r="E6311"/>
    </row>
    <row r="6312" spans="5:5" x14ac:dyDescent="0.25">
      <c r="E6312"/>
    </row>
    <row r="6313" spans="5:5" x14ac:dyDescent="0.25">
      <c r="E6313"/>
    </row>
    <row r="6314" spans="5:5" x14ac:dyDescent="0.25">
      <c r="E6314"/>
    </row>
    <row r="6315" spans="5:5" x14ac:dyDescent="0.25">
      <c r="E6315"/>
    </row>
    <row r="6316" spans="5:5" x14ac:dyDescent="0.25">
      <c r="E6316"/>
    </row>
    <row r="6317" spans="5:5" x14ac:dyDescent="0.25">
      <c r="E6317"/>
    </row>
    <row r="6318" spans="5:5" x14ac:dyDescent="0.25">
      <c r="E6318"/>
    </row>
    <row r="6319" spans="5:5" x14ac:dyDescent="0.25">
      <c r="E6319"/>
    </row>
    <row r="6320" spans="5:5" x14ac:dyDescent="0.25">
      <c r="E6320"/>
    </row>
    <row r="6321" spans="5:5" x14ac:dyDescent="0.25">
      <c r="E6321"/>
    </row>
    <row r="6322" spans="5:5" x14ac:dyDescent="0.25">
      <c r="E6322"/>
    </row>
    <row r="6323" spans="5:5" x14ac:dyDescent="0.25">
      <c r="E6323"/>
    </row>
    <row r="6324" spans="5:5" x14ac:dyDescent="0.25">
      <c r="E6324"/>
    </row>
    <row r="6325" spans="5:5" x14ac:dyDescent="0.25">
      <c r="E6325"/>
    </row>
    <row r="6326" spans="5:5" x14ac:dyDescent="0.25">
      <c r="E6326"/>
    </row>
    <row r="6327" spans="5:5" x14ac:dyDescent="0.25">
      <c r="E6327"/>
    </row>
    <row r="6328" spans="5:5" x14ac:dyDescent="0.25">
      <c r="E6328"/>
    </row>
    <row r="6329" spans="5:5" x14ac:dyDescent="0.25">
      <c r="E6329"/>
    </row>
    <row r="6330" spans="5:5" x14ac:dyDescent="0.25">
      <c r="E6330"/>
    </row>
    <row r="6331" spans="5:5" x14ac:dyDescent="0.25">
      <c r="E6331"/>
    </row>
    <row r="6332" spans="5:5" x14ac:dyDescent="0.25">
      <c r="E6332"/>
    </row>
    <row r="6333" spans="5:5" x14ac:dyDescent="0.25">
      <c r="E6333"/>
    </row>
    <row r="6334" spans="5:5" x14ac:dyDescent="0.25">
      <c r="E6334"/>
    </row>
    <row r="6335" spans="5:5" x14ac:dyDescent="0.25">
      <c r="E6335"/>
    </row>
    <row r="6336" spans="5:5" x14ac:dyDescent="0.25">
      <c r="E6336"/>
    </row>
    <row r="6337" spans="5:5" x14ac:dyDescent="0.25">
      <c r="E6337"/>
    </row>
    <row r="6338" spans="5:5" x14ac:dyDescent="0.25">
      <c r="E6338"/>
    </row>
    <row r="6339" spans="5:5" x14ac:dyDescent="0.25">
      <c r="E6339"/>
    </row>
    <row r="6340" spans="5:5" x14ac:dyDescent="0.25">
      <c r="E6340"/>
    </row>
    <row r="6341" spans="5:5" x14ac:dyDescent="0.25">
      <c r="E6341"/>
    </row>
    <row r="6342" spans="5:5" x14ac:dyDescent="0.25">
      <c r="E6342"/>
    </row>
    <row r="6343" spans="5:5" x14ac:dyDescent="0.25">
      <c r="E6343"/>
    </row>
    <row r="6344" spans="5:5" x14ac:dyDescent="0.25">
      <c r="E6344"/>
    </row>
    <row r="6345" spans="5:5" x14ac:dyDescent="0.25">
      <c r="E6345"/>
    </row>
    <row r="6346" spans="5:5" x14ac:dyDescent="0.25">
      <c r="E6346"/>
    </row>
    <row r="6347" spans="5:5" x14ac:dyDescent="0.25">
      <c r="E6347"/>
    </row>
    <row r="6348" spans="5:5" x14ac:dyDescent="0.25">
      <c r="E6348"/>
    </row>
    <row r="6349" spans="5:5" x14ac:dyDescent="0.25">
      <c r="E6349"/>
    </row>
    <row r="6350" spans="5:5" x14ac:dyDescent="0.25">
      <c r="E6350"/>
    </row>
    <row r="6351" spans="5:5" x14ac:dyDescent="0.25">
      <c r="E6351"/>
    </row>
    <row r="6352" spans="5:5" x14ac:dyDescent="0.25">
      <c r="E6352"/>
    </row>
    <row r="6353" spans="5:5" x14ac:dyDescent="0.25">
      <c r="E6353"/>
    </row>
    <row r="6354" spans="5:5" x14ac:dyDescent="0.25">
      <c r="E6354"/>
    </row>
    <row r="6355" spans="5:5" x14ac:dyDescent="0.25">
      <c r="E6355"/>
    </row>
    <row r="6356" spans="5:5" x14ac:dyDescent="0.25">
      <c r="E6356"/>
    </row>
    <row r="6357" spans="5:5" x14ac:dyDescent="0.25">
      <c r="E6357"/>
    </row>
    <row r="6358" spans="5:5" x14ac:dyDescent="0.25">
      <c r="E6358"/>
    </row>
    <row r="6359" spans="5:5" x14ac:dyDescent="0.25">
      <c r="E6359"/>
    </row>
    <row r="6360" spans="5:5" x14ac:dyDescent="0.25">
      <c r="E6360"/>
    </row>
    <row r="6361" spans="5:5" x14ac:dyDescent="0.25">
      <c r="E6361"/>
    </row>
    <row r="6362" spans="5:5" x14ac:dyDescent="0.25">
      <c r="E6362"/>
    </row>
    <row r="6363" spans="5:5" x14ac:dyDescent="0.25">
      <c r="E6363"/>
    </row>
    <row r="6364" spans="5:5" x14ac:dyDescent="0.25">
      <c r="E6364"/>
    </row>
    <row r="6365" spans="5:5" x14ac:dyDescent="0.25">
      <c r="E6365"/>
    </row>
    <row r="6366" spans="5:5" x14ac:dyDescent="0.25">
      <c r="E6366"/>
    </row>
    <row r="6367" spans="5:5" x14ac:dyDescent="0.25">
      <c r="E6367"/>
    </row>
    <row r="6368" spans="5:5" x14ac:dyDescent="0.25">
      <c r="E6368"/>
    </row>
    <row r="6369" spans="5:5" x14ac:dyDescent="0.25">
      <c r="E6369"/>
    </row>
    <row r="6370" spans="5:5" x14ac:dyDescent="0.25">
      <c r="E6370"/>
    </row>
    <row r="6371" spans="5:5" x14ac:dyDescent="0.25">
      <c r="E6371"/>
    </row>
    <row r="6372" spans="5:5" x14ac:dyDescent="0.25">
      <c r="E6372"/>
    </row>
    <row r="6373" spans="5:5" x14ac:dyDescent="0.25">
      <c r="E6373"/>
    </row>
    <row r="6374" spans="5:5" x14ac:dyDescent="0.25">
      <c r="E6374"/>
    </row>
    <row r="6375" spans="5:5" x14ac:dyDescent="0.25">
      <c r="E6375"/>
    </row>
    <row r="6376" spans="5:5" x14ac:dyDescent="0.25">
      <c r="E6376"/>
    </row>
    <row r="6377" spans="5:5" x14ac:dyDescent="0.25">
      <c r="E6377"/>
    </row>
    <row r="6378" spans="5:5" x14ac:dyDescent="0.25">
      <c r="E6378"/>
    </row>
    <row r="6379" spans="5:5" x14ac:dyDescent="0.25">
      <c r="E6379"/>
    </row>
    <row r="6380" spans="5:5" x14ac:dyDescent="0.25">
      <c r="E6380"/>
    </row>
    <row r="6381" spans="5:5" x14ac:dyDescent="0.25">
      <c r="E6381"/>
    </row>
    <row r="6382" spans="5:5" x14ac:dyDescent="0.25">
      <c r="E6382"/>
    </row>
    <row r="6383" spans="5:5" x14ac:dyDescent="0.25">
      <c r="E6383"/>
    </row>
    <row r="6384" spans="5:5" x14ac:dyDescent="0.25">
      <c r="E6384"/>
    </row>
    <row r="6385" spans="5:5" x14ac:dyDescent="0.25">
      <c r="E6385"/>
    </row>
    <row r="6386" spans="5:5" x14ac:dyDescent="0.25">
      <c r="E6386"/>
    </row>
    <row r="6387" spans="5:5" x14ac:dyDescent="0.25">
      <c r="E6387"/>
    </row>
    <row r="6388" spans="5:5" x14ac:dyDescent="0.25">
      <c r="E6388"/>
    </row>
    <row r="6389" spans="5:5" x14ac:dyDescent="0.25">
      <c r="E6389"/>
    </row>
    <row r="6390" spans="5:5" x14ac:dyDescent="0.25">
      <c r="E6390"/>
    </row>
    <row r="6391" spans="5:5" x14ac:dyDescent="0.25">
      <c r="E6391"/>
    </row>
    <row r="6392" spans="5:5" x14ac:dyDescent="0.25">
      <c r="E6392"/>
    </row>
    <row r="6393" spans="5:5" x14ac:dyDescent="0.25">
      <c r="E6393"/>
    </row>
    <row r="6394" spans="5:5" x14ac:dyDescent="0.25">
      <c r="E6394"/>
    </row>
    <row r="6395" spans="5:5" x14ac:dyDescent="0.25">
      <c r="E6395"/>
    </row>
    <row r="6396" spans="5:5" x14ac:dyDescent="0.25">
      <c r="E6396"/>
    </row>
    <row r="6397" spans="5:5" x14ac:dyDescent="0.25">
      <c r="E6397"/>
    </row>
    <row r="6398" spans="5:5" x14ac:dyDescent="0.25">
      <c r="E6398"/>
    </row>
    <row r="6399" spans="5:5" x14ac:dyDescent="0.25">
      <c r="E6399"/>
    </row>
    <row r="6400" spans="5:5" x14ac:dyDescent="0.25">
      <c r="E6400"/>
    </row>
    <row r="6401" spans="5:5" x14ac:dyDescent="0.25">
      <c r="E6401"/>
    </row>
    <row r="6402" spans="5:5" x14ac:dyDescent="0.25">
      <c r="E6402"/>
    </row>
    <row r="6403" spans="5:5" x14ac:dyDescent="0.25">
      <c r="E6403"/>
    </row>
    <row r="6404" spans="5:5" x14ac:dyDescent="0.25">
      <c r="E6404"/>
    </row>
    <row r="6405" spans="5:5" x14ac:dyDescent="0.25">
      <c r="E6405"/>
    </row>
    <row r="6406" spans="5:5" x14ac:dyDescent="0.25">
      <c r="E6406"/>
    </row>
    <row r="6407" spans="5:5" x14ac:dyDescent="0.25">
      <c r="E6407"/>
    </row>
    <row r="6408" spans="5:5" x14ac:dyDescent="0.25">
      <c r="E6408"/>
    </row>
    <row r="6409" spans="5:5" x14ac:dyDescent="0.25">
      <c r="E6409"/>
    </row>
    <row r="6410" spans="5:5" x14ac:dyDescent="0.25">
      <c r="E6410"/>
    </row>
    <row r="6411" spans="5:5" x14ac:dyDescent="0.25">
      <c r="E6411"/>
    </row>
    <row r="6412" spans="5:5" x14ac:dyDescent="0.25">
      <c r="E6412"/>
    </row>
    <row r="6413" spans="5:5" x14ac:dyDescent="0.25">
      <c r="E6413"/>
    </row>
    <row r="6414" spans="5:5" x14ac:dyDescent="0.25">
      <c r="E6414"/>
    </row>
    <row r="6415" spans="5:5" x14ac:dyDescent="0.25">
      <c r="E6415"/>
    </row>
    <row r="6416" spans="5:5" x14ac:dyDescent="0.25">
      <c r="E6416"/>
    </row>
    <row r="6417" spans="5:5" x14ac:dyDescent="0.25">
      <c r="E6417"/>
    </row>
    <row r="6418" spans="5:5" x14ac:dyDescent="0.25">
      <c r="E6418"/>
    </row>
    <row r="6419" spans="5:5" x14ac:dyDescent="0.25">
      <c r="E6419"/>
    </row>
    <row r="6420" spans="5:5" x14ac:dyDescent="0.25">
      <c r="E6420"/>
    </row>
    <row r="6421" spans="5:5" x14ac:dyDescent="0.25">
      <c r="E6421"/>
    </row>
    <row r="6422" spans="5:5" x14ac:dyDescent="0.25">
      <c r="E6422"/>
    </row>
    <row r="6423" spans="5:5" x14ac:dyDescent="0.25">
      <c r="E6423"/>
    </row>
    <row r="6424" spans="5:5" x14ac:dyDescent="0.25">
      <c r="E6424"/>
    </row>
    <row r="6425" spans="5:5" x14ac:dyDescent="0.25">
      <c r="E6425"/>
    </row>
    <row r="6426" spans="5:5" x14ac:dyDescent="0.25">
      <c r="E6426"/>
    </row>
    <row r="6427" spans="5:5" x14ac:dyDescent="0.25">
      <c r="E6427"/>
    </row>
    <row r="6428" spans="5:5" x14ac:dyDescent="0.25">
      <c r="E6428"/>
    </row>
    <row r="6429" spans="5:5" x14ac:dyDescent="0.25">
      <c r="E6429"/>
    </row>
    <row r="6430" spans="5:5" x14ac:dyDescent="0.25">
      <c r="E6430"/>
    </row>
    <row r="6431" spans="5:5" x14ac:dyDescent="0.25">
      <c r="E6431"/>
    </row>
    <row r="6432" spans="5:5" x14ac:dyDescent="0.25">
      <c r="E6432"/>
    </row>
    <row r="6433" spans="5:5" x14ac:dyDescent="0.25">
      <c r="E6433"/>
    </row>
    <row r="6434" spans="5:5" x14ac:dyDescent="0.25">
      <c r="E6434"/>
    </row>
    <row r="6435" spans="5:5" x14ac:dyDescent="0.25">
      <c r="E6435"/>
    </row>
    <row r="6436" spans="5:5" x14ac:dyDescent="0.25">
      <c r="E6436"/>
    </row>
    <row r="6437" spans="5:5" x14ac:dyDescent="0.25">
      <c r="E6437"/>
    </row>
    <row r="6438" spans="5:5" x14ac:dyDescent="0.25">
      <c r="E6438"/>
    </row>
    <row r="6439" spans="5:5" x14ac:dyDescent="0.25">
      <c r="E6439"/>
    </row>
    <row r="6440" spans="5:5" x14ac:dyDescent="0.25">
      <c r="E6440"/>
    </row>
    <row r="6441" spans="5:5" x14ac:dyDescent="0.25">
      <c r="E6441"/>
    </row>
    <row r="6442" spans="5:5" x14ac:dyDescent="0.25">
      <c r="E6442"/>
    </row>
    <row r="6443" spans="5:5" x14ac:dyDescent="0.25">
      <c r="E6443"/>
    </row>
    <row r="6444" spans="5:5" x14ac:dyDescent="0.25">
      <c r="E6444"/>
    </row>
    <row r="6445" spans="5:5" x14ac:dyDescent="0.25">
      <c r="E6445"/>
    </row>
    <row r="6446" spans="5:5" x14ac:dyDescent="0.25">
      <c r="E6446"/>
    </row>
    <row r="6447" spans="5:5" x14ac:dyDescent="0.25">
      <c r="E6447"/>
    </row>
    <row r="6448" spans="5:5" x14ac:dyDescent="0.25">
      <c r="E6448"/>
    </row>
    <row r="6449" spans="5:5" x14ac:dyDescent="0.25">
      <c r="E6449"/>
    </row>
    <row r="6450" spans="5:5" x14ac:dyDescent="0.25">
      <c r="E6450"/>
    </row>
    <row r="6451" spans="5:5" x14ac:dyDescent="0.25">
      <c r="E6451"/>
    </row>
    <row r="6452" spans="5:5" x14ac:dyDescent="0.25">
      <c r="E6452"/>
    </row>
    <row r="6453" spans="5:5" x14ac:dyDescent="0.25">
      <c r="E6453"/>
    </row>
    <row r="6454" spans="5:5" x14ac:dyDescent="0.25">
      <c r="E6454"/>
    </row>
    <row r="6455" spans="5:5" x14ac:dyDescent="0.25">
      <c r="E6455"/>
    </row>
    <row r="6456" spans="5:5" x14ac:dyDescent="0.25">
      <c r="E6456"/>
    </row>
    <row r="6457" spans="5:5" x14ac:dyDescent="0.25">
      <c r="E6457"/>
    </row>
    <row r="6458" spans="5:5" x14ac:dyDescent="0.25">
      <c r="E6458"/>
    </row>
    <row r="6459" spans="5:5" x14ac:dyDescent="0.25">
      <c r="E6459"/>
    </row>
    <row r="6460" spans="5:5" x14ac:dyDescent="0.25">
      <c r="E6460"/>
    </row>
    <row r="6461" spans="5:5" x14ac:dyDescent="0.25">
      <c r="E6461"/>
    </row>
    <row r="6462" spans="5:5" x14ac:dyDescent="0.25">
      <c r="E6462"/>
    </row>
    <row r="6463" spans="5:5" x14ac:dyDescent="0.25">
      <c r="E6463"/>
    </row>
    <row r="6464" spans="5:5" x14ac:dyDescent="0.25">
      <c r="E6464"/>
    </row>
    <row r="6465" spans="5:5" x14ac:dyDescent="0.25">
      <c r="E6465"/>
    </row>
    <row r="6466" spans="5:5" x14ac:dyDescent="0.25">
      <c r="E6466"/>
    </row>
    <row r="6467" spans="5:5" x14ac:dyDescent="0.25">
      <c r="E6467"/>
    </row>
    <row r="6468" spans="5:5" x14ac:dyDescent="0.25">
      <c r="E6468"/>
    </row>
    <row r="6469" spans="5:5" x14ac:dyDescent="0.25">
      <c r="E6469"/>
    </row>
    <row r="6470" spans="5:5" x14ac:dyDescent="0.25">
      <c r="E6470"/>
    </row>
    <row r="6471" spans="5:5" x14ac:dyDescent="0.25">
      <c r="E6471"/>
    </row>
    <row r="6472" spans="5:5" x14ac:dyDescent="0.25">
      <c r="E6472"/>
    </row>
    <row r="6473" spans="5:5" x14ac:dyDescent="0.25">
      <c r="E6473"/>
    </row>
    <row r="6474" spans="5:5" x14ac:dyDescent="0.25">
      <c r="E6474"/>
    </row>
    <row r="6475" spans="5:5" x14ac:dyDescent="0.25">
      <c r="E6475"/>
    </row>
    <row r="6476" spans="5:5" x14ac:dyDescent="0.25">
      <c r="E6476"/>
    </row>
    <row r="6477" spans="5:5" x14ac:dyDescent="0.25">
      <c r="E6477"/>
    </row>
    <row r="6478" spans="5:5" x14ac:dyDescent="0.25">
      <c r="E6478"/>
    </row>
    <row r="6479" spans="5:5" x14ac:dyDescent="0.25">
      <c r="E6479"/>
    </row>
    <row r="6480" spans="5:5" x14ac:dyDescent="0.25">
      <c r="E6480"/>
    </row>
    <row r="6481" spans="5:5" x14ac:dyDescent="0.25">
      <c r="E6481"/>
    </row>
    <row r="6482" spans="5:5" x14ac:dyDescent="0.25">
      <c r="E6482"/>
    </row>
    <row r="6483" spans="5:5" x14ac:dyDescent="0.25">
      <c r="E6483"/>
    </row>
    <row r="6484" spans="5:5" x14ac:dyDescent="0.25">
      <c r="E6484"/>
    </row>
    <row r="6485" spans="5:5" x14ac:dyDescent="0.25">
      <c r="E6485"/>
    </row>
    <row r="6486" spans="5:5" x14ac:dyDescent="0.25">
      <c r="E6486"/>
    </row>
    <row r="6487" spans="5:5" x14ac:dyDescent="0.25">
      <c r="E6487"/>
    </row>
    <row r="6488" spans="5:5" x14ac:dyDescent="0.25">
      <c r="E6488"/>
    </row>
    <row r="6489" spans="5:5" x14ac:dyDescent="0.25">
      <c r="E6489"/>
    </row>
    <row r="6490" spans="5:5" x14ac:dyDescent="0.25">
      <c r="E6490"/>
    </row>
    <row r="6491" spans="5:5" x14ac:dyDescent="0.25">
      <c r="E6491"/>
    </row>
    <row r="6492" spans="5:5" x14ac:dyDescent="0.25">
      <c r="E6492"/>
    </row>
    <row r="6493" spans="5:5" x14ac:dyDescent="0.25">
      <c r="E6493"/>
    </row>
    <row r="6494" spans="5:5" x14ac:dyDescent="0.25">
      <c r="E6494"/>
    </row>
    <row r="6495" spans="5:5" x14ac:dyDescent="0.25">
      <c r="E6495"/>
    </row>
    <row r="6496" spans="5:5" x14ac:dyDescent="0.25">
      <c r="E6496"/>
    </row>
    <row r="6497" spans="5:5" x14ac:dyDescent="0.25">
      <c r="E6497"/>
    </row>
    <row r="6498" spans="5:5" x14ac:dyDescent="0.25">
      <c r="E6498"/>
    </row>
    <row r="6499" spans="5:5" x14ac:dyDescent="0.25">
      <c r="E6499"/>
    </row>
    <row r="6500" spans="5:5" x14ac:dyDescent="0.25">
      <c r="E6500"/>
    </row>
    <row r="6501" spans="5:5" x14ac:dyDescent="0.25">
      <c r="E6501"/>
    </row>
    <row r="6502" spans="5:5" x14ac:dyDescent="0.25">
      <c r="E6502"/>
    </row>
    <row r="6503" spans="5:5" x14ac:dyDescent="0.25">
      <c r="E6503"/>
    </row>
    <row r="6504" spans="5:5" x14ac:dyDescent="0.25">
      <c r="E6504"/>
    </row>
    <row r="6505" spans="5:5" x14ac:dyDescent="0.25">
      <c r="E6505"/>
    </row>
    <row r="6506" spans="5:5" x14ac:dyDescent="0.25">
      <c r="E6506"/>
    </row>
    <row r="6507" spans="5:5" x14ac:dyDescent="0.25">
      <c r="E6507"/>
    </row>
    <row r="6508" spans="5:5" x14ac:dyDescent="0.25">
      <c r="E6508"/>
    </row>
    <row r="6509" spans="5:5" x14ac:dyDescent="0.25">
      <c r="E6509"/>
    </row>
    <row r="6510" spans="5:5" x14ac:dyDescent="0.25">
      <c r="E6510"/>
    </row>
    <row r="6511" spans="5:5" x14ac:dyDescent="0.25">
      <c r="E6511"/>
    </row>
    <row r="6512" spans="5:5" x14ac:dyDescent="0.25">
      <c r="E6512"/>
    </row>
    <row r="6513" spans="5:5" x14ac:dyDescent="0.25">
      <c r="E6513"/>
    </row>
    <row r="6514" spans="5:5" x14ac:dyDescent="0.25">
      <c r="E6514"/>
    </row>
    <row r="6515" spans="5:5" x14ac:dyDescent="0.25">
      <c r="E6515"/>
    </row>
    <row r="6516" spans="5:5" x14ac:dyDescent="0.25">
      <c r="E6516"/>
    </row>
    <row r="6517" spans="5:5" x14ac:dyDescent="0.25">
      <c r="E6517"/>
    </row>
    <row r="6518" spans="5:5" x14ac:dyDescent="0.25">
      <c r="E6518"/>
    </row>
    <row r="6519" spans="5:5" x14ac:dyDescent="0.25">
      <c r="E6519"/>
    </row>
    <row r="6520" spans="5:5" x14ac:dyDescent="0.25">
      <c r="E6520"/>
    </row>
    <row r="6521" spans="5:5" x14ac:dyDescent="0.25">
      <c r="E6521"/>
    </row>
    <row r="6522" spans="5:5" x14ac:dyDescent="0.25">
      <c r="E6522"/>
    </row>
    <row r="6523" spans="5:5" x14ac:dyDescent="0.25">
      <c r="E6523"/>
    </row>
    <row r="6524" spans="5:5" x14ac:dyDescent="0.25">
      <c r="E6524"/>
    </row>
    <row r="6525" spans="5:5" x14ac:dyDescent="0.25">
      <c r="E6525"/>
    </row>
    <row r="6526" spans="5:5" x14ac:dyDescent="0.25">
      <c r="E6526"/>
    </row>
    <row r="6527" spans="5:5" x14ac:dyDescent="0.25">
      <c r="E6527"/>
    </row>
    <row r="6528" spans="5:5" x14ac:dyDescent="0.25">
      <c r="E6528"/>
    </row>
    <row r="6529" spans="5:5" x14ac:dyDescent="0.25">
      <c r="E6529"/>
    </row>
    <row r="6530" spans="5:5" x14ac:dyDescent="0.25">
      <c r="E6530"/>
    </row>
    <row r="6531" spans="5:5" x14ac:dyDescent="0.25">
      <c r="E6531"/>
    </row>
    <row r="6532" spans="5:5" x14ac:dyDescent="0.25">
      <c r="E6532"/>
    </row>
    <row r="6533" spans="5:5" x14ac:dyDescent="0.25">
      <c r="E6533"/>
    </row>
    <row r="6534" spans="5:5" x14ac:dyDescent="0.25">
      <c r="E6534"/>
    </row>
    <row r="6535" spans="5:5" x14ac:dyDescent="0.25">
      <c r="E6535"/>
    </row>
    <row r="6536" spans="5:5" x14ac:dyDescent="0.25">
      <c r="E6536"/>
    </row>
    <row r="6537" spans="5:5" x14ac:dyDescent="0.25">
      <c r="E6537"/>
    </row>
    <row r="6538" spans="5:5" x14ac:dyDescent="0.25">
      <c r="E6538"/>
    </row>
    <row r="6539" spans="5:5" x14ac:dyDescent="0.25">
      <c r="E6539"/>
    </row>
    <row r="6540" spans="5:5" x14ac:dyDescent="0.25">
      <c r="E6540"/>
    </row>
    <row r="6541" spans="5:5" x14ac:dyDescent="0.25">
      <c r="E6541"/>
    </row>
    <row r="6542" spans="5:5" x14ac:dyDescent="0.25">
      <c r="E6542"/>
    </row>
    <row r="6543" spans="5:5" x14ac:dyDescent="0.25">
      <c r="E6543"/>
    </row>
    <row r="6544" spans="5:5" x14ac:dyDescent="0.25">
      <c r="E6544"/>
    </row>
    <row r="6545" spans="5:5" x14ac:dyDescent="0.25">
      <c r="E6545"/>
    </row>
    <row r="6546" spans="5:5" x14ac:dyDescent="0.25">
      <c r="E6546"/>
    </row>
    <row r="6547" spans="5:5" x14ac:dyDescent="0.25">
      <c r="E6547"/>
    </row>
    <row r="6548" spans="5:5" x14ac:dyDescent="0.25">
      <c r="E6548"/>
    </row>
    <row r="6549" spans="5:5" x14ac:dyDescent="0.25">
      <c r="E6549"/>
    </row>
    <row r="6550" spans="5:5" x14ac:dyDescent="0.25">
      <c r="E6550"/>
    </row>
    <row r="6551" spans="5:5" x14ac:dyDescent="0.25">
      <c r="E6551"/>
    </row>
    <row r="6552" spans="5:5" x14ac:dyDescent="0.25">
      <c r="E6552"/>
    </row>
    <row r="6553" spans="5:5" x14ac:dyDescent="0.25">
      <c r="E6553"/>
    </row>
    <row r="6554" spans="5:5" x14ac:dyDescent="0.25">
      <c r="E6554"/>
    </row>
    <row r="6555" spans="5:5" x14ac:dyDescent="0.25">
      <c r="E6555"/>
    </row>
    <row r="6556" spans="5:5" x14ac:dyDescent="0.25">
      <c r="E6556"/>
    </row>
    <row r="6557" spans="5:5" x14ac:dyDescent="0.25">
      <c r="E6557"/>
    </row>
    <row r="6558" spans="5:5" x14ac:dyDescent="0.25">
      <c r="E6558"/>
    </row>
    <row r="6559" spans="5:5" x14ac:dyDescent="0.25">
      <c r="E6559"/>
    </row>
    <row r="6560" spans="5:5" x14ac:dyDescent="0.25">
      <c r="E6560"/>
    </row>
    <row r="6561" spans="5:5" x14ac:dyDescent="0.25">
      <c r="E6561"/>
    </row>
    <row r="6562" spans="5:5" x14ac:dyDescent="0.25">
      <c r="E6562"/>
    </row>
    <row r="6563" spans="5:5" x14ac:dyDescent="0.25">
      <c r="E6563"/>
    </row>
    <row r="6564" spans="5:5" x14ac:dyDescent="0.25">
      <c r="E6564"/>
    </row>
    <row r="6565" spans="5:5" x14ac:dyDescent="0.25">
      <c r="E6565"/>
    </row>
    <row r="6566" spans="5:5" x14ac:dyDescent="0.25">
      <c r="E6566"/>
    </row>
    <row r="6567" spans="5:5" x14ac:dyDescent="0.25">
      <c r="E6567"/>
    </row>
    <row r="6568" spans="5:5" x14ac:dyDescent="0.25">
      <c r="E6568"/>
    </row>
    <row r="6569" spans="5:5" x14ac:dyDescent="0.25">
      <c r="E6569"/>
    </row>
    <row r="6570" spans="5:5" x14ac:dyDescent="0.25">
      <c r="E6570"/>
    </row>
    <row r="6571" spans="5:5" x14ac:dyDescent="0.25">
      <c r="E6571"/>
    </row>
    <row r="6572" spans="5:5" x14ac:dyDescent="0.25">
      <c r="E6572"/>
    </row>
    <row r="6573" spans="5:5" x14ac:dyDescent="0.25">
      <c r="E6573"/>
    </row>
    <row r="6574" spans="5:5" x14ac:dyDescent="0.25">
      <c r="E6574"/>
    </row>
    <row r="6575" spans="5:5" x14ac:dyDescent="0.25">
      <c r="E6575"/>
    </row>
    <row r="6576" spans="5:5" x14ac:dyDescent="0.25">
      <c r="E6576"/>
    </row>
    <row r="6577" spans="5:5" x14ac:dyDescent="0.25">
      <c r="E6577"/>
    </row>
    <row r="6578" spans="5:5" x14ac:dyDescent="0.25">
      <c r="E6578"/>
    </row>
    <row r="6579" spans="5:5" x14ac:dyDescent="0.25">
      <c r="E6579"/>
    </row>
    <row r="6580" spans="5:5" x14ac:dyDescent="0.25">
      <c r="E6580"/>
    </row>
    <row r="6581" spans="5:5" x14ac:dyDescent="0.25">
      <c r="E6581"/>
    </row>
    <row r="6582" spans="5:5" x14ac:dyDescent="0.25">
      <c r="E6582"/>
    </row>
    <row r="6583" spans="5:5" x14ac:dyDescent="0.25">
      <c r="E6583"/>
    </row>
    <row r="6584" spans="5:5" x14ac:dyDescent="0.25">
      <c r="E6584"/>
    </row>
    <row r="6585" spans="5:5" x14ac:dyDescent="0.25">
      <c r="E6585"/>
    </row>
    <row r="6586" spans="5:5" x14ac:dyDescent="0.25">
      <c r="E6586"/>
    </row>
    <row r="6587" spans="5:5" x14ac:dyDescent="0.25">
      <c r="E6587"/>
    </row>
    <row r="6588" spans="5:5" x14ac:dyDescent="0.25">
      <c r="E6588"/>
    </row>
    <row r="6589" spans="5:5" x14ac:dyDescent="0.25">
      <c r="E6589"/>
    </row>
    <row r="6590" spans="5:5" x14ac:dyDescent="0.25">
      <c r="E6590"/>
    </row>
    <row r="6591" spans="5:5" x14ac:dyDescent="0.25">
      <c r="E6591"/>
    </row>
    <row r="6592" spans="5:5" x14ac:dyDescent="0.25">
      <c r="E6592"/>
    </row>
    <row r="6593" spans="5:5" x14ac:dyDescent="0.25">
      <c r="E6593"/>
    </row>
    <row r="6594" spans="5:5" x14ac:dyDescent="0.25">
      <c r="E6594"/>
    </row>
    <row r="6595" spans="5:5" x14ac:dyDescent="0.25">
      <c r="E6595"/>
    </row>
    <row r="6596" spans="5:5" x14ac:dyDescent="0.25">
      <c r="E6596"/>
    </row>
    <row r="6597" spans="5:5" x14ac:dyDescent="0.25">
      <c r="E6597"/>
    </row>
    <row r="6598" spans="5:5" x14ac:dyDescent="0.25">
      <c r="E6598"/>
    </row>
    <row r="6599" spans="5:5" x14ac:dyDescent="0.25">
      <c r="E6599"/>
    </row>
    <row r="6600" spans="5:5" x14ac:dyDescent="0.25">
      <c r="E6600"/>
    </row>
    <row r="6601" spans="5:5" x14ac:dyDescent="0.25">
      <c r="E6601"/>
    </row>
    <row r="6602" spans="5:5" x14ac:dyDescent="0.25">
      <c r="E6602"/>
    </row>
    <row r="6603" spans="5:5" x14ac:dyDescent="0.25">
      <c r="E6603"/>
    </row>
    <row r="6604" spans="5:5" x14ac:dyDescent="0.25">
      <c r="E6604"/>
    </row>
    <row r="6605" spans="5:5" x14ac:dyDescent="0.25">
      <c r="E6605"/>
    </row>
    <row r="6606" spans="5:5" x14ac:dyDescent="0.25">
      <c r="E6606"/>
    </row>
    <row r="6607" spans="5:5" x14ac:dyDescent="0.25">
      <c r="E6607"/>
    </row>
    <row r="6608" spans="5:5" x14ac:dyDescent="0.25">
      <c r="E6608"/>
    </row>
    <row r="6609" spans="5:5" x14ac:dyDescent="0.25">
      <c r="E6609"/>
    </row>
    <row r="6610" spans="5:5" x14ac:dyDescent="0.25">
      <c r="E6610"/>
    </row>
    <row r="6611" spans="5:5" x14ac:dyDescent="0.25">
      <c r="E6611"/>
    </row>
    <row r="6612" spans="5:5" x14ac:dyDescent="0.25">
      <c r="E6612"/>
    </row>
    <row r="6613" spans="5:5" x14ac:dyDescent="0.25">
      <c r="E6613"/>
    </row>
    <row r="6614" spans="5:5" x14ac:dyDescent="0.25">
      <c r="E6614"/>
    </row>
    <row r="6615" spans="5:5" x14ac:dyDescent="0.25">
      <c r="E6615"/>
    </row>
    <row r="6616" spans="5:5" x14ac:dyDescent="0.25">
      <c r="E6616"/>
    </row>
    <row r="6617" spans="5:5" x14ac:dyDescent="0.25">
      <c r="E6617"/>
    </row>
    <row r="6618" spans="5:5" x14ac:dyDescent="0.25">
      <c r="E6618"/>
    </row>
    <row r="6619" spans="5:5" x14ac:dyDescent="0.25">
      <c r="E6619"/>
    </row>
    <row r="6620" spans="5:5" x14ac:dyDescent="0.25">
      <c r="E6620"/>
    </row>
    <row r="6621" spans="5:5" x14ac:dyDescent="0.25">
      <c r="E6621"/>
    </row>
    <row r="6622" spans="5:5" x14ac:dyDescent="0.25">
      <c r="E6622"/>
    </row>
    <row r="6623" spans="5:5" x14ac:dyDescent="0.25">
      <c r="E6623"/>
    </row>
    <row r="6624" spans="5:5" x14ac:dyDescent="0.25">
      <c r="E6624"/>
    </row>
    <row r="6625" spans="5:5" x14ac:dyDescent="0.25">
      <c r="E6625"/>
    </row>
    <row r="6626" spans="5:5" x14ac:dyDescent="0.25">
      <c r="E6626"/>
    </row>
    <row r="6627" spans="5:5" x14ac:dyDescent="0.25">
      <c r="E6627"/>
    </row>
    <row r="6628" spans="5:5" x14ac:dyDescent="0.25">
      <c r="E6628"/>
    </row>
    <row r="6629" spans="5:5" x14ac:dyDescent="0.25">
      <c r="E6629"/>
    </row>
    <row r="6630" spans="5:5" x14ac:dyDescent="0.25">
      <c r="E6630"/>
    </row>
    <row r="6631" spans="5:5" x14ac:dyDescent="0.25">
      <c r="E6631"/>
    </row>
    <row r="6632" spans="5:5" x14ac:dyDescent="0.25">
      <c r="E6632"/>
    </row>
    <row r="6633" spans="5:5" x14ac:dyDescent="0.25">
      <c r="E6633"/>
    </row>
    <row r="6634" spans="5:5" x14ac:dyDescent="0.25">
      <c r="E6634"/>
    </row>
    <row r="6635" spans="5:5" x14ac:dyDescent="0.25">
      <c r="E6635"/>
    </row>
    <row r="6636" spans="5:5" x14ac:dyDescent="0.25">
      <c r="E6636"/>
    </row>
    <row r="6637" spans="5:5" x14ac:dyDescent="0.25">
      <c r="E6637"/>
    </row>
    <row r="6638" spans="5:5" x14ac:dyDescent="0.25">
      <c r="E6638"/>
    </row>
    <row r="6639" spans="5:5" x14ac:dyDescent="0.25">
      <c r="E6639"/>
    </row>
    <row r="6640" spans="5:5" x14ac:dyDescent="0.25">
      <c r="E6640"/>
    </row>
    <row r="6641" spans="5:5" x14ac:dyDescent="0.25">
      <c r="E6641"/>
    </row>
    <row r="6642" spans="5:5" x14ac:dyDescent="0.25">
      <c r="E6642"/>
    </row>
    <row r="6643" spans="5:5" x14ac:dyDescent="0.25">
      <c r="E6643"/>
    </row>
    <row r="6644" spans="5:5" x14ac:dyDescent="0.25">
      <c r="E6644"/>
    </row>
    <row r="6645" spans="5:5" x14ac:dyDescent="0.25">
      <c r="E6645"/>
    </row>
    <row r="6646" spans="5:5" x14ac:dyDescent="0.25">
      <c r="E6646"/>
    </row>
    <row r="6647" spans="5:5" x14ac:dyDescent="0.25">
      <c r="E6647"/>
    </row>
    <row r="6648" spans="5:5" x14ac:dyDescent="0.25">
      <c r="E6648"/>
    </row>
    <row r="6649" spans="5:5" x14ac:dyDescent="0.25">
      <c r="E6649"/>
    </row>
    <row r="6650" spans="5:5" x14ac:dyDescent="0.25">
      <c r="E6650"/>
    </row>
    <row r="6651" spans="5:5" x14ac:dyDescent="0.25">
      <c r="E6651"/>
    </row>
    <row r="6652" spans="5:5" x14ac:dyDescent="0.25">
      <c r="E6652"/>
    </row>
    <row r="6653" spans="5:5" x14ac:dyDescent="0.25">
      <c r="E6653"/>
    </row>
    <row r="6654" spans="5:5" x14ac:dyDescent="0.25">
      <c r="E6654"/>
    </row>
    <row r="6655" spans="5:5" x14ac:dyDescent="0.25">
      <c r="E6655"/>
    </row>
    <row r="6656" spans="5:5" x14ac:dyDescent="0.25">
      <c r="E6656"/>
    </row>
    <row r="6657" spans="5:5" x14ac:dyDescent="0.25">
      <c r="E6657"/>
    </row>
    <row r="6658" spans="5:5" x14ac:dyDescent="0.25">
      <c r="E6658"/>
    </row>
    <row r="6659" spans="5:5" x14ac:dyDescent="0.25">
      <c r="E6659"/>
    </row>
    <row r="6660" spans="5:5" x14ac:dyDescent="0.25">
      <c r="E6660"/>
    </row>
    <row r="6661" spans="5:5" x14ac:dyDescent="0.25">
      <c r="E6661"/>
    </row>
    <row r="6662" spans="5:5" x14ac:dyDescent="0.25">
      <c r="E6662"/>
    </row>
    <row r="6663" spans="5:5" x14ac:dyDescent="0.25">
      <c r="E6663"/>
    </row>
    <row r="6664" spans="5:5" x14ac:dyDescent="0.25">
      <c r="E6664"/>
    </row>
    <row r="6665" spans="5:5" x14ac:dyDescent="0.25">
      <c r="E6665"/>
    </row>
    <row r="6666" spans="5:5" x14ac:dyDescent="0.25">
      <c r="E6666"/>
    </row>
    <row r="6667" spans="5:5" x14ac:dyDescent="0.25">
      <c r="E6667"/>
    </row>
    <row r="6668" spans="5:5" x14ac:dyDescent="0.25">
      <c r="E6668"/>
    </row>
    <row r="6669" spans="5:5" x14ac:dyDescent="0.25">
      <c r="E6669"/>
    </row>
    <row r="6670" spans="5:5" x14ac:dyDescent="0.25">
      <c r="E6670"/>
    </row>
    <row r="6671" spans="5:5" x14ac:dyDescent="0.25">
      <c r="E6671"/>
    </row>
    <row r="6672" spans="5:5" x14ac:dyDescent="0.25">
      <c r="E6672"/>
    </row>
    <row r="6673" spans="5:5" x14ac:dyDescent="0.25">
      <c r="E6673"/>
    </row>
    <row r="6674" spans="5:5" x14ac:dyDescent="0.25">
      <c r="E6674"/>
    </row>
    <row r="6675" spans="5:5" x14ac:dyDescent="0.25">
      <c r="E6675"/>
    </row>
    <row r="6676" spans="5:5" x14ac:dyDescent="0.25">
      <c r="E6676"/>
    </row>
    <row r="6677" spans="5:5" x14ac:dyDescent="0.25">
      <c r="E6677"/>
    </row>
    <row r="6678" spans="5:5" x14ac:dyDescent="0.25">
      <c r="E6678"/>
    </row>
    <row r="6679" spans="5:5" x14ac:dyDescent="0.25">
      <c r="E6679"/>
    </row>
    <row r="6680" spans="5:5" x14ac:dyDescent="0.25">
      <c r="E6680"/>
    </row>
    <row r="6681" spans="5:5" x14ac:dyDescent="0.25">
      <c r="E6681"/>
    </row>
    <row r="6682" spans="5:5" x14ac:dyDescent="0.25">
      <c r="E6682"/>
    </row>
    <row r="6683" spans="5:5" x14ac:dyDescent="0.25">
      <c r="E6683"/>
    </row>
    <row r="6684" spans="5:5" x14ac:dyDescent="0.25">
      <c r="E6684"/>
    </row>
    <row r="6685" spans="5:5" x14ac:dyDescent="0.25">
      <c r="E6685"/>
    </row>
    <row r="6686" spans="5:5" x14ac:dyDescent="0.25">
      <c r="E6686"/>
    </row>
    <row r="6687" spans="5:5" x14ac:dyDescent="0.25">
      <c r="E6687"/>
    </row>
    <row r="6688" spans="5:5" x14ac:dyDescent="0.25">
      <c r="E6688"/>
    </row>
    <row r="6689" spans="5:5" x14ac:dyDescent="0.25">
      <c r="E6689"/>
    </row>
    <row r="6690" spans="5:5" x14ac:dyDescent="0.25">
      <c r="E6690"/>
    </row>
    <row r="6691" spans="5:5" x14ac:dyDescent="0.25">
      <c r="E6691"/>
    </row>
    <row r="6692" spans="5:5" x14ac:dyDescent="0.25">
      <c r="E6692"/>
    </row>
    <row r="6693" spans="5:5" x14ac:dyDescent="0.25">
      <c r="E6693"/>
    </row>
    <row r="6694" spans="5:5" x14ac:dyDescent="0.25">
      <c r="E6694"/>
    </row>
    <row r="6695" spans="5:5" x14ac:dyDescent="0.25">
      <c r="E6695"/>
    </row>
    <row r="6696" spans="5:5" x14ac:dyDescent="0.25">
      <c r="E6696"/>
    </row>
    <row r="6697" spans="5:5" x14ac:dyDescent="0.25">
      <c r="E6697"/>
    </row>
    <row r="6698" spans="5:5" x14ac:dyDescent="0.25">
      <c r="E6698"/>
    </row>
    <row r="6699" spans="5:5" x14ac:dyDescent="0.25">
      <c r="E6699"/>
    </row>
    <row r="6700" spans="5:5" x14ac:dyDescent="0.25">
      <c r="E6700"/>
    </row>
    <row r="6701" spans="5:5" x14ac:dyDescent="0.25">
      <c r="E6701"/>
    </row>
    <row r="6702" spans="5:5" x14ac:dyDescent="0.25">
      <c r="E6702"/>
    </row>
    <row r="6703" spans="5:5" x14ac:dyDescent="0.25">
      <c r="E6703"/>
    </row>
    <row r="6704" spans="5:5" x14ac:dyDescent="0.25">
      <c r="E6704"/>
    </row>
    <row r="6705" spans="5:5" x14ac:dyDescent="0.25">
      <c r="E6705"/>
    </row>
    <row r="6706" spans="5:5" x14ac:dyDescent="0.25">
      <c r="E6706"/>
    </row>
    <row r="6707" spans="5:5" x14ac:dyDescent="0.25">
      <c r="E6707"/>
    </row>
    <row r="6708" spans="5:5" x14ac:dyDescent="0.25">
      <c r="E6708"/>
    </row>
    <row r="6709" spans="5:5" x14ac:dyDescent="0.25">
      <c r="E6709"/>
    </row>
    <row r="6710" spans="5:5" x14ac:dyDescent="0.25">
      <c r="E6710"/>
    </row>
    <row r="6711" spans="5:5" x14ac:dyDescent="0.25">
      <c r="E6711"/>
    </row>
    <row r="6712" spans="5:5" x14ac:dyDescent="0.25">
      <c r="E6712"/>
    </row>
    <row r="6713" spans="5:5" x14ac:dyDescent="0.25">
      <c r="E6713"/>
    </row>
    <row r="6714" spans="5:5" x14ac:dyDescent="0.25">
      <c r="E6714"/>
    </row>
    <row r="6715" spans="5:5" x14ac:dyDescent="0.25">
      <c r="E6715"/>
    </row>
    <row r="6716" spans="5:5" x14ac:dyDescent="0.25">
      <c r="E6716"/>
    </row>
    <row r="6717" spans="5:5" x14ac:dyDescent="0.25">
      <c r="E6717"/>
    </row>
    <row r="6718" spans="5:5" x14ac:dyDescent="0.25">
      <c r="E6718"/>
    </row>
    <row r="6719" spans="5:5" x14ac:dyDescent="0.25">
      <c r="E6719"/>
    </row>
    <row r="6720" spans="5:5" x14ac:dyDescent="0.25">
      <c r="E6720"/>
    </row>
    <row r="6721" spans="5:5" x14ac:dyDescent="0.25">
      <c r="E6721"/>
    </row>
    <row r="6722" spans="5:5" x14ac:dyDescent="0.25">
      <c r="E6722"/>
    </row>
    <row r="6723" spans="5:5" x14ac:dyDescent="0.25">
      <c r="E6723"/>
    </row>
    <row r="6724" spans="5:5" x14ac:dyDescent="0.25">
      <c r="E6724"/>
    </row>
    <row r="6725" spans="5:5" x14ac:dyDescent="0.25">
      <c r="E6725"/>
    </row>
    <row r="6726" spans="5:5" x14ac:dyDescent="0.25">
      <c r="E6726"/>
    </row>
    <row r="6727" spans="5:5" x14ac:dyDescent="0.25">
      <c r="E6727"/>
    </row>
    <row r="6728" spans="5:5" x14ac:dyDescent="0.25">
      <c r="E6728"/>
    </row>
    <row r="6729" spans="5:5" x14ac:dyDescent="0.25">
      <c r="E6729"/>
    </row>
    <row r="6730" spans="5:5" x14ac:dyDescent="0.25">
      <c r="E6730"/>
    </row>
    <row r="6731" spans="5:5" x14ac:dyDescent="0.25">
      <c r="E6731"/>
    </row>
    <row r="6732" spans="5:5" x14ac:dyDescent="0.25">
      <c r="E6732"/>
    </row>
    <row r="6733" spans="5:5" x14ac:dyDescent="0.25">
      <c r="E6733"/>
    </row>
    <row r="6734" spans="5:5" x14ac:dyDescent="0.25">
      <c r="E6734"/>
    </row>
    <row r="6735" spans="5:5" x14ac:dyDescent="0.25">
      <c r="E6735"/>
    </row>
    <row r="6736" spans="5:5" x14ac:dyDescent="0.25">
      <c r="E6736"/>
    </row>
    <row r="6737" spans="5:5" x14ac:dyDescent="0.25">
      <c r="E6737"/>
    </row>
    <row r="6738" spans="5:5" x14ac:dyDescent="0.25">
      <c r="E6738"/>
    </row>
    <row r="6739" spans="5:5" x14ac:dyDescent="0.25">
      <c r="E6739"/>
    </row>
    <row r="6740" spans="5:5" x14ac:dyDescent="0.25">
      <c r="E6740"/>
    </row>
    <row r="6741" spans="5:5" x14ac:dyDescent="0.25">
      <c r="E6741"/>
    </row>
    <row r="6742" spans="5:5" x14ac:dyDescent="0.25">
      <c r="E6742"/>
    </row>
    <row r="6743" spans="5:5" x14ac:dyDescent="0.25">
      <c r="E6743"/>
    </row>
    <row r="6744" spans="5:5" x14ac:dyDescent="0.25">
      <c r="E6744"/>
    </row>
    <row r="6745" spans="5:5" x14ac:dyDescent="0.25">
      <c r="E6745"/>
    </row>
    <row r="6746" spans="5:5" x14ac:dyDescent="0.25">
      <c r="E6746"/>
    </row>
    <row r="6747" spans="5:5" x14ac:dyDescent="0.25">
      <c r="E6747"/>
    </row>
    <row r="6748" spans="5:5" x14ac:dyDescent="0.25">
      <c r="E6748"/>
    </row>
    <row r="6749" spans="5:5" x14ac:dyDescent="0.25">
      <c r="E6749"/>
    </row>
    <row r="6750" spans="5:5" x14ac:dyDescent="0.25">
      <c r="E6750"/>
    </row>
    <row r="6751" spans="5:5" x14ac:dyDescent="0.25">
      <c r="E6751"/>
    </row>
    <row r="6752" spans="5:5" x14ac:dyDescent="0.25">
      <c r="E6752"/>
    </row>
    <row r="6753" spans="5:5" x14ac:dyDescent="0.25">
      <c r="E6753"/>
    </row>
    <row r="6754" spans="5:5" x14ac:dyDescent="0.25">
      <c r="E6754"/>
    </row>
    <row r="6755" spans="5:5" x14ac:dyDescent="0.25">
      <c r="E6755"/>
    </row>
    <row r="6756" spans="5:5" x14ac:dyDescent="0.25">
      <c r="E6756"/>
    </row>
    <row r="6757" spans="5:5" x14ac:dyDescent="0.25">
      <c r="E6757"/>
    </row>
    <row r="6758" spans="5:5" x14ac:dyDescent="0.25">
      <c r="E6758"/>
    </row>
    <row r="6759" spans="5:5" x14ac:dyDescent="0.25">
      <c r="E6759"/>
    </row>
    <row r="6760" spans="5:5" x14ac:dyDescent="0.25">
      <c r="E6760"/>
    </row>
    <row r="6761" spans="5:5" x14ac:dyDescent="0.25">
      <c r="E6761"/>
    </row>
    <row r="6762" spans="5:5" x14ac:dyDescent="0.25">
      <c r="E6762"/>
    </row>
    <row r="6763" spans="5:5" x14ac:dyDescent="0.25">
      <c r="E6763"/>
    </row>
    <row r="6764" spans="5:5" x14ac:dyDescent="0.25">
      <c r="E6764"/>
    </row>
    <row r="6765" spans="5:5" x14ac:dyDescent="0.25">
      <c r="E6765"/>
    </row>
    <row r="6766" spans="5:5" x14ac:dyDescent="0.25">
      <c r="E6766"/>
    </row>
    <row r="6767" spans="5:5" x14ac:dyDescent="0.25">
      <c r="E6767"/>
    </row>
    <row r="6768" spans="5:5" x14ac:dyDescent="0.25">
      <c r="E6768"/>
    </row>
    <row r="6769" spans="5:5" x14ac:dyDescent="0.25">
      <c r="E6769"/>
    </row>
    <row r="6770" spans="5:5" x14ac:dyDescent="0.25">
      <c r="E6770"/>
    </row>
    <row r="6771" spans="5:5" x14ac:dyDescent="0.25">
      <c r="E6771"/>
    </row>
    <row r="6772" spans="5:5" x14ac:dyDescent="0.25">
      <c r="E6772"/>
    </row>
    <row r="6773" spans="5:5" x14ac:dyDescent="0.25">
      <c r="E6773"/>
    </row>
    <row r="6774" spans="5:5" x14ac:dyDescent="0.25">
      <c r="E6774"/>
    </row>
    <row r="6775" spans="5:5" x14ac:dyDescent="0.25">
      <c r="E6775"/>
    </row>
    <row r="6776" spans="5:5" x14ac:dyDescent="0.25">
      <c r="E6776"/>
    </row>
    <row r="6777" spans="5:5" x14ac:dyDescent="0.25">
      <c r="E6777"/>
    </row>
    <row r="6778" spans="5:5" x14ac:dyDescent="0.25">
      <c r="E6778"/>
    </row>
    <row r="6779" spans="5:5" x14ac:dyDescent="0.25">
      <c r="E6779"/>
    </row>
    <row r="6780" spans="5:5" x14ac:dyDescent="0.25">
      <c r="E6780"/>
    </row>
    <row r="6781" spans="5:5" x14ac:dyDescent="0.25">
      <c r="E6781"/>
    </row>
    <row r="6782" spans="5:5" x14ac:dyDescent="0.25">
      <c r="E6782"/>
    </row>
    <row r="6783" spans="5:5" x14ac:dyDescent="0.25">
      <c r="E6783"/>
    </row>
    <row r="6784" spans="5:5" x14ac:dyDescent="0.25">
      <c r="E6784"/>
    </row>
    <row r="6785" spans="5:5" x14ac:dyDescent="0.25">
      <c r="E6785"/>
    </row>
    <row r="6786" spans="5:5" x14ac:dyDescent="0.25">
      <c r="E6786"/>
    </row>
    <row r="6787" spans="5:5" x14ac:dyDescent="0.25">
      <c r="E6787"/>
    </row>
    <row r="6788" spans="5:5" x14ac:dyDescent="0.25">
      <c r="E6788"/>
    </row>
    <row r="6789" spans="5:5" x14ac:dyDescent="0.25">
      <c r="E6789"/>
    </row>
    <row r="6790" spans="5:5" x14ac:dyDescent="0.25">
      <c r="E6790"/>
    </row>
    <row r="6791" spans="5:5" x14ac:dyDescent="0.25">
      <c r="E6791"/>
    </row>
    <row r="6792" spans="5:5" x14ac:dyDescent="0.25">
      <c r="E6792"/>
    </row>
    <row r="6793" spans="5:5" x14ac:dyDescent="0.25">
      <c r="E6793"/>
    </row>
    <row r="6794" spans="5:5" x14ac:dyDescent="0.25">
      <c r="E6794"/>
    </row>
    <row r="6795" spans="5:5" x14ac:dyDescent="0.25">
      <c r="E6795"/>
    </row>
    <row r="6796" spans="5:5" x14ac:dyDescent="0.25">
      <c r="E6796"/>
    </row>
    <row r="6797" spans="5:5" x14ac:dyDescent="0.25">
      <c r="E6797"/>
    </row>
    <row r="6798" spans="5:5" x14ac:dyDescent="0.25">
      <c r="E6798"/>
    </row>
    <row r="6799" spans="5:5" x14ac:dyDescent="0.25">
      <c r="E6799"/>
    </row>
    <row r="6800" spans="5:5" x14ac:dyDescent="0.25">
      <c r="E6800"/>
    </row>
    <row r="6801" spans="5:5" x14ac:dyDescent="0.25">
      <c r="E6801"/>
    </row>
    <row r="6802" spans="5:5" x14ac:dyDescent="0.25">
      <c r="E6802"/>
    </row>
    <row r="6803" spans="5:5" x14ac:dyDescent="0.25">
      <c r="E6803"/>
    </row>
    <row r="6804" spans="5:5" x14ac:dyDescent="0.25">
      <c r="E6804"/>
    </row>
    <row r="6805" spans="5:5" x14ac:dyDescent="0.25">
      <c r="E6805"/>
    </row>
    <row r="6806" spans="5:5" x14ac:dyDescent="0.25">
      <c r="E6806"/>
    </row>
    <row r="6807" spans="5:5" x14ac:dyDescent="0.25">
      <c r="E6807"/>
    </row>
    <row r="6808" spans="5:5" x14ac:dyDescent="0.25">
      <c r="E6808"/>
    </row>
    <row r="6809" spans="5:5" x14ac:dyDescent="0.25">
      <c r="E6809"/>
    </row>
    <row r="6810" spans="5:5" x14ac:dyDescent="0.25">
      <c r="E6810"/>
    </row>
    <row r="6811" spans="5:5" x14ac:dyDescent="0.25">
      <c r="E6811"/>
    </row>
    <row r="6812" spans="5:5" x14ac:dyDescent="0.25">
      <c r="E6812"/>
    </row>
    <row r="6813" spans="5:5" x14ac:dyDescent="0.25">
      <c r="E6813"/>
    </row>
    <row r="6814" spans="5:5" x14ac:dyDescent="0.25">
      <c r="E6814"/>
    </row>
    <row r="6815" spans="5:5" x14ac:dyDescent="0.25">
      <c r="E6815"/>
    </row>
    <row r="6816" spans="5:5" x14ac:dyDescent="0.25">
      <c r="E6816"/>
    </row>
    <row r="6817" spans="5:5" x14ac:dyDescent="0.25">
      <c r="E6817"/>
    </row>
    <row r="6818" spans="5:5" x14ac:dyDescent="0.25">
      <c r="E6818"/>
    </row>
    <row r="6819" spans="5:5" x14ac:dyDescent="0.25">
      <c r="E6819"/>
    </row>
    <row r="6820" spans="5:5" x14ac:dyDescent="0.25">
      <c r="E6820"/>
    </row>
    <row r="6821" spans="5:5" x14ac:dyDescent="0.25">
      <c r="E6821"/>
    </row>
    <row r="6822" spans="5:5" x14ac:dyDescent="0.25">
      <c r="E6822"/>
    </row>
    <row r="6823" spans="5:5" x14ac:dyDescent="0.25">
      <c r="E6823"/>
    </row>
    <row r="6824" spans="5:5" x14ac:dyDescent="0.25">
      <c r="E6824"/>
    </row>
    <row r="6825" spans="5:5" x14ac:dyDescent="0.25">
      <c r="E6825"/>
    </row>
    <row r="6826" spans="5:5" x14ac:dyDescent="0.25">
      <c r="E6826"/>
    </row>
    <row r="6827" spans="5:5" x14ac:dyDescent="0.25">
      <c r="E6827"/>
    </row>
    <row r="6828" spans="5:5" x14ac:dyDescent="0.25">
      <c r="E6828"/>
    </row>
    <row r="6829" spans="5:5" x14ac:dyDescent="0.25">
      <c r="E6829"/>
    </row>
    <row r="6830" spans="5:5" x14ac:dyDescent="0.25">
      <c r="E6830"/>
    </row>
    <row r="6831" spans="5:5" x14ac:dyDescent="0.25">
      <c r="E6831"/>
    </row>
    <row r="6832" spans="5:5" x14ac:dyDescent="0.25">
      <c r="E6832"/>
    </row>
    <row r="6833" spans="5:5" x14ac:dyDescent="0.25">
      <c r="E6833"/>
    </row>
    <row r="6834" spans="5:5" x14ac:dyDescent="0.25">
      <c r="E6834"/>
    </row>
    <row r="6835" spans="5:5" x14ac:dyDescent="0.25">
      <c r="E6835"/>
    </row>
    <row r="6836" spans="5:5" x14ac:dyDescent="0.25">
      <c r="E6836"/>
    </row>
    <row r="6837" spans="5:5" x14ac:dyDescent="0.25">
      <c r="E6837"/>
    </row>
    <row r="6838" spans="5:5" x14ac:dyDescent="0.25">
      <c r="E6838"/>
    </row>
    <row r="6839" spans="5:5" x14ac:dyDescent="0.25">
      <c r="E6839"/>
    </row>
    <row r="6840" spans="5:5" x14ac:dyDescent="0.25">
      <c r="E6840"/>
    </row>
    <row r="6841" spans="5:5" x14ac:dyDescent="0.25">
      <c r="E6841"/>
    </row>
    <row r="6842" spans="5:5" x14ac:dyDescent="0.25">
      <c r="E6842"/>
    </row>
    <row r="6843" spans="5:5" x14ac:dyDescent="0.25">
      <c r="E6843"/>
    </row>
    <row r="6844" spans="5:5" x14ac:dyDescent="0.25">
      <c r="E6844"/>
    </row>
    <row r="6845" spans="5:5" x14ac:dyDescent="0.25">
      <c r="E6845"/>
    </row>
    <row r="6846" spans="5:5" x14ac:dyDescent="0.25">
      <c r="E6846"/>
    </row>
    <row r="6847" spans="5:5" x14ac:dyDescent="0.25">
      <c r="E6847"/>
    </row>
    <row r="6848" spans="5:5" x14ac:dyDescent="0.25">
      <c r="E6848"/>
    </row>
    <row r="6849" spans="5:5" x14ac:dyDescent="0.25">
      <c r="E6849"/>
    </row>
    <row r="6850" spans="5:5" x14ac:dyDescent="0.25">
      <c r="E6850"/>
    </row>
    <row r="6851" spans="5:5" x14ac:dyDescent="0.25">
      <c r="E6851"/>
    </row>
    <row r="6852" spans="5:5" x14ac:dyDescent="0.25">
      <c r="E6852"/>
    </row>
    <row r="6853" spans="5:5" x14ac:dyDescent="0.25">
      <c r="E6853"/>
    </row>
    <row r="6854" spans="5:5" x14ac:dyDescent="0.25">
      <c r="E6854"/>
    </row>
    <row r="6855" spans="5:5" x14ac:dyDescent="0.25">
      <c r="E6855"/>
    </row>
    <row r="6856" spans="5:5" x14ac:dyDescent="0.25">
      <c r="E6856"/>
    </row>
    <row r="6857" spans="5:5" x14ac:dyDescent="0.25">
      <c r="E6857"/>
    </row>
    <row r="6858" spans="5:5" x14ac:dyDescent="0.25">
      <c r="E6858"/>
    </row>
    <row r="6859" spans="5:5" x14ac:dyDescent="0.25">
      <c r="E6859"/>
    </row>
    <row r="6860" spans="5:5" x14ac:dyDescent="0.25">
      <c r="E6860"/>
    </row>
    <row r="6861" spans="5:5" x14ac:dyDescent="0.25">
      <c r="E6861"/>
    </row>
    <row r="6862" spans="5:5" x14ac:dyDescent="0.25">
      <c r="E6862"/>
    </row>
    <row r="6863" spans="5:5" x14ac:dyDescent="0.25">
      <c r="E6863"/>
    </row>
    <row r="6864" spans="5:5" x14ac:dyDescent="0.25">
      <c r="E6864"/>
    </row>
    <row r="6865" spans="5:5" x14ac:dyDescent="0.25">
      <c r="E6865"/>
    </row>
    <row r="6866" spans="5:5" x14ac:dyDescent="0.25">
      <c r="E6866"/>
    </row>
    <row r="6867" spans="5:5" x14ac:dyDescent="0.25">
      <c r="E6867"/>
    </row>
    <row r="6868" spans="5:5" x14ac:dyDescent="0.25">
      <c r="E6868"/>
    </row>
    <row r="6869" spans="5:5" x14ac:dyDescent="0.25">
      <c r="E6869"/>
    </row>
    <row r="6870" spans="5:5" x14ac:dyDescent="0.25">
      <c r="E6870"/>
    </row>
    <row r="6871" spans="5:5" x14ac:dyDescent="0.25">
      <c r="E6871"/>
    </row>
    <row r="6872" spans="5:5" x14ac:dyDescent="0.25">
      <c r="E6872"/>
    </row>
    <row r="6873" spans="5:5" x14ac:dyDescent="0.25">
      <c r="E6873"/>
    </row>
    <row r="6874" spans="5:5" x14ac:dyDescent="0.25">
      <c r="E6874"/>
    </row>
    <row r="6875" spans="5:5" x14ac:dyDescent="0.25">
      <c r="E6875"/>
    </row>
    <row r="6876" spans="5:5" x14ac:dyDescent="0.25">
      <c r="E6876"/>
    </row>
    <row r="6877" spans="5:5" x14ac:dyDescent="0.25">
      <c r="E6877"/>
    </row>
    <row r="6878" spans="5:5" x14ac:dyDescent="0.25">
      <c r="E6878"/>
    </row>
    <row r="6879" spans="5:5" x14ac:dyDescent="0.25">
      <c r="E6879"/>
    </row>
    <row r="6880" spans="5:5" x14ac:dyDescent="0.25">
      <c r="E6880"/>
    </row>
    <row r="6881" spans="5:5" x14ac:dyDescent="0.25">
      <c r="E6881"/>
    </row>
    <row r="6882" spans="5:5" x14ac:dyDescent="0.25">
      <c r="E6882"/>
    </row>
    <row r="6883" spans="5:5" x14ac:dyDescent="0.25">
      <c r="E6883"/>
    </row>
    <row r="6884" spans="5:5" x14ac:dyDescent="0.25">
      <c r="E6884"/>
    </row>
    <row r="6885" spans="5:5" x14ac:dyDescent="0.25">
      <c r="E6885"/>
    </row>
    <row r="6886" spans="5:5" x14ac:dyDescent="0.25">
      <c r="E6886"/>
    </row>
    <row r="6887" spans="5:5" x14ac:dyDescent="0.25">
      <c r="E6887"/>
    </row>
    <row r="6888" spans="5:5" x14ac:dyDescent="0.25">
      <c r="E6888"/>
    </row>
    <row r="6889" spans="5:5" x14ac:dyDescent="0.25">
      <c r="E6889"/>
    </row>
    <row r="6890" spans="5:5" x14ac:dyDescent="0.25">
      <c r="E6890"/>
    </row>
    <row r="6891" spans="5:5" x14ac:dyDescent="0.25">
      <c r="E6891"/>
    </row>
    <row r="6892" spans="5:5" x14ac:dyDescent="0.25">
      <c r="E6892"/>
    </row>
    <row r="6893" spans="5:5" x14ac:dyDescent="0.25">
      <c r="E6893"/>
    </row>
    <row r="6894" spans="5:5" x14ac:dyDescent="0.25">
      <c r="E6894"/>
    </row>
    <row r="6895" spans="5:5" x14ac:dyDescent="0.25">
      <c r="E6895"/>
    </row>
    <row r="6896" spans="5:5" x14ac:dyDescent="0.25">
      <c r="E6896"/>
    </row>
    <row r="6897" spans="5:5" x14ac:dyDescent="0.25">
      <c r="E6897"/>
    </row>
    <row r="6898" spans="5:5" x14ac:dyDescent="0.25">
      <c r="E6898"/>
    </row>
    <row r="6899" spans="5:5" x14ac:dyDescent="0.25">
      <c r="E6899"/>
    </row>
    <row r="6900" spans="5:5" x14ac:dyDescent="0.25">
      <c r="E6900"/>
    </row>
    <row r="6901" spans="5:5" x14ac:dyDescent="0.25">
      <c r="E6901"/>
    </row>
    <row r="6902" spans="5:5" x14ac:dyDescent="0.25">
      <c r="E6902"/>
    </row>
    <row r="6903" spans="5:5" x14ac:dyDescent="0.25">
      <c r="E6903"/>
    </row>
    <row r="6904" spans="5:5" x14ac:dyDescent="0.25">
      <c r="E6904"/>
    </row>
    <row r="6905" spans="5:5" x14ac:dyDescent="0.25">
      <c r="E6905"/>
    </row>
    <row r="6906" spans="5:5" x14ac:dyDescent="0.25">
      <c r="E6906"/>
    </row>
    <row r="6907" spans="5:5" x14ac:dyDescent="0.25">
      <c r="E6907"/>
    </row>
    <row r="6908" spans="5:5" x14ac:dyDescent="0.25">
      <c r="E6908"/>
    </row>
    <row r="6909" spans="5:5" x14ac:dyDescent="0.25">
      <c r="E6909"/>
    </row>
    <row r="6910" spans="5:5" x14ac:dyDescent="0.25">
      <c r="E6910"/>
    </row>
    <row r="6911" spans="5:5" x14ac:dyDescent="0.25">
      <c r="E6911"/>
    </row>
    <row r="6912" spans="5:5" x14ac:dyDescent="0.25">
      <c r="E6912"/>
    </row>
    <row r="6913" spans="5:5" x14ac:dyDescent="0.25">
      <c r="E6913"/>
    </row>
    <row r="6914" spans="5:5" x14ac:dyDescent="0.25">
      <c r="E6914"/>
    </row>
    <row r="6915" spans="5:5" x14ac:dyDescent="0.25">
      <c r="E6915"/>
    </row>
    <row r="6916" spans="5:5" x14ac:dyDescent="0.25">
      <c r="E6916"/>
    </row>
    <row r="6917" spans="5:5" x14ac:dyDescent="0.25">
      <c r="E6917"/>
    </row>
    <row r="6918" spans="5:5" x14ac:dyDescent="0.25">
      <c r="E6918"/>
    </row>
    <row r="6919" spans="5:5" x14ac:dyDescent="0.25">
      <c r="E6919"/>
    </row>
    <row r="6920" spans="5:5" x14ac:dyDescent="0.25">
      <c r="E6920"/>
    </row>
    <row r="6921" spans="5:5" x14ac:dyDescent="0.25">
      <c r="E6921"/>
    </row>
    <row r="6922" spans="5:5" x14ac:dyDescent="0.25">
      <c r="E6922"/>
    </row>
    <row r="6923" spans="5:5" x14ac:dyDescent="0.25">
      <c r="E6923"/>
    </row>
    <row r="6924" spans="5:5" x14ac:dyDescent="0.25">
      <c r="E6924"/>
    </row>
    <row r="6925" spans="5:5" x14ac:dyDescent="0.25">
      <c r="E6925"/>
    </row>
    <row r="6926" spans="5:5" x14ac:dyDescent="0.25">
      <c r="E6926"/>
    </row>
    <row r="6927" spans="5:5" x14ac:dyDescent="0.25">
      <c r="E6927"/>
    </row>
    <row r="6928" spans="5:5" x14ac:dyDescent="0.25">
      <c r="E6928"/>
    </row>
    <row r="6929" spans="5:5" x14ac:dyDescent="0.25">
      <c r="E6929"/>
    </row>
    <row r="6930" spans="5:5" x14ac:dyDescent="0.25">
      <c r="E6930"/>
    </row>
    <row r="6931" spans="5:5" x14ac:dyDescent="0.25">
      <c r="E6931"/>
    </row>
    <row r="6932" spans="5:5" x14ac:dyDescent="0.25">
      <c r="E6932"/>
    </row>
    <row r="6933" spans="5:5" x14ac:dyDescent="0.25">
      <c r="E6933"/>
    </row>
    <row r="6934" spans="5:5" x14ac:dyDescent="0.25">
      <c r="E6934"/>
    </row>
    <row r="6935" spans="5:5" x14ac:dyDescent="0.25">
      <c r="E6935"/>
    </row>
    <row r="6936" spans="5:5" x14ac:dyDescent="0.25">
      <c r="E6936"/>
    </row>
    <row r="6937" spans="5:5" x14ac:dyDescent="0.25">
      <c r="E6937"/>
    </row>
    <row r="6938" spans="5:5" x14ac:dyDescent="0.25">
      <c r="E6938"/>
    </row>
    <row r="6939" spans="5:5" x14ac:dyDescent="0.25">
      <c r="E6939"/>
    </row>
    <row r="6940" spans="5:5" x14ac:dyDescent="0.25">
      <c r="E6940"/>
    </row>
    <row r="6941" spans="5:5" x14ac:dyDescent="0.25">
      <c r="E6941"/>
    </row>
    <row r="6942" spans="5:5" x14ac:dyDescent="0.25">
      <c r="E6942"/>
    </row>
    <row r="6943" spans="5:5" x14ac:dyDescent="0.25">
      <c r="E6943"/>
    </row>
    <row r="6944" spans="5:5" x14ac:dyDescent="0.25">
      <c r="E6944"/>
    </row>
    <row r="6945" spans="5:5" x14ac:dyDescent="0.25">
      <c r="E6945"/>
    </row>
    <row r="6946" spans="5:5" x14ac:dyDescent="0.25">
      <c r="E6946"/>
    </row>
    <row r="6947" spans="5:5" x14ac:dyDescent="0.25">
      <c r="E6947"/>
    </row>
    <row r="6948" spans="5:5" x14ac:dyDescent="0.25">
      <c r="E6948"/>
    </row>
    <row r="6949" spans="5:5" x14ac:dyDescent="0.25">
      <c r="E6949"/>
    </row>
    <row r="6950" spans="5:5" x14ac:dyDescent="0.25">
      <c r="E6950"/>
    </row>
    <row r="6951" spans="5:5" x14ac:dyDescent="0.25">
      <c r="E6951"/>
    </row>
    <row r="6952" spans="5:5" x14ac:dyDescent="0.25">
      <c r="E6952"/>
    </row>
    <row r="6953" spans="5:5" x14ac:dyDescent="0.25">
      <c r="E6953"/>
    </row>
    <row r="6954" spans="5:5" x14ac:dyDescent="0.25">
      <c r="E6954"/>
    </row>
    <row r="6955" spans="5:5" x14ac:dyDescent="0.25">
      <c r="E6955"/>
    </row>
    <row r="6956" spans="5:5" x14ac:dyDescent="0.25">
      <c r="E6956"/>
    </row>
    <row r="6957" spans="5:5" x14ac:dyDescent="0.25">
      <c r="E6957"/>
    </row>
    <row r="6958" spans="5:5" x14ac:dyDescent="0.25">
      <c r="E6958"/>
    </row>
    <row r="6959" spans="5:5" x14ac:dyDescent="0.25">
      <c r="E6959"/>
    </row>
    <row r="6960" spans="5:5" x14ac:dyDescent="0.25">
      <c r="E6960"/>
    </row>
    <row r="6961" spans="5:5" x14ac:dyDescent="0.25">
      <c r="E6961"/>
    </row>
    <row r="6962" spans="5:5" x14ac:dyDescent="0.25">
      <c r="E6962"/>
    </row>
    <row r="6963" spans="5:5" x14ac:dyDescent="0.25">
      <c r="E6963"/>
    </row>
    <row r="6964" spans="5:5" x14ac:dyDescent="0.25">
      <c r="E6964"/>
    </row>
    <row r="6965" spans="5:5" x14ac:dyDescent="0.25">
      <c r="E6965"/>
    </row>
    <row r="6966" spans="5:5" x14ac:dyDescent="0.25">
      <c r="E6966"/>
    </row>
    <row r="6967" spans="5:5" x14ac:dyDescent="0.25">
      <c r="E6967"/>
    </row>
    <row r="6968" spans="5:5" x14ac:dyDescent="0.25">
      <c r="E6968"/>
    </row>
    <row r="6969" spans="5:5" x14ac:dyDescent="0.25">
      <c r="E6969"/>
    </row>
    <row r="6970" spans="5:5" x14ac:dyDescent="0.25">
      <c r="E6970"/>
    </row>
    <row r="6971" spans="5:5" x14ac:dyDescent="0.25">
      <c r="E6971"/>
    </row>
    <row r="6972" spans="5:5" x14ac:dyDescent="0.25">
      <c r="E6972"/>
    </row>
    <row r="6973" spans="5:5" x14ac:dyDescent="0.25">
      <c r="E6973"/>
    </row>
    <row r="6974" spans="5:5" x14ac:dyDescent="0.25">
      <c r="E6974"/>
    </row>
    <row r="6975" spans="5:5" x14ac:dyDescent="0.25">
      <c r="E6975"/>
    </row>
    <row r="6976" spans="5:5" x14ac:dyDescent="0.25">
      <c r="E6976"/>
    </row>
    <row r="6977" spans="5:5" x14ac:dyDescent="0.25">
      <c r="E6977"/>
    </row>
    <row r="6978" spans="5:5" x14ac:dyDescent="0.25">
      <c r="E6978"/>
    </row>
    <row r="6979" spans="5:5" x14ac:dyDescent="0.25">
      <c r="E6979"/>
    </row>
    <row r="6980" spans="5:5" x14ac:dyDescent="0.25">
      <c r="E6980"/>
    </row>
    <row r="6981" spans="5:5" x14ac:dyDescent="0.25">
      <c r="E6981"/>
    </row>
    <row r="6982" spans="5:5" x14ac:dyDescent="0.25">
      <c r="E6982"/>
    </row>
    <row r="6983" spans="5:5" x14ac:dyDescent="0.25">
      <c r="E6983"/>
    </row>
    <row r="6984" spans="5:5" x14ac:dyDescent="0.25">
      <c r="E6984"/>
    </row>
    <row r="6985" spans="5:5" x14ac:dyDescent="0.25">
      <c r="E6985"/>
    </row>
    <row r="6986" spans="5:5" x14ac:dyDescent="0.25">
      <c r="E6986"/>
    </row>
    <row r="6987" spans="5:5" x14ac:dyDescent="0.25">
      <c r="E6987"/>
    </row>
    <row r="6988" spans="5:5" x14ac:dyDescent="0.25">
      <c r="E6988"/>
    </row>
    <row r="6989" spans="5:5" x14ac:dyDescent="0.25">
      <c r="E6989"/>
    </row>
    <row r="6990" spans="5:5" x14ac:dyDescent="0.25">
      <c r="E6990"/>
    </row>
    <row r="6991" spans="5:5" x14ac:dyDescent="0.25">
      <c r="E6991"/>
    </row>
    <row r="6992" spans="5:5" x14ac:dyDescent="0.25">
      <c r="E6992"/>
    </row>
    <row r="6993" spans="5:5" x14ac:dyDescent="0.25">
      <c r="E6993"/>
    </row>
    <row r="6994" spans="5:5" x14ac:dyDescent="0.25">
      <c r="E6994"/>
    </row>
    <row r="6995" spans="5:5" x14ac:dyDescent="0.25">
      <c r="E6995"/>
    </row>
    <row r="6996" spans="5:5" x14ac:dyDescent="0.25">
      <c r="E6996"/>
    </row>
    <row r="6997" spans="5:5" x14ac:dyDescent="0.25">
      <c r="E6997"/>
    </row>
    <row r="6998" spans="5:5" x14ac:dyDescent="0.25">
      <c r="E6998"/>
    </row>
    <row r="6999" spans="5:5" x14ac:dyDescent="0.25">
      <c r="E6999"/>
    </row>
    <row r="7000" spans="5:5" x14ac:dyDescent="0.25">
      <c r="E7000"/>
    </row>
    <row r="7001" spans="5:5" x14ac:dyDescent="0.25">
      <c r="E7001"/>
    </row>
    <row r="7002" spans="5:5" x14ac:dyDescent="0.25">
      <c r="E7002"/>
    </row>
    <row r="7003" spans="5:5" x14ac:dyDescent="0.25">
      <c r="E7003"/>
    </row>
    <row r="7004" spans="5:5" x14ac:dyDescent="0.25">
      <c r="E7004"/>
    </row>
    <row r="7005" spans="5:5" x14ac:dyDescent="0.25">
      <c r="E7005"/>
    </row>
    <row r="7006" spans="5:5" x14ac:dyDescent="0.25">
      <c r="E7006"/>
    </row>
    <row r="7007" spans="5:5" x14ac:dyDescent="0.25">
      <c r="E7007"/>
    </row>
    <row r="7008" spans="5:5" x14ac:dyDescent="0.25">
      <c r="E7008"/>
    </row>
    <row r="7009" spans="5:5" x14ac:dyDescent="0.25">
      <c r="E7009"/>
    </row>
    <row r="7010" spans="5:5" x14ac:dyDescent="0.25">
      <c r="E7010"/>
    </row>
    <row r="7011" spans="5:5" x14ac:dyDescent="0.25">
      <c r="E7011"/>
    </row>
    <row r="7012" spans="5:5" x14ac:dyDescent="0.25">
      <c r="E7012"/>
    </row>
    <row r="7013" spans="5:5" x14ac:dyDescent="0.25">
      <c r="E7013"/>
    </row>
    <row r="7014" spans="5:5" x14ac:dyDescent="0.25">
      <c r="E7014"/>
    </row>
    <row r="7015" spans="5:5" x14ac:dyDescent="0.25">
      <c r="E7015"/>
    </row>
    <row r="7016" spans="5:5" x14ac:dyDescent="0.25">
      <c r="E7016"/>
    </row>
    <row r="7017" spans="5:5" x14ac:dyDescent="0.25">
      <c r="E7017"/>
    </row>
    <row r="7018" spans="5:5" x14ac:dyDescent="0.25">
      <c r="E7018"/>
    </row>
    <row r="7019" spans="5:5" x14ac:dyDescent="0.25">
      <c r="E7019"/>
    </row>
    <row r="7020" spans="5:5" x14ac:dyDescent="0.25">
      <c r="E7020"/>
    </row>
    <row r="7021" spans="5:5" x14ac:dyDescent="0.25">
      <c r="E7021"/>
    </row>
    <row r="7022" spans="5:5" x14ac:dyDescent="0.25">
      <c r="E7022"/>
    </row>
    <row r="7023" spans="5:5" x14ac:dyDescent="0.25">
      <c r="E7023"/>
    </row>
    <row r="7024" spans="5:5" x14ac:dyDescent="0.25">
      <c r="E7024"/>
    </row>
    <row r="7025" spans="5:5" x14ac:dyDescent="0.25">
      <c r="E7025"/>
    </row>
    <row r="7026" spans="5:5" x14ac:dyDescent="0.25">
      <c r="E7026"/>
    </row>
    <row r="7027" spans="5:5" x14ac:dyDescent="0.25">
      <c r="E7027"/>
    </row>
    <row r="7028" spans="5:5" x14ac:dyDescent="0.25">
      <c r="E7028"/>
    </row>
    <row r="7029" spans="5:5" x14ac:dyDescent="0.25">
      <c r="E7029"/>
    </row>
    <row r="7030" spans="5:5" x14ac:dyDescent="0.25">
      <c r="E7030"/>
    </row>
    <row r="7031" spans="5:5" x14ac:dyDescent="0.25">
      <c r="E7031"/>
    </row>
    <row r="7032" spans="5:5" x14ac:dyDescent="0.25">
      <c r="E7032"/>
    </row>
    <row r="7033" spans="5:5" x14ac:dyDescent="0.25">
      <c r="E7033"/>
    </row>
    <row r="7034" spans="5:5" x14ac:dyDescent="0.25">
      <c r="E7034"/>
    </row>
    <row r="7035" spans="5:5" x14ac:dyDescent="0.25">
      <c r="E7035"/>
    </row>
    <row r="7036" spans="5:5" x14ac:dyDescent="0.25">
      <c r="E7036"/>
    </row>
    <row r="7037" spans="5:5" x14ac:dyDescent="0.25">
      <c r="E7037"/>
    </row>
    <row r="7038" spans="5:5" x14ac:dyDescent="0.25">
      <c r="E7038"/>
    </row>
    <row r="7039" spans="5:5" x14ac:dyDescent="0.25">
      <c r="E7039"/>
    </row>
    <row r="7040" spans="5:5" x14ac:dyDescent="0.25">
      <c r="E7040"/>
    </row>
    <row r="7041" spans="5:5" x14ac:dyDescent="0.25">
      <c r="E7041"/>
    </row>
    <row r="7042" spans="5:5" x14ac:dyDescent="0.25">
      <c r="E7042"/>
    </row>
    <row r="7043" spans="5:5" x14ac:dyDescent="0.25">
      <c r="E7043"/>
    </row>
    <row r="7044" spans="5:5" x14ac:dyDescent="0.25">
      <c r="E7044"/>
    </row>
    <row r="7045" spans="5:5" x14ac:dyDescent="0.25">
      <c r="E7045"/>
    </row>
    <row r="7046" spans="5:5" x14ac:dyDescent="0.25">
      <c r="E7046"/>
    </row>
    <row r="7047" spans="5:5" x14ac:dyDescent="0.25">
      <c r="E7047"/>
    </row>
    <row r="7048" spans="5:5" x14ac:dyDescent="0.25">
      <c r="E7048"/>
    </row>
    <row r="7049" spans="5:5" x14ac:dyDescent="0.25">
      <c r="E7049"/>
    </row>
    <row r="7050" spans="5:5" x14ac:dyDescent="0.25">
      <c r="E7050"/>
    </row>
    <row r="7051" spans="5:5" x14ac:dyDescent="0.25">
      <c r="E7051"/>
    </row>
    <row r="7052" spans="5:5" x14ac:dyDescent="0.25">
      <c r="E7052"/>
    </row>
    <row r="7053" spans="5:5" x14ac:dyDescent="0.25">
      <c r="E7053"/>
    </row>
    <row r="7054" spans="5:5" x14ac:dyDescent="0.25">
      <c r="E7054"/>
    </row>
    <row r="7055" spans="5:5" x14ac:dyDescent="0.25">
      <c r="E7055"/>
    </row>
    <row r="7056" spans="5:5" x14ac:dyDescent="0.25">
      <c r="E7056"/>
    </row>
    <row r="7057" spans="5:5" x14ac:dyDescent="0.25">
      <c r="E7057"/>
    </row>
    <row r="7058" spans="5:5" x14ac:dyDescent="0.25">
      <c r="E7058"/>
    </row>
    <row r="7059" spans="5:5" x14ac:dyDescent="0.25">
      <c r="E7059"/>
    </row>
    <row r="7060" spans="5:5" x14ac:dyDescent="0.25">
      <c r="E7060"/>
    </row>
    <row r="7061" spans="5:5" x14ac:dyDescent="0.25">
      <c r="E7061"/>
    </row>
    <row r="7062" spans="5:5" x14ac:dyDescent="0.25">
      <c r="E7062"/>
    </row>
    <row r="7063" spans="5:5" x14ac:dyDescent="0.25">
      <c r="E7063"/>
    </row>
    <row r="7064" spans="5:5" x14ac:dyDescent="0.25">
      <c r="E7064"/>
    </row>
    <row r="7065" spans="5:5" x14ac:dyDescent="0.25">
      <c r="E7065"/>
    </row>
    <row r="7066" spans="5:5" x14ac:dyDescent="0.25">
      <c r="E7066"/>
    </row>
    <row r="7067" spans="5:5" x14ac:dyDescent="0.25">
      <c r="E7067"/>
    </row>
    <row r="7068" spans="5:5" x14ac:dyDescent="0.25">
      <c r="E7068"/>
    </row>
    <row r="7069" spans="5:5" x14ac:dyDescent="0.25">
      <c r="E7069"/>
    </row>
    <row r="7070" spans="5:5" x14ac:dyDescent="0.25">
      <c r="E7070"/>
    </row>
    <row r="7071" spans="5:5" x14ac:dyDescent="0.25">
      <c r="E7071"/>
    </row>
    <row r="7072" spans="5:5" x14ac:dyDescent="0.25">
      <c r="E7072"/>
    </row>
    <row r="7073" spans="5:5" x14ac:dyDescent="0.25">
      <c r="E7073"/>
    </row>
    <row r="7074" spans="5:5" x14ac:dyDescent="0.25">
      <c r="E7074"/>
    </row>
    <row r="7075" spans="5:5" x14ac:dyDescent="0.25">
      <c r="E7075"/>
    </row>
    <row r="7076" spans="5:5" x14ac:dyDescent="0.25">
      <c r="E7076"/>
    </row>
    <row r="7077" spans="5:5" x14ac:dyDescent="0.25">
      <c r="E7077"/>
    </row>
    <row r="7078" spans="5:5" x14ac:dyDescent="0.25">
      <c r="E7078"/>
    </row>
    <row r="7079" spans="5:5" x14ac:dyDescent="0.25">
      <c r="E7079"/>
    </row>
    <row r="7080" spans="5:5" x14ac:dyDescent="0.25">
      <c r="E7080"/>
    </row>
    <row r="7081" spans="5:5" x14ac:dyDescent="0.25">
      <c r="E7081"/>
    </row>
    <row r="7082" spans="5:5" x14ac:dyDescent="0.25">
      <c r="E7082"/>
    </row>
    <row r="7083" spans="5:5" x14ac:dyDescent="0.25">
      <c r="E7083"/>
    </row>
    <row r="7084" spans="5:5" x14ac:dyDescent="0.25">
      <c r="E7084"/>
    </row>
    <row r="7085" spans="5:5" x14ac:dyDescent="0.25">
      <c r="E7085"/>
    </row>
    <row r="7086" spans="5:5" x14ac:dyDescent="0.25">
      <c r="E7086"/>
    </row>
    <row r="7087" spans="5:5" x14ac:dyDescent="0.25">
      <c r="E7087"/>
    </row>
    <row r="7088" spans="5:5" x14ac:dyDescent="0.25">
      <c r="E7088"/>
    </row>
    <row r="7089" spans="5:5" x14ac:dyDescent="0.25">
      <c r="E7089"/>
    </row>
    <row r="7090" spans="5:5" x14ac:dyDescent="0.25">
      <c r="E7090"/>
    </row>
    <row r="7091" spans="5:5" x14ac:dyDescent="0.25">
      <c r="E7091"/>
    </row>
    <row r="7092" spans="5:5" x14ac:dyDescent="0.25">
      <c r="E7092"/>
    </row>
    <row r="7093" spans="5:5" x14ac:dyDescent="0.25">
      <c r="E7093"/>
    </row>
    <row r="7094" spans="5:5" x14ac:dyDescent="0.25">
      <c r="E7094"/>
    </row>
    <row r="7095" spans="5:5" x14ac:dyDescent="0.25">
      <c r="E7095"/>
    </row>
    <row r="7096" spans="5:5" x14ac:dyDescent="0.25">
      <c r="E7096"/>
    </row>
    <row r="7097" spans="5:5" x14ac:dyDescent="0.25">
      <c r="E7097"/>
    </row>
    <row r="7098" spans="5:5" x14ac:dyDescent="0.25">
      <c r="E7098"/>
    </row>
    <row r="7099" spans="5:5" x14ac:dyDescent="0.25">
      <c r="E7099"/>
    </row>
    <row r="7100" spans="5:5" x14ac:dyDescent="0.25">
      <c r="E7100"/>
    </row>
    <row r="7101" spans="5:5" x14ac:dyDescent="0.25">
      <c r="E7101"/>
    </row>
    <row r="7102" spans="5:5" x14ac:dyDescent="0.25">
      <c r="E7102"/>
    </row>
    <row r="7103" spans="5:5" x14ac:dyDescent="0.25">
      <c r="E7103"/>
    </row>
    <row r="7104" spans="5:5" x14ac:dyDescent="0.25">
      <c r="E7104"/>
    </row>
    <row r="7105" spans="5:5" x14ac:dyDescent="0.25">
      <c r="E7105"/>
    </row>
    <row r="7106" spans="5:5" x14ac:dyDescent="0.25">
      <c r="E7106"/>
    </row>
    <row r="7107" spans="5:5" x14ac:dyDescent="0.25">
      <c r="E7107"/>
    </row>
    <row r="7108" spans="5:5" x14ac:dyDescent="0.25">
      <c r="E7108"/>
    </row>
    <row r="7109" spans="5:5" x14ac:dyDescent="0.25">
      <c r="E7109"/>
    </row>
    <row r="7110" spans="5:5" x14ac:dyDescent="0.25">
      <c r="E7110"/>
    </row>
    <row r="7111" spans="5:5" x14ac:dyDescent="0.25">
      <c r="E7111"/>
    </row>
    <row r="7112" spans="5:5" x14ac:dyDescent="0.25">
      <c r="E7112"/>
    </row>
    <row r="7113" spans="5:5" x14ac:dyDescent="0.25">
      <c r="E7113"/>
    </row>
    <row r="7114" spans="5:5" x14ac:dyDescent="0.25">
      <c r="E7114"/>
    </row>
    <row r="7115" spans="5:5" x14ac:dyDescent="0.25">
      <c r="E7115"/>
    </row>
    <row r="7116" spans="5:5" x14ac:dyDescent="0.25">
      <c r="E7116"/>
    </row>
    <row r="7117" spans="5:5" x14ac:dyDescent="0.25">
      <c r="E7117"/>
    </row>
    <row r="7118" spans="5:5" x14ac:dyDescent="0.25">
      <c r="E7118"/>
    </row>
    <row r="7119" spans="5:5" x14ac:dyDescent="0.25">
      <c r="E7119"/>
    </row>
    <row r="7120" spans="5:5" x14ac:dyDescent="0.25">
      <c r="E7120"/>
    </row>
    <row r="7121" spans="5:5" x14ac:dyDescent="0.25">
      <c r="E7121"/>
    </row>
    <row r="7122" spans="5:5" x14ac:dyDescent="0.25">
      <c r="E7122"/>
    </row>
    <row r="7123" spans="5:5" x14ac:dyDescent="0.25">
      <c r="E7123"/>
    </row>
    <row r="7124" spans="5:5" x14ac:dyDescent="0.25">
      <c r="E7124"/>
    </row>
    <row r="7125" spans="5:5" x14ac:dyDescent="0.25">
      <c r="E7125"/>
    </row>
    <row r="7126" spans="5:5" x14ac:dyDescent="0.25">
      <c r="E7126"/>
    </row>
    <row r="7127" spans="5:5" x14ac:dyDescent="0.25">
      <c r="E7127"/>
    </row>
    <row r="7128" spans="5:5" x14ac:dyDescent="0.25">
      <c r="E7128"/>
    </row>
    <row r="7129" spans="5:5" x14ac:dyDescent="0.25">
      <c r="E7129"/>
    </row>
    <row r="7130" spans="5:5" x14ac:dyDescent="0.25">
      <c r="E7130"/>
    </row>
    <row r="7131" spans="5:5" x14ac:dyDescent="0.25">
      <c r="E7131"/>
    </row>
    <row r="7132" spans="5:5" x14ac:dyDescent="0.25">
      <c r="E7132"/>
    </row>
    <row r="7133" spans="5:5" x14ac:dyDescent="0.25">
      <c r="E7133"/>
    </row>
    <row r="7134" spans="5:5" x14ac:dyDescent="0.25">
      <c r="E7134"/>
    </row>
    <row r="7135" spans="5:5" x14ac:dyDescent="0.25">
      <c r="E7135"/>
    </row>
    <row r="7136" spans="5:5" x14ac:dyDescent="0.25">
      <c r="E7136"/>
    </row>
    <row r="7137" spans="5:5" x14ac:dyDescent="0.25">
      <c r="E7137"/>
    </row>
    <row r="7138" spans="5:5" x14ac:dyDescent="0.25">
      <c r="E7138"/>
    </row>
    <row r="7139" spans="5:5" x14ac:dyDescent="0.25">
      <c r="E7139"/>
    </row>
    <row r="7140" spans="5:5" x14ac:dyDescent="0.25">
      <c r="E7140"/>
    </row>
    <row r="7141" spans="5:5" x14ac:dyDescent="0.25">
      <c r="E7141"/>
    </row>
    <row r="7142" spans="5:5" x14ac:dyDescent="0.25">
      <c r="E7142"/>
    </row>
    <row r="7143" spans="5:5" x14ac:dyDescent="0.25">
      <c r="E7143"/>
    </row>
    <row r="7144" spans="5:5" x14ac:dyDescent="0.25">
      <c r="E7144"/>
    </row>
    <row r="7145" spans="5:5" x14ac:dyDescent="0.25">
      <c r="E7145"/>
    </row>
    <row r="7146" spans="5:5" x14ac:dyDescent="0.25">
      <c r="E7146"/>
    </row>
    <row r="7147" spans="5:5" x14ac:dyDescent="0.25">
      <c r="E7147"/>
    </row>
    <row r="7148" spans="5:5" x14ac:dyDescent="0.25">
      <c r="E7148"/>
    </row>
    <row r="7149" spans="5:5" x14ac:dyDescent="0.25">
      <c r="E7149"/>
    </row>
    <row r="7150" spans="5:5" x14ac:dyDescent="0.25">
      <c r="E7150"/>
    </row>
    <row r="7151" spans="5:5" x14ac:dyDescent="0.25">
      <c r="E7151"/>
    </row>
    <row r="7152" spans="5:5" x14ac:dyDescent="0.25">
      <c r="E7152"/>
    </row>
    <row r="7153" spans="5:5" x14ac:dyDescent="0.25">
      <c r="E7153"/>
    </row>
    <row r="7154" spans="5:5" x14ac:dyDescent="0.25">
      <c r="E7154"/>
    </row>
    <row r="7155" spans="5:5" x14ac:dyDescent="0.25">
      <c r="E7155"/>
    </row>
    <row r="7156" spans="5:5" x14ac:dyDescent="0.25">
      <c r="E7156"/>
    </row>
    <row r="7157" spans="5:5" x14ac:dyDescent="0.25">
      <c r="E7157"/>
    </row>
    <row r="7158" spans="5:5" x14ac:dyDescent="0.25">
      <c r="E7158"/>
    </row>
    <row r="7159" spans="5:5" x14ac:dyDescent="0.25">
      <c r="E7159"/>
    </row>
    <row r="7160" spans="5:5" x14ac:dyDescent="0.25">
      <c r="E7160"/>
    </row>
    <row r="7161" spans="5:5" x14ac:dyDescent="0.25">
      <c r="E7161"/>
    </row>
    <row r="7162" spans="5:5" x14ac:dyDescent="0.25">
      <c r="E7162"/>
    </row>
    <row r="7163" spans="5:5" x14ac:dyDescent="0.25">
      <c r="E7163"/>
    </row>
    <row r="7164" spans="5:5" x14ac:dyDescent="0.25">
      <c r="E7164"/>
    </row>
    <row r="7165" spans="5:5" x14ac:dyDescent="0.25">
      <c r="E7165"/>
    </row>
    <row r="7166" spans="5:5" x14ac:dyDescent="0.25">
      <c r="E7166"/>
    </row>
    <row r="7167" spans="5:5" x14ac:dyDescent="0.25">
      <c r="E7167"/>
    </row>
    <row r="7168" spans="5:5" x14ac:dyDescent="0.25">
      <c r="E7168"/>
    </row>
    <row r="7169" spans="5:5" x14ac:dyDescent="0.25">
      <c r="E7169"/>
    </row>
    <row r="7170" spans="5:5" x14ac:dyDescent="0.25">
      <c r="E7170"/>
    </row>
    <row r="7171" spans="5:5" x14ac:dyDescent="0.25">
      <c r="E7171"/>
    </row>
    <row r="7172" spans="5:5" x14ac:dyDescent="0.25">
      <c r="E7172"/>
    </row>
    <row r="7173" spans="5:5" x14ac:dyDescent="0.25">
      <c r="E7173"/>
    </row>
    <row r="7174" spans="5:5" x14ac:dyDescent="0.25">
      <c r="E7174"/>
    </row>
    <row r="7175" spans="5:5" x14ac:dyDescent="0.25">
      <c r="E7175"/>
    </row>
    <row r="7176" spans="5:5" x14ac:dyDescent="0.25">
      <c r="E7176"/>
    </row>
    <row r="7177" spans="5:5" x14ac:dyDescent="0.25">
      <c r="E7177"/>
    </row>
    <row r="7178" spans="5:5" x14ac:dyDescent="0.25">
      <c r="E7178"/>
    </row>
    <row r="7179" spans="5:5" x14ac:dyDescent="0.25">
      <c r="E7179"/>
    </row>
    <row r="7180" spans="5:5" x14ac:dyDescent="0.25">
      <c r="E7180"/>
    </row>
    <row r="7181" spans="5:5" x14ac:dyDescent="0.25">
      <c r="E7181"/>
    </row>
    <row r="7182" spans="5:5" x14ac:dyDescent="0.25">
      <c r="E7182"/>
    </row>
    <row r="7183" spans="5:5" x14ac:dyDescent="0.25">
      <c r="E7183"/>
    </row>
    <row r="7184" spans="5:5" x14ac:dyDescent="0.25">
      <c r="E7184"/>
    </row>
    <row r="7185" spans="5:5" x14ac:dyDescent="0.25">
      <c r="E7185"/>
    </row>
    <row r="7186" spans="5:5" x14ac:dyDescent="0.25">
      <c r="E7186"/>
    </row>
    <row r="7187" spans="5:5" x14ac:dyDescent="0.25">
      <c r="E7187"/>
    </row>
    <row r="7188" spans="5:5" x14ac:dyDescent="0.25">
      <c r="E7188"/>
    </row>
    <row r="7189" spans="5:5" x14ac:dyDescent="0.25">
      <c r="E7189"/>
    </row>
    <row r="7190" spans="5:5" x14ac:dyDescent="0.25">
      <c r="E7190"/>
    </row>
    <row r="7191" spans="5:5" x14ac:dyDescent="0.25">
      <c r="E7191"/>
    </row>
    <row r="7192" spans="5:5" x14ac:dyDescent="0.25">
      <c r="E7192"/>
    </row>
    <row r="7193" spans="5:5" x14ac:dyDescent="0.25">
      <c r="E7193"/>
    </row>
    <row r="7194" spans="5:5" x14ac:dyDescent="0.25">
      <c r="E7194"/>
    </row>
    <row r="7195" spans="5:5" x14ac:dyDescent="0.25">
      <c r="E7195"/>
    </row>
    <row r="7196" spans="5:5" x14ac:dyDescent="0.25">
      <c r="E7196"/>
    </row>
    <row r="7197" spans="5:5" x14ac:dyDescent="0.25">
      <c r="E7197"/>
    </row>
    <row r="7198" spans="5:5" x14ac:dyDescent="0.25">
      <c r="E7198"/>
    </row>
    <row r="7199" spans="5:5" x14ac:dyDescent="0.25">
      <c r="E7199"/>
    </row>
    <row r="7200" spans="5:5" x14ac:dyDescent="0.25">
      <c r="E7200"/>
    </row>
    <row r="7201" spans="5:5" x14ac:dyDescent="0.25">
      <c r="E7201"/>
    </row>
    <row r="7202" spans="5:5" x14ac:dyDescent="0.25">
      <c r="E7202"/>
    </row>
    <row r="7203" spans="5:5" x14ac:dyDescent="0.25">
      <c r="E7203"/>
    </row>
    <row r="7204" spans="5:5" x14ac:dyDescent="0.25">
      <c r="E7204"/>
    </row>
    <row r="7205" spans="5:5" x14ac:dyDescent="0.25">
      <c r="E7205"/>
    </row>
    <row r="7206" spans="5:5" x14ac:dyDescent="0.25">
      <c r="E7206"/>
    </row>
    <row r="7207" spans="5:5" x14ac:dyDescent="0.25">
      <c r="E7207"/>
    </row>
    <row r="7208" spans="5:5" x14ac:dyDescent="0.25">
      <c r="E7208"/>
    </row>
    <row r="7209" spans="5:5" x14ac:dyDescent="0.25">
      <c r="E7209"/>
    </row>
    <row r="7210" spans="5:5" x14ac:dyDescent="0.25">
      <c r="E7210"/>
    </row>
    <row r="7211" spans="5:5" x14ac:dyDescent="0.25">
      <c r="E7211"/>
    </row>
    <row r="7212" spans="5:5" x14ac:dyDescent="0.25">
      <c r="E7212"/>
    </row>
    <row r="7213" spans="5:5" x14ac:dyDescent="0.25">
      <c r="E7213"/>
    </row>
    <row r="7214" spans="5:5" x14ac:dyDescent="0.25">
      <c r="E7214"/>
    </row>
    <row r="7215" spans="5:5" x14ac:dyDescent="0.25">
      <c r="E7215"/>
    </row>
    <row r="7216" spans="5:5" x14ac:dyDescent="0.25">
      <c r="E7216"/>
    </row>
    <row r="7217" spans="5:5" x14ac:dyDescent="0.25">
      <c r="E7217"/>
    </row>
    <row r="7218" spans="5:5" x14ac:dyDescent="0.25">
      <c r="E7218"/>
    </row>
    <row r="7219" spans="5:5" x14ac:dyDescent="0.25">
      <c r="E7219"/>
    </row>
    <row r="7220" spans="5:5" x14ac:dyDescent="0.25">
      <c r="E7220"/>
    </row>
    <row r="7221" spans="5:5" x14ac:dyDescent="0.25">
      <c r="E7221"/>
    </row>
    <row r="7222" spans="5:5" x14ac:dyDescent="0.25">
      <c r="E7222"/>
    </row>
    <row r="7223" spans="5:5" x14ac:dyDescent="0.25">
      <c r="E7223"/>
    </row>
    <row r="7224" spans="5:5" x14ac:dyDescent="0.25">
      <c r="E7224"/>
    </row>
    <row r="7225" spans="5:5" x14ac:dyDescent="0.25">
      <c r="E7225"/>
    </row>
    <row r="7226" spans="5:5" x14ac:dyDescent="0.25">
      <c r="E7226"/>
    </row>
    <row r="7227" spans="5:5" x14ac:dyDescent="0.25">
      <c r="E7227"/>
    </row>
    <row r="7228" spans="5:5" x14ac:dyDescent="0.25">
      <c r="E7228"/>
    </row>
    <row r="7229" spans="5:5" x14ac:dyDescent="0.25">
      <c r="E7229"/>
    </row>
    <row r="7230" spans="5:5" x14ac:dyDescent="0.25">
      <c r="E7230"/>
    </row>
    <row r="7231" spans="5:5" x14ac:dyDescent="0.25">
      <c r="E7231"/>
    </row>
    <row r="7232" spans="5:5" x14ac:dyDescent="0.25">
      <c r="E7232"/>
    </row>
    <row r="7233" spans="5:5" x14ac:dyDescent="0.25">
      <c r="E7233"/>
    </row>
    <row r="7234" spans="5:5" x14ac:dyDescent="0.25">
      <c r="E7234"/>
    </row>
    <row r="7235" spans="5:5" x14ac:dyDescent="0.25">
      <c r="E7235"/>
    </row>
    <row r="7236" spans="5:5" x14ac:dyDescent="0.25">
      <c r="E7236"/>
    </row>
    <row r="7237" spans="5:5" x14ac:dyDescent="0.25">
      <c r="E7237"/>
    </row>
    <row r="7238" spans="5:5" x14ac:dyDescent="0.25">
      <c r="E7238"/>
    </row>
    <row r="7239" spans="5:5" x14ac:dyDescent="0.25">
      <c r="E7239"/>
    </row>
    <row r="7240" spans="5:5" x14ac:dyDescent="0.25">
      <c r="E7240"/>
    </row>
    <row r="7241" spans="5:5" x14ac:dyDescent="0.25">
      <c r="E7241"/>
    </row>
    <row r="7242" spans="5:5" x14ac:dyDescent="0.25">
      <c r="E7242"/>
    </row>
    <row r="7243" spans="5:5" x14ac:dyDescent="0.25">
      <c r="E7243"/>
    </row>
    <row r="7244" spans="5:5" x14ac:dyDescent="0.25">
      <c r="E7244"/>
    </row>
    <row r="7245" spans="5:5" x14ac:dyDescent="0.25">
      <c r="E7245"/>
    </row>
    <row r="7246" spans="5:5" x14ac:dyDescent="0.25">
      <c r="E7246"/>
    </row>
    <row r="7247" spans="5:5" x14ac:dyDescent="0.25">
      <c r="E7247"/>
    </row>
    <row r="7248" spans="5:5" x14ac:dyDescent="0.25">
      <c r="E7248"/>
    </row>
    <row r="7249" spans="5:5" x14ac:dyDescent="0.25">
      <c r="E7249"/>
    </row>
    <row r="7250" spans="5:5" x14ac:dyDescent="0.25">
      <c r="E7250"/>
    </row>
    <row r="7251" spans="5:5" x14ac:dyDescent="0.25">
      <c r="E7251"/>
    </row>
    <row r="7252" spans="5:5" x14ac:dyDescent="0.25">
      <c r="E7252"/>
    </row>
    <row r="7253" spans="5:5" x14ac:dyDescent="0.25">
      <c r="E7253"/>
    </row>
    <row r="7254" spans="5:5" x14ac:dyDescent="0.25">
      <c r="E7254"/>
    </row>
    <row r="7255" spans="5:5" x14ac:dyDescent="0.25">
      <c r="E7255"/>
    </row>
    <row r="7256" spans="5:5" x14ac:dyDescent="0.25">
      <c r="E7256"/>
    </row>
    <row r="7257" spans="5:5" x14ac:dyDescent="0.25">
      <c r="E7257"/>
    </row>
    <row r="7258" spans="5:5" x14ac:dyDescent="0.25">
      <c r="E7258"/>
    </row>
    <row r="7259" spans="5:5" x14ac:dyDescent="0.25">
      <c r="E7259"/>
    </row>
    <row r="7260" spans="5:5" x14ac:dyDescent="0.25">
      <c r="E7260"/>
    </row>
    <row r="7261" spans="5:5" x14ac:dyDescent="0.25">
      <c r="E7261"/>
    </row>
    <row r="7262" spans="5:5" x14ac:dyDescent="0.25">
      <c r="E7262"/>
    </row>
    <row r="7263" spans="5:5" x14ac:dyDescent="0.25">
      <c r="E7263"/>
    </row>
    <row r="7264" spans="5:5" x14ac:dyDescent="0.25">
      <c r="E7264"/>
    </row>
    <row r="7265" spans="5:5" x14ac:dyDescent="0.25">
      <c r="E7265"/>
    </row>
    <row r="7266" spans="5:5" x14ac:dyDescent="0.25">
      <c r="E7266"/>
    </row>
    <row r="7267" spans="5:5" x14ac:dyDescent="0.25">
      <c r="E7267"/>
    </row>
    <row r="7268" spans="5:5" x14ac:dyDescent="0.25">
      <c r="E7268"/>
    </row>
    <row r="7269" spans="5:5" x14ac:dyDescent="0.25">
      <c r="E7269"/>
    </row>
    <row r="7270" spans="5:5" x14ac:dyDescent="0.25">
      <c r="E7270"/>
    </row>
    <row r="7271" spans="5:5" x14ac:dyDescent="0.25">
      <c r="E7271"/>
    </row>
    <row r="7272" spans="5:5" x14ac:dyDescent="0.25">
      <c r="E7272"/>
    </row>
    <row r="7273" spans="5:5" x14ac:dyDescent="0.25">
      <c r="E7273"/>
    </row>
    <row r="7274" spans="5:5" x14ac:dyDescent="0.25">
      <c r="E7274"/>
    </row>
    <row r="7275" spans="5:5" x14ac:dyDescent="0.25">
      <c r="E7275"/>
    </row>
    <row r="7276" spans="5:5" x14ac:dyDescent="0.25">
      <c r="E7276"/>
    </row>
    <row r="7277" spans="5:5" x14ac:dyDescent="0.25">
      <c r="E7277"/>
    </row>
    <row r="7278" spans="5:5" x14ac:dyDescent="0.25">
      <c r="E7278"/>
    </row>
    <row r="7279" spans="5:5" x14ac:dyDescent="0.25">
      <c r="E7279"/>
    </row>
    <row r="7280" spans="5:5" x14ac:dyDescent="0.25">
      <c r="E7280"/>
    </row>
    <row r="7281" spans="5:5" x14ac:dyDescent="0.25">
      <c r="E7281"/>
    </row>
    <row r="7282" spans="5:5" x14ac:dyDescent="0.25">
      <c r="E7282"/>
    </row>
    <row r="7283" spans="5:5" x14ac:dyDescent="0.25">
      <c r="E7283"/>
    </row>
    <row r="7284" spans="5:5" x14ac:dyDescent="0.25">
      <c r="E7284"/>
    </row>
    <row r="7285" spans="5:5" x14ac:dyDescent="0.25">
      <c r="E7285"/>
    </row>
    <row r="7286" spans="5:5" x14ac:dyDescent="0.25">
      <c r="E7286"/>
    </row>
    <row r="7287" spans="5:5" x14ac:dyDescent="0.25">
      <c r="E7287"/>
    </row>
    <row r="7288" spans="5:5" x14ac:dyDescent="0.25">
      <c r="E7288"/>
    </row>
    <row r="7289" spans="5:5" x14ac:dyDescent="0.25">
      <c r="E7289"/>
    </row>
    <row r="7290" spans="5:5" x14ac:dyDescent="0.25">
      <c r="E7290"/>
    </row>
    <row r="7291" spans="5:5" x14ac:dyDescent="0.25">
      <c r="E7291"/>
    </row>
    <row r="7292" spans="5:5" x14ac:dyDescent="0.25">
      <c r="E7292"/>
    </row>
    <row r="7293" spans="5:5" x14ac:dyDescent="0.25">
      <c r="E7293"/>
    </row>
    <row r="7294" spans="5:5" x14ac:dyDescent="0.25">
      <c r="E7294"/>
    </row>
    <row r="7295" spans="5:5" x14ac:dyDescent="0.25">
      <c r="E7295"/>
    </row>
    <row r="7296" spans="5:5" x14ac:dyDescent="0.25">
      <c r="E7296"/>
    </row>
    <row r="7297" spans="5:5" x14ac:dyDescent="0.25">
      <c r="E7297"/>
    </row>
    <row r="7298" spans="5:5" x14ac:dyDescent="0.25">
      <c r="E7298"/>
    </row>
    <row r="7299" spans="5:5" x14ac:dyDescent="0.25">
      <c r="E7299"/>
    </row>
    <row r="7300" spans="5:5" x14ac:dyDescent="0.25">
      <c r="E7300"/>
    </row>
    <row r="7301" spans="5:5" x14ac:dyDescent="0.25">
      <c r="E7301"/>
    </row>
    <row r="7302" spans="5:5" x14ac:dyDescent="0.25">
      <c r="E7302"/>
    </row>
    <row r="7303" spans="5:5" x14ac:dyDescent="0.25">
      <c r="E7303"/>
    </row>
    <row r="7304" spans="5:5" x14ac:dyDescent="0.25">
      <c r="E7304"/>
    </row>
    <row r="7305" spans="5:5" x14ac:dyDescent="0.25">
      <c r="E7305"/>
    </row>
    <row r="7306" spans="5:5" x14ac:dyDescent="0.25">
      <c r="E7306"/>
    </row>
    <row r="7307" spans="5:5" x14ac:dyDescent="0.25">
      <c r="E7307"/>
    </row>
    <row r="7308" spans="5:5" x14ac:dyDescent="0.25">
      <c r="E7308"/>
    </row>
    <row r="7309" spans="5:5" x14ac:dyDescent="0.25">
      <c r="E7309"/>
    </row>
    <row r="7310" spans="5:5" x14ac:dyDescent="0.25">
      <c r="E7310"/>
    </row>
    <row r="7311" spans="5:5" x14ac:dyDescent="0.25">
      <c r="E7311"/>
    </row>
    <row r="7312" spans="5:5" x14ac:dyDescent="0.25">
      <c r="E7312"/>
    </row>
    <row r="7313" spans="5:5" x14ac:dyDescent="0.25">
      <c r="E7313"/>
    </row>
    <row r="7314" spans="5:5" x14ac:dyDescent="0.25">
      <c r="E7314"/>
    </row>
    <row r="7315" spans="5:5" x14ac:dyDescent="0.25">
      <c r="E7315"/>
    </row>
    <row r="7316" spans="5:5" x14ac:dyDescent="0.25">
      <c r="E7316"/>
    </row>
    <row r="7317" spans="5:5" x14ac:dyDescent="0.25">
      <c r="E7317"/>
    </row>
    <row r="7318" spans="5:5" x14ac:dyDescent="0.25">
      <c r="E7318"/>
    </row>
    <row r="7319" spans="5:5" x14ac:dyDescent="0.25">
      <c r="E7319"/>
    </row>
    <row r="7320" spans="5:5" x14ac:dyDescent="0.25">
      <c r="E7320"/>
    </row>
    <row r="7321" spans="5:5" x14ac:dyDescent="0.25">
      <c r="E7321"/>
    </row>
    <row r="7322" spans="5:5" x14ac:dyDescent="0.25">
      <c r="E7322"/>
    </row>
    <row r="7323" spans="5:5" x14ac:dyDescent="0.25">
      <c r="E7323"/>
    </row>
    <row r="7324" spans="5:5" x14ac:dyDescent="0.25">
      <c r="E7324"/>
    </row>
    <row r="7325" spans="5:5" x14ac:dyDescent="0.25">
      <c r="E7325"/>
    </row>
    <row r="7326" spans="5:5" x14ac:dyDescent="0.25">
      <c r="E7326"/>
    </row>
    <row r="7327" spans="5:5" x14ac:dyDescent="0.25">
      <c r="E7327"/>
    </row>
    <row r="7328" spans="5:5" x14ac:dyDescent="0.25">
      <c r="E7328"/>
    </row>
    <row r="7329" spans="5:5" x14ac:dyDescent="0.25">
      <c r="E7329"/>
    </row>
    <row r="7330" spans="5:5" x14ac:dyDescent="0.25">
      <c r="E7330"/>
    </row>
    <row r="7331" spans="5:5" x14ac:dyDescent="0.25">
      <c r="E7331"/>
    </row>
    <row r="7332" spans="5:5" x14ac:dyDescent="0.25">
      <c r="E7332"/>
    </row>
    <row r="7333" spans="5:5" x14ac:dyDescent="0.25">
      <c r="E7333"/>
    </row>
    <row r="7334" spans="5:5" x14ac:dyDescent="0.25">
      <c r="E7334"/>
    </row>
    <row r="7335" spans="5:5" x14ac:dyDescent="0.25">
      <c r="E7335"/>
    </row>
    <row r="7336" spans="5:5" x14ac:dyDescent="0.25">
      <c r="E7336"/>
    </row>
    <row r="7337" spans="5:5" x14ac:dyDescent="0.25">
      <c r="E7337"/>
    </row>
    <row r="7338" spans="5:5" x14ac:dyDescent="0.25">
      <c r="E7338"/>
    </row>
    <row r="7339" spans="5:5" x14ac:dyDescent="0.25">
      <c r="E7339"/>
    </row>
    <row r="7340" spans="5:5" x14ac:dyDescent="0.25">
      <c r="E7340"/>
    </row>
    <row r="7341" spans="5:5" x14ac:dyDescent="0.25">
      <c r="E7341"/>
    </row>
    <row r="7342" spans="5:5" x14ac:dyDescent="0.25">
      <c r="E7342"/>
    </row>
    <row r="7343" spans="5:5" x14ac:dyDescent="0.25">
      <c r="E7343"/>
    </row>
    <row r="7344" spans="5:5" x14ac:dyDescent="0.25">
      <c r="E7344"/>
    </row>
    <row r="7345" spans="5:5" x14ac:dyDescent="0.25">
      <c r="E7345"/>
    </row>
    <row r="7346" spans="5:5" x14ac:dyDescent="0.25">
      <c r="E7346"/>
    </row>
    <row r="7347" spans="5:5" x14ac:dyDescent="0.25">
      <c r="E7347"/>
    </row>
    <row r="7348" spans="5:5" x14ac:dyDescent="0.25">
      <c r="E7348"/>
    </row>
    <row r="7349" spans="5:5" x14ac:dyDescent="0.25">
      <c r="E7349"/>
    </row>
    <row r="7350" spans="5:5" x14ac:dyDescent="0.25">
      <c r="E7350"/>
    </row>
    <row r="7351" spans="5:5" x14ac:dyDescent="0.25">
      <c r="E7351"/>
    </row>
    <row r="7352" spans="5:5" x14ac:dyDescent="0.25">
      <c r="E7352"/>
    </row>
    <row r="7353" spans="5:5" x14ac:dyDescent="0.25">
      <c r="E7353"/>
    </row>
    <row r="7354" spans="5:5" x14ac:dyDescent="0.25">
      <c r="E7354"/>
    </row>
    <row r="7355" spans="5:5" x14ac:dyDescent="0.25">
      <c r="E7355"/>
    </row>
    <row r="7356" spans="5:5" x14ac:dyDescent="0.25">
      <c r="E7356"/>
    </row>
    <row r="7357" spans="5:5" x14ac:dyDescent="0.25">
      <c r="E7357"/>
    </row>
    <row r="7358" spans="5:5" x14ac:dyDescent="0.25">
      <c r="E7358"/>
    </row>
    <row r="7359" spans="5:5" x14ac:dyDescent="0.25">
      <c r="E7359"/>
    </row>
    <row r="7360" spans="5:5" x14ac:dyDescent="0.25">
      <c r="E7360"/>
    </row>
    <row r="7361" spans="5:5" x14ac:dyDescent="0.25">
      <c r="E7361"/>
    </row>
    <row r="7362" spans="5:5" x14ac:dyDescent="0.25">
      <c r="E7362"/>
    </row>
    <row r="7363" spans="5:5" x14ac:dyDescent="0.25">
      <c r="E7363"/>
    </row>
    <row r="7364" spans="5:5" x14ac:dyDescent="0.25">
      <c r="E7364"/>
    </row>
    <row r="7365" spans="5:5" x14ac:dyDescent="0.25">
      <c r="E7365"/>
    </row>
    <row r="7366" spans="5:5" x14ac:dyDescent="0.25">
      <c r="E7366"/>
    </row>
    <row r="7367" spans="5:5" x14ac:dyDescent="0.25">
      <c r="E7367"/>
    </row>
    <row r="7368" spans="5:5" x14ac:dyDescent="0.25">
      <c r="E7368"/>
    </row>
    <row r="7369" spans="5:5" x14ac:dyDescent="0.25">
      <c r="E7369"/>
    </row>
    <row r="7370" spans="5:5" x14ac:dyDescent="0.25">
      <c r="E7370"/>
    </row>
    <row r="7371" spans="5:5" x14ac:dyDescent="0.25">
      <c r="E7371"/>
    </row>
    <row r="7372" spans="5:5" x14ac:dyDescent="0.25">
      <c r="E7372"/>
    </row>
    <row r="7373" spans="5:5" x14ac:dyDescent="0.25">
      <c r="E7373"/>
    </row>
    <row r="7374" spans="5:5" x14ac:dyDescent="0.25">
      <c r="E7374"/>
    </row>
    <row r="7375" spans="5:5" x14ac:dyDescent="0.25">
      <c r="E7375"/>
    </row>
    <row r="7376" spans="5:5" x14ac:dyDescent="0.25">
      <c r="E7376"/>
    </row>
    <row r="7377" spans="5:5" x14ac:dyDescent="0.25">
      <c r="E7377"/>
    </row>
    <row r="7378" spans="5:5" x14ac:dyDescent="0.25">
      <c r="E7378"/>
    </row>
    <row r="7379" spans="5:5" x14ac:dyDescent="0.25">
      <c r="E7379"/>
    </row>
    <row r="7380" spans="5:5" x14ac:dyDescent="0.25">
      <c r="E7380"/>
    </row>
    <row r="7381" spans="5:5" x14ac:dyDescent="0.25">
      <c r="E7381"/>
    </row>
    <row r="7382" spans="5:5" x14ac:dyDescent="0.25">
      <c r="E7382"/>
    </row>
    <row r="7383" spans="5:5" x14ac:dyDescent="0.25">
      <c r="E7383"/>
    </row>
    <row r="7384" spans="5:5" x14ac:dyDescent="0.25">
      <c r="E7384"/>
    </row>
    <row r="7385" spans="5:5" x14ac:dyDescent="0.25">
      <c r="E7385"/>
    </row>
    <row r="7386" spans="5:5" x14ac:dyDescent="0.25">
      <c r="E7386"/>
    </row>
    <row r="7387" spans="5:5" x14ac:dyDescent="0.25">
      <c r="E7387"/>
    </row>
    <row r="7388" spans="5:5" x14ac:dyDescent="0.25">
      <c r="E7388"/>
    </row>
    <row r="7389" spans="5:5" x14ac:dyDescent="0.25">
      <c r="E7389"/>
    </row>
    <row r="7390" spans="5:5" x14ac:dyDescent="0.25">
      <c r="E7390"/>
    </row>
    <row r="7391" spans="5:5" x14ac:dyDescent="0.25">
      <c r="E7391"/>
    </row>
    <row r="7392" spans="5:5" x14ac:dyDescent="0.25">
      <c r="E7392"/>
    </row>
    <row r="7393" spans="5:5" x14ac:dyDescent="0.25">
      <c r="E7393"/>
    </row>
    <row r="7394" spans="5:5" x14ac:dyDescent="0.25">
      <c r="E7394"/>
    </row>
    <row r="7395" spans="5:5" x14ac:dyDescent="0.25">
      <c r="E7395"/>
    </row>
    <row r="7396" spans="5:5" x14ac:dyDescent="0.25">
      <c r="E7396"/>
    </row>
    <row r="7397" spans="5:5" x14ac:dyDescent="0.25">
      <c r="E7397"/>
    </row>
    <row r="7398" spans="5:5" x14ac:dyDescent="0.25">
      <c r="E7398"/>
    </row>
    <row r="7399" spans="5:5" x14ac:dyDescent="0.25">
      <c r="E7399"/>
    </row>
    <row r="7400" spans="5:5" x14ac:dyDescent="0.25">
      <c r="E7400"/>
    </row>
    <row r="7401" spans="5:5" x14ac:dyDescent="0.25">
      <c r="E7401"/>
    </row>
    <row r="7402" spans="5:5" x14ac:dyDescent="0.25">
      <c r="E7402"/>
    </row>
    <row r="7403" spans="5:5" x14ac:dyDescent="0.25">
      <c r="E7403"/>
    </row>
    <row r="7404" spans="5:5" x14ac:dyDescent="0.25">
      <c r="E7404"/>
    </row>
    <row r="7405" spans="5:5" x14ac:dyDescent="0.25">
      <c r="E7405"/>
    </row>
    <row r="7406" spans="5:5" x14ac:dyDescent="0.25">
      <c r="E7406"/>
    </row>
    <row r="7407" spans="5:5" x14ac:dyDescent="0.25">
      <c r="E7407"/>
    </row>
    <row r="7408" spans="5:5" x14ac:dyDescent="0.25">
      <c r="E7408"/>
    </row>
    <row r="7409" spans="5:5" x14ac:dyDescent="0.25">
      <c r="E7409"/>
    </row>
    <row r="7410" spans="5:5" x14ac:dyDescent="0.25">
      <c r="E7410"/>
    </row>
    <row r="7411" spans="5:5" x14ac:dyDescent="0.25">
      <c r="E7411"/>
    </row>
    <row r="7412" spans="5:5" x14ac:dyDescent="0.25">
      <c r="E7412"/>
    </row>
    <row r="7413" spans="5:5" x14ac:dyDescent="0.25">
      <c r="E7413"/>
    </row>
    <row r="7414" spans="5:5" x14ac:dyDescent="0.25">
      <c r="E7414"/>
    </row>
    <row r="7415" spans="5:5" x14ac:dyDescent="0.25">
      <c r="E7415"/>
    </row>
    <row r="7416" spans="5:5" x14ac:dyDescent="0.25">
      <c r="E7416"/>
    </row>
    <row r="7417" spans="5:5" x14ac:dyDescent="0.25">
      <c r="E7417"/>
    </row>
    <row r="7418" spans="5:5" x14ac:dyDescent="0.25">
      <c r="E7418"/>
    </row>
    <row r="7419" spans="5:5" x14ac:dyDescent="0.25">
      <c r="E7419"/>
    </row>
    <row r="7420" spans="5:5" x14ac:dyDescent="0.25">
      <c r="E7420"/>
    </row>
    <row r="7421" spans="5:5" x14ac:dyDescent="0.25">
      <c r="E7421"/>
    </row>
    <row r="7422" spans="5:5" x14ac:dyDescent="0.25">
      <c r="E7422"/>
    </row>
    <row r="7423" spans="5:5" x14ac:dyDescent="0.25">
      <c r="E7423"/>
    </row>
    <row r="7424" spans="5:5" x14ac:dyDescent="0.25">
      <c r="E7424"/>
    </row>
    <row r="7425" spans="5:5" x14ac:dyDescent="0.25">
      <c r="E7425"/>
    </row>
    <row r="7426" spans="5:5" x14ac:dyDescent="0.25">
      <c r="E7426"/>
    </row>
    <row r="7427" spans="5:5" x14ac:dyDescent="0.25">
      <c r="E7427"/>
    </row>
    <row r="7428" spans="5:5" x14ac:dyDescent="0.25">
      <c r="E7428"/>
    </row>
    <row r="7429" spans="5:5" x14ac:dyDescent="0.25">
      <c r="E7429"/>
    </row>
    <row r="7430" spans="5:5" x14ac:dyDescent="0.25">
      <c r="E7430"/>
    </row>
    <row r="7431" spans="5:5" x14ac:dyDescent="0.25">
      <c r="E7431"/>
    </row>
    <row r="7432" spans="5:5" x14ac:dyDescent="0.25">
      <c r="E7432"/>
    </row>
    <row r="7433" spans="5:5" x14ac:dyDescent="0.25">
      <c r="E7433"/>
    </row>
    <row r="7434" spans="5:5" x14ac:dyDescent="0.25">
      <c r="E7434"/>
    </row>
    <row r="7435" spans="5:5" x14ac:dyDescent="0.25">
      <c r="E7435"/>
    </row>
    <row r="7436" spans="5:5" x14ac:dyDescent="0.25">
      <c r="E7436"/>
    </row>
    <row r="7437" spans="5:5" x14ac:dyDescent="0.25">
      <c r="E7437"/>
    </row>
    <row r="7438" spans="5:5" x14ac:dyDescent="0.25">
      <c r="E7438"/>
    </row>
    <row r="7439" spans="5:5" x14ac:dyDescent="0.25">
      <c r="E7439"/>
    </row>
    <row r="7440" spans="5:5" x14ac:dyDescent="0.25">
      <c r="E7440"/>
    </row>
    <row r="7441" spans="5:5" x14ac:dyDescent="0.25">
      <c r="E7441"/>
    </row>
    <row r="7442" spans="5:5" x14ac:dyDescent="0.25">
      <c r="E7442"/>
    </row>
    <row r="7443" spans="5:5" x14ac:dyDescent="0.25">
      <c r="E7443"/>
    </row>
    <row r="7444" spans="5:5" x14ac:dyDescent="0.25">
      <c r="E7444"/>
    </row>
    <row r="7445" spans="5:5" x14ac:dyDescent="0.25">
      <c r="E7445"/>
    </row>
    <row r="7446" spans="5:5" x14ac:dyDescent="0.25">
      <c r="E7446"/>
    </row>
    <row r="7447" spans="5:5" x14ac:dyDescent="0.25">
      <c r="E7447"/>
    </row>
    <row r="7448" spans="5:5" x14ac:dyDescent="0.25">
      <c r="E7448"/>
    </row>
    <row r="7449" spans="5:5" x14ac:dyDescent="0.25">
      <c r="E7449"/>
    </row>
    <row r="7450" spans="5:5" x14ac:dyDescent="0.25">
      <c r="E7450"/>
    </row>
    <row r="7451" spans="5:5" x14ac:dyDescent="0.25">
      <c r="E7451"/>
    </row>
    <row r="7452" spans="5:5" x14ac:dyDescent="0.25">
      <c r="E7452"/>
    </row>
    <row r="7453" spans="5:5" x14ac:dyDescent="0.25">
      <c r="E7453"/>
    </row>
    <row r="7454" spans="5:5" x14ac:dyDescent="0.25">
      <c r="E7454"/>
    </row>
    <row r="7455" spans="5:5" x14ac:dyDescent="0.25">
      <c r="E7455"/>
    </row>
    <row r="7456" spans="5:5" x14ac:dyDescent="0.25">
      <c r="E7456"/>
    </row>
    <row r="7457" spans="5:5" x14ac:dyDescent="0.25">
      <c r="E7457"/>
    </row>
    <row r="7458" spans="5:5" x14ac:dyDescent="0.25">
      <c r="E7458"/>
    </row>
    <row r="7459" spans="5:5" x14ac:dyDescent="0.25">
      <c r="E7459"/>
    </row>
    <row r="7460" spans="5:5" x14ac:dyDescent="0.25">
      <c r="E7460"/>
    </row>
    <row r="7461" spans="5:5" x14ac:dyDescent="0.25">
      <c r="E7461"/>
    </row>
    <row r="7462" spans="5:5" x14ac:dyDescent="0.25">
      <c r="E7462"/>
    </row>
    <row r="7463" spans="5:5" x14ac:dyDescent="0.25">
      <c r="E7463"/>
    </row>
    <row r="7464" spans="5:5" x14ac:dyDescent="0.25">
      <c r="E7464"/>
    </row>
    <row r="7465" spans="5:5" x14ac:dyDescent="0.25">
      <c r="E7465"/>
    </row>
    <row r="7466" spans="5:5" x14ac:dyDescent="0.25">
      <c r="E7466"/>
    </row>
    <row r="7467" spans="5:5" x14ac:dyDescent="0.25">
      <c r="E7467"/>
    </row>
    <row r="7468" spans="5:5" x14ac:dyDescent="0.25">
      <c r="E7468"/>
    </row>
    <row r="7469" spans="5:5" x14ac:dyDescent="0.25">
      <c r="E7469"/>
    </row>
    <row r="7470" spans="5:5" x14ac:dyDescent="0.25">
      <c r="E7470"/>
    </row>
    <row r="7471" spans="5:5" x14ac:dyDescent="0.25">
      <c r="E7471"/>
    </row>
    <row r="7472" spans="5:5" x14ac:dyDescent="0.25">
      <c r="E7472"/>
    </row>
    <row r="7473" spans="5:5" x14ac:dyDescent="0.25">
      <c r="E7473"/>
    </row>
    <row r="7474" spans="5:5" x14ac:dyDescent="0.25">
      <c r="E7474"/>
    </row>
    <row r="7475" spans="5:5" x14ac:dyDescent="0.25">
      <c r="E7475"/>
    </row>
    <row r="7476" spans="5:5" x14ac:dyDescent="0.25">
      <c r="E7476"/>
    </row>
    <row r="7477" spans="5:5" x14ac:dyDescent="0.25">
      <c r="E7477"/>
    </row>
    <row r="7478" spans="5:5" x14ac:dyDescent="0.25">
      <c r="E7478"/>
    </row>
    <row r="7479" spans="5:5" x14ac:dyDescent="0.25">
      <c r="E7479"/>
    </row>
    <row r="7480" spans="5:5" x14ac:dyDescent="0.25">
      <c r="E7480"/>
    </row>
    <row r="7481" spans="5:5" x14ac:dyDescent="0.25">
      <c r="E7481"/>
    </row>
    <row r="7482" spans="5:5" x14ac:dyDescent="0.25">
      <c r="E7482"/>
    </row>
    <row r="7483" spans="5:5" x14ac:dyDescent="0.25">
      <c r="E7483"/>
    </row>
    <row r="7484" spans="5:5" x14ac:dyDescent="0.25">
      <c r="E7484"/>
    </row>
    <row r="7485" spans="5:5" x14ac:dyDescent="0.25">
      <c r="E7485"/>
    </row>
    <row r="7486" spans="5:5" x14ac:dyDescent="0.25">
      <c r="E7486"/>
    </row>
    <row r="7487" spans="5:5" x14ac:dyDescent="0.25">
      <c r="E7487"/>
    </row>
    <row r="7488" spans="5:5" x14ac:dyDescent="0.25">
      <c r="E7488"/>
    </row>
    <row r="7489" spans="5:5" x14ac:dyDescent="0.25">
      <c r="E7489"/>
    </row>
    <row r="7490" spans="5:5" x14ac:dyDescent="0.25">
      <c r="E7490"/>
    </row>
    <row r="7491" spans="5:5" x14ac:dyDescent="0.25">
      <c r="E7491"/>
    </row>
    <row r="7492" spans="5:5" x14ac:dyDescent="0.25">
      <c r="E7492"/>
    </row>
    <row r="7493" spans="5:5" x14ac:dyDescent="0.25">
      <c r="E7493"/>
    </row>
    <row r="7494" spans="5:5" x14ac:dyDescent="0.25">
      <c r="E7494"/>
    </row>
    <row r="7495" spans="5:5" x14ac:dyDescent="0.25">
      <c r="E7495"/>
    </row>
    <row r="7496" spans="5:5" x14ac:dyDescent="0.25">
      <c r="E7496"/>
    </row>
    <row r="7497" spans="5:5" x14ac:dyDescent="0.25">
      <c r="E7497"/>
    </row>
    <row r="7498" spans="5:5" x14ac:dyDescent="0.25">
      <c r="E7498"/>
    </row>
    <row r="7499" spans="5:5" x14ac:dyDescent="0.25">
      <c r="E7499"/>
    </row>
    <row r="7500" spans="5:5" x14ac:dyDescent="0.25">
      <c r="E7500"/>
    </row>
    <row r="7501" spans="5:5" x14ac:dyDescent="0.25">
      <c r="E7501"/>
    </row>
    <row r="7502" spans="5:5" x14ac:dyDescent="0.25">
      <c r="E7502"/>
    </row>
    <row r="7503" spans="5:5" x14ac:dyDescent="0.25">
      <c r="E7503"/>
    </row>
    <row r="7504" spans="5:5" x14ac:dyDescent="0.25">
      <c r="E7504"/>
    </row>
    <row r="7505" spans="5:5" x14ac:dyDescent="0.25">
      <c r="E7505"/>
    </row>
    <row r="7506" spans="5:5" x14ac:dyDescent="0.25">
      <c r="E7506"/>
    </row>
    <row r="7507" spans="5:5" x14ac:dyDescent="0.25">
      <c r="E7507"/>
    </row>
    <row r="7508" spans="5:5" x14ac:dyDescent="0.25">
      <c r="E7508"/>
    </row>
    <row r="7509" spans="5:5" x14ac:dyDescent="0.25">
      <c r="E7509"/>
    </row>
    <row r="7510" spans="5:5" x14ac:dyDescent="0.25">
      <c r="E7510"/>
    </row>
    <row r="7511" spans="5:5" x14ac:dyDescent="0.25">
      <c r="E7511"/>
    </row>
    <row r="7512" spans="5:5" x14ac:dyDescent="0.25">
      <c r="E7512"/>
    </row>
    <row r="7513" spans="5:5" x14ac:dyDescent="0.25">
      <c r="E7513"/>
    </row>
    <row r="7514" spans="5:5" x14ac:dyDescent="0.25">
      <c r="E7514"/>
    </row>
    <row r="7515" spans="5:5" x14ac:dyDescent="0.25">
      <c r="E7515"/>
    </row>
    <row r="7516" spans="5:5" x14ac:dyDescent="0.25">
      <c r="E7516"/>
    </row>
    <row r="7517" spans="5:5" x14ac:dyDescent="0.25">
      <c r="E7517"/>
    </row>
    <row r="7518" spans="5:5" x14ac:dyDescent="0.25">
      <c r="E7518"/>
    </row>
    <row r="7519" spans="5:5" x14ac:dyDescent="0.25">
      <c r="E7519"/>
    </row>
    <row r="7520" spans="5:5" x14ac:dyDescent="0.25">
      <c r="E7520"/>
    </row>
    <row r="7521" spans="5:5" x14ac:dyDescent="0.25">
      <c r="E7521"/>
    </row>
    <row r="7522" spans="5:5" x14ac:dyDescent="0.25">
      <c r="E7522"/>
    </row>
    <row r="7523" spans="5:5" x14ac:dyDescent="0.25">
      <c r="E7523"/>
    </row>
    <row r="7524" spans="5:5" x14ac:dyDescent="0.25">
      <c r="E7524"/>
    </row>
    <row r="7525" spans="5:5" x14ac:dyDescent="0.25">
      <c r="E7525"/>
    </row>
    <row r="7526" spans="5:5" x14ac:dyDescent="0.25">
      <c r="E7526"/>
    </row>
    <row r="7527" spans="5:5" x14ac:dyDescent="0.25">
      <c r="E7527"/>
    </row>
    <row r="7528" spans="5:5" x14ac:dyDescent="0.25">
      <c r="E7528"/>
    </row>
    <row r="7529" spans="5:5" x14ac:dyDescent="0.25">
      <c r="E7529"/>
    </row>
    <row r="7530" spans="5:5" x14ac:dyDescent="0.25">
      <c r="E7530"/>
    </row>
    <row r="7531" spans="5:5" x14ac:dyDescent="0.25">
      <c r="E7531"/>
    </row>
    <row r="7532" spans="5:5" x14ac:dyDescent="0.25">
      <c r="E7532"/>
    </row>
    <row r="7533" spans="5:5" x14ac:dyDescent="0.25">
      <c r="E7533"/>
    </row>
    <row r="7534" spans="5:5" x14ac:dyDescent="0.25">
      <c r="E7534"/>
    </row>
    <row r="7535" spans="5:5" x14ac:dyDescent="0.25">
      <c r="E7535"/>
    </row>
    <row r="7536" spans="5:5" x14ac:dyDescent="0.25">
      <c r="E7536"/>
    </row>
    <row r="7537" spans="5:5" x14ac:dyDescent="0.25">
      <c r="E7537"/>
    </row>
    <row r="7538" spans="5:5" x14ac:dyDescent="0.25">
      <c r="E7538"/>
    </row>
    <row r="7539" spans="5:5" x14ac:dyDescent="0.25">
      <c r="E7539"/>
    </row>
    <row r="7540" spans="5:5" x14ac:dyDescent="0.25">
      <c r="E7540"/>
    </row>
    <row r="7541" spans="5:5" x14ac:dyDescent="0.25">
      <c r="E7541"/>
    </row>
    <row r="7542" spans="5:5" x14ac:dyDescent="0.25">
      <c r="E7542"/>
    </row>
    <row r="7543" spans="5:5" x14ac:dyDescent="0.25">
      <c r="E7543"/>
    </row>
    <row r="7544" spans="5:5" x14ac:dyDescent="0.25">
      <c r="E7544"/>
    </row>
    <row r="7545" spans="5:5" x14ac:dyDescent="0.25">
      <c r="E7545"/>
    </row>
    <row r="7546" spans="5:5" x14ac:dyDescent="0.25">
      <c r="E7546"/>
    </row>
    <row r="7547" spans="5:5" x14ac:dyDescent="0.25">
      <c r="E7547"/>
    </row>
    <row r="7548" spans="5:5" x14ac:dyDescent="0.25">
      <c r="E7548"/>
    </row>
    <row r="7549" spans="5:5" x14ac:dyDescent="0.25">
      <c r="E7549"/>
    </row>
    <row r="7550" spans="5:5" x14ac:dyDescent="0.25">
      <c r="E7550"/>
    </row>
    <row r="7551" spans="5:5" x14ac:dyDescent="0.25">
      <c r="E7551"/>
    </row>
    <row r="7552" spans="5:5" x14ac:dyDescent="0.25">
      <c r="E7552"/>
    </row>
    <row r="7553" spans="5:5" x14ac:dyDescent="0.25">
      <c r="E7553"/>
    </row>
    <row r="7554" spans="5:5" x14ac:dyDescent="0.25">
      <c r="E7554"/>
    </row>
    <row r="7555" spans="5:5" x14ac:dyDescent="0.25">
      <c r="E7555"/>
    </row>
    <row r="7556" spans="5:5" x14ac:dyDescent="0.25">
      <c r="E7556"/>
    </row>
    <row r="7557" spans="5:5" x14ac:dyDescent="0.25">
      <c r="E7557"/>
    </row>
    <row r="7558" spans="5:5" x14ac:dyDescent="0.25">
      <c r="E7558"/>
    </row>
    <row r="7559" spans="5:5" x14ac:dyDescent="0.25">
      <c r="E7559"/>
    </row>
    <row r="7560" spans="5:5" x14ac:dyDescent="0.25">
      <c r="E7560"/>
    </row>
    <row r="7561" spans="5:5" x14ac:dyDescent="0.25">
      <c r="E7561"/>
    </row>
    <row r="7562" spans="5:5" x14ac:dyDescent="0.25">
      <c r="E7562"/>
    </row>
    <row r="7563" spans="5:5" x14ac:dyDescent="0.25">
      <c r="E7563"/>
    </row>
    <row r="7564" spans="5:5" x14ac:dyDescent="0.25">
      <c r="E7564"/>
    </row>
    <row r="7565" spans="5:5" x14ac:dyDescent="0.25">
      <c r="E7565"/>
    </row>
    <row r="7566" spans="5:5" x14ac:dyDescent="0.25">
      <c r="E7566"/>
    </row>
    <row r="7567" spans="5:5" x14ac:dyDescent="0.25">
      <c r="E7567"/>
    </row>
    <row r="7568" spans="5:5" x14ac:dyDescent="0.25">
      <c r="E7568"/>
    </row>
    <row r="7569" spans="5:5" x14ac:dyDescent="0.25">
      <c r="E7569"/>
    </row>
    <row r="7570" spans="5:5" x14ac:dyDescent="0.25">
      <c r="E7570"/>
    </row>
    <row r="7571" spans="5:5" x14ac:dyDescent="0.25">
      <c r="E7571"/>
    </row>
    <row r="7572" spans="5:5" x14ac:dyDescent="0.25">
      <c r="E7572"/>
    </row>
    <row r="7573" spans="5:5" x14ac:dyDescent="0.25">
      <c r="E7573"/>
    </row>
    <row r="7574" spans="5:5" x14ac:dyDescent="0.25">
      <c r="E7574"/>
    </row>
    <row r="7575" spans="5:5" x14ac:dyDescent="0.25">
      <c r="E7575"/>
    </row>
    <row r="7576" spans="5:5" x14ac:dyDescent="0.25">
      <c r="E7576"/>
    </row>
    <row r="7577" spans="5:5" x14ac:dyDescent="0.25">
      <c r="E7577"/>
    </row>
    <row r="7578" spans="5:5" x14ac:dyDescent="0.25">
      <c r="E7578"/>
    </row>
    <row r="7579" spans="5:5" x14ac:dyDescent="0.25">
      <c r="E7579"/>
    </row>
    <row r="7580" spans="5:5" x14ac:dyDescent="0.25">
      <c r="E7580"/>
    </row>
    <row r="7581" spans="5:5" x14ac:dyDescent="0.25">
      <c r="E7581"/>
    </row>
    <row r="7582" spans="5:5" x14ac:dyDescent="0.25">
      <c r="E7582"/>
    </row>
    <row r="7583" spans="5:5" x14ac:dyDescent="0.25">
      <c r="E7583"/>
    </row>
    <row r="7584" spans="5:5" x14ac:dyDescent="0.25">
      <c r="E7584"/>
    </row>
    <row r="7585" spans="5:5" x14ac:dyDescent="0.25">
      <c r="E7585"/>
    </row>
    <row r="7586" spans="5:5" x14ac:dyDescent="0.25">
      <c r="E7586"/>
    </row>
    <row r="7587" spans="5:5" x14ac:dyDescent="0.25">
      <c r="E7587"/>
    </row>
    <row r="7588" spans="5:5" x14ac:dyDescent="0.25">
      <c r="E7588"/>
    </row>
    <row r="7589" spans="5:5" x14ac:dyDescent="0.25">
      <c r="E7589"/>
    </row>
    <row r="7590" spans="5:5" x14ac:dyDescent="0.25">
      <c r="E7590"/>
    </row>
    <row r="7591" spans="5:5" x14ac:dyDescent="0.25">
      <c r="E7591"/>
    </row>
    <row r="7592" spans="5:5" x14ac:dyDescent="0.25">
      <c r="E7592"/>
    </row>
    <row r="7593" spans="5:5" x14ac:dyDescent="0.25">
      <c r="E7593"/>
    </row>
    <row r="7594" spans="5:5" x14ac:dyDescent="0.25">
      <c r="E7594"/>
    </row>
    <row r="7595" spans="5:5" x14ac:dyDescent="0.25">
      <c r="E7595"/>
    </row>
    <row r="7596" spans="5:5" x14ac:dyDescent="0.25">
      <c r="E7596"/>
    </row>
    <row r="7597" spans="5:5" x14ac:dyDescent="0.25">
      <c r="E7597"/>
    </row>
    <row r="7598" spans="5:5" x14ac:dyDescent="0.25">
      <c r="E7598"/>
    </row>
    <row r="7599" spans="5:5" x14ac:dyDescent="0.25">
      <c r="E7599"/>
    </row>
    <row r="7600" spans="5:5" x14ac:dyDescent="0.25">
      <c r="E7600"/>
    </row>
    <row r="7601" spans="5:5" x14ac:dyDescent="0.25">
      <c r="E7601"/>
    </row>
    <row r="7602" spans="5:5" x14ac:dyDescent="0.25">
      <c r="E7602"/>
    </row>
    <row r="7603" spans="5:5" x14ac:dyDescent="0.25">
      <c r="E7603"/>
    </row>
    <row r="7604" spans="5:5" x14ac:dyDescent="0.25">
      <c r="E7604"/>
    </row>
    <row r="7605" spans="5:5" x14ac:dyDescent="0.25">
      <c r="E7605"/>
    </row>
    <row r="7606" spans="5:5" x14ac:dyDescent="0.25">
      <c r="E7606"/>
    </row>
    <row r="7607" spans="5:5" x14ac:dyDescent="0.25">
      <c r="E7607"/>
    </row>
    <row r="7608" spans="5:5" x14ac:dyDescent="0.25">
      <c r="E7608"/>
    </row>
    <row r="7609" spans="5:5" x14ac:dyDescent="0.25">
      <c r="E7609"/>
    </row>
    <row r="7610" spans="5:5" x14ac:dyDescent="0.25">
      <c r="E7610"/>
    </row>
    <row r="7611" spans="5:5" x14ac:dyDescent="0.25">
      <c r="E7611"/>
    </row>
    <row r="7612" spans="5:5" x14ac:dyDescent="0.25">
      <c r="E7612"/>
    </row>
    <row r="7613" spans="5:5" x14ac:dyDescent="0.25">
      <c r="E7613"/>
    </row>
    <row r="7614" spans="5:5" x14ac:dyDescent="0.25">
      <c r="E7614"/>
    </row>
    <row r="7615" spans="5:5" x14ac:dyDescent="0.25">
      <c r="E7615"/>
    </row>
    <row r="7616" spans="5:5" x14ac:dyDescent="0.25">
      <c r="E7616"/>
    </row>
    <row r="7617" spans="5:5" x14ac:dyDescent="0.25">
      <c r="E7617"/>
    </row>
    <row r="7618" spans="5:5" x14ac:dyDescent="0.25">
      <c r="E7618"/>
    </row>
    <row r="7619" spans="5:5" x14ac:dyDescent="0.25">
      <c r="E7619"/>
    </row>
    <row r="7620" spans="5:5" x14ac:dyDescent="0.25">
      <c r="E7620"/>
    </row>
    <row r="7621" spans="5:5" x14ac:dyDescent="0.25">
      <c r="E7621"/>
    </row>
    <row r="7622" spans="5:5" x14ac:dyDescent="0.25">
      <c r="E7622"/>
    </row>
    <row r="7623" spans="5:5" x14ac:dyDescent="0.25">
      <c r="E7623"/>
    </row>
    <row r="7624" spans="5:5" x14ac:dyDescent="0.25">
      <c r="E7624"/>
    </row>
    <row r="7625" spans="5:5" x14ac:dyDescent="0.25">
      <c r="E7625"/>
    </row>
    <row r="7626" spans="5:5" x14ac:dyDescent="0.25">
      <c r="E7626"/>
    </row>
    <row r="7627" spans="5:5" x14ac:dyDescent="0.25">
      <c r="E7627"/>
    </row>
    <row r="7628" spans="5:5" x14ac:dyDescent="0.25">
      <c r="E7628"/>
    </row>
    <row r="7629" spans="5:5" x14ac:dyDescent="0.25">
      <c r="E7629"/>
    </row>
    <row r="7630" spans="5:5" x14ac:dyDescent="0.25">
      <c r="E7630"/>
    </row>
    <row r="7631" spans="5:5" x14ac:dyDescent="0.25">
      <c r="E7631"/>
    </row>
    <row r="7632" spans="5:5" x14ac:dyDescent="0.25">
      <c r="E7632"/>
    </row>
    <row r="7633" spans="5:5" x14ac:dyDescent="0.25">
      <c r="E7633"/>
    </row>
    <row r="7634" spans="5:5" x14ac:dyDescent="0.25">
      <c r="E7634"/>
    </row>
    <row r="7635" spans="5:5" x14ac:dyDescent="0.25">
      <c r="E7635"/>
    </row>
    <row r="7636" spans="5:5" x14ac:dyDescent="0.25">
      <c r="E7636"/>
    </row>
    <row r="7637" spans="5:5" x14ac:dyDescent="0.25">
      <c r="E7637"/>
    </row>
    <row r="7638" spans="5:5" x14ac:dyDescent="0.25">
      <c r="E7638"/>
    </row>
    <row r="7639" spans="5:5" x14ac:dyDescent="0.25">
      <c r="E7639"/>
    </row>
    <row r="7640" spans="5:5" x14ac:dyDescent="0.25">
      <c r="E7640"/>
    </row>
    <row r="7641" spans="5:5" x14ac:dyDescent="0.25">
      <c r="E7641"/>
    </row>
    <row r="7642" spans="5:5" x14ac:dyDescent="0.25">
      <c r="E7642"/>
    </row>
    <row r="7643" spans="5:5" x14ac:dyDescent="0.25">
      <c r="E7643"/>
    </row>
    <row r="7644" spans="5:5" x14ac:dyDescent="0.25">
      <c r="E7644"/>
    </row>
    <row r="7645" spans="5:5" x14ac:dyDescent="0.25">
      <c r="E7645"/>
    </row>
    <row r="7646" spans="5:5" x14ac:dyDescent="0.25">
      <c r="E7646"/>
    </row>
    <row r="7647" spans="5:5" x14ac:dyDescent="0.25">
      <c r="E7647"/>
    </row>
    <row r="7648" spans="5:5" x14ac:dyDescent="0.25">
      <c r="E7648"/>
    </row>
    <row r="7649" spans="5:5" x14ac:dyDescent="0.25">
      <c r="E7649"/>
    </row>
    <row r="7650" spans="5:5" x14ac:dyDescent="0.25">
      <c r="E7650"/>
    </row>
    <row r="7651" spans="5:5" x14ac:dyDescent="0.25">
      <c r="E7651"/>
    </row>
    <row r="7652" spans="5:5" x14ac:dyDescent="0.25">
      <c r="E7652"/>
    </row>
    <row r="7653" spans="5:5" x14ac:dyDescent="0.25">
      <c r="E7653"/>
    </row>
    <row r="7654" spans="5:5" x14ac:dyDescent="0.25">
      <c r="E7654"/>
    </row>
    <row r="7655" spans="5:5" x14ac:dyDescent="0.25">
      <c r="E7655"/>
    </row>
    <row r="7656" spans="5:5" x14ac:dyDescent="0.25">
      <c r="E7656"/>
    </row>
    <row r="7657" spans="5:5" x14ac:dyDescent="0.25">
      <c r="E7657"/>
    </row>
    <row r="7658" spans="5:5" x14ac:dyDescent="0.25">
      <c r="E7658"/>
    </row>
    <row r="7659" spans="5:5" x14ac:dyDescent="0.25">
      <c r="E7659"/>
    </row>
    <row r="7660" spans="5:5" x14ac:dyDescent="0.25">
      <c r="E7660"/>
    </row>
    <row r="7661" spans="5:5" x14ac:dyDescent="0.25">
      <c r="E7661"/>
    </row>
    <row r="7662" spans="5:5" x14ac:dyDescent="0.25">
      <c r="E7662"/>
    </row>
    <row r="7663" spans="5:5" x14ac:dyDescent="0.25">
      <c r="E7663"/>
    </row>
    <row r="7664" spans="5:5" x14ac:dyDescent="0.25">
      <c r="E7664"/>
    </row>
    <row r="7665" spans="5:5" x14ac:dyDescent="0.25">
      <c r="E7665"/>
    </row>
    <row r="7666" spans="5:5" x14ac:dyDescent="0.25">
      <c r="E7666"/>
    </row>
    <row r="7667" spans="5:5" x14ac:dyDescent="0.25">
      <c r="E7667"/>
    </row>
    <row r="7668" spans="5:5" x14ac:dyDescent="0.25">
      <c r="E7668"/>
    </row>
    <row r="7669" spans="5:5" x14ac:dyDescent="0.25">
      <c r="E7669"/>
    </row>
    <row r="7670" spans="5:5" x14ac:dyDescent="0.25">
      <c r="E7670"/>
    </row>
    <row r="7671" spans="5:5" x14ac:dyDescent="0.25">
      <c r="E7671"/>
    </row>
    <row r="7672" spans="5:5" x14ac:dyDescent="0.25">
      <c r="E7672"/>
    </row>
    <row r="7673" spans="5:5" x14ac:dyDescent="0.25">
      <c r="E7673"/>
    </row>
    <row r="7674" spans="5:5" x14ac:dyDescent="0.25">
      <c r="E7674"/>
    </row>
    <row r="7675" spans="5:5" x14ac:dyDescent="0.25">
      <c r="E7675"/>
    </row>
    <row r="7676" spans="5:5" x14ac:dyDescent="0.25">
      <c r="E7676"/>
    </row>
    <row r="7677" spans="5:5" x14ac:dyDescent="0.25">
      <c r="E7677"/>
    </row>
    <row r="7678" spans="5:5" x14ac:dyDescent="0.25">
      <c r="E7678"/>
    </row>
    <row r="7679" spans="5:5" x14ac:dyDescent="0.25">
      <c r="E7679"/>
    </row>
    <row r="7680" spans="5:5" x14ac:dyDescent="0.25">
      <c r="E7680"/>
    </row>
    <row r="7681" spans="5:5" x14ac:dyDescent="0.25">
      <c r="E7681"/>
    </row>
    <row r="7682" spans="5:5" x14ac:dyDescent="0.25">
      <c r="E7682"/>
    </row>
    <row r="7683" spans="5:5" x14ac:dyDescent="0.25">
      <c r="E7683"/>
    </row>
    <row r="7684" spans="5:5" x14ac:dyDescent="0.25">
      <c r="E7684"/>
    </row>
    <row r="7685" spans="5:5" x14ac:dyDescent="0.25">
      <c r="E7685"/>
    </row>
    <row r="7686" spans="5:5" x14ac:dyDescent="0.25">
      <c r="E7686"/>
    </row>
    <row r="7687" spans="5:5" x14ac:dyDescent="0.25">
      <c r="E7687"/>
    </row>
    <row r="7688" spans="5:5" x14ac:dyDescent="0.25">
      <c r="E7688"/>
    </row>
    <row r="7689" spans="5:5" x14ac:dyDescent="0.25">
      <c r="E7689"/>
    </row>
    <row r="7690" spans="5:5" x14ac:dyDescent="0.25">
      <c r="E7690"/>
    </row>
    <row r="7691" spans="5:5" x14ac:dyDescent="0.25">
      <c r="E7691"/>
    </row>
    <row r="7692" spans="5:5" x14ac:dyDescent="0.25">
      <c r="E7692"/>
    </row>
    <row r="7693" spans="5:5" x14ac:dyDescent="0.25">
      <c r="E7693"/>
    </row>
    <row r="7694" spans="5:5" x14ac:dyDescent="0.25">
      <c r="E7694"/>
    </row>
    <row r="7695" spans="5:5" x14ac:dyDescent="0.25">
      <c r="E7695"/>
    </row>
    <row r="7696" spans="5:5" x14ac:dyDescent="0.25">
      <c r="E7696"/>
    </row>
    <row r="7697" spans="5:5" x14ac:dyDescent="0.25">
      <c r="E7697"/>
    </row>
    <row r="7698" spans="5:5" x14ac:dyDescent="0.25">
      <c r="E7698"/>
    </row>
    <row r="7699" spans="5:5" x14ac:dyDescent="0.25">
      <c r="E7699"/>
    </row>
    <row r="7700" spans="5:5" x14ac:dyDescent="0.25">
      <c r="E7700"/>
    </row>
    <row r="7701" spans="5:5" x14ac:dyDescent="0.25">
      <c r="E7701"/>
    </row>
    <row r="7702" spans="5:5" x14ac:dyDescent="0.25">
      <c r="E7702"/>
    </row>
    <row r="7703" spans="5:5" x14ac:dyDescent="0.25">
      <c r="E7703"/>
    </row>
    <row r="7704" spans="5:5" x14ac:dyDescent="0.25">
      <c r="E7704"/>
    </row>
    <row r="7705" spans="5:5" x14ac:dyDescent="0.25">
      <c r="E7705"/>
    </row>
    <row r="7706" spans="5:5" x14ac:dyDescent="0.25">
      <c r="E7706"/>
    </row>
    <row r="7707" spans="5:5" x14ac:dyDescent="0.25">
      <c r="E7707"/>
    </row>
    <row r="7708" spans="5:5" x14ac:dyDescent="0.25">
      <c r="E7708"/>
    </row>
    <row r="7709" spans="5:5" x14ac:dyDescent="0.25">
      <c r="E7709"/>
    </row>
    <row r="7710" spans="5:5" x14ac:dyDescent="0.25">
      <c r="E7710"/>
    </row>
    <row r="7711" spans="5:5" x14ac:dyDescent="0.25">
      <c r="E7711"/>
    </row>
    <row r="7712" spans="5:5" x14ac:dyDescent="0.25">
      <c r="E7712"/>
    </row>
    <row r="7713" spans="5:5" x14ac:dyDescent="0.25">
      <c r="E7713"/>
    </row>
    <row r="7714" spans="5:5" x14ac:dyDescent="0.25">
      <c r="E7714"/>
    </row>
    <row r="7715" spans="5:5" x14ac:dyDescent="0.25">
      <c r="E7715"/>
    </row>
    <row r="7716" spans="5:5" x14ac:dyDescent="0.25">
      <c r="E7716"/>
    </row>
    <row r="7717" spans="5:5" x14ac:dyDescent="0.25">
      <c r="E7717"/>
    </row>
    <row r="7718" spans="5:5" x14ac:dyDescent="0.25">
      <c r="E7718"/>
    </row>
    <row r="7719" spans="5:5" x14ac:dyDescent="0.25">
      <c r="E7719"/>
    </row>
    <row r="7720" spans="5:5" x14ac:dyDescent="0.25">
      <c r="E7720"/>
    </row>
    <row r="7721" spans="5:5" x14ac:dyDescent="0.25">
      <c r="E7721"/>
    </row>
    <row r="7722" spans="5:5" x14ac:dyDescent="0.25">
      <c r="E7722"/>
    </row>
    <row r="7723" spans="5:5" x14ac:dyDescent="0.25">
      <c r="E7723"/>
    </row>
    <row r="7724" spans="5:5" x14ac:dyDescent="0.25">
      <c r="E7724"/>
    </row>
    <row r="7725" spans="5:5" x14ac:dyDescent="0.25">
      <c r="E7725"/>
    </row>
    <row r="7726" spans="5:5" x14ac:dyDescent="0.25">
      <c r="E7726"/>
    </row>
    <row r="7727" spans="5:5" x14ac:dyDescent="0.25">
      <c r="E7727"/>
    </row>
    <row r="7728" spans="5:5" x14ac:dyDescent="0.25">
      <c r="E7728"/>
    </row>
    <row r="7729" spans="5:5" x14ac:dyDescent="0.25">
      <c r="E7729"/>
    </row>
    <row r="7730" spans="5:5" x14ac:dyDescent="0.25">
      <c r="E7730"/>
    </row>
    <row r="7731" spans="5:5" x14ac:dyDescent="0.25">
      <c r="E7731"/>
    </row>
    <row r="7732" spans="5:5" x14ac:dyDescent="0.25">
      <c r="E7732"/>
    </row>
    <row r="7733" spans="5:5" x14ac:dyDescent="0.25">
      <c r="E7733"/>
    </row>
    <row r="7734" spans="5:5" x14ac:dyDescent="0.25">
      <c r="E7734"/>
    </row>
    <row r="7735" spans="5:5" x14ac:dyDescent="0.25">
      <c r="E7735"/>
    </row>
    <row r="7736" spans="5:5" x14ac:dyDescent="0.25">
      <c r="E7736"/>
    </row>
    <row r="7737" spans="5:5" x14ac:dyDescent="0.25">
      <c r="E7737"/>
    </row>
    <row r="7738" spans="5:5" x14ac:dyDescent="0.25">
      <c r="E7738"/>
    </row>
    <row r="7739" spans="5:5" x14ac:dyDescent="0.25">
      <c r="E7739"/>
    </row>
    <row r="7740" spans="5:5" x14ac:dyDescent="0.25">
      <c r="E7740"/>
    </row>
    <row r="7741" spans="5:5" x14ac:dyDescent="0.25">
      <c r="E7741"/>
    </row>
    <row r="7742" spans="5:5" x14ac:dyDescent="0.25">
      <c r="E7742"/>
    </row>
    <row r="7743" spans="5:5" x14ac:dyDescent="0.25">
      <c r="E7743"/>
    </row>
    <row r="7744" spans="5:5" x14ac:dyDescent="0.25">
      <c r="E7744"/>
    </row>
    <row r="7745" spans="5:5" x14ac:dyDescent="0.25">
      <c r="E7745"/>
    </row>
    <row r="7746" spans="5:5" x14ac:dyDescent="0.25">
      <c r="E7746"/>
    </row>
    <row r="7747" spans="5:5" x14ac:dyDescent="0.25">
      <c r="E7747"/>
    </row>
    <row r="7748" spans="5:5" x14ac:dyDescent="0.25">
      <c r="E7748"/>
    </row>
    <row r="7749" spans="5:5" x14ac:dyDescent="0.25">
      <c r="E7749"/>
    </row>
    <row r="7750" spans="5:5" x14ac:dyDescent="0.25">
      <c r="E7750"/>
    </row>
    <row r="7751" spans="5:5" x14ac:dyDescent="0.25">
      <c r="E7751"/>
    </row>
    <row r="7752" spans="5:5" x14ac:dyDescent="0.25">
      <c r="E7752"/>
    </row>
    <row r="7753" spans="5:5" x14ac:dyDescent="0.25">
      <c r="E7753"/>
    </row>
    <row r="7754" spans="5:5" x14ac:dyDescent="0.25">
      <c r="E7754"/>
    </row>
    <row r="7755" spans="5:5" x14ac:dyDescent="0.25">
      <c r="E7755"/>
    </row>
    <row r="7756" spans="5:5" x14ac:dyDescent="0.25">
      <c r="E7756"/>
    </row>
    <row r="7757" spans="5:5" x14ac:dyDescent="0.25">
      <c r="E7757"/>
    </row>
    <row r="7758" spans="5:5" x14ac:dyDescent="0.25">
      <c r="E7758"/>
    </row>
    <row r="7759" spans="5:5" x14ac:dyDescent="0.25">
      <c r="E7759"/>
    </row>
    <row r="7760" spans="5:5" x14ac:dyDescent="0.25">
      <c r="E7760"/>
    </row>
    <row r="7761" spans="5:5" x14ac:dyDescent="0.25">
      <c r="E7761"/>
    </row>
    <row r="7762" spans="5:5" x14ac:dyDescent="0.25">
      <c r="E7762"/>
    </row>
    <row r="7763" spans="5:5" x14ac:dyDescent="0.25">
      <c r="E7763"/>
    </row>
    <row r="7764" spans="5:5" x14ac:dyDescent="0.25">
      <c r="E7764"/>
    </row>
    <row r="7765" spans="5:5" x14ac:dyDescent="0.25">
      <c r="E7765"/>
    </row>
    <row r="7766" spans="5:5" x14ac:dyDescent="0.25">
      <c r="E7766"/>
    </row>
    <row r="7767" spans="5:5" x14ac:dyDescent="0.25">
      <c r="E7767"/>
    </row>
    <row r="7768" spans="5:5" x14ac:dyDescent="0.25">
      <c r="E7768"/>
    </row>
    <row r="7769" spans="5:5" x14ac:dyDescent="0.25">
      <c r="E7769"/>
    </row>
    <row r="7770" spans="5:5" x14ac:dyDescent="0.25">
      <c r="E7770"/>
    </row>
    <row r="7771" spans="5:5" x14ac:dyDescent="0.25">
      <c r="E7771"/>
    </row>
    <row r="7772" spans="5:5" x14ac:dyDescent="0.25">
      <c r="E7772"/>
    </row>
    <row r="7773" spans="5:5" x14ac:dyDescent="0.25">
      <c r="E7773"/>
    </row>
    <row r="7774" spans="5:5" x14ac:dyDescent="0.25">
      <c r="E7774"/>
    </row>
    <row r="7775" spans="5:5" x14ac:dyDescent="0.25">
      <c r="E7775"/>
    </row>
    <row r="7776" spans="5:5" x14ac:dyDescent="0.25">
      <c r="E7776"/>
    </row>
    <row r="7777" spans="5:5" x14ac:dyDescent="0.25">
      <c r="E7777"/>
    </row>
    <row r="7778" spans="5:5" x14ac:dyDescent="0.25">
      <c r="E7778"/>
    </row>
    <row r="7779" spans="5:5" x14ac:dyDescent="0.25">
      <c r="E7779"/>
    </row>
    <row r="7780" spans="5:5" x14ac:dyDescent="0.25">
      <c r="E7780"/>
    </row>
    <row r="7781" spans="5:5" x14ac:dyDescent="0.25">
      <c r="E7781"/>
    </row>
    <row r="7782" spans="5:5" x14ac:dyDescent="0.25">
      <c r="E7782"/>
    </row>
    <row r="7783" spans="5:5" x14ac:dyDescent="0.25">
      <c r="E7783"/>
    </row>
    <row r="7784" spans="5:5" x14ac:dyDescent="0.25">
      <c r="E7784"/>
    </row>
    <row r="7785" spans="5:5" x14ac:dyDescent="0.25">
      <c r="E7785"/>
    </row>
    <row r="7786" spans="5:5" x14ac:dyDescent="0.25">
      <c r="E7786"/>
    </row>
    <row r="7787" spans="5:5" x14ac:dyDescent="0.25">
      <c r="E7787"/>
    </row>
    <row r="7788" spans="5:5" x14ac:dyDescent="0.25">
      <c r="E7788"/>
    </row>
    <row r="7789" spans="5:5" x14ac:dyDescent="0.25">
      <c r="E7789"/>
    </row>
    <row r="7790" spans="5:5" x14ac:dyDescent="0.25">
      <c r="E7790"/>
    </row>
    <row r="7791" spans="5:5" x14ac:dyDescent="0.25">
      <c r="E7791"/>
    </row>
    <row r="7792" spans="5:5" x14ac:dyDescent="0.25">
      <c r="E7792"/>
    </row>
    <row r="7793" spans="5:5" x14ac:dyDescent="0.25">
      <c r="E7793"/>
    </row>
    <row r="7794" spans="5:5" x14ac:dyDescent="0.25">
      <c r="E7794"/>
    </row>
    <row r="7795" spans="5:5" x14ac:dyDescent="0.25">
      <c r="E7795"/>
    </row>
    <row r="7796" spans="5:5" x14ac:dyDescent="0.25">
      <c r="E7796"/>
    </row>
    <row r="7797" spans="5:5" x14ac:dyDescent="0.25">
      <c r="E7797"/>
    </row>
    <row r="7798" spans="5:5" x14ac:dyDescent="0.25">
      <c r="E7798"/>
    </row>
    <row r="7799" spans="5:5" x14ac:dyDescent="0.25">
      <c r="E7799"/>
    </row>
    <row r="7800" spans="5:5" x14ac:dyDescent="0.25">
      <c r="E7800"/>
    </row>
    <row r="7801" spans="5:5" x14ac:dyDescent="0.25">
      <c r="E7801"/>
    </row>
    <row r="7802" spans="5:5" x14ac:dyDescent="0.25">
      <c r="E7802"/>
    </row>
    <row r="7803" spans="5:5" x14ac:dyDescent="0.25">
      <c r="E7803"/>
    </row>
    <row r="7804" spans="5:5" x14ac:dyDescent="0.25">
      <c r="E7804"/>
    </row>
    <row r="7805" spans="5:5" x14ac:dyDescent="0.25">
      <c r="E7805"/>
    </row>
    <row r="7806" spans="5:5" x14ac:dyDescent="0.25">
      <c r="E7806"/>
    </row>
    <row r="7807" spans="5:5" x14ac:dyDescent="0.25">
      <c r="E7807"/>
    </row>
    <row r="7808" spans="5:5" x14ac:dyDescent="0.25">
      <c r="E7808"/>
    </row>
    <row r="7809" spans="5:5" x14ac:dyDescent="0.25">
      <c r="E7809"/>
    </row>
    <row r="7810" spans="5:5" x14ac:dyDescent="0.25">
      <c r="E7810"/>
    </row>
    <row r="7811" spans="5:5" x14ac:dyDescent="0.25">
      <c r="E7811"/>
    </row>
    <row r="7812" spans="5:5" x14ac:dyDescent="0.25">
      <c r="E7812"/>
    </row>
    <row r="7813" spans="5:5" x14ac:dyDescent="0.25">
      <c r="E7813"/>
    </row>
    <row r="7814" spans="5:5" x14ac:dyDescent="0.25">
      <c r="E7814"/>
    </row>
    <row r="7815" spans="5:5" x14ac:dyDescent="0.25">
      <c r="E7815"/>
    </row>
    <row r="7816" spans="5:5" x14ac:dyDescent="0.25">
      <c r="E7816"/>
    </row>
    <row r="7817" spans="5:5" x14ac:dyDescent="0.25">
      <c r="E7817"/>
    </row>
    <row r="7818" spans="5:5" x14ac:dyDescent="0.25">
      <c r="E7818"/>
    </row>
    <row r="7819" spans="5:5" x14ac:dyDescent="0.25">
      <c r="E7819"/>
    </row>
    <row r="7820" spans="5:5" x14ac:dyDescent="0.25">
      <c r="E7820"/>
    </row>
    <row r="7821" spans="5:5" x14ac:dyDescent="0.25">
      <c r="E7821"/>
    </row>
    <row r="7822" spans="5:5" x14ac:dyDescent="0.25">
      <c r="E7822"/>
    </row>
    <row r="7823" spans="5:5" x14ac:dyDescent="0.25">
      <c r="E7823"/>
    </row>
    <row r="7824" spans="5:5" x14ac:dyDescent="0.25">
      <c r="E7824"/>
    </row>
    <row r="7825" spans="5:5" x14ac:dyDescent="0.25">
      <c r="E7825"/>
    </row>
    <row r="7826" spans="5:5" x14ac:dyDescent="0.25">
      <c r="E7826"/>
    </row>
    <row r="7827" spans="5:5" x14ac:dyDescent="0.25">
      <c r="E7827"/>
    </row>
    <row r="7828" spans="5:5" x14ac:dyDescent="0.25">
      <c r="E7828"/>
    </row>
    <row r="7829" spans="5:5" x14ac:dyDescent="0.25">
      <c r="E7829"/>
    </row>
    <row r="7830" spans="5:5" x14ac:dyDescent="0.25">
      <c r="E7830"/>
    </row>
    <row r="7831" spans="5:5" x14ac:dyDescent="0.25">
      <c r="E7831"/>
    </row>
    <row r="7832" spans="5:5" x14ac:dyDescent="0.25">
      <c r="E7832"/>
    </row>
    <row r="7833" spans="5:5" x14ac:dyDescent="0.25">
      <c r="E7833"/>
    </row>
    <row r="7834" spans="5:5" x14ac:dyDescent="0.25">
      <c r="E7834"/>
    </row>
    <row r="7835" spans="5:5" x14ac:dyDescent="0.25">
      <c r="E7835"/>
    </row>
    <row r="7836" spans="5:5" x14ac:dyDescent="0.25">
      <c r="E7836"/>
    </row>
    <row r="7837" spans="5:5" x14ac:dyDescent="0.25">
      <c r="E7837"/>
    </row>
    <row r="7838" spans="5:5" x14ac:dyDescent="0.25">
      <c r="E7838"/>
    </row>
    <row r="7839" spans="5:5" x14ac:dyDescent="0.25">
      <c r="E7839"/>
    </row>
    <row r="7840" spans="5:5" x14ac:dyDescent="0.25">
      <c r="E7840"/>
    </row>
    <row r="7841" spans="5:5" x14ac:dyDescent="0.25">
      <c r="E7841"/>
    </row>
    <row r="7842" spans="5:5" x14ac:dyDescent="0.25">
      <c r="E7842"/>
    </row>
    <row r="7843" spans="5:5" x14ac:dyDescent="0.25">
      <c r="E7843"/>
    </row>
    <row r="7844" spans="5:5" x14ac:dyDescent="0.25">
      <c r="E7844"/>
    </row>
    <row r="7845" spans="5:5" x14ac:dyDescent="0.25">
      <c r="E7845"/>
    </row>
    <row r="7846" spans="5:5" x14ac:dyDescent="0.25">
      <c r="E7846"/>
    </row>
    <row r="7847" spans="5:5" x14ac:dyDescent="0.25">
      <c r="E7847"/>
    </row>
    <row r="7848" spans="5:5" x14ac:dyDescent="0.25">
      <c r="E7848"/>
    </row>
    <row r="7849" spans="5:5" x14ac:dyDescent="0.25">
      <c r="E7849"/>
    </row>
    <row r="7850" spans="5:5" x14ac:dyDescent="0.25">
      <c r="E7850"/>
    </row>
    <row r="7851" spans="5:5" x14ac:dyDescent="0.25">
      <c r="E7851"/>
    </row>
    <row r="7852" spans="5:5" x14ac:dyDescent="0.25">
      <c r="E7852"/>
    </row>
    <row r="7853" spans="5:5" x14ac:dyDescent="0.25">
      <c r="E7853"/>
    </row>
    <row r="7854" spans="5:5" x14ac:dyDescent="0.25">
      <c r="E7854"/>
    </row>
    <row r="7855" spans="5:5" x14ac:dyDescent="0.25">
      <c r="E7855"/>
    </row>
    <row r="7856" spans="5:5" x14ac:dyDescent="0.25">
      <c r="E7856"/>
    </row>
    <row r="7857" spans="5:5" x14ac:dyDescent="0.25">
      <c r="E7857"/>
    </row>
    <row r="7858" spans="5:5" x14ac:dyDescent="0.25">
      <c r="E7858"/>
    </row>
    <row r="7859" spans="5:5" x14ac:dyDescent="0.25">
      <c r="E7859"/>
    </row>
    <row r="7860" spans="5:5" x14ac:dyDescent="0.25">
      <c r="E7860"/>
    </row>
    <row r="7861" spans="5:5" x14ac:dyDescent="0.25">
      <c r="E7861"/>
    </row>
    <row r="7862" spans="5:5" x14ac:dyDescent="0.25">
      <c r="E7862"/>
    </row>
    <row r="7863" spans="5:5" x14ac:dyDescent="0.25">
      <c r="E7863"/>
    </row>
    <row r="7864" spans="5:5" x14ac:dyDescent="0.25">
      <c r="E7864"/>
    </row>
    <row r="7865" spans="5:5" x14ac:dyDescent="0.25">
      <c r="E7865"/>
    </row>
    <row r="7866" spans="5:5" x14ac:dyDescent="0.25">
      <c r="E7866"/>
    </row>
    <row r="7867" spans="5:5" x14ac:dyDescent="0.25">
      <c r="E7867"/>
    </row>
    <row r="7868" spans="5:5" x14ac:dyDescent="0.25">
      <c r="E7868"/>
    </row>
    <row r="7869" spans="5:5" x14ac:dyDescent="0.25">
      <c r="E7869"/>
    </row>
    <row r="7870" spans="5:5" x14ac:dyDescent="0.25">
      <c r="E7870"/>
    </row>
    <row r="7871" spans="5:5" x14ac:dyDescent="0.25">
      <c r="E7871"/>
    </row>
    <row r="7872" spans="5:5" x14ac:dyDescent="0.25">
      <c r="E7872"/>
    </row>
    <row r="7873" spans="5:5" x14ac:dyDescent="0.25">
      <c r="E7873"/>
    </row>
    <row r="7874" spans="5:5" x14ac:dyDescent="0.25">
      <c r="E7874"/>
    </row>
    <row r="7875" spans="5:5" x14ac:dyDescent="0.25">
      <c r="E7875"/>
    </row>
    <row r="7876" spans="5:5" x14ac:dyDescent="0.25">
      <c r="E7876"/>
    </row>
    <row r="7877" spans="5:5" x14ac:dyDescent="0.25">
      <c r="E7877"/>
    </row>
    <row r="7878" spans="5:5" x14ac:dyDescent="0.25">
      <c r="E7878"/>
    </row>
    <row r="7879" spans="5:5" x14ac:dyDescent="0.25">
      <c r="E7879"/>
    </row>
    <row r="7880" spans="5:5" x14ac:dyDescent="0.25">
      <c r="E7880"/>
    </row>
    <row r="7881" spans="5:5" x14ac:dyDescent="0.25">
      <c r="E7881"/>
    </row>
    <row r="7882" spans="5:5" x14ac:dyDescent="0.25">
      <c r="E7882"/>
    </row>
    <row r="7883" spans="5:5" x14ac:dyDescent="0.25">
      <c r="E7883"/>
    </row>
    <row r="7884" spans="5:5" x14ac:dyDescent="0.25">
      <c r="E7884"/>
    </row>
    <row r="7885" spans="5:5" x14ac:dyDescent="0.25">
      <c r="E7885"/>
    </row>
    <row r="7886" spans="5:5" x14ac:dyDescent="0.25">
      <c r="E7886"/>
    </row>
    <row r="7887" spans="5:5" x14ac:dyDescent="0.25">
      <c r="E7887"/>
    </row>
    <row r="7888" spans="5:5" x14ac:dyDescent="0.25">
      <c r="E7888"/>
    </row>
    <row r="7889" spans="5:5" x14ac:dyDescent="0.25">
      <c r="E7889"/>
    </row>
    <row r="7890" spans="5:5" x14ac:dyDescent="0.25">
      <c r="E7890"/>
    </row>
    <row r="7891" spans="5:5" x14ac:dyDescent="0.25">
      <c r="E7891"/>
    </row>
    <row r="7892" spans="5:5" x14ac:dyDescent="0.25">
      <c r="E7892"/>
    </row>
    <row r="7893" spans="5:5" x14ac:dyDescent="0.25">
      <c r="E7893"/>
    </row>
    <row r="7894" spans="5:5" x14ac:dyDescent="0.25">
      <c r="E7894"/>
    </row>
    <row r="7895" spans="5:5" x14ac:dyDescent="0.25">
      <c r="E7895"/>
    </row>
    <row r="7896" spans="5:5" x14ac:dyDescent="0.25">
      <c r="E7896"/>
    </row>
    <row r="7897" spans="5:5" x14ac:dyDescent="0.25">
      <c r="E7897"/>
    </row>
    <row r="7898" spans="5:5" x14ac:dyDescent="0.25">
      <c r="E7898"/>
    </row>
    <row r="7899" spans="5:5" x14ac:dyDescent="0.25">
      <c r="E7899"/>
    </row>
    <row r="7900" spans="5:5" x14ac:dyDescent="0.25">
      <c r="E7900"/>
    </row>
    <row r="7901" spans="5:5" x14ac:dyDescent="0.25">
      <c r="E7901"/>
    </row>
    <row r="7902" spans="5:5" x14ac:dyDescent="0.25">
      <c r="E7902"/>
    </row>
    <row r="7903" spans="5:5" x14ac:dyDescent="0.25">
      <c r="E7903"/>
    </row>
    <row r="7904" spans="5:5" x14ac:dyDescent="0.25">
      <c r="E7904"/>
    </row>
    <row r="7905" spans="5:5" x14ac:dyDescent="0.25">
      <c r="E7905"/>
    </row>
    <row r="7906" spans="5:5" x14ac:dyDescent="0.25">
      <c r="E7906"/>
    </row>
    <row r="7907" spans="5:5" x14ac:dyDescent="0.25">
      <c r="E7907"/>
    </row>
    <row r="7908" spans="5:5" x14ac:dyDescent="0.25">
      <c r="E7908"/>
    </row>
    <row r="7909" spans="5:5" x14ac:dyDescent="0.25">
      <c r="E7909"/>
    </row>
    <row r="7910" spans="5:5" x14ac:dyDescent="0.25">
      <c r="E7910"/>
    </row>
    <row r="7911" spans="5:5" x14ac:dyDescent="0.25">
      <c r="E7911"/>
    </row>
    <row r="7912" spans="5:5" x14ac:dyDescent="0.25">
      <c r="E7912"/>
    </row>
    <row r="7913" spans="5:5" x14ac:dyDescent="0.25">
      <c r="E7913"/>
    </row>
    <row r="7914" spans="5:5" x14ac:dyDescent="0.25">
      <c r="E7914"/>
    </row>
    <row r="7915" spans="5:5" x14ac:dyDescent="0.25">
      <c r="E7915"/>
    </row>
    <row r="7916" spans="5:5" x14ac:dyDescent="0.25">
      <c r="E7916"/>
    </row>
    <row r="7917" spans="5:5" x14ac:dyDescent="0.25">
      <c r="E7917"/>
    </row>
    <row r="7918" spans="5:5" x14ac:dyDescent="0.25">
      <c r="E7918"/>
    </row>
    <row r="7919" spans="5:5" x14ac:dyDescent="0.25">
      <c r="E7919"/>
    </row>
    <row r="7920" spans="5:5" x14ac:dyDescent="0.25">
      <c r="E7920"/>
    </row>
    <row r="7921" spans="5:5" x14ac:dyDescent="0.25">
      <c r="E7921"/>
    </row>
    <row r="7922" spans="5:5" x14ac:dyDescent="0.25">
      <c r="E7922"/>
    </row>
    <row r="7923" spans="5:5" x14ac:dyDescent="0.25">
      <c r="E7923"/>
    </row>
    <row r="7924" spans="5:5" x14ac:dyDescent="0.25">
      <c r="E7924"/>
    </row>
    <row r="7925" spans="5:5" x14ac:dyDescent="0.25">
      <c r="E7925"/>
    </row>
    <row r="7926" spans="5:5" x14ac:dyDescent="0.25">
      <c r="E7926"/>
    </row>
    <row r="7927" spans="5:5" x14ac:dyDescent="0.25">
      <c r="E7927"/>
    </row>
    <row r="7928" spans="5:5" x14ac:dyDescent="0.25">
      <c r="E7928"/>
    </row>
    <row r="7929" spans="5:5" x14ac:dyDescent="0.25">
      <c r="E7929"/>
    </row>
    <row r="7930" spans="5:5" x14ac:dyDescent="0.25">
      <c r="E7930"/>
    </row>
    <row r="7931" spans="5:5" x14ac:dyDescent="0.25">
      <c r="E7931"/>
    </row>
    <row r="7932" spans="5:5" x14ac:dyDescent="0.25">
      <c r="E7932"/>
    </row>
    <row r="7933" spans="5:5" x14ac:dyDescent="0.25">
      <c r="E7933"/>
    </row>
    <row r="7934" spans="5:5" x14ac:dyDescent="0.25">
      <c r="E7934"/>
    </row>
    <row r="7935" spans="5:5" x14ac:dyDescent="0.25">
      <c r="E7935"/>
    </row>
    <row r="7936" spans="5:5" x14ac:dyDescent="0.25">
      <c r="E7936"/>
    </row>
    <row r="7937" spans="5:5" x14ac:dyDescent="0.25">
      <c r="E7937"/>
    </row>
    <row r="7938" spans="5:5" x14ac:dyDescent="0.25">
      <c r="E7938"/>
    </row>
    <row r="7939" spans="5:5" x14ac:dyDescent="0.25">
      <c r="E7939"/>
    </row>
    <row r="7940" spans="5:5" x14ac:dyDescent="0.25">
      <c r="E7940"/>
    </row>
    <row r="7941" spans="5:5" x14ac:dyDescent="0.25">
      <c r="E7941"/>
    </row>
    <row r="7942" spans="5:5" x14ac:dyDescent="0.25">
      <c r="E7942"/>
    </row>
    <row r="7943" spans="5:5" x14ac:dyDescent="0.25">
      <c r="E7943"/>
    </row>
    <row r="7944" spans="5:5" x14ac:dyDescent="0.25">
      <c r="E7944"/>
    </row>
    <row r="7945" spans="5:5" x14ac:dyDescent="0.25">
      <c r="E7945"/>
    </row>
    <row r="7946" spans="5:5" x14ac:dyDescent="0.25">
      <c r="E7946"/>
    </row>
    <row r="7947" spans="5:5" x14ac:dyDescent="0.25">
      <c r="E7947"/>
    </row>
    <row r="7948" spans="5:5" x14ac:dyDescent="0.25">
      <c r="E7948"/>
    </row>
    <row r="7949" spans="5:5" x14ac:dyDescent="0.25">
      <c r="E7949"/>
    </row>
    <row r="7950" spans="5:5" x14ac:dyDescent="0.25">
      <c r="E7950"/>
    </row>
    <row r="7951" spans="5:5" x14ac:dyDescent="0.25">
      <c r="E7951"/>
    </row>
    <row r="7952" spans="5:5" x14ac:dyDescent="0.25">
      <c r="E7952"/>
    </row>
    <row r="7953" spans="5:5" x14ac:dyDescent="0.25">
      <c r="E7953"/>
    </row>
    <row r="7954" spans="5:5" x14ac:dyDescent="0.25">
      <c r="E7954"/>
    </row>
    <row r="7955" spans="5:5" x14ac:dyDescent="0.25">
      <c r="E7955"/>
    </row>
    <row r="7956" spans="5:5" x14ac:dyDescent="0.25">
      <c r="E7956"/>
    </row>
    <row r="7957" spans="5:5" x14ac:dyDescent="0.25">
      <c r="E7957"/>
    </row>
    <row r="7958" spans="5:5" x14ac:dyDescent="0.25">
      <c r="E7958"/>
    </row>
    <row r="7959" spans="5:5" x14ac:dyDescent="0.25">
      <c r="E7959"/>
    </row>
    <row r="7960" spans="5:5" x14ac:dyDescent="0.25">
      <c r="E7960"/>
    </row>
    <row r="7961" spans="5:5" x14ac:dyDescent="0.25">
      <c r="E7961"/>
    </row>
    <row r="7962" spans="5:5" x14ac:dyDescent="0.25">
      <c r="E7962"/>
    </row>
    <row r="7963" spans="5:5" x14ac:dyDescent="0.25">
      <c r="E7963"/>
    </row>
    <row r="7964" spans="5:5" x14ac:dyDescent="0.25">
      <c r="E7964"/>
    </row>
    <row r="7965" spans="5:5" x14ac:dyDescent="0.25">
      <c r="E7965"/>
    </row>
    <row r="7966" spans="5:5" x14ac:dyDescent="0.25">
      <c r="E7966"/>
    </row>
    <row r="7967" spans="5:5" x14ac:dyDescent="0.25">
      <c r="E7967"/>
    </row>
    <row r="7968" spans="5:5" x14ac:dyDescent="0.25">
      <c r="E7968"/>
    </row>
    <row r="7969" spans="5:5" x14ac:dyDescent="0.25">
      <c r="E7969"/>
    </row>
    <row r="7970" spans="5:5" x14ac:dyDescent="0.25">
      <c r="E7970"/>
    </row>
    <row r="7971" spans="5:5" x14ac:dyDescent="0.25">
      <c r="E7971"/>
    </row>
    <row r="7972" spans="5:5" x14ac:dyDescent="0.25">
      <c r="E7972"/>
    </row>
    <row r="7973" spans="5:5" x14ac:dyDescent="0.25">
      <c r="E7973"/>
    </row>
    <row r="7974" spans="5:5" x14ac:dyDescent="0.25">
      <c r="E7974"/>
    </row>
    <row r="7975" spans="5:5" x14ac:dyDescent="0.25">
      <c r="E7975"/>
    </row>
    <row r="7976" spans="5:5" x14ac:dyDescent="0.25">
      <c r="E7976"/>
    </row>
    <row r="7977" spans="5:5" x14ac:dyDescent="0.25">
      <c r="E7977"/>
    </row>
    <row r="7978" spans="5:5" x14ac:dyDescent="0.25">
      <c r="E7978"/>
    </row>
    <row r="7979" spans="5:5" x14ac:dyDescent="0.25">
      <c r="E7979"/>
    </row>
    <row r="7980" spans="5:5" x14ac:dyDescent="0.25">
      <c r="E7980"/>
    </row>
    <row r="7981" spans="5:5" x14ac:dyDescent="0.25">
      <c r="E7981"/>
    </row>
    <row r="7982" spans="5:5" x14ac:dyDescent="0.25">
      <c r="E7982"/>
    </row>
    <row r="7983" spans="5:5" x14ac:dyDescent="0.25">
      <c r="E7983"/>
    </row>
    <row r="7984" spans="5:5" x14ac:dyDescent="0.25">
      <c r="E7984"/>
    </row>
    <row r="7985" spans="5:5" x14ac:dyDescent="0.25">
      <c r="E7985"/>
    </row>
    <row r="7986" spans="5:5" x14ac:dyDescent="0.25">
      <c r="E7986"/>
    </row>
    <row r="7987" spans="5:5" x14ac:dyDescent="0.25">
      <c r="E7987"/>
    </row>
    <row r="7988" spans="5:5" x14ac:dyDescent="0.25">
      <c r="E7988"/>
    </row>
    <row r="7989" spans="5:5" x14ac:dyDescent="0.25">
      <c r="E7989"/>
    </row>
    <row r="7990" spans="5:5" x14ac:dyDescent="0.25">
      <c r="E7990"/>
    </row>
    <row r="7991" spans="5:5" x14ac:dyDescent="0.25">
      <c r="E7991"/>
    </row>
    <row r="7992" spans="5:5" x14ac:dyDescent="0.25">
      <c r="E7992"/>
    </row>
    <row r="7993" spans="5:5" x14ac:dyDescent="0.25">
      <c r="E7993"/>
    </row>
    <row r="7994" spans="5:5" x14ac:dyDescent="0.25">
      <c r="E7994"/>
    </row>
    <row r="7995" spans="5:5" x14ac:dyDescent="0.25">
      <c r="E7995"/>
    </row>
    <row r="7996" spans="5:5" x14ac:dyDescent="0.25">
      <c r="E7996"/>
    </row>
    <row r="7997" spans="5:5" x14ac:dyDescent="0.25">
      <c r="E7997"/>
    </row>
    <row r="7998" spans="5:5" x14ac:dyDescent="0.25">
      <c r="E7998"/>
    </row>
    <row r="7999" spans="5:5" x14ac:dyDescent="0.25">
      <c r="E7999"/>
    </row>
    <row r="8000" spans="5:5" x14ac:dyDescent="0.25">
      <c r="E8000"/>
    </row>
    <row r="8001" spans="5:5" x14ac:dyDescent="0.25">
      <c r="E8001"/>
    </row>
    <row r="8002" spans="5:5" x14ac:dyDescent="0.25">
      <c r="E8002"/>
    </row>
    <row r="8003" spans="5:5" x14ac:dyDescent="0.25">
      <c r="E8003"/>
    </row>
    <row r="8004" spans="5:5" x14ac:dyDescent="0.25">
      <c r="E8004"/>
    </row>
    <row r="8005" spans="5:5" x14ac:dyDescent="0.25">
      <c r="E8005"/>
    </row>
    <row r="8006" spans="5:5" x14ac:dyDescent="0.25">
      <c r="E8006"/>
    </row>
    <row r="8007" spans="5:5" x14ac:dyDescent="0.25">
      <c r="E8007"/>
    </row>
    <row r="8008" spans="5:5" x14ac:dyDescent="0.25">
      <c r="E8008"/>
    </row>
    <row r="8009" spans="5:5" x14ac:dyDescent="0.25">
      <c r="E8009"/>
    </row>
    <row r="8010" spans="5:5" x14ac:dyDescent="0.25">
      <c r="E8010"/>
    </row>
    <row r="8011" spans="5:5" x14ac:dyDescent="0.25">
      <c r="E8011"/>
    </row>
    <row r="8012" spans="5:5" x14ac:dyDescent="0.25">
      <c r="E8012"/>
    </row>
    <row r="8013" spans="5:5" x14ac:dyDescent="0.25">
      <c r="E8013"/>
    </row>
    <row r="8014" spans="5:5" x14ac:dyDescent="0.25">
      <c r="E8014"/>
    </row>
    <row r="8015" spans="5:5" x14ac:dyDescent="0.25">
      <c r="E8015"/>
    </row>
    <row r="8016" spans="5:5" x14ac:dyDescent="0.25">
      <c r="E8016"/>
    </row>
    <row r="8017" spans="5:5" x14ac:dyDescent="0.25">
      <c r="E8017"/>
    </row>
    <row r="8018" spans="5:5" x14ac:dyDescent="0.25">
      <c r="E8018"/>
    </row>
    <row r="8019" spans="5:5" x14ac:dyDescent="0.25">
      <c r="E8019"/>
    </row>
    <row r="8020" spans="5:5" x14ac:dyDescent="0.25">
      <c r="E8020"/>
    </row>
    <row r="8021" spans="5:5" x14ac:dyDescent="0.25">
      <c r="E8021"/>
    </row>
    <row r="8022" spans="5:5" x14ac:dyDescent="0.25">
      <c r="E8022"/>
    </row>
    <row r="8023" spans="5:5" x14ac:dyDescent="0.25">
      <c r="E8023"/>
    </row>
    <row r="8024" spans="5:5" x14ac:dyDescent="0.25">
      <c r="E8024"/>
    </row>
    <row r="8025" spans="5:5" x14ac:dyDescent="0.25">
      <c r="E8025"/>
    </row>
    <row r="8026" spans="5:5" x14ac:dyDescent="0.25">
      <c r="E8026"/>
    </row>
    <row r="8027" spans="5:5" x14ac:dyDescent="0.25">
      <c r="E8027"/>
    </row>
    <row r="8028" spans="5:5" x14ac:dyDescent="0.25">
      <c r="E8028"/>
    </row>
    <row r="8029" spans="5:5" x14ac:dyDescent="0.25">
      <c r="E8029"/>
    </row>
    <row r="8030" spans="5:5" x14ac:dyDescent="0.25">
      <c r="E8030"/>
    </row>
    <row r="8031" spans="5:5" x14ac:dyDescent="0.25">
      <c r="E8031"/>
    </row>
    <row r="8032" spans="5:5" x14ac:dyDescent="0.25">
      <c r="E8032"/>
    </row>
    <row r="8033" spans="5:5" x14ac:dyDescent="0.25">
      <c r="E8033"/>
    </row>
    <row r="8034" spans="5:5" x14ac:dyDescent="0.25">
      <c r="E8034"/>
    </row>
    <row r="8035" spans="5:5" x14ac:dyDescent="0.25">
      <c r="E8035"/>
    </row>
    <row r="8036" spans="5:5" x14ac:dyDescent="0.25">
      <c r="E8036"/>
    </row>
    <row r="8037" spans="5:5" x14ac:dyDescent="0.25">
      <c r="E8037"/>
    </row>
    <row r="8038" spans="5:5" x14ac:dyDescent="0.25">
      <c r="E8038"/>
    </row>
    <row r="8039" spans="5:5" x14ac:dyDescent="0.25">
      <c r="E8039"/>
    </row>
    <row r="8040" spans="5:5" x14ac:dyDescent="0.25">
      <c r="E8040"/>
    </row>
    <row r="8041" spans="5:5" x14ac:dyDescent="0.25">
      <c r="E8041"/>
    </row>
    <row r="8042" spans="5:5" x14ac:dyDescent="0.25">
      <c r="E8042"/>
    </row>
    <row r="8043" spans="5:5" x14ac:dyDescent="0.25">
      <c r="E8043"/>
    </row>
    <row r="8044" spans="5:5" x14ac:dyDescent="0.25">
      <c r="E8044"/>
    </row>
    <row r="8045" spans="5:5" x14ac:dyDescent="0.25">
      <c r="E8045"/>
    </row>
    <row r="8046" spans="5:5" x14ac:dyDescent="0.25">
      <c r="E8046"/>
    </row>
    <row r="8047" spans="5:5" x14ac:dyDescent="0.25">
      <c r="E8047"/>
    </row>
    <row r="8048" spans="5:5" x14ac:dyDescent="0.25">
      <c r="E8048"/>
    </row>
    <row r="8049" spans="5:5" x14ac:dyDescent="0.25">
      <c r="E8049"/>
    </row>
    <row r="8050" spans="5:5" x14ac:dyDescent="0.25">
      <c r="E8050"/>
    </row>
    <row r="8051" spans="5:5" x14ac:dyDescent="0.25">
      <c r="E8051"/>
    </row>
    <row r="8052" spans="5:5" x14ac:dyDescent="0.25">
      <c r="E8052"/>
    </row>
    <row r="8053" spans="5:5" x14ac:dyDescent="0.25">
      <c r="E8053"/>
    </row>
    <row r="8054" spans="5:5" x14ac:dyDescent="0.25">
      <c r="E8054"/>
    </row>
    <row r="8055" spans="5:5" x14ac:dyDescent="0.25">
      <c r="E8055"/>
    </row>
    <row r="8056" spans="5:5" x14ac:dyDescent="0.25">
      <c r="E8056"/>
    </row>
    <row r="8057" spans="5:5" x14ac:dyDescent="0.25">
      <c r="E8057"/>
    </row>
    <row r="8058" spans="5:5" x14ac:dyDescent="0.25">
      <c r="E8058"/>
    </row>
    <row r="8059" spans="5:5" x14ac:dyDescent="0.25">
      <c r="E8059"/>
    </row>
    <row r="8060" spans="5:5" x14ac:dyDescent="0.25">
      <c r="E8060"/>
    </row>
    <row r="8061" spans="5:5" x14ac:dyDescent="0.25">
      <c r="E8061"/>
    </row>
    <row r="8062" spans="5:5" x14ac:dyDescent="0.25">
      <c r="E8062"/>
    </row>
    <row r="8063" spans="5:5" x14ac:dyDescent="0.25">
      <c r="E8063"/>
    </row>
    <row r="8064" spans="5:5" x14ac:dyDescent="0.25">
      <c r="E8064"/>
    </row>
    <row r="8065" spans="5:5" x14ac:dyDescent="0.25">
      <c r="E8065"/>
    </row>
    <row r="8066" spans="5:5" x14ac:dyDescent="0.25">
      <c r="E8066"/>
    </row>
    <row r="8067" spans="5:5" x14ac:dyDescent="0.25">
      <c r="E8067"/>
    </row>
    <row r="8068" spans="5:5" x14ac:dyDescent="0.25">
      <c r="E8068"/>
    </row>
    <row r="8069" spans="5:5" x14ac:dyDescent="0.25">
      <c r="E8069"/>
    </row>
    <row r="8070" spans="5:5" x14ac:dyDescent="0.25">
      <c r="E8070"/>
    </row>
    <row r="8071" spans="5:5" x14ac:dyDescent="0.25">
      <c r="E8071"/>
    </row>
    <row r="8072" spans="5:5" x14ac:dyDescent="0.25">
      <c r="E8072"/>
    </row>
    <row r="8073" spans="5:5" x14ac:dyDescent="0.25">
      <c r="E8073"/>
    </row>
    <row r="8074" spans="5:5" x14ac:dyDescent="0.25">
      <c r="E8074"/>
    </row>
    <row r="8075" spans="5:5" x14ac:dyDescent="0.25">
      <c r="E8075"/>
    </row>
    <row r="8076" spans="5:5" x14ac:dyDescent="0.25">
      <c r="E8076"/>
    </row>
    <row r="8077" spans="5:5" x14ac:dyDescent="0.25">
      <c r="E8077"/>
    </row>
    <row r="8078" spans="5:5" x14ac:dyDescent="0.25">
      <c r="E8078"/>
    </row>
    <row r="8079" spans="5:5" x14ac:dyDescent="0.25">
      <c r="E8079"/>
    </row>
    <row r="8080" spans="5:5" x14ac:dyDescent="0.25">
      <c r="E8080"/>
    </row>
    <row r="8081" spans="5:5" x14ac:dyDescent="0.25">
      <c r="E8081"/>
    </row>
    <row r="8082" spans="5:5" x14ac:dyDescent="0.25">
      <c r="E8082"/>
    </row>
    <row r="8083" spans="5:5" x14ac:dyDescent="0.25">
      <c r="E8083"/>
    </row>
    <row r="8084" spans="5:5" x14ac:dyDescent="0.25">
      <c r="E8084"/>
    </row>
    <row r="8085" spans="5:5" x14ac:dyDescent="0.25">
      <c r="E8085"/>
    </row>
    <row r="8086" spans="5:5" x14ac:dyDescent="0.25">
      <c r="E8086"/>
    </row>
    <row r="8087" spans="5:5" x14ac:dyDescent="0.25">
      <c r="E8087"/>
    </row>
    <row r="8088" spans="5:5" x14ac:dyDescent="0.25">
      <c r="E8088"/>
    </row>
    <row r="8089" spans="5:5" x14ac:dyDescent="0.25">
      <c r="E8089"/>
    </row>
    <row r="8090" spans="5:5" x14ac:dyDescent="0.25">
      <c r="E8090"/>
    </row>
    <row r="8091" spans="5:5" x14ac:dyDescent="0.25">
      <c r="E8091"/>
    </row>
    <row r="8092" spans="5:5" x14ac:dyDescent="0.25">
      <c r="E8092"/>
    </row>
    <row r="8093" spans="5:5" x14ac:dyDescent="0.25">
      <c r="E8093"/>
    </row>
    <row r="8094" spans="5:5" x14ac:dyDescent="0.25">
      <c r="E8094"/>
    </row>
    <row r="8095" spans="5:5" x14ac:dyDescent="0.25">
      <c r="E8095"/>
    </row>
    <row r="8096" spans="5:5" x14ac:dyDescent="0.25">
      <c r="E8096"/>
    </row>
    <row r="8097" spans="5:5" x14ac:dyDescent="0.25">
      <c r="E8097"/>
    </row>
    <row r="8098" spans="5:5" x14ac:dyDescent="0.25">
      <c r="E8098"/>
    </row>
    <row r="8099" spans="5:5" x14ac:dyDescent="0.25">
      <c r="E8099"/>
    </row>
    <row r="8100" spans="5:5" x14ac:dyDescent="0.25">
      <c r="E8100"/>
    </row>
    <row r="8101" spans="5:5" x14ac:dyDescent="0.25">
      <c r="E8101"/>
    </row>
    <row r="8102" spans="5:5" x14ac:dyDescent="0.25">
      <c r="E8102"/>
    </row>
    <row r="8103" spans="5:5" x14ac:dyDescent="0.25">
      <c r="E8103"/>
    </row>
    <row r="8104" spans="5:5" x14ac:dyDescent="0.25">
      <c r="E8104"/>
    </row>
    <row r="8105" spans="5:5" x14ac:dyDescent="0.25">
      <c r="E8105"/>
    </row>
    <row r="8106" spans="5:5" x14ac:dyDescent="0.25">
      <c r="E8106"/>
    </row>
    <row r="8107" spans="5:5" x14ac:dyDescent="0.25">
      <c r="E8107"/>
    </row>
    <row r="8108" spans="5:5" x14ac:dyDescent="0.25">
      <c r="E8108"/>
    </row>
    <row r="8109" spans="5:5" x14ac:dyDescent="0.25">
      <c r="E8109"/>
    </row>
    <row r="8110" spans="5:5" x14ac:dyDescent="0.25">
      <c r="E8110"/>
    </row>
    <row r="8111" spans="5:5" x14ac:dyDescent="0.25">
      <c r="E8111"/>
    </row>
    <row r="8112" spans="5:5" x14ac:dyDescent="0.25">
      <c r="E8112"/>
    </row>
    <row r="8113" spans="5:5" x14ac:dyDescent="0.25">
      <c r="E8113"/>
    </row>
    <row r="8114" spans="5:5" x14ac:dyDescent="0.25">
      <c r="E8114"/>
    </row>
    <row r="8115" spans="5:5" x14ac:dyDescent="0.25">
      <c r="E8115"/>
    </row>
    <row r="8116" spans="5:5" x14ac:dyDescent="0.25">
      <c r="E8116"/>
    </row>
    <row r="8117" spans="5:5" x14ac:dyDescent="0.25">
      <c r="E8117"/>
    </row>
    <row r="8118" spans="5:5" x14ac:dyDescent="0.25">
      <c r="E8118"/>
    </row>
    <row r="8119" spans="5:5" x14ac:dyDescent="0.25">
      <c r="E8119"/>
    </row>
    <row r="8120" spans="5:5" x14ac:dyDescent="0.25">
      <c r="E8120"/>
    </row>
    <row r="8121" spans="5:5" x14ac:dyDescent="0.25">
      <c r="E8121"/>
    </row>
    <row r="8122" spans="5:5" x14ac:dyDescent="0.25">
      <c r="E8122"/>
    </row>
    <row r="8123" spans="5:5" x14ac:dyDescent="0.25">
      <c r="E8123"/>
    </row>
    <row r="8124" spans="5:5" x14ac:dyDescent="0.25">
      <c r="E8124"/>
    </row>
    <row r="8125" spans="5:5" x14ac:dyDescent="0.25">
      <c r="E8125"/>
    </row>
    <row r="8126" spans="5:5" x14ac:dyDescent="0.25">
      <c r="E8126"/>
    </row>
    <row r="8127" spans="5:5" x14ac:dyDescent="0.25">
      <c r="E8127"/>
    </row>
    <row r="8128" spans="5:5" x14ac:dyDescent="0.25">
      <c r="E8128"/>
    </row>
    <row r="8129" spans="5:5" x14ac:dyDescent="0.25">
      <c r="E8129"/>
    </row>
    <row r="8130" spans="5:5" x14ac:dyDescent="0.25">
      <c r="E8130"/>
    </row>
    <row r="8131" spans="5:5" x14ac:dyDescent="0.25">
      <c r="E8131"/>
    </row>
    <row r="8132" spans="5:5" x14ac:dyDescent="0.25">
      <c r="E8132"/>
    </row>
    <row r="8133" spans="5:5" x14ac:dyDescent="0.25">
      <c r="E8133"/>
    </row>
    <row r="8134" spans="5:5" x14ac:dyDescent="0.25">
      <c r="E8134"/>
    </row>
    <row r="8135" spans="5:5" x14ac:dyDescent="0.25">
      <c r="E8135"/>
    </row>
    <row r="8136" spans="5:5" x14ac:dyDescent="0.25">
      <c r="E8136"/>
    </row>
    <row r="8137" spans="5:5" x14ac:dyDescent="0.25">
      <c r="E8137"/>
    </row>
    <row r="8138" spans="5:5" x14ac:dyDescent="0.25">
      <c r="E8138"/>
    </row>
    <row r="8139" spans="5:5" x14ac:dyDescent="0.25">
      <c r="E8139"/>
    </row>
    <row r="8140" spans="5:5" x14ac:dyDescent="0.25">
      <c r="E8140"/>
    </row>
    <row r="8141" spans="5:5" x14ac:dyDescent="0.25">
      <c r="E8141"/>
    </row>
    <row r="8142" spans="5:5" x14ac:dyDescent="0.25">
      <c r="E8142"/>
    </row>
    <row r="8143" spans="5:5" x14ac:dyDescent="0.25">
      <c r="E8143"/>
    </row>
    <row r="8144" spans="5:5" x14ac:dyDescent="0.25">
      <c r="E8144"/>
    </row>
    <row r="8145" spans="5:5" x14ac:dyDescent="0.25">
      <c r="E8145"/>
    </row>
    <row r="8146" spans="5:5" x14ac:dyDescent="0.25">
      <c r="E8146"/>
    </row>
    <row r="8147" spans="5:5" x14ac:dyDescent="0.25">
      <c r="E8147"/>
    </row>
    <row r="8148" spans="5:5" x14ac:dyDescent="0.25">
      <c r="E8148"/>
    </row>
    <row r="8149" spans="5:5" x14ac:dyDescent="0.25">
      <c r="E8149"/>
    </row>
    <row r="8150" spans="5:5" x14ac:dyDescent="0.25">
      <c r="E8150"/>
    </row>
    <row r="8151" spans="5:5" x14ac:dyDescent="0.25">
      <c r="E8151"/>
    </row>
    <row r="8152" spans="5:5" x14ac:dyDescent="0.25">
      <c r="E8152"/>
    </row>
    <row r="8153" spans="5:5" x14ac:dyDescent="0.25">
      <c r="E8153"/>
    </row>
    <row r="8154" spans="5:5" x14ac:dyDescent="0.25">
      <c r="E8154"/>
    </row>
    <row r="8155" spans="5:5" x14ac:dyDescent="0.25">
      <c r="E8155"/>
    </row>
    <row r="8156" spans="5:5" x14ac:dyDescent="0.25">
      <c r="E8156"/>
    </row>
    <row r="8157" spans="5:5" x14ac:dyDescent="0.25">
      <c r="E8157"/>
    </row>
    <row r="8158" spans="5:5" x14ac:dyDescent="0.25">
      <c r="E8158"/>
    </row>
    <row r="8159" spans="5:5" x14ac:dyDescent="0.25">
      <c r="E8159"/>
    </row>
    <row r="8160" spans="5:5" x14ac:dyDescent="0.25">
      <c r="E8160"/>
    </row>
    <row r="8161" spans="5:5" x14ac:dyDescent="0.25">
      <c r="E8161"/>
    </row>
    <row r="8162" spans="5:5" x14ac:dyDescent="0.25">
      <c r="E8162"/>
    </row>
    <row r="8163" spans="5:5" x14ac:dyDescent="0.25">
      <c r="E8163"/>
    </row>
    <row r="8164" spans="5:5" x14ac:dyDescent="0.25">
      <c r="E8164"/>
    </row>
    <row r="8165" spans="5:5" x14ac:dyDescent="0.25">
      <c r="E8165"/>
    </row>
    <row r="8166" spans="5:5" x14ac:dyDescent="0.25">
      <c r="E8166"/>
    </row>
    <row r="8167" spans="5:5" x14ac:dyDescent="0.25">
      <c r="E8167"/>
    </row>
    <row r="8168" spans="5:5" x14ac:dyDescent="0.25">
      <c r="E8168"/>
    </row>
    <row r="8169" spans="5:5" x14ac:dyDescent="0.25">
      <c r="E8169"/>
    </row>
    <row r="8170" spans="5:5" x14ac:dyDescent="0.25">
      <c r="E8170"/>
    </row>
    <row r="8171" spans="5:5" x14ac:dyDescent="0.25">
      <c r="E8171"/>
    </row>
    <row r="8172" spans="5:5" x14ac:dyDescent="0.25">
      <c r="E8172"/>
    </row>
    <row r="8173" spans="5:5" x14ac:dyDescent="0.25">
      <c r="E8173"/>
    </row>
    <row r="8174" spans="5:5" x14ac:dyDescent="0.25">
      <c r="E8174"/>
    </row>
    <row r="8175" spans="5:5" x14ac:dyDescent="0.25">
      <c r="E8175"/>
    </row>
    <row r="8176" spans="5:5" x14ac:dyDescent="0.25">
      <c r="E8176"/>
    </row>
    <row r="8177" spans="5:5" x14ac:dyDescent="0.25">
      <c r="E8177"/>
    </row>
    <row r="8178" spans="5:5" x14ac:dyDescent="0.25">
      <c r="E8178"/>
    </row>
    <row r="8179" spans="5:5" x14ac:dyDescent="0.25">
      <c r="E8179"/>
    </row>
    <row r="8180" spans="5:5" x14ac:dyDescent="0.25">
      <c r="E8180"/>
    </row>
    <row r="8181" spans="5:5" x14ac:dyDescent="0.25">
      <c r="E8181"/>
    </row>
    <row r="8182" spans="5:5" x14ac:dyDescent="0.25">
      <c r="E8182"/>
    </row>
    <row r="8183" spans="5:5" x14ac:dyDescent="0.25">
      <c r="E8183"/>
    </row>
    <row r="8184" spans="5:5" x14ac:dyDescent="0.25">
      <c r="E8184"/>
    </row>
    <row r="8185" spans="5:5" x14ac:dyDescent="0.25">
      <c r="E8185"/>
    </row>
    <row r="8186" spans="5:5" x14ac:dyDescent="0.25">
      <c r="E8186"/>
    </row>
    <row r="8187" spans="5:5" x14ac:dyDescent="0.25">
      <c r="E8187"/>
    </row>
    <row r="8188" spans="5:5" x14ac:dyDescent="0.25">
      <c r="E8188"/>
    </row>
    <row r="8189" spans="5:5" x14ac:dyDescent="0.25">
      <c r="E8189"/>
    </row>
    <row r="8190" spans="5:5" x14ac:dyDescent="0.25">
      <c r="E8190"/>
    </row>
    <row r="8191" spans="5:5" x14ac:dyDescent="0.25">
      <c r="E8191"/>
    </row>
    <row r="8192" spans="5:5" x14ac:dyDescent="0.25">
      <c r="E8192"/>
    </row>
    <row r="8193" spans="5:5" x14ac:dyDescent="0.25">
      <c r="E8193"/>
    </row>
    <row r="8194" spans="5:5" x14ac:dyDescent="0.25">
      <c r="E8194"/>
    </row>
    <row r="8195" spans="5:5" x14ac:dyDescent="0.25">
      <c r="E8195"/>
    </row>
    <row r="8196" spans="5:5" x14ac:dyDescent="0.25">
      <c r="E8196"/>
    </row>
    <row r="8197" spans="5:5" x14ac:dyDescent="0.25">
      <c r="E8197"/>
    </row>
    <row r="8198" spans="5:5" x14ac:dyDescent="0.25">
      <c r="E8198"/>
    </row>
    <row r="8199" spans="5:5" x14ac:dyDescent="0.25">
      <c r="E8199"/>
    </row>
    <row r="8200" spans="5:5" x14ac:dyDescent="0.25">
      <c r="E8200"/>
    </row>
    <row r="8201" spans="5:5" x14ac:dyDescent="0.25">
      <c r="E8201"/>
    </row>
    <row r="8202" spans="5:5" x14ac:dyDescent="0.25">
      <c r="E8202"/>
    </row>
    <row r="8203" spans="5:5" x14ac:dyDescent="0.25">
      <c r="E8203"/>
    </row>
    <row r="8204" spans="5:5" x14ac:dyDescent="0.25">
      <c r="E8204"/>
    </row>
    <row r="8205" spans="5:5" x14ac:dyDescent="0.25">
      <c r="E8205"/>
    </row>
    <row r="8206" spans="5:5" x14ac:dyDescent="0.25">
      <c r="E8206"/>
    </row>
    <row r="8207" spans="5:5" x14ac:dyDescent="0.25">
      <c r="E8207"/>
    </row>
    <row r="8208" spans="5:5" x14ac:dyDescent="0.25">
      <c r="E8208"/>
    </row>
    <row r="8209" spans="5:5" x14ac:dyDescent="0.25">
      <c r="E8209"/>
    </row>
    <row r="8210" spans="5:5" x14ac:dyDescent="0.25">
      <c r="E8210"/>
    </row>
    <row r="8211" spans="5:5" x14ac:dyDescent="0.25">
      <c r="E8211"/>
    </row>
    <row r="8212" spans="5:5" x14ac:dyDescent="0.25">
      <c r="E8212"/>
    </row>
    <row r="8213" spans="5:5" x14ac:dyDescent="0.25">
      <c r="E8213"/>
    </row>
    <row r="8214" spans="5:5" x14ac:dyDescent="0.25">
      <c r="E8214"/>
    </row>
    <row r="8215" spans="5:5" x14ac:dyDescent="0.25">
      <c r="E8215"/>
    </row>
    <row r="8216" spans="5:5" x14ac:dyDescent="0.25">
      <c r="E8216"/>
    </row>
    <row r="8217" spans="5:5" x14ac:dyDescent="0.25">
      <c r="E8217"/>
    </row>
    <row r="8218" spans="5:5" x14ac:dyDescent="0.25">
      <c r="E8218"/>
    </row>
    <row r="8219" spans="5:5" x14ac:dyDescent="0.25">
      <c r="E8219"/>
    </row>
    <row r="8220" spans="5:5" x14ac:dyDescent="0.25">
      <c r="E8220"/>
    </row>
    <row r="8221" spans="5:5" x14ac:dyDescent="0.25">
      <c r="E8221"/>
    </row>
    <row r="8222" spans="5:5" x14ac:dyDescent="0.25">
      <c r="E8222"/>
    </row>
    <row r="8223" spans="5:5" x14ac:dyDescent="0.25">
      <c r="E8223"/>
    </row>
    <row r="8224" spans="5:5" x14ac:dyDescent="0.25">
      <c r="E8224"/>
    </row>
    <row r="8225" spans="5:5" x14ac:dyDescent="0.25">
      <c r="E8225"/>
    </row>
    <row r="8226" spans="5:5" x14ac:dyDescent="0.25">
      <c r="E8226"/>
    </row>
    <row r="8227" spans="5:5" x14ac:dyDescent="0.25">
      <c r="E8227"/>
    </row>
    <row r="8228" spans="5:5" x14ac:dyDescent="0.25">
      <c r="E8228"/>
    </row>
    <row r="8229" spans="5:5" x14ac:dyDescent="0.25">
      <c r="E8229"/>
    </row>
    <row r="8230" spans="5:5" x14ac:dyDescent="0.25">
      <c r="E8230"/>
    </row>
    <row r="8231" spans="5:5" x14ac:dyDescent="0.25">
      <c r="E8231"/>
    </row>
    <row r="8232" spans="5:5" x14ac:dyDescent="0.25">
      <c r="E8232"/>
    </row>
    <row r="8233" spans="5:5" x14ac:dyDescent="0.25">
      <c r="E8233"/>
    </row>
    <row r="8234" spans="5:5" x14ac:dyDescent="0.25">
      <c r="E8234"/>
    </row>
    <row r="8235" spans="5:5" x14ac:dyDescent="0.25">
      <c r="E8235"/>
    </row>
    <row r="8236" spans="5:5" x14ac:dyDescent="0.25">
      <c r="E8236"/>
    </row>
    <row r="8237" spans="5:5" x14ac:dyDescent="0.25">
      <c r="E8237"/>
    </row>
    <row r="8238" spans="5:5" x14ac:dyDescent="0.25">
      <c r="E8238"/>
    </row>
    <row r="8239" spans="5:5" x14ac:dyDescent="0.25">
      <c r="E8239"/>
    </row>
    <row r="8240" spans="5:5" x14ac:dyDescent="0.25">
      <c r="E8240"/>
    </row>
    <row r="8241" spans="5:5" x14ac:dyDescent="0.25">
      <c r="E8241"/>
    </row>
    <row r="8242" spans="5:5" x14ac:dyDescent="0.25">
      <c r="E8242"/>
    </row>
    <row r="8243" spans="5:5" x14ac:dyDescent="0.25">
      <c r="E8243"/>
    </row>
    <row r="8244" spans="5:5" x14ac:dyDescent="0.25">
      <c r="E8244"/>
    </row>
    <row r="8245" spans="5:5" x14ac:dyDescent="0.25">
      <c r="E8245"/>
    </row>
    <row r="8246" spans="5:5" x14ac:dyDescent="0.25">
      <c r="E8246"/>
    </row>
    <row r="8247" spans="5:5" x14ac:dyDescent="0.25">
      <c r="E8247"/>
    </row>
    <row r="8248" spans="5:5" x14ac:dyDescent="0.25">
      <c r="E8248"/>
    </row>
    <row r="8249" spans="5:5" x14ac:dyDescent="0.25">
      <c r="E8249"/>
    </row>
    <row r="8250" spans="5:5" x14ac:dyDescent="0.25">
      <c r="E8250"/>
    </row>
    <row r="8251" spans="5:5" x14ac:dyDescent="0.25">
      <c r="E8251"/>
    </row>
    <row r="8252" spans="5:5" x14ac:dyDescent="0.25">
      <c r="E8252"/>
    </row>
    <row r="8253" spans="5:5" x14ac:dyDescent="0.25">
      <c r="E8253"/>
    </row>
    <row r="8254" spans="5:5" x14ac:dyDescent="0.25">
      <c r="E8254"/>
    </row>
    <row r="8255" spans="5:5" x14ac:dyDescent="0.25">
      <c r="E8255"/>
    </row>
    <row r="8256" spans="5:5" x14ac:dyDescent="0.25">
      <c r="E8256"/>
    </row>
    <row r="8257" spans="5:5" x14ac:dyDescent="0.25">
      <c r="E8257"/>
    </row>
    <row r="8258" spans="5:5" x14ac:dyDescent="0.25">
      <c r="E8258"/>
    </row>
    <row r="8259" spans="5:5" x14ac:dyDescent="0.25">
      <c r="E8259"/>
    </row>
    <row r="8260" spans="5:5" x14ac:dyDescent="0.25">
      <c r="E8260"/>
    </row>
    <row r="8261" spans="5:5" x14ac:dyDescent="0.25">
      <c r="E8261"/>
    </row>
    <row r="8262" spans="5:5" x14ac:dyDescent="0.25">
      <c r="E8262"/>
    </row>
    <row r="8263" spans="5:5" x14ac:dyDescent="0.25">
      <c r="E8263"/>
    </row>
    <row r="8264" spans="5:5" x14ac:dyDescent="0.25">
      <c r="E8264"/>
    </row>
    <row r="8265" spans="5:5" x14ac:dyDescent="0.25">
      <c r="E8265"/>
    </row>
    <row r="8266" spans="5:5" x14ac:dyDescent="0.25">
      <c r="E8266"/>
    </row>
    <row r="8267" spans="5:5" x14ac:dyDescent="0.25">
      <c r="E8267"/>
    </row>
    <row r="8268" spans="5:5" x14ac:dyDescent="0.25">
      <c r="E8268"/>
    </row>
    <row r="8269" spans="5:5" x14ac:dyDescent="0.25">
      <c r="E8269"/>
    </row>
    <row r="8270" spans="5:5" x14ac:dyDescent="0.25">
      <c r="E8270"/>
    </row>
    <row r="8271" spans="5:5" x14ac:dyDescent="0.25">
      <c r="E8271"/>
    </row>
    <row r="8272" spans="5:5" x14ac:dyDescent="0.25">
      <c r="E8272"/>
    </row>
    <row r="8273" spans="5:5" x14ac:dyDescent="0.25">
      <c r="E8273"/>
    </row>
    <row r="8274" spans="5:5" x14ac:dyDescent="0.25">
      <c r="E8274"/>
    </row>
    <row r="8275" spans="5:5" x14ac:dyDescent="0.25">
      <c r="E8275"/>
    </row>
    <row r="8276" spans="5:5" x14ac:dyDescent="0.25">
      <c r="E8276"/>
    </row>
    <row r="8277" spans="5:5" x14ac:dyDescent="0.25">
      <c r="E8277"/>
    </row>
    <row r="8278" spans="5:5" x14ac:dyDescent="0.25">
      <c r="E8278"/>
    </row>
    <row r="8279" spans="5:5" x14ac:dyDescent="0.25">
      <c r="E8279"/>
    </row>
    <row r="8280" spans="5:5" x14ac:dyDescent="0.25">
      <c r="E8280"/>
    </row>
    <row r="8281" spans="5:5" x14ac:dyDescent="0.25">
      <c r="E8281"/>
    </row>
    <row r="8282" spans="5:5" x14ac:dyDescent="0.25">
      <c r="E8282"/>
    </row>
    <row r="8283" spans="5:5" x14ac:dyDescent="0.25">
      <c r="E8283"/>
    </row>
    <row r="8284" spans="5:5" x14ac:dyDescent="0.25">
      <c r="E8284"/>
    </row>
    <row r="8285" spans="5:5" x14ac:dyDescent="0.25">
      <c r="E8285"/>
    </row>
    <row r="8286" spans="5:5" x14ac:dyDescent="0.25">
      <c r="E8286"/>
    </row>
    <row r="8287" spans="5:5" x14ac:dyDescent="0.25">
      <c r="E8287"/>
    </row>
    <row r="8288" spans="5:5" x14ac:dyDescent="0.25">
      <c r="E8288"/>
    </row>
    <row r="8289" spans="5:5" x14ac:dyDescent="0.25">
      <c r="E8289"/>
    </row>
    <row r="8290" spans="5:5" x14ac:dyDescent="0.25">
      <c r="E8290"/>
    </row>
    <row r="8291" spans="5:5" x14ac:dyDescent="0.25">
      <c r="E8291"/>
    </row>
    <row r="8292" spans="5:5" x14ac:dyDescent="0.25">
      <c r="E8292"/>
    </row>
    <row r="8293" spans="5:5" x14ac:dyDescent="0.25">
      <c r="E8293"/>
    </row>
    <row r="8294" spans="5:5" x14ac:dyDescent="0.25">
      <c r="E8294"/>
    </row>
    <row r="8295" spans="5:5" x14ac:dyDescent="0.25">
      <c r="E8295"/>
    </row>
    <row r="8296" spans="5:5" x14ac:dyDescent="0.25">
      <c r="E8296"/>
    </row>
    <row r="8297" spans="5:5" x14ac:dyDescent="0.25">
      <c r="E8297"/>
    </row>
    <row r="8298" spans="5:5" x14ac:dyDescent="0.25">
      <c r="E8298"/>
    </row>
    <row r="8299" spans="5:5" x14ac:dyDescent="0.25">
      <c r="E8299"/>
    </row>
    <row r="8300" spans="5:5" x14ac:dyDescent="0.25">
      <c r="E8300"/>
    </row>
    <row r="8301" spans="5:5" x14ac:dyDescent="0.25">
      <c r="E8301"/>
    </row>
    <row r="8302" spans="5:5" x14ac:dyDescent="0.25">
      <c r="E8302"/>
    </row>
    <row r="8303" spans="5:5" x14ac:dyDescent="0.25">
      <c r="E8303"/>
    </row>
    <row r="8304" spans="5:5" x14ac:dyDescent="0.25">
      <c r="E8304"/>
    </row>
    <row r="8305" spans="5:5" x14ac:dyDescent="0.25">
      <c r="E8305"/>
    </row>
    <row r="8306" spans="5:5" x14ac:dyDescent="0.25">
      <c r="E8306"/>
    </row>
    <row r="8307" spans="5:5" x14ac:dyDescent="0.25">
      <c r="E8307"/>
    </row>
    <row r="8308" spans="5:5" x14ac:dyDescent="0.25">
      <c r="E8308"/>
    </row>
    <row r="8309" spans="5:5" x14ac:dyDescent="0.25">
      <c r="E8309"/>
    </row>
    <row r="8310" spans="5:5" x14ac:dyDescent="0.25">
      <c r="E8310"/>
    </row>
    <row r="8311" spans="5:5" x14ac:dyDescent="0.25">
      <c r="E8311"/>
    </row>
    <row r="8312" spans="5:5" x14ac:dyDescent="0.25">
      <c r="E8312"/>
    </row>
    <row r="8313" spans="5:5" x14ac:dyDescent="0.25">
      <c r="E8313"/>
    </row>
    <row r="8314" spans="5:5" x14ac:dyDescent="0.25">
      <c r="E8314"/>
    </row>
    <row r="8315" spans="5:5" x14ac:dyDescent="0.25">
      <c r="E8315"/>
    </row>
    <row r="8316" spans="5:5" x14ac:dyDescent="0.25">
      <c r="E8316"/>
    </row>
    <row r="8317" spans="5:5" x14ac:dyDescent="0.25">
      <c r="E8317"/>
    </row>
    <row r="8318" spans="5:5" x14ac:dyDescent="0.25">
      <c r="E8318"/>
    </row>
    <row r="8319" spans="5:5" x14ac:dyDescent="0.25">
      <c r="E8319"/>
    </row>
    <row r="8320" spans="5:5" x14ac:dyDescent="0.25">
      <c r="E8320"/>
    </row>
    <row r="8321" spans="5:5" x14ac:dyDescent="0.25">
      <c r="E8321"/>
    </row>
    <row r="8322" spans="5:5" x14ac:dyDescent="0.25">
      <c r="E8322"/>
    </row>
    <row r="8323" spans="5:5" x14ac:dyDescent="0.25">
      <c r="E8323"/>
    </row>
    <row r="8324" spans="5:5" x14ac:dyDescent="0.25">
      <c r="E8324"/>
    </row>
    <row r="8325" spans="5:5" x14ac:dyDescent="0.25">
      <c r="E8325"/>
    </row>
    <row r="8326" spans="5:5" x14ac:dyDescent="0.25">
      <c r="E8326"/>
    </row>
    <row r="8327" spans="5:5" x14ac:dyDescent="0.25">
      <c r="E8327"/>
    </row>
    <row r="8328" spans="5:5" x14ac:dyDescent="0.25">
      <c r="E8328"/>
    </row>
    <row r="8329" spans="5:5" x14ac:dyDescent="0.25">
      <c r="E8329"/>
    </row>
    <row r="8330" spans="5:5" x14ac:dyDescent="0.25">
      <c r="E8330"/>
    </row>
    <row r="8331" spans="5:5" x14ac:dyDescent="0.25">
      <c r="E8331"/>
    </row>
    <row r="8332" spans="5:5" x14ac:dyDescent="0.25">
      <c r="E8332"/>
    </row>
    <row r="8333" spans="5:5" x14ac:dyDescent="0.25">
      <c r="E8333"/>
    </row>
    <row r="8334" spans="5:5" x14ac:dyDescent="0.25">
      <c r="E8334"/>
    </row>
    <row r="8335" spans="5:5" x14ac:dyDescent="0.25">
      <c r="E8335"/>
    </row>
    <row r="8336" spans="5:5" x14ac:dyDescent="0.25">
      <c r="E8336"/>
    </row>
    <row r="8337" spans="5:5" x14ac:dyDescent="0.25">
      <c r="E8337"/>
    </row>
    <row r="8338" spans="5:5" x14ac:dyDescent="0.25">
      <c r="E8338"/>
    </row>
    <row r="8339" spans="5:5" x14ac:dyDescent="0.25">
      <c r="E8339"/>
    </row>
    <row r="8340" spans="5:5" x14ac:dyDescent="0.25">
      <c r="E8340"/>
    </row>
    <row r="8341" spans="5:5" x14ac:dyDescent="0.25">
      <c r="E8341"/>
    </row>
    <row r="8342" spans="5:5" x14ac:dyDescent="0.25">
      <c r="E8342"/>
    </row>
    <row r="8343" spans="5:5" x14ac:dyDescent="0.25">
      <c r="E8343"/>
    </row>
    <row r="8344" spans="5:5" x14ac:dyDescent="0.25">
      <c r="E8344"/>
    </row>
    <row r="8345" spans="5:5" x14ac:dyDescent="0.25">
      <c r="E8345"/>
    </row>
    <row r="8346" spans="5:5" x14ac:dyDescent="0.25">
      <c r="E8346"/>
    </row>
    <row r="8347" spans="5:5" x14ac:dyDescent="0.25">
      <c r="E8347"/>
    </row>
    <row r="8348" spans="5:5" x14ac:dyDescent="0.25">
      <c r="E8348"/>
    </row>
    <row r="8349" spans="5:5" x14ac:dyDescent="0.25">
      <c r="E8349"/>
    </row>
    <row r="8350" spans="5:5" x14ac:dyDescent="0.25">
      <c r="E8350"/>
    </row>
    <row r="8351" spans="5:5" x14ac:dyDescent="0.25">
      <c r="E8351"/>
    </row>
    <row r="8352" spans="5:5" x14ac:dyDescent="0.25">
      <c r="E8352"/>
    </row>
    <row r="8353" spans="5:5" x14ac:dyDescent="0.25">
      <c r="E8353"/>
    </row>
    <row r="8354" spans="5:5" x14ac:dyDescent="0.25">
      <c r="E8354"/>
    </row>
    <row r="8355" spans="5:5" x14ac:dyDescent="0.25">
      <c r="E8355"/>
    </row>
    <row r="8356" spans="5:5" x14ac:dyDescent="0.25">
      <c r="E8356"/>
    </row>
    <row r="8357" spans="5:5" x14ac:dyDescent="0.25">
      <c r="E8357"/>
    </row>
    <row r="8358" spans="5:5" x14ac:dyDescent="0.25">
      <c r="E8358"/>
    </row>
    <row r="8359" spans="5:5" x14ac:dyDescent="0.25">
      <c r="E8359"/>
    </row>
    <row r="8360" spans="5:5" x14ac:dyDescent="0.25">
      <c r="E8360"/>
    </row>
    <row r="8361" spans="5:5" x14ac:dyDescent="0.25">
      <c r="E8361"/>
    </row>
    <row r="8362" spans="5:5" x14ac:dyDescent="0.25">
      <c r="E8362"/>
    </row>
    <row r="8363" spans="5:5" x14ac:dyDescent="0.25">
      <c r="E8363"/>
    </row>
    <row r="8364" spans="5:5" x14ac:dyDescent="0.25">
      <c r="E8364"/>
    </row>
    <row r="8365" spans="5:5" x14ac:dyDescent="0.25">
      <c r="E8365"/>
    </row>
    <row r="8366" spans="5:5" x14ac:dyDescent="0.25">
      <c r="E8366"/>
    </row>
    <row r="8367" spans="5:5" x14ac:dyDescent="0.25">
      <c r="E8367"/>
    </row>
    <row r="8368" spans="5:5" x14ac:dyDescent="0.25">
      <c r="E8368"/>
    </row>
    <row r="8369" spans="5:5" x14ac:dyDescent="0.25">
      <c r="E8369"/>
    </row>
    <row r="8370" spans="5:5" x14ac:dyDescent="0.25">
      <c r="E8370"/>
    </row>
    <row r="8371" spans="5:5" x14ac:dyDescent="0.25">
      <c r="E8371"/>
    </row>
    <row r="8372" spans="5:5" x14ac:dyDescent="0.25">
      <c r="E8372"/>
    </row>
    <row r="8373" spans="5:5" x14ac:dyDescent="0.25">
      <c r="E8373"/>
    </row>
    <row r="8374" spans="5:5" x14ac:dyDescent="0.25">
      <c r="E8374"/>
    </row>
    <row r="8375" spans="5:5" x14ac:dyDescent="0.25">
      <c r="E8375"/>
    </row>
    <row r="8376" spans="5:5" x14ac:dyDescent="0.25">
      <c r="E8376"/>
    </row>
    <row r="8377" spans="5:5" x14ac:dyDescent="0.25">
      <c r="E8377"/>
    </row>
    <row r="8378" spans="5:5" x14ac:dyDescent="0.25">
      <c r="E8378"/>
    </row>
    <row r="8379" spans="5:5" x14ac:dyDescent="0.25">
      <c r="E8379"/>
    </row>
    <row r="8380" spans="5:5" x14ac:dyDescent="0.25">
      <c r="E8380"/>
    </row>
    <row r="8381" spans="5:5" x14ac:dyDescent="0.25">
      <c r="E8381"/>
    </row>
    <row r="8382" spans="5:5" x14ac:dyDescent="0.25">
      <c r="E8382"/>
    </row>
    <row r="8383" spans="5:5" x14ac:dyDescent="0.25">
      <c r="E8383"/>
    </row>
    <row r="8384" spans="5:5" x14ac:dyDescent="0.25">
      <c r="E8384"/>
    </row>
    <row r="8385" spans="5:5" x14ac:dyDescent="0.25">
      <c r="E8385"/>
    </row>
    <row r="8386" spans="5:5" x14ac:dyDescent="0.25">
      <c r="E8386"/>
    </row>
    <row r="8387" spans="5:5" x14ac:dyDescent="0.25">
      <c r="E8387"/>
    </row>
    <row r="8388" spans="5:5" x14ac:dyDescent="0.25">
      <c r="E8388"/>
    </row>
    <row r="8389" spans="5:5" x14ac:dyDescent="0.25">
      <c r="E8389"/>
    </row>
    <row r="8390" spans="5:5" x14ac:dyDescent="0.25">
      <c r="E8390"/>
    </row>
    <row r="8391" spans="5:5" x14ac:dyDescent="0.25">
      <c r="E8391"/>
    </row>
    <row r="8392" spans="5:5" x14ac:dyDescent="0.25">
      <c r="E8392"/>
    </row>
    <row r="8393" spans="5:5" x14ac:dyDescent="0.25">
      <c r="E8393"/>
    </row>
    <row r="8394" spans="5:5" x14ac:dyDescent="0.25">
      <c r="E8394"/>
    </row>
    <row r="8395" spans="5:5" x14ac:dyDescent="0.25">
      <c r="E8395"/>
    </row>
    <row r="8396" spans="5:5" x14ac:dyDescent="0.25">
      <c r="E8396"/>
    </row>
    <row r="8397" spans="5:5" x14ac:dyDescent="0.25">
      <c r="E8397"/>
    </row>
    <row r="8398" spans="5:5" x14ac:dyDescent="0.25">
      <c r="E8398"/>
    </row>
    <row r="8399" spans="5:5" x14ac:dyDescent="0.25">
      <c r="E8399"/>
    </row>
    <row r="8400" spans="5:5" x14ac:dyDescent="0.25">
      <c r="E8400"/>
    </row>
    <row r="8401" spans="5:5" x14ac:dyDescent="0.25">
      <c r="E8401"/>
    </row>
    <row r="8402" spans="5:5" x14ac:dyDescent="0.25">
      <c r="E8402"/>
    </row>
    <row r="8403" spans="5:5" x14ac:dyDescent="0.25">
      <c r="E8403"/>
    </row>
    <row r="8404" spans="5:5" x14ac:dyDescent="0.25">
      <c r="E8404"/>
    </row>
    <row r="8405" spans="5:5" x14ac:dyDescent="0.25">
      <c r="E8405"/>
    </row>
    <row r="8406" spans="5:5" x14ac:dyDescent="0.25">
      <c r="E8406"/>
    </row>
    <row r="8407" spans="5:5" x14ac:dyDescent="0.25">
      <c r="E8407"/>
    </row>
    <row r="8408" spans="5:5" x14ac:dyDescent="0.25">
      <c r="E8408"/>
    </row>
    <row r="8409" spans="5:5" x14ac:dyDescent="0.25">
      <c r="E8409"/>
    </row>
    <row r="8410" spans="5:5" x14ac:dyDescent="0.25">
      <c r="E8410"/>
    </row>
    <row r="8411" spans="5:5" x14ac:dyDescent="0.25">
      <c r="E8411"/>
    </row>
    <row r="8412" spans="5:5" x14ac:dyDescent="0.25">
      <c r="E8412"/>
    </row>
    <row r="8413" spans="5:5" x14ac:dyDescent="0.25">
      <c r="E8413"/>
    </row>
    <row r="8414" spans="5:5" x14ac:dyDescent="0.25">
      <c r="E8414"/>
    </row>
    <row r="8415" spans="5:5" x14ac:dyDescent="0.25">
      <c r="E8415"/>
    </row>
    <row r="8416" spans="5:5" x14ac:dyDescent="0.25">
      <c r="E8416"/>
    </row>
    <row r="8417" spans="5:5" x14ac:dyDescent="0.25">
      <c r="E8417"/>
    </row>
    <row r="8418" spans="5:5" x14ac:dyDescent="0.25">
      <c r="E8418"/>
    </row>
    <row r="8419" spans="5:5" x14ac:dyDescent="0.25">
      <c r="E8419"/>
    </row>
    <row r="8420" spans="5:5" x14ac:dyDescent="0.25">
      <c r="E8420"/>
    </row>
    <row r="8421" spans="5:5" x14ac:dyDescent="0.25">
      <c r="E8421"/>
    </row>
    <row r="8422" spans="5:5" x14ac:dyDescent="0.25">
      <c r="E8422"/>
    </row>
    <row r="8423" spans="5:5" x14ac:dyDescent="0.25">
      <c r="E8423"/>
    </row>
    <row r="8424" spans="5:5" x14ac:dyDescent="0.25">
      <c r="E8424"/>
    </row>
    <row r="8425" spans="5:5" x14ac:dyDescent="0.25">
      <c r="E8425"/>
    </row>
    <row r="8426" spans="5:5" x14ac:dyDescent="0.25">
      <c r="E8426"/>
    </row>
    <row r="8427" spans="5:5" x14ac:dyDescent="0.25">
      <c r="E8427"/>
    </row>
    <row r="8428" spans="5:5" x14ac:dyDescent="0.25">
      <c r="E8428"/>
    </row>
    <row r="8429" spans="5:5" x14ac:dyDescent="0.25">
      <c r="E8429"/>
    </row>
    <row r="8430" spans="5:5" x14ac:dyDescent="0.25">
      <c r="E8430"/>
    </row>
    <row r="8431" spans="5:5" x14ac:dyDescent="0.25">
      <c r="E8431"/>
    </row>
    <row r="8432" spans="5:5" x14ac:dyDescent="0.25">
      <c r="E8432"/>
    </row>
    <row r="8433" spans="5:5" x14ac:dyDescent="0.25">
      <c r="E8433"/>
    </row>
    <row r="8434" spans="5:5" x14ac:dyDescent="0.25">
      <c r="E8434"/>
    </row>
    <row r="8435" spans="5:5" x14ac:dyDescent="0.25">
      <c r="E8435"/>
    </row>
    <row r="8436" spans="5:5" x14ac:dyDescent="0.25">
      <c r="E8436"/>
    </row>
    <row r="8437" spans="5:5" x14ac:dyDescent="0.25">
      <c r="E8437"/>
    </row>
    <row r="8438" spans="5:5" x14ac:dyDescent="0.25">
      <c r="E8438"/>
    </row>
    <row r="8439" spans="5:5" x14ac:dyDescent="0.25">
      <c r="E8439"/>
    </row>
    <row r="8440" spans="5:5" x14ac:dyDescent="0.25">
      <c r="E8440"/>
    </row>
    <row r="8441" spans="5:5" x14ac:dyDescent="0.25">
      <c r="E8441"/>
    </row>
    <row r="8442" spans="5:5" x14ac:dyDescent="0.25">
      <c r="E8442"/>
    </row>
    <row r="8443" spans="5:5" x14ac:dyDescent="0.25">
      <c r="E8443"/>
    </row>
    <row r="8444" spans="5:5" x14ac:dyDescent="0.25">
      <c r="E8444"/>
    </row>
    <row r="8445" spans="5:5" x14ac:dyDescent="0.25">
      <c r="E8445"/>
    </row>
    <row r="8446" spans="5:5" x14ac:dyDescent="0.25">
      <c r="E8446"/>
    </row>
    <row r="8447" spans="5:5" x14ac:dyDescent="0.25">
      <c r="E8447"/>
    </row>
    <row r="8448" spans="5:5" x14ac:dyDescent="0.25">
      <c r="E8448"/>
    </row>
    <row r="8449" spans="5:5" x14ac:dyDescent="0.25">
      <c r="E8449"/>
    </row>
    <row r="8450" spans="5:5" x14ac:dyDescent="0.25">
      <c r="E8450"/>
    </row>
    <row r="8451" spans="5:5" x14ac:dyDescent="0.25">
      <c r="E8451"/>
    </row>
    <row r="8452" spans="5:5" x14ac:dyDescent="0.25">
      <c r="E8452"/>
    </row>
    <row r="8453" spans="5:5" x14ac:dyDescent="0.25">
      <c r="E8453"/>
    </row>
    <row r="8454" spans="5:5" x14ac:dyDescent="0.25">
      <c r="E8454"/>
    </row>
    <row r="8455" spans="5:5" x14ac:dyDescent="0.25">
      <c r="E8455"/>
    </row>
    <row r="8456" spans="5:5" x14ac:dyDescent="0.25">
      <c r="E8456"/>
    </row>
    <row r="8457" spans="5:5" x14ac:dyDescent="0.25">
      <c r="E8457"/>
    </row>
    <row r="8458" spans="5:5" x14ac:dyDescent="0.25">
      <c r="E8458"/>
    </row>
    <row r="8459" spans="5:5" x14ac:dyDescent="0.25">
      <c r="E8459"/>
    </row>
    <row r="8460" spans="5:5" x14ac:dyDescent="0.25">
      <c r="E8460"/>
    </row>
    <row r="8461" spans="5:5" x14ac:dyDescent="0.25">
      <c r="E8461"/>
    </row>
    <row r="8462" spans="5:5" x14ac:dyDescent="0.25">
      <c r="E8462"/>
    </row>
    <row r="8463" spans="5:5" x14ac:dyDescent="0.25">
      <c r="E8463"/>
    </row>
    <row r="8464" spans="5:5" x14ac:dyDescent="0.25">
      <c r="E8464"/>
    </row>
    <row r="8465" spans="5:5" x14ac:dyDescent="0.25">
      <c r="E8465"/>
    </row>
    <row r="8466" spans="5:5" x14ac:dyDescent="0.25">
      <c r="E8466"/>
    </row>
    <row r="8467" spans="5:5" x14ac:dyDescent="0.25">
      <c r="E8467"/>
    </row>
    <row r="8468" spans="5:5" x14ac:dyDescent="0.25">
      <c r="E8468"/>
    </row>
    <row r="8469" spans="5:5" x14ac:dyDescent="0.25">
      <c r="E8469"/>
    </row>
    <row r="8470" spans="5:5" x14ac:dyDescent="0.25">
      <c r="E8470"/>
    </row>
    <row r="8471" spans="5:5" x14ac:dyDescent="0.25">
      <c r="E8471"/>
    </row>
    <row r="8472" spans="5:5" x14ac:dyDescent="0.25">
      <c r="E8472"/>
    </row>
    <row r="8473" spans="5:5" x14ac:dyDescent="0.25">
      <c r="E8473"/>
    </row>
    <row r="8474" spans="5:5" x14ac:dyDescent="0.25">
      <c r="E8474"/>
    </row>
    <row r="8475" spans="5:5" x14ac:dyDescent="0.25">
      <c r="E8475"/>
    </row>
    <row r="8476" spans="5:5" x14ac:dyDescent="0.25">
      <c r="E8476"/>
    </row>
    <row r="8477" spans="5:5" x14ac:dyDescent="0.25">
      <c r="E8477"/>
    </row>
    <row r="8478" spans="5:5" x14ac:dyDescent="0.25">
      <c r="E8478"/>
    </row>
    <row r="8479" spans="5:5" x14ac:dyDescent="0.25">
      <c r="E8479"/>
    </row>
    <row r="8480" spans="5:5" x14ac:dyDescent="0.25">
      <c r="E8480"/>
    </row>
    <row r="8481" spans="5:5" x14ac:dyDescent="0.25">
      <c r="E8481"/>
    </row>
    <row r="8482" spans="5:5" x14ac:dyDescent="0.25">
      <c r="E8482"/>
    </row>
    <row r="8483" spans="5:5" x14ac:dyDescent="0.25">
      <c r="E8483"/>
    </row>
    <row r="8484" spans="5:5" x14ac:dyDescent="0.25">
      <c r="E8484"/>
    </row>
    <row r="8485" spans="5:5" x14ac:dyDescent="0.25">
      <c r="E8485"/>
    </row>
    <row r="8486" spans="5:5" x14ac:dyDescent="0.25">
      <c r="E8486"/>
    </row>
    <row r="8487" spans="5:5" x14ac:dyDescent="0.25">
      <c r="E8487"/>
    </row>
    <row r="8488" spans="5:5" x14ac:dyDescent="0.25">
      <c r="E8488"/>
    </row>
    <row r="8489" spans="5:5" x14ac:dyDescent="0.25">
      <c r="E8489"/>
    </row>
    <row r="8490" spans="5:5" x14ac:dyDescent="0.25">
      <c r="E8490"/>
    </row>
    <row r="8491" spans="5:5" x14ac:dyDescent="0.25">
      <c r="E8491"/>
    </row>
    <row r="8492" spans="5:5" x14ac:dyDescent="0.25">
      <c r="E8492"/>
    </row>
    <row r="8493" spans="5:5" x14ac:dyDescent="0.25">
      <c r="E8493"/>
    </row>
    <row r="8494" spans="5:5" x14ac:dyDescent="0.25">
      <c r="E8494"/>
    </row>
    <row r="8495" spans="5:5" x14ac:dyDescent="0.25">
      <c r="E8495"/>
    </row>
    <row r="8496" spans="5:5" x14ac:dyDescent="0.25">
      <c r="E8496"/>
    </row>
    <row r="8497" spans="5:5" x14ac:dyDescent="0.25">
      <c r="E8497"/>
    </row>
    <row r="8498" spans="5:5" x14ac:dyDescent="0.25">
      <c r="E8498"/>
    </row>
    <row r="8499" spans="5:5" x14ac:dyDescent="0.25">
      <c r="E8499"/>
    </row>
    <row r="8500" spans="5:5" x14ac:dyDescent="0.25">
      <c r="E8500"/>
    </row>
    <row r="8501" spans="5:5" x14ac:dyDescent="0.25">
      <c r="E8501"/>
    </row>
    <row r="8502" spans="5:5" x14ac:dyDescent="0.25">
      <c r="E8502"/>
    </row>
    <row r="8503" spans="5:5" x14ac:dyDescent="0.25">
      <c r="E8503"/>
    </row>
    <row r="8504" spans="5:5" x14ac:dyDescent="0.25">
      <c r="E8504"/>
    </row>
    <row r="8505" spans="5:5" x14ac:dyDescent="0.25">
      <c r="E8505"/>
    </row>
    <row r="8506" spans="5:5" x14ac:dyDescent="0.25">
      <c r="E8506"/>
    </row>
    <row r="8507" spans="5:5" x14ac:dyDescent="0.25">
      <c r="E8507"/>
    </row>
    <row r="8508" spans="5:5" x14ac:dyDescent="0.25">
      <c r="E8508"/>
    </row>
    <row r="8509" spans="5:5" x14ac:dyDescent="0.25">
      <c r="E8509"/>
    </row>
    <row r="8510" spans="5:5" x14ac:dyDescent="0.25">
      <c r="E8510"/>
    </row>
    <row r="8511" spans="5:5" x14ac:dyDescent="0.25">
      <c r="E8511"/>
    </row>
    <row r="8512" spans="5:5" x14ac:dyDescent="0.25">
      <c r="E8512"/>
    </row>
    <row r="8513" spans="5:5" x14ac:dyDescent="0.25">
      <c r="E8513"/>
    </row>
    <row r="8514" spans="5:5" x14ac:dyDescent="0.25">
      <c r="E8514"/>
    </row>
    <row r="8515" spans="5:5" x14ac:dyDescent="0.25">
      <c r="E8515"/>
    </row>
    <row r="8516" spans="5:5" x14ac:dyDescent="0.25">
      <c r="E8516"/>
    </row>
    <row r="8517" spans="5:5" x14ac:dyDescent="0.25">
      <c r="E8517"/>
    </row>
    <row r="8518" spans="5:5" x14ac:dyDescent="0.25">
      <c r="E8518"/>
    </row>
    <row r="8519" spans="5:5" x14ac:dyDescent="0.25">
      <c r="E8519"/>
    </row>
    <row r="8520" spans="5:5" x14ac:dyDescent="0.25">
      <c r="E8520"/>
    </row>
    <row r="8521" spans="5:5" x14ac:dyDescent="0.25">
      <c r="E8521"/>
    </row>
    <row r="8522" spans="5:5" x14ac:dyDescent="0.25">
      <c r="E8522"/>
    </row>
    <row r="8523" spans="5:5" x14ac:dyDescent="0.25">
      <c r="E8523"/>
    </row>
    <row r="8524" spans="5:5" x14ac:dyDescent="0.25">
      <c r="E8524"/>
    </row>
    <row r="8525" spans="5:5" x14ac:dyDescent="0.25">
      <c r="E8525"/>
    </row>
    <row r="8526" spans="5:5" x14ac:dyDescent="0.25">
      <c r="E8526"/>
    </row>
    <row r="8527" spans="5:5" x14ac:dyDescent="0.25">
      <c r="E8527"/>
    </row>
    <row r="8528" spans="5:5" x14ac:dyDescent="0.25">
      <c r="E8528"/>
    </row>
    <row r="8529" spans="5:5" x14ac:dyDescent="0.25">
      <c r="E8529"/>
    </row>
    <row r="8530" spans="5:5" x14ac:dyDescent="0.25">
      <c r="E8530"/>
    </row>
    <row r="8531" spans="5:5" x14ac:dyDescent="0.25">
      <c r="E8531"/>
    </row>
    <row r="8532" spans="5:5" x14ac:dyDescent="0.25">
      <c r="E8532"/>
    </row>
    <row r="8533" spans="5:5" x14ac:dyDescent="0.25">
      <c r="E8533"/>
    </row>
    <row r="8534" spans="5:5" x14ac:dyDescent="0.25">
      <c r="E8534"/>
    </row>
    <row r="8535" spans="5:5" x14ac:dyDescent="0.25">
      <c r="E8535"/>
    </row>
    <row r="8536" spans="5:5" x14ac:dyDescent="0.25">
      <c r="E8536"/>
    </row>
    <row r="8537" spans="5:5" x14ac:dyDescent="0.25">
      <c r="E8537"/>
    </row>
    <row r="8538" spans="5:5" x14ac:dyDescent="0.25">
      <c r="E8538"/>
    </row>
    <row r="8539" spans="5:5" x14ac:dyDescent="0.25">
      <c r="E8539"/>
    </row>
    <row r="8540" spans="5:5" x14ac:dyDescent="0.25">
      <c r="E8540"/>
    </row>
    <row r="8541" spans="5:5" x14ac:dyDescent="0.25">
      <c r="E8541"/>
    </row>
    <row r="8542" spans="5:5" x14ac:dyDescent="0.25">
      <c r="E8542"/>
    </row>
    <row r="8543" spans="5:5" x14ac:dyDescent="0.25">
      <c r="E8543"/>
    </row>
    <row r="8544" spans="5:5" x14ac:dyDescent="0.25">
      <c r="E8544"/>
    </row>
    <row r="8545" spans="5:5" x14ac:dyDescent="0.25">
      <c r="E8545"/>
    </row>
    <row r="8546" spans="5:5" x14ac:dyDescent="0.25">
      <c r="E8546"/>
    </row>
    <row r="8547" spans="5:5" x14ac:dyDescent="0.25">
      <c r="E8547"/>
    </row>
    <row r="8548" spans="5:5" x14ac:dyDescent="0.25">
      <c r="E8548"/>
    </row>
    <row r="8549" spans="5:5" x14ac:dyDescent="0.25">
      <c r="E8549"/>
    </row>
    <row r="8550" spans="5:5" x14ac:dyDescent="0.25">
      <c r="E8550"/>
    </row>
    <row r="8551" spans="5:5" x14ac:dyDescent="0.25">
      <c r="E8551"/>
    </row>
    <row r="8552" spans="5:5" x14ac:dyDescent="0.25">
      <c r="E8552"/>
    </row>
    <row r="8553" spans="5:5" x14ac:dyDescent="0.25">
      <c r="E8553"/>
    </row>
    <row r="8554" spans="5:5" x14ac:dyDescent="0.25">
      <c r="E8554"/>
    </row>
    <row r="8555" spans="5:5" x14ac:dyDescent="0.25">
      <c r="E8555"/>
    </row>
    <row r="8556" spans="5:5" x14ac:dyDescent="0.25">
      <c r="E8556"/>
    </row>
    <row r="8557" spans="5:5" x14ac:dyDescent="0.25">
      <c r="E8557"/>
    </row>
    <row r="8558" spans="5:5" x14ac:dyDescent="0.25">
      <c r="E8558"/>
    </row>
    <row r="8559" spans="5:5" x14ac:dyDescent="0.25">
      <c r="E8559"/>
    </row>
    <row r="8560" spans="5:5" x14ac:dyDescent="0.25">
      <c r="E8560"/>
    </row>
    <row r="8561" spans="5:5" x14ac:dyDescent="0.25">
      <c r="E8561"/>
    </row>
    <row r="8562" spans="5:5" x14ac:dyDescent="0.25">
      <c r="E8562"/>
    </row>
    <row r="8563" spans="5:5" x14ac:dyDescent="0.25">
      <c r="E8563"/>
    </row>
    <row r="8564" spans="5:5" x14ac:dyDescent="0.25">
      <c r="E8564"/>
    </row>
    <row r="8565" spans="5:5" x14ac:dyDescent="0.25">
      <c r="E8565"/>
    </row>
    <row r="8566" spans="5:5" x14ac:dyDescent="0.25">
      <c r="E8566"/>
    </row>
    <row r="8567" spans="5:5" x14ac:dyDescent="0.25">
      <c r="E8567"/>
    </row>
    <row r="8568" spans="5:5" x14ac:dyDescent="0.25">
      <c r="E8568"/>
    </row>
    <row r="8569" spans="5:5" x14ac:dyDescent="0.25">
      <c r="E8569"/>
    </row>
    <row r="8570" spans="5:5" x14ac:dyDescent="0.25">
      <c r="E8570"/>
    </row>
    <row r="8571" spans="5:5" x14ac:dyDescent="0.25">
      <c r="E8571"/>
    </row>
    <row r="8572" spans="5:5" x14ac:dyDescent="0.25">
      <c r="E8572"/>
    </row>
    <row r="8573" spans="5:5" x14ac:dyDescent="0.25">
      <c r="E8573"/>
    </row>
    <row r="8574" spans="5:5" x14ac:dyDescent="0.25">
      <c r="E8574"/>
    </row>
    <row r="8575" spans="5:5" x14ac:dyDescent="0.25">
      <c r="E8575"/>
    </row>
    <row r="8576" spans="5:5" x14ac:dyDescent="0.25">
      <c r="E8576"/>
    </row>
    <row r="8577" spans="5:5" x14ac:dyDescent="0.25">
      <c r="E8577"/>
    </row>
    <row r="8578" spans="5:5" x14ac:dyDescent="0.25">
      <c r="E8578"/>
    </row>
    <row r="8579" spans="5:5" x14ac:dyDescent="0.25">
      <c r="E8579"/>
    </row>
    <row r="8580" spans="5:5" x14ac:dyDescent="0.25">
      <c r="E8580"/>
    </row>
    <row r="8581" spans="5:5" x14ac:dyDescent="0.25">
      <c r="E8581"/>
    </row>
    <row r="8582" spans="5:5" x14ac:dyDescent="0.25">
      <c r="E8582"/>
    </row>
    <row r="8583" spans="5:5" x14ac:dyDescent="0.25">
      <c r="E8583"/>
    </row>
    <row r="8584" spans="5:5" x14ac:dyDescent="0.25">
      <c r="E8584"/>
    </row>
    <row r="8585" spans="5:5" x14ac:dyDescent="0.25">
      <c r="E8585"/>
    </row>
    <row r="8586" spans="5:5" x14ac:dyDescent="0.25">
      <c r="E8586"/>
    </row>
    <row r="8587" spans="5:5" x14ac:dyDescent="0.25">
      <c r="E8587"/>
    </row>
    <row r="8588" spans="5:5" x14ac:dyDescent="0.25">
      <c r="E8588"/>
    </row>
    <row r="8589" spans="5:5" x14ac:dyDescent="0.25">
      <c r="E8589"/>
    </row>
    <row r="8590" spans="5:5" x14ac:dyDescent="0.25">
      <c r="E8590"/>
    </row>
    <row r="8591" spans="5:5" x14ac:dyDescent="0.25">
      <c r="E8591"/>
    </row>
    <row r="8592" spans="5:5" x14ac:dyDescent="0.25">
      <c r="E8592"/>
    </row>
    <row r="8593" spans="5:5" x14ac:dyDescent="0.25">
      <c r="E8593"/>
    </row>
    <row r="8594" spans="5:5" x14ac:dyDescent="0.25">
      <c r="E8594"/>
    </row>
    <row r="8595" spans="5:5" x14ac:dyDescent="0.25">
      <c r="E8595"/>
    </row>
    <row r="8596" spans="5:5" x14ac:dyDescent="0.25">
      <c r="E8596"/>
    </row>
    <row r="8597" spans="5:5" x14ac:dyDescent="0.25">
      <c r="E8597"/>
    </row>
    <row r="8598" spans="5:5" x14ac:dyDescent="0.25">
      <c r="E8598"/>
    </row>
    <row r="8599" spans="5:5" x14ac:dyDescent="0.25">
      <c r="E8599"/>
    </row>
    <row r="8600" spans="5:5" x14ac:dyDescent="0.25">
      <c r="E8600"/>
    </row>
    <row r="8601" spans="5:5" x14ac:dyDescent="0.25">
      <c r="E8601"/>
    </row>
    <row r="8602" spans="5:5" x14ac:dyDescent="0.25">
      <c r="E8602"/>
    </row>
    <row r="8603" spans="5:5" x14ac:dyDescent="0.25">
      <c r="E8603"/>
    </row>
    <row r="8604" spans="5:5" x14ac:dyDescent="0.25">
      <c r="E8604"/>
    </row>
    <row r="8605" spans="5:5" x14ac:dyDescent="0.25">
      <c r="E8605"/>
    </row>
    <row r="8606" spans="5:5" x14ac:dyDescent="0.25">
      <c r="E8606"/>
    </row>
    <row r="8607" spans="5:5" x14ac:dyDescent="0.25">
      <c r="E8607"/>
    </row>
    <row r="8608" spans="5:5" x14ac:dyDescent="0.25">
      <c r="E8608"/>
    </row>
    <row r="8609" spans="5:5" x14ac:dyDescent="0.25">
      <c r="E8609"/>
    </row>
    <row r="8610" spans="5:5" x14ac:dyDescent="0.25">
      <c r="E8610"/>
    </row>
    <row r="8611" spans="5:5" x14ac:dyDescent="0.25">
      <c r="E8611"/>
    </row>
    <row r="8612" spans="5:5" x14ac:dyDescent="0.25">
      <c r="E8612"/>
    </row>
    <row r="8613" spans="5:5" x14ac:dyDescent="0.25">
      <c r="E8613"/>
    </row>
    <row r="8614" spans="5:5" x14ac:dyDescent="0.25">
      <c r="E8614"/>
    </row>
    <row r="8615" spans="5:5" x14ac:dyDescent="0.25">
      <c r="E8615"/>
    </row>
    <row r="8616" spans="5:5" x14ac:dyDescent="0.25">
      <c r="E8616"/>
    </row>
    <row r="8617" spans="5:5" x14ac:dyDescent="0.25">
      <c r="E8617"/>
    </row>
    <row r="8618" spans="5:5" x14ac:dyDescent="0.25">
      <c r="E8618"/>
    </row>
    <row r="8619" spans="5:5" x14ac:dyDescent="0.25">
      <c r="E8619"/>
    </row>
    <row r="8620" spans="5:5" x14ac:dyDescent="0.25">
      <c r="E8620"/>
    </row>
    <row r="8621" spans="5:5" x14ac:dyDescent="0.25">
      <c r="E8621"/>
    </row>
    <row r="8622" spans="5:5" x14ac:dyDescent="0.25">
      <c r="E8622"/>
    </row>
    <row r="8623" spans="5:5" x14ac:dyDescent="0.25">
      <c r="E8623"/>
    </row>
    <row r="8624" spans="5:5" x14ac:dyDescent="0.25">
      <c r="E8624"/>
    </row>
    <row r="8625" spans="5:5" x14ac:dyDescent="0.25">
      <c r="E8625"/>
    </row>
    <row r="8626" spans="5:5" x14ac:dyDescent="0.25">
      <c r="E8626"/>
    </row>
    <row r="8627" spans="5:5" x14ac:dyDescent="0.25">
      <c r="E8627"/>
    </row>
    <row r="8628" spans="5:5" x14ac:dyDescent="0.25">
      <c r="E8628"/>
    </row>
    <row r="8629" spans="5:5" x14ac:dyDescent="0.25">
      <c r="E8629"/>
    </row>
    <row r="8630" spans="5:5" x14ac:dyDescent="0.25">
      <c r="E8630"/>
    </row>
    <row r="8631" spans="5:5" x14ac:dyDescent="0.25">
      <c r="E8631"/>
    </row>
    <row r="8632" spans="5:5" x14ac:dyDescent="0.25">
      <c r="E8632"/>
    </row>
    <row r="8633" spans="5:5" x14ac:dyDescent="0.25">
      <c r="E8633"/>
    </row>
    <row r="8634" spans="5:5" x14ac:dyDescent="0.25">
      <c r="E8634"/>
    </row>
    <row r="8635" spans="5:5" x14ac:dyDescent="0.25">
      <c r="E8635"/>
    </row>
    <row r="8636" spans="5:5" x14ac:dyDescent="0.25">
      <c r="E8636"/>
    </row>
    <row r="8637" spans="5:5" x14ac:dyDescent="0.25">
      <c r="E8637"/>
    </row>
    <row r="8638" spans="5:5" x14ac:dyDescent="0.25">
      <c r="E8638"/>
    </row>
    <row r="8639" spans="5:5" x14ac:dyDescent="0.25">
      <c r="E8639"/>
    </row>
    <row r="8640" spans="5:5" x14ac:dyDescent="0.25">
      <c r="E8640"/>
    </row>
    <row r="8641" spans="5:5" x14ac:dyDescent="0.25">
      <c r="E8641"/>
    </row>
    <row r="8642" spans="5:5" x14ac:dyDescent="0.25">
      <c r="E8642"/>
    </row>
    <row r="8643" spans="5:5" x14ac:dyDescent="0.25">
      <c r="E8643"/>
    </row>
    <row r="8644" spans="5:5" x14ac:dyDescent="0.25">
      <c r="E8644"/>
    </row>
    <row r="8645" spans="5:5" x14ac:dyDescent="0.25">
      <c r="E8645"/>
    </row>
    <row r="8646" spans="5:5" x14ac:dyDescent="0.25">
      <c r="E8646"/>
    </row>
    <row r="8647" spans="5:5" x14ac:dyDescent="0.25">
      <c r="E8647"/>
    </row>
    <row r="8648" spans="5:5" x14ac:dyDescent="0.25">
      <c r="E8648"/>
    </row>
    <row r="8649" spans="5:5" x14ac:dyDescent="0.25">
      <c r="E8649"/>
    </row>
    <row r="8650" spans="5:5" x14ac:dyDescent="0.25">
      <c r="E8650"/>
    </row>
    <row r="8651" spans="5:5" x14ac:dyDescent="0.25">
      <c r="E8651"/>
    </row>
    <row r="8652" spans="5:5" x14ac:dyDescent="0.25">
      <c r="E8652"/>
    </row>
    <row r="8653" spans="5:5" x14ac:dyDescent="0.25">
      <c r="E8653"/>
    </row>
    <row r="8654" spans="5:5" x14ac:dyDescent="0.25">
      <c r="E8654"/>
    </row>
    <row r="8655" spans="5:5" x14ac:dyDescent="0.25">
      <c r="E8655"/>
    </row>
    <row r="8656" spans="5:5" x14ac:dyDescent="0.25">
      <c r="E8656"/>
    </row>
    <row r="8657" spans="5:5" x14ac:dyDescent="0.25">
      <c r="E8657"/>
    </row>
    <row r="8658" spans="5:5" x14ac:dyDescent="0.25">
      <c r="E8658"/>
    </row>
    <row r="8659" spans="5:5" x14ac:dyDescent="0.25">
      <c r="E8659"/>
    </row>
    <row r="8660" spans="5:5" x14ac:dyDescent="0.25">
      <c r="E8660"/>
    </row>
    <row r="8661" spans="5:5" x14ac:dyDescent="0.25">
      <c r="E8661"/>
    </row>
    <row r="8662" spans="5:5" x14ac:dyDescent="0.25">
      <c r="E8662"/>
    </row>
    <row r="8663" spans="5:5" x14ac:dyDescent="0.25">
      <c r="E8663"/>
    </row>
    <row r="8664" spans="5:5" x14ac:dyDescent="0.25">
      <c r="E8664"/>
    </row>
    <row r="8665" spans="5:5" x14ac:dyDescent="0.25">
      <c r="E8665"/>
    </row>
    <row r="8666" spans="5:5" x14ac:dyDescent="0.25">
      <c r="E8666"/>
    </row>
    <row r="8667" spans="5:5" x14ac:dyDescent="0.25">
      <c r="E8667"/>
    </row>
    <row r="8668" spans="5:5" x14ac:dyDescent="0.25">
      <c r="E8668"/>
    </row>
    <row r="8669" spans="5:5" x14ac:dyDescent="0.25">
      <c r="E8669"/>
    </row>
    <row r="8670" spans="5:5" x14ac:dyDescent="0.25">
      <c r="E8670"/>
    </row>
    <row r="8671" spans="5:5" x14ac:dyDescent="0.25">
      <c r="E8671"/>
    </row>
    <row r="8672" spans="5:5" x14ac:dyDescent="0.25">
      <c r="E8672"/>
    </row>
    <row r="8673" spans="5:5" x14ac:dyDescent="0.25">
      <c r="E8673"/>
    </row>
    <row r="8674" spans="5:5" x14ac:dyDescent="0.25">
      <c r="E8674"/>
    </row>
    <row r="8675" spans="5:5" x14ac:dyDescent="0.25">
      <c r="E8675"/>
    </row>
    <row r="8676" spans="5:5" x14ac:dyDescent="0.25">
      <c r="E8676"/>
    </row>
    <row r="8677" spans="5:5" x14ac:dyDescent="0.25">
      <c r="E8677"/>
    </row>
    <row r="8678" spans="5:5" x14ac:dyDescent="0.25">
      <c r="E8678"/>
    </row>
    <row r="8679" spans="5:5" x14ac:dyDescent="0.25">
      <c r="E8679"/>
    </row>
    <row r="8680" spans="5:5" x14ac:dyDescent="0.25">
      <c r="E8680"/>
    </row>
    <row r="8681" spans="5:5" x14ac:dyDescent="0.25">
      <c r="E8681"/>
    </row>
    <row r="8682" spans="5:5" x14ac:dyDescent="0.25">
      <c r="E8682"/>
    </row>
    <row r="8683" spans="5:5" x14ac:dyDescent="0.25">
      <c r="E8683"/>
    </row>
    <row r="8684" spans="5:5" x14ac:dyDescent="0.25">
      <c r="E8684"/>
    </row>
    <row r="8685" spans="5:5" x14ac:dyDescent="0.25">
      <c r="E8685"/>
    </row>
    <row r="8686" spans="5:5" x14ac:dyDescent="0.25">
      <c r="E8686"/>
    </row>
    <row r="8687" spans="5:5" x14ac:dyDescent="0.25">
      <c r="E8687"/>
    </row>
    <row r="8688" spans="5:5" x14ac:dyDescent="0.25">
      <c r="E8688"/>
    </row>
    <row r="8689" spans="5:5" x14ac:dyDescent="0.25">
      <c r="E8689"/>
    </row>
    <row r="8690" spans="5:5" x14ac:dyDescent="0.25">
      <c r="E8690"/>
    </row>
    <row r="8691" spans="5:5" x14ac:dyDescent="0.25">
      <c r="E8691"/>
    </row>
    <row r="8692" spans="5:5" x14ac:dyDescent="0.25">
      <c r="E8692"/>
    </row>
    <row r="8693" spans="5:5" x14ac:dyDescent="0.25">
      <c r="E8693"/>
    </row>
    <row r="8694" spans="5:5" x14ac:dyDescent="0.25">
      <c r="E8694"/>
    </row>
    <row r="8695" spans="5:5" x14ac:dyDescent="0.25">
      <c r="E8695"/>
    </row>
    <row r="8696" spans="5:5" x14ac:dyDescent="0.25">
      <c r="E8696"/>
    </row>
    <row r="8697" spans="5:5" x14ac:dyDescent="0.25">
      <c r="E8697"/>
    </row>
    <row r="8698" spans="5:5" x14ac:dyDescent="0.25">
      <c r="E8698"/>
    </row>
    <row r="8699" spans="5:5" x14ac:dyDescent="0.25">
      <c r="E8699"/>
    </row>
    <row r="8700" spans="5:5" x14ac:dyDescent="0.25">
      <c r="E8700"/>
    </row>
    <row r="8701" spans="5:5" x14ac:dyDescent="0.25">
      <c r="E8701"/>
    </row>
    <row r="8702" spans="5:5" x14ac:dyDescent="0.25">
      <c r="E8702"/>
    </row>
    <row r="8703" spans="5:5" x14ac:dyDescent="0.25">
      <c r="E8703"/>
    </row>
    <row r="8704" spans="5:5" x14ac:dyDescent="0.25">
      <c r="E8704"/>
    </row>
    <row r="8705" spans="5:5" x14ac:dyDescent="0.25">
      <c r="E8705"/>
    </row>
    <row r="8706" spans="5:5" x14ac:dyDescent="0.25">
      <c r="E8706"/>
    </row>
    <row r="8707" spans="5:5" x14ac:dyDescent="0.25">
      <c r="E8707"/>
    </row>
    <row r="8708" spans="5:5" x14ac:dyDescent="0.25">
      <c r="E8708"/>
    </row>
    <row r="8709" spans="5:5" x14ac:dyDescent="0.25">
      <c r="E8709"/>
    </row>
    <row r="8710" spans="5:5" x14ac:dyDescent="0.25">
      <c r="E8710"/>
    </row>
    <row r="8711" spans="5:5" x14ac:dyDescent="0.25">
      <c r="E8711"/>
    </row>
    <row r="8712" spans="5:5" x14ac:dyDescent="0.25">
      <c r="E8712"/>
    </row>
    <row r="8713" spans="5:5" x14ac:dyDescent="0.25">
      <c r="E8713"/>
    </row>
    <row r="8714" spans="5:5" x14ac:dyDescent="0.25">
      <c r="E8714"/>
    </row>
    <row r="8715" spans="5:5" x14ac:dyDescent="0.25">
      <c r="E8715"/>
    </row>
    <row r="8716" spans="5:5" x14ac:dyDescent="0.25">
      <c r="E8716"/>
    </row>
    <row r="8717" spans="5:5" x14ac:dyDescent="0.25">
      <c r="E8717"/>
    </row>
    <row r="8718" spans="5:5" x14ac:dyDescent="0.25">
      <c r="E8718"/>
    </row>
    <row r="8719" spans="5:5" x14ac:dyDescent="0.25">
      <c r="E8719"/>
    </row>
    <row r="8720" spans="5:5" x14ac:dyDescent="0.25">
      <c r="E8720"/>
    </row>
    <row r="8721" spans="5:5" x14ac:dyDescent="0.25">
      <c r="E8721"/>
    </row>
    <row r="8722" spans="5:5" x14ac:dyDescent="0.25">
      <c r="E8722"/>
    </row>
    <row r="8723" spans="5:5" x14ac:dyDescent="0.25">
      <c r="E8723"/>
    </row>
    <row r="8724" spans="5:5" x14ac:dyDescent="0.25">
      <c r="E8724"/>
    </row>
    <row r="8725" spans="5:5" x14ac:dyDescent="0.25">
      <c r="E8725"/>
    </row>
    <row r="8726" spans="5:5" x14ac:dyDescent="0.25">
      <c r="E8726"/>
    </row>
    <row r="8727" spans="5:5" x14ac:dyDescent="0.25">
      <c r="E8727"/>
    </row>
    <row r="8728" spans="5:5" x14ac:dyDescent="0.25">
      <c r="E8728"/>
    </row>
    <row r="8729" spans="5:5" x14ac:dyDescent="0.25">
      <c r="E8729"/>
    </row>
    <row r="8730" spans="5:5" x14ac:dyDescent="0.25">
      <c r="E8730"/>
    </row>
    <row r="8731" spans="5:5" x14ac:dyDescent="0.25">
      <c r="E8731"/>
    </row>
    <row r="8732" spans="5:5" x14ac:dyDescent="0.25">
      <c r="E8732"/>
    </row>
    <row r="8733" spans="5:5" x14ac:dyDescent="0.25">
      <c r="E8733"/>
    </row>
    <row r="8734" spans="5:5" x14ac:dyDescent="0.25">
      <c r="E8734"/>
    </row>
    <row r="8735" spans="5:5" x14ac:dyDescent="0.25">
      <c r="E8735"/>
    </row>
    <row r="8736" spans="5:5" x14ac:dyDescent="0.25">
      <c r="E8736"/>
    </row>
    <row r="8737" spans="5:5" x14ac:dyDescent="0.25">
      <c r="E8737"/>
    </row>
    <row r="8738" spans="5:5" x14ac:dyDescent="0.25">
      <c r="E8738"/>
    </row>
    <row r="8739" spans="5:5" x14ac:dyDescent="0.25">
      <c r="E8739"/>
    </row>
    <row r="8740" spans="5:5" x14ac:dyDescent="0.25">
      <c r="E8740"/>
    </row>
    <row r="8741" spans="5:5" x14ac:dyDescent="0.25">
      <c r="E8741"/>
    </row>
    <row r="8742" spans="5:5" x14ac:dyDescent="0.25">
      <c r="E8742"/>
    </row>
    <row r="8743" spans="5:5" x14ac:dyDescent="0.25">
      <c r="E8743"/>
    </row>
    <row r="8744" spans="5:5" x14ac:dyDescent="0.25">
      <c r="E8744"/>
    </row>
    <row r="8745" spans="5:5" x14ac:dyDescent="0.25">
      <c r="E8745"/>
    </row>
    <row r="8746" spans="5:5" x14ac:dyDescent="0.25">
      <c r="E8746"/>
    </row>
    <row r="8747" spans="5:5" x14ac:dyDescent="0.25">
      <c r="E8747"/>
    </row>
    <row r="8748" spans="5:5" x14ac:dyDescent="0.25">
      <c r="E8748"/>
    </row>
    <row r="8749" spans="5:5" x14ac:dyDescent="0.25">
      <c r="E8749"/>
    </row>
    <row r="8750" spans="5:5" x14ac:dyDescent="0.25">
      <c r="E8750"/>
    </row>
    <row r="8751" spans="5:5" x14ac:dyDescent="0.25">
      <c r="E8751"/>
    </row>
    <row r="8752" spans="5:5" x14ac:dyDescent="0.25">
      <c r="E8752"/>
    </row>
    <row r="8753" spans="5:5" x14ac:dyDescent="0.25">
      <c r="E8753"/>
    </row>
    <row r="8754" spans="5:5" x14ac:dyDescent="0.25">
      <c r="E8754"/>
    </row>
    <row r="8755" spans="5:5" x14ac:dyDescent="0.25">
      <c r="E8755"/>
    </row>
    <row r="8756" spans="5:5" x14ac:dyDescent="0.25">
      <c r="E8756"/>
    </row>
    <row r="8757" spans="5:5" x14ac:dyDescent="0.25">
      <c r="E8757"/>
    </row>
    <row r="8758" spans="5:5" x14ac:dyDescent="0.25">
      <c r="E8758"/>
    </row>
    <row r="8759" spans="5:5" x14ac:dyDescent="0.25">
      <c r="E8759"/>
    </row>
    <row r="8760" spans="5:5" x14ac:dyDescent="0.25">
      <c r="E8760"/>
    </row>
    <row r="8761" spans="5:5" x14ac:dyDescent="0.25">
      <c r="E8761"/>
    </row>
    <row r="8762" spans="5:5" x14ac:dyDescent="0.25">
      <c r="E8762"/>
    </row>
    <row r="8763" spans="5:5" x14ac:dyDescent="0.25">
      <c r="E8763"/>
    </row>
    <row r="8764" spans="5:5" x14ac:dyDescent="0.25">
      <c r="E8764"/>
    </row>
    <row r="8765" spans="5:5" x14ac:dyDescent="0.25">
      <c r="E8765"/>
    </row>
    <row r="8766" spans="5:5" x14ac:dyDescent="0.25">
      <c r="E8766"/>
    </row>
    <row r="8767" spans="5:5" x14ac:dyDescent="0.25">
      <c r="E8767"/>
    </row>
    <row r="8768" spans="5:5" x14ac:dyDescent="0.25">
      <c r="E8768"/>
    </row>
    <row r="8769" spans="5:5" x14ac:dyDescent="0.25">
      <c r="E8769"/>
    </row>
    <row r="8770" spans="5:5" x14ac:dyDescent="0.25">
      <c r="E8770"/>
    </row>
    <row r="8771" spans="5:5" x14ac:dyDescent="0.25">
      <c r="E8771"/>
    </row>
    <row r="8772" spans="5:5" x14ac:dyDescent="0.25">
      <c r="E8772"/>
    </row>
    <row r="8773" spans="5:5" x14ac:dyDescent="0.25">
      <c r="E8773"/>
    </row>
    <row r="8774" spans="5:5" x14ac:dyDescent="0.25">
      <c r="E8774"/>
    </row>
    <row r="8775" spans="5:5" x14ac:dyDescent="0.25">
      <c r="E8775"/>
    </row>
    <row r="8776" spans="5:5" x14ac:dyDescent="0.25">
      <c r="E8776"/>
    </row>
    <row r="8777" spans="5:5" x14ac:dyDescent="0.25">
      <c r="E8777"/>
    </row>
    <row r="8778" spans="5:5" x14ac:dyDescent="0.25">
      <c r="E8778"/>
    </row>
    <row r="8779" spans="5:5" x14ac:dyDescent="0.25">
      <c r="E8779"/>
    </row>
    <row r="8780" spans="5:5" x14ac:dyDescent="0.25">
      <c r="E8780"/>
    </row>
    <row r="8781" spans="5:5" x14ac:dyDescent="0.25">
      <c r="E8781"/>
    </row>
    <row r="8782" spans="5:5" x14ac:dyDescent="0.25">
      <c r="E8782"/>
    </row>
    <row r="8783" spans="5:5" x14ac:dyDescent="0.25">
      <c r="E8783"/>
    </row>
    <row r="8784" spans="5:5" x14ac:dyDescent="0.25">
      <c r="E8784"/>
    </row>
    <row r="8785" spans="5:5" x14ac:dyDescent="0.25">
      <c r="E8785"/>
    </row>
    <row r="8786" spans="5:5" x14ac:dyDescent="0.25">
      <c r="E8786"/>
    </row>
    <row r="8787" spans="5:5" x14ac:dyDescent="0.25">
      <c r="E8787"/>
    </row>
    <row r="8788" spans="5:5" x14ac:dyDescent="0.25">
      <c r="E8788"/>
    </row>
    <row r="8789" spans="5:5" x14ac:dyDescent="0.25">
      <c r="E8789"/>
    </row>
    <row r="8790" spans="5:5" x14ac:dyDescent="0.25">
      <c r="E8790"/>
    </row>
    <row r="8791" spans="5:5" x14ac:dyDescent="0.25">
      <c r="E8791"/>
    </row>
    <row r="8792" spans="5:5" x14ac:dyDescent="0.25">
      <c r="E8792"/>
    </row>
    <row r="8793" spans="5:5" x14ac:dyDescent="0.25">
      <c r="E8793"/>
    </row>
    <row r="8794" spans="5:5" x14ac:dyDescent="0.25">
      <c r="E8794"/>
    </row>
    <row r="8795" spans="5:5" x14ac:dyDescent="0.25">
      <c r="E8795"/>
    </row>
    <row r="8796" spans="5:5" x14ac:dyDescent="0.25">
      <c r="E8796"/>
    </row>
    <row r="8797" spans="5:5" x14ac:dyDescent="0.25">
      <c r="E8797"/>
    </row>
    <row r="8798" spans="5:5" x14ac:dyDescent="0.25">
      <c r="E8798"/>
    </row>
    <row r="8799" spans="5:5" x14ac:dyDescent="0.25">
      <c r="E8799"/>
    </row>
    <row r="8800" spans="5:5" x14ac:dyDescent="0.25">
      <c r="E8800"/>
    </row>
    <row r="8801" spans="5:5" x14ac:dyDescent="0.25">
      <c r="E8801"/>
    </row>
    <row r="8802" spans="5:5" x14ac:dyDescent="0.25">
      <c r="E8802"/>
    </row>
    <row r="8803" spans="5:5" x14ac:dyDescent="0.25">
      <c r="E8803"/>
    </row>
    <row r="8804" spans="5:5" x14ac:dyDescent="0.25">
      <c r="E8804"/>
    </row>
    <row r="8805" spans="5:5" x14ac:dyDescent="0.25">
      <c r="E8805"/>
    </row>
    <row r="8806" spans="5:5" x14ac:dyDescent="0.25">
      <c r="E8806"/>
    </row>
    <row r="8807" spans="5:5" x14ac:dyDescent="0.25">
      <c r="E8807"/>
    </row>
    <row r="8808" spans="5:5" x14ac:dyDescent="0.25">
      <c r="E8808"/>
    </row>
    <row r="8809" spans="5:5" x14ac:dyDescent="0.25">
      <c r="E8809"/>
    </row>
    <row r="8810" spans="5:5" x14ac:dyDescent="0.25">
      <c r="E8810"/>
    </row>
    <row r="8811" spans="5:5" x14ac:dyDescent="0.25">
      <c r="E8811"/>
    </row>
    <row r="8812" spans="5:5" x14ac:dyDescent="0.25">
      <c r="E8812"/>
    </row>
    <row r="8813" spans="5:5" x14ac:dyDescent="0.25">
      <c r="E8813"/>
    </row>
    <row r="8814" spans="5:5" x14ac:dyDescent="0.25">
      <c r="E8814"/>
    </row>
    <row r="8815" spans="5:5" x14ac:dyDescent="0.25">
      <c r="E8815"/>
    </row>
    <row r="8816" spans="5:5" x14ac:dyDescent="0.25">
      <c r="E8816"/>
    </row>
    <row r="8817" spans="5:5" x14ac:dyDescent="0.25">
      <c r="E8817"/>
    </row>
    <row r="8818" spans="5:5" x14ac:dyDescent="0.25">
      <c r="E8818"/>
    </row>
    <row r="8819" spans="5:5" x14ac:dyDescent="0.25">
      <c r="E8819"/>
    </row>
    <row r="8820" spans="5:5" x14ac:dyDescent="0.25">
      <c r="E8820"/>
    </row>
    <row r="8821" spans="5:5" x14ac:dyDescent="0.25">
      <c r="E8821"/>
    </row>
    <row r="8822" spans="5:5" x14ac:dyDescent="0.25">
      <c r="E8822"/>
    </row>
    <row r="8823" spans="5:5" x14ac:dyDescent="0.25">
      <c r="E8823"/>
    </row>
    <row r="8824" spans="5:5" x14ac:dyDescent="0.25">
      <c r="E8824"/>
    </row>
    <row r="8825" spans="5:5" x14ac:dyDescent="0.25">
      <c r="E8825"/>
    </row>
    <row r="8826" spans="5:5" x14ac:dyDescent="0.25">
      <c r="E8826"/>
    </row>
    <row r="8827" spans="5:5" x14ac:dyDescent="0.25">
      <c r="E8827"/>
    </row>
    <row r="8828" spans="5:5" x14ac:dyDescent="0.25">
      <c r="E8828"/>
    </row>
    <row r="8829" spans="5:5" x14ac:dyDescent="0.25">
      <c r="E8829"/>
    </row>
    <row r="8830" spans="5:5" x14ac:dyDescent="0.25">
      <c r="E8830"/>
    </row>
    <row r="8831" spans="5:5" x14ac:dyDescent="0.25">
      <c r="E8831"/>
    </row>
    <row r="8832" spans="5:5" x14ac:dyDescent="0.25">
      <c r="E8832"/>
    </row>
    <row r="8833" spans="5:5" x14ac:dyDescent="0.25">
      <c r="E8833"/>
    </row>
    <row r="8834" spans="5:5" x14ac:dyDescent="0.25">
      <c r="E8834"/>
    </row>
    <row r="8835" spans="5:5" x14ac:dyDescent="0.25">
      <c r="E8835"/>
    </row>
    <row r="8836" spans="5:5" x14ac:dyDescent="0.25">
      <c r="E8836"/>
    </row>
    <row r="8837" spans="5:5" x14ac:dyDescent="0.25">
      <c r="E8837"/>
    </row>
    <row r="8838" spans="5:5" x14ac:dyDescent="0.25">
      <c r="E8838"/>
    </row>
    <row r="8839" spans="5:5" x14ac:dyDescent="0.25">
      <c r="E8839"/>
    </row>
    <row r="8840" spans="5:5" x14ac:dyDescent="0.25">
      <c r="E8840"/>
    </row>
    <row r="8841" spans="5:5" x14ac:dyDescent="0.25">
      <c r="E8841"/>
    </row>
    <row r="8842" spans="5:5" x14ac:dyDescent="0.25">
      <c r="E8842"/>
    </row>
    <row r="8843" spans="5:5" x14ac:dyDescent="0.25">
      <c r="E8843"/>
    </row>
    <row r="8844" spans="5:5" x14ac:dyDescent="0.25">
      <c r="E8844"/>
    </row>
    <row r="8845" spans="5:5" x14ac:dyDescent="0.25">
      <c r="E8845"/>
    </row>
    <row r="8846" spans="5:5" x14ac:dyDescent="0.25">
      <c r="E8846"/>
    </row>
    <row r="8847" spans="5:5" x14ac:dyDescent="0.25">
      <c r="E8847"/>
    </row>
    <row r="8848" spans="5:5" x14ac:dyDescent="0.25">
      <c r="E8848"/>
    </row>
    <row r="8849" spans="5:5" x14ac:dyDescent="0.25">
      <c r="E8849"/>
    </row>
    <row r="8850" spans="5:5" x14ac:dyDescent="0.25">
      <c r="E8850"/>
    </row>
    <row r="8851" spans="5:5" x14ac:dyDescent="0.25">
      <c r="E8851"/>
    </row>
    <row r="8852" spans="5:5" x14ac:dyDescent="0.25">
      <c r="E8852"/>
    </row>
    <row r="8853" spans="5:5" x14ac:dyDescent="0.25">
      <c r="E8853"/>
    </row>
    <row r="8854" spans="5:5" x14ac:dyDescent="0.25">
      <c r="E8854"/>
    </row>
    <row r="8855" spans="5:5" x14ac:dyDescent="0.25">
      <c r="E8855"/>
    </row>
    <row r="8856" spans="5:5" x14ac:dyDescent="0.25">
      <c r="E8856"/>
    </row>
    <row r="8857" spans="5:5" x14ac:dyDescent="0.25">
      <c r="E8857"/>
    </row>
    <row r="8858" spans="5:5" x14ac:dyDescent="0.25">
      <c r="E8858"/>
    </row>
    <row r="8859" spans="5:5" x14ac:dyDescent="0.25">
      <c r="E8859"/>
    </row>
    <row r="8860" spans="5:5" x14ac:dyDescent="0.25">
      <c r="E8860"/>
    </row>
    <row r="8861" spans="5:5" x14ac:dyDescent="0.25">
      <c r="E8861"/>
    </row>
    <row r="8862" spans="5:5" x14ac:dyDescent="0.25">
      <c r="E8862"/>
    </row>
    <row r="8863" spans="5:5" x14ac:dyDescent="0.25">
      <c r="E8863"/>
    </row>
    <row r="8864" spans="5:5" x14ac:dyDescent="0.25">
      <c r="E8864"/>
    </row>
    <row r="8865" spans="5:5" x14ac:dyDescent="0.25">
      <c r="E8865"/>
    </row>
    <row r="8866" spans="5:5" x14ac:dyDescent="0.25">
      <c r="E8866"/>
    </row>
    <row r="8867" spans="5:5" x14ac:dyDescent="0.25">
      <c r="E8867"/>
    </row>
    <row r="8868" spans="5:5" x14ac:dyDescent="0.25">
      <c r="E8868"/>
    </row>
    <row r="8869" spans="5:5" x14ac:dyDescent="0.25">
      <c r="E8869"/>
    </row>
    <row r="8870" spans="5:5" x14ac:dyDescent="0.25">
      <c r="E8870"/>
    </row>
    <row r="8871" spans="5:5" x14ac:dyDescent="0.25">
      <c r="E8871"/>
    </row>
    <row r="8872" spans="5:5" x14ac:dyDescent="0.25">
      <c r="E8872"/>
    </row>
    <row r="8873" spans="5:5" x14ac:dyDescent="0.25">
      <c r="E8873"/>
    </row>
    <row r="8874" spans="5:5" x14ac:dyDescent="0.25">
      <c r="E8874"/>
    </row>
    <row r="8875" spans="5:5" x14ac:dyDescent="0.25">
      <c r="E8875"/>
    </row>
    <row r="8876" spans="5:5" x14ac:dyDescent="0.25">
      <c r="E8876"/>
    </row>
    <row r="8877" spans="5:5" x14ac:dyDescent="0.25">
      <c r="E8877"/>
    </row>
    <row r="8878" spans="5:5" x14ac:dyDescent="0.25">
      <c r="E8878"/>
    </row>
    <row r="8879" spans="5:5" x14ac:dyDescent="0.25">
      <c r="E8879"/>
    </row>
    <row r="8880" spans="5:5" x14ac:dyDescent="0.25">
      <c r="E8880"/>
    </row>
    <row r="8881" spans="5:5" x14ac:dyDescent="0.25">
      <c r="E8881"/>
    </row>
    <row r="8882" spans="5:5" x14ac:dyDescent="0.25">
      <c r="E8882"/>
    </row>
    <row r="8883" spans="5:5" x14ac:dyDescent="0.25">
      <c r="E8883"/>
    </row>
    <row r="8884" spans="5:5" x14ac:dyDescent="0.25">
      <c r="E8884"/>
    </row>
    <row r="8885" spans="5:5" x14ac:dyDescent="0.25">
      <c r="E8885"/>
    </row>
    <row r="8886" spans="5:5" x14ac:dyDescent="0.25">
      <c r="E8886"/>
    </row>
    <row r="8887" spans="5:5" x14ac:dyDescent="0.25">
      <c r="E8887"/>
    </row>
    <row r="8888" spans="5:5" x14ac:dyDescent="0.25">
      <c r="E8888"/>
    </row>
    <row r="8889" spans="5:5" x14ac:dyDescent="0.25">
      <c r="E8889"/>
    </row>
    <row r="8890" spans="5:5" x14ac:dyDescent="0.25">
      <c r="E8890"/>
    </row>
    <row r="8891" spans="5:5" x14ac:dyDescent="0.25">
      <c r="E8891"/>
    </row>
    <row r="8892" spans="5:5" x14ac:dyDescent="0.25">
      <c r="E8892"/>
    </row>
    <row r="8893" spans="5:5" x14ac:dyDescent="0.25">
      <c r="E8893"/>
    </row>
    <row r="8894" spans="5:5" x14ac:dyDescent="0.25">
      <c r="E8894"/>
    </row>
    <row r="8895" spans="5:5" x14ac:dyDescent="0.25">
      <c r="E8895"/>
    </row>
    <row r="8896" spans="5:5" x14ac:dyDescent="0.25">
      <c r="E8896"/>
    </row>
    <row r="8897" spans="5:5" x14ac:dyDescent="0.25">
      <c r="E8897"/>
    </row>
    <row r="8898" spans="5:5" x14ac:dyDescent="0.25">
      <c r="E8898"/>
    </row>
    <row r="8899" spans="5:5" x14ac:dyDescent="0.25">
      <c r="E8899"/>
    </row>
    <row r="8900" spans="5:5" x14ac:dyDescent="0.25">
      <c r="E8900"/>
    </row>
    <row r="8901" spans="5:5" x14ac:dyDescent="0.25">
      <c r="E8901"/>
    </row>
    <row r="8902" spans="5:5" x14ac:dyDescent="0.25">
      <c r="E8902"/>
    </row>
    <row r="8903" spans="5:5" x14ac:dyDescent="0.25">
      <c r="E8903"/>
    </row>
    <row r="8904" spans="5:5" x14ac:dyDescent="0.25">
      <c r="E8904"/>
    </row>
    <row r="8905" spans="5:5" x14ac:dyDescent="0.25">
      <c r="E8905"/>
    </row>
    <row r="8906" spans="5:5" x14ac:dyDescent="0.25">
      <c r="E8906"/>
    </row>
    <row r="8907" spans="5:5" x14ac:dyDescent="0.25">
      <c r="E8907"/>
    </row>
    <row r="8908" spans="5:5" x14ac:dyDescent="0.25">
      <c r="E8908"/>
    </row>
    <row r="8909" spans="5:5" x14ac:dyDescent="0.25">
      <c r="E8909"/>
    </row>
    <row r="8910" spans="5:5" x14ac:dyDescent="0.25">
      <c r="E8910"/>
    </row>
    <row r="8911" spans="5:5" x14ac:dyDescent="0.25">
      <c r="E8911"/>
    </row>
    <row r="8912" spans="5:5" x14ac:dyDescent="0.25">
      <c r="E8912"/>
    </row>
    <row r="8913" spans="5:5" x14ac:dyDescent="0.25">
      <c r="E8913"/>
    </row>
    <row r="8914" spans="5:5" x14ac:dyDescent="0.25">
      <c r="E8914"/>
    </row>
    <row r="8915" spans="5:5" x14ac:dyDescent="0.25">
      <c r="E8915"/>
    </row>
    <row r="8916" spans="5:5" x14ac:dyDescent="0.25">
      <c r="E8916"/>
    </row>
    <row r="8917" spans="5:5" x14ac:dyDescent="0.25">
      <c r="E8917"/>
    </row>
    <row r="8918" spans="5:5" x14ac:dyDescent="0.25">
      <c r="E8918"/>
    </row>
    <row r="8919" spans="5:5" x14ac:dyDescent="0.25">
      <c r="E8919"/>
    </row>
    <row r="8920" spans="5:5" x14ac:dyDescent="0.25">
      <c r="E8920"/>
    </row>
    <row r="8921" spans="5:5" x14ac:dyDescent="0.25">
      <c r="E8921"/>
    </row>
    <row r="8922" spans="5:5" x14ac:dyDescent="0.25">
      <c r="E8922"/>
    </row>
    <row r="8923" spans="5:5" x14ac:dyDescent="0.25">
      <c r="E8923"/>
    </row>
    <row r="8924" spans="5:5" x14ac:dyDescent="0.25">
      <c r="E8924"/>
    </row>
    <row r="8925" spans="5:5" x14ac:dyDescent="0.25">
      <c r="E8925"/>
    </row>
    <row r="8926" spans="5:5" x14ac:dyDescent="0.25">
      <c r="E8926"/>
    </row>
    <row r="8927" spans="5:5" x14ac:dyDescent="0.25">
      <c r="E8927"/>
    </row>
    <row r="8928" spans="5:5" x14ac:dyDescent="0.25">
      <c r="E8928"/>
    </row>
    <row r="8929" spans="5:5" x14ac:dyDescent="0.25">
      <c r="E8929"/>
    </row>
    <row r="8930" spans="5:5" x14ac:dyDescent="0.25">
      <c r="E8930"/>
    </row>
    <row r="8931" spans="5:5" x14ac:dyDescent="0.25">
      <c r="E8931"/>
    </row>
    <row r="8932" spans="5:5" x14ac:dyDescent="0.25">
      <c r="E8932"/>
    </row>
    <row r="8933" spans="5:5" x14ac:dyDescent="0.25">
      <c r="E8933"/>
    </row>
    <row r="8934" spans="5:5" x14ac:dyDescent="0.25">
      <c r="E8934"/>
    </row>
    <row r="8935" spans="5:5" x14ac:dyDescent="0.25">
      <c r="E8935"/>
    </row>
    <row r="8936" spans="5:5" x14ac:dyDescent="0.25">
      <c r="E8936"/>
    </row>
    <row r="8937" spans="5:5" x14ac:dyDescent="0.25">
      <c r="E8937"/>
    </row>
    <row r="8938" spans="5:5" x14ac:dyDescent="0.25">
      <c r="E8938"/>
    </row>
    <row r="8939" spans="5:5" x14ac:dyDescent="0.25">
      <c r="E8939"/>
    </row>
    <row r="8940" spans="5:5" x14ac:dyDescent="0.25">
      <c r="E8940"/>
    </row>
    <row r="8941" spans="5:5" x14ac:dyDescent="0.25">
      <c r="E8941"/>
    </row>
    <row r="8942" spans="5:5" x14ac:dyDescent="0.25">
      <c r="E8942"/>
    </row>
    <row r="8943" spans="5:5" x14ac:dyDescent="0.25">
      <c r="E8943"/>
    </row>
    <row r="8944" spans="5:5" x14ac:dyDescent="0.25">
      <c r="E8944"/>
    </row>
    <row r="8945" spans="5:5" x14ac:dyDescent="0.25">
      <c r="E8945"/>
    </row>
    <row r="8946" spans="5:5" x14ac:dyDescent="0.25">
      <c r="E8946"/>
    </row>
    <row r="8947" spans="5:5" x14ac:dyDescent="0.25">
      <c r="E8947"/>
    </row>
    <row r="8948" spans="5:5" x14ac:dyDescent="0.25">
      <c r="E8948"/>
    </row>
    <row r="8949" spans="5:5" x14ac:dyDescent="0.25">
      <c r="E8949"/>
    </row>
    <row r="8950" spans="5:5" x14ac:dyDescent="0.25">
      <c r="E8950"/>
    </row>
    <row r="8951" spans="5:5" x14ac:dyDescent="0.25">
      <c r="E8951"/>
    </row>
    <row r="8952" spans="5:5" x14ac:dyDescent="0.25">
      <c r="E8952"/>
    </row>
    <row r="8953" spans="5:5" x14ac:dyDescent="0.25">
      <c r="E8953"/>
    </row>
    <row r="8954" spans="5:5" x14ac:dyDescent="0.25">
      <c r="E8954"/>
    </row>
    <row r="8955" spans="5:5" x14ac:dyDescent="0.25">
      <c r="E8955"/>
    </row>
    <row r="8956" spans="5:5" x14ac:dyDescent="0.25">
      <c r="E8956"/>
    </row>
    <row r="8957" spans="5:5" x14ac:dyDescent="0.25">
      <c r="E8957"/>
    </row>
    <row r="8958" spans="5:5" x14ac:dyDescent="0.25">
      <c r="E8958"/>
    </row>
    <row r="8959" spans="5:5" x14ac:dyDescent="0.25">
      <c r="E8959"/>
    </row>
    <row r="8960" spans="5:5" x14ac:dyDescent="0.25">
      <c r="E8960"/>
    </row>
    <row r="8961" spans="5:5" x14ac:dyDescent="0.25">
      <c r="E8961"/>
    </row>
    <row r="8962" spans="5:5" x14ac:dyDescent="0.25">
      <c r="E8962"/>
    </row>
    <row r="8963" spans="5:5" x14ac:dyDescent="0.25">
      <c r="E8963"/>
    </row>
    <row r="8964" spans="5:5" x14ac:dyDescent="0.25">
      <c r="E8964"/>
    </row>
    <row r="8965" spans="5:5" x14ac:dyDescent="0.25">
      <c r="E8965"/>
    </row>
    <row r="8966" spans="5:5" x14ac:dyDescent="0.25">
      <c r="E8966"/>
    </row>
    <row r="8967" spans="5:5" x14ac:dyDescent="0.25">
      <c r="E8967"/>
    </row>
    <row r="8968" spans="5:5" x14ac:dyDescent="0.25">
      <c r="E8968"/>
    </row>
    <row r="8969" spans="5:5" x14ac:dyDescent="0.25">
      <c r="E8969"/>
    </row>
    <row r="8970" spans="5:5" x14ac:dyDescent="0.25">
      <c r="E8970"/>
    </row>
    <row r="8971" spans="5:5" x14ac:dyDescent="0.25">
      <c r="E8971"/>
    </row>
    <row r="8972" spans="5:5" x14ac:dyDescent="0.25">
      <c r="E8972"/>
    </row>
    <row r="8973" spans="5:5" x14ac:dyDescent="0.25">
      <c r="E8973"/>
    </row>
    <row r="8974" spans="5:5" x14ac:dyDescent="0.25">
      <c r="E8974"/>
    </row>
    <row r="8975" spans="5:5" x14ac:dyDescent="0.25">
      <c r="E8975"/>
    </row>
    <row r="8976" spans="5:5" x14ac:dyDescent="0.25">
      <c r="E8976"/>
    </row>
    <row r="8977" spans="5:5" x14ac:dyDescent="0.25">
      <c r="E8977"/>
    </row>
    <row r="8978" spans="5:5" x14ac:dyDescent="0.25">
      <c r="E8978"/>
    </row>
    <row r="8979" spans="5:5" x14ac:dyDescent="0.25">
      <c r="E8979"/>
    </row>
    <row r="8980" spans="5:5" x14ac:dyDescent="0.25">
      <c r="E8980"/>
    </row>
    <row r="8981" spans="5:5" x14ac:dyDescent="0.25">
      <c r="E8981"/>
    </row>
    <row r="8982" spans="5:5" x14ac:dyDescent="0.25">
      <c r="E8982"/>
    </row>
    <row r="8983" spans="5:5" x14ac:dyDescent="0.25">
      <c r="E8983"/>
    </row>
    <row r="8984" spans="5:5" x14ac:dyDescent="0.25">
      <c r="E8984"/>
    </row>
    <row r="8985" spans="5:5" x14ac:dyDescent="0.25">
      <c r="E8985"/>
    </row>
    <row r="8986" spans="5:5" x14ac:dyDescent="0.25">
      <c r="E8986"/>
    </row>
    <row r="8987" spans="5:5" x14ac:dyDescent="0.25">
      <c r="E8987"/>
    </row>
    <row r="8988" spans="5:5" x14ac:dyDescent="0.25">
      <c r="E8988"/>
    </row>
    <row r="8989" spans="5:5" x14ac:dyDescent="0.25">
      <c r="E8989"/>
    </row>
    <row r="8990" spans="5:5" x14ac:dyDescent="0.25">
      <c r="E8990"/>
    </row>
    <row r="8991" spans="5:5" x14ac:dyDescent="0.25">
      <c r="E8991"/>
    </row>
    <row r="8992" spans="5:5" x14ac:dyDescent="0.25">
      <c r="E8992"/>
    </row>
    <row r="8993" spans="5:5" x14ac:dyDescent="0.25">
      <c r="E8993"/>
    </row>
    <row r="8994" spans="5:5" x14ac:dyDescent="0.25">
      <c r="E8994"/>
    </row>
    <row r="8995" spans="5:5" x14ac:dyDescent="0.25">
      <c r="E8995"/>
    </row>
    <row r="8996" spans="5:5" x14ac:dyDescent="0.25">
      <c r="E8996"/>
    </row>
    <row r="8997" spans="5:5" x14ac:dyDescent="0.25">
      <c r="E8997"/>
    </row>
    <row r="8998" spans="5:5" x14ac:dyDescent="0.25">
      <c r="E8998"/>
    </row>
    <row r="8999" spans="5:5" x14ac:dyDescent="0.25">
      <c r="E8999"/>
    </row>
    <row r="9000" spans="5:5" x14ac:dyDescent="0.25">
      <c r="E9000"/>
    </row>
    <row r="9001" spans="5:5" x14ac:dyDescent="0.25">
      <c r="E9001"/>
    </row>
    <row r="9002" spans="5:5" x14ac:dyDescent="0.25">
      <c r="E9002"/>
    </row>
    <row r="9003" spans="5:5" x14ac:dyDescent="0.25">
      <c r="E9003"/>
    </row>
    <row r="9004" spans="5:5" x14ac:dyDescent="0.25">
      <c r="E9004"/>
    </row>
    <row r="9005" spans="5:5" x14ac:dyDescent="0.25">
      <c r="E9005"/>
    </row>
    <row r="9006" spans="5:5" x14ac:dyDescent="0.25">
      <c r="E9006"/>
    </row>
    <row r="9007" spans="5:5" x14ac:dyDescent="0.25">
      <c r="E9007"/>
    </row>
    <row r="9008" spans="5:5" x14ac:dyDescent="0.25">
      <c r="E9008"/>
    </row>
    <row r="9009" spans="5:5" x14ac:dyDescent="0.25">
      <c r="E9009"/>
    </row>
    <row r="9010" spans="5:5" x14ac:dyDescent="0.25">
      <c r="E9010"/>
    </row>
    <row r="9011" spans="5:5" x14ac:dyDescent="0.25">
      <c r="E9011"/>
    </row>
    <row r="9012" spans="5:5" x14ac:dyDescent="0.25">
      <c r="E9012"/>
    </row>
    <row r="9013" spans="5:5" x14ac:dyDescent="0.25">
      <c r="E9013"/>
    </row>
    <row r="9014" spans="5:5" x14ac:dyDescent="0.25">
      <c r="E9014"/>
    </row>
    <row r="9015" spans="5:5" x14ac:dyDescent="0.25">
      <c r="E9015"/>
    </row>
    <row r="9016" spans="5:5" x14ac:dyDescent="0.25">
      <c r="E9016"/>
    </row>
    <row r="9017" spans="5:5" x14ac:dyDescent="0.25">
      <c r="E9017"/>
    </row>
    <row r="9018" spans="5:5" x14ac:dyDescent="0.25">
      <c r="E9018"/>
    </row>
    <row r="9019" spans="5:5" x14ac:dyDescent="0.25">
      <c r="E9019"/>
    </row>
    <row r="9020" spans="5:5" x14ac:dyDescent="0.25">
      <c r="E9020"/>
    </row>
    <row r="9021" spans="5:5" x14ac:dyDescent="0.25">
      <c r="E9021"/>
    </row>
    <row r="9022" spans="5:5" x14ac:dyDescent="0.25">
      <c r="E9022"/>
    </row>
    <row r="9023" spans="5:5" x14ac:dyDescent="0.25">
      <c r="E9023"/>
    </row>
    <row r="9024" spans="5:5" x14ac:dyDescent="0.25">
      <c r="E9024"/>
    </row>
    <row r="9025" spans="5:5" x14ac:dyDescent="0.25">
      <c r="E9025"/>
    </row>
    <row r="9026" spans="5:5" x14ac:dyDescent="0.25">
      <c r="E9026"/>
    </row>
    <row r="9027" spans="5:5" x14ac:dyDescent="0.25">
      <c r="E9027"/>
    </row>
    <row r="9028" spans="5:5" x14ac:dyDescent="0.25">
      <c r="E9028"/>
    </row>
    <row r="9029" spans="5:5" x14ac:dyDescent="0.25">
      <c r="E9029"/>
    </row>
    <row r="9030" spans="5:5" x14ac:dyDescent="0.25">
      <c r="E9030"/>
    </row>
    <row r="9031" spans="5:5" x14ac:dyDescent="0.25">
      <c r="E9031"/>
    </row>
    <row r="9032" spans="5:5" x14ac:dyDescent="0.25">
      <c r="E9032"/>
    </row>
    <row r="9033" spans="5:5" x14ac:dyDescent="0.25">
      <c r="E9033"/>
    </row>
    <row r="9034" spans="5:5" x14ac:dyDescent="0.25">
      <c r="E9034"/>
    </row>
    <row r="9035" spans="5:5" x14ac:dyDescent="0.25">
      <c r="E9035"/>
    </row>
    <row r="9036" spans="5:5" x14ac:dyDescent="0.25">
      <c r="E9036"/>
    </row>
    <row r="9037" spans="5:5" x14ac:dyDescent="0.25">
      <c r="E9037"/>
    </row>
    <row r="9038" spans="5:5" x14ac:dyDescent="0.25">
      <c r="E9038"/>
    </row>
    <row r="9039" spans="5:5" x14ac:dyDescent="0.25">
      <c r="E9039"/>
    </row>
    <row r="9040" spans="5:5" x14ac:dyDescent="0.25">
      <c r="E9040"/>
    </row>
    <row r="9041" spans="5:5" x14ac:dyDescent="0.25">
      <c r="E9041"/>
    </row>
    <row r="9042" spans="5:5" x14ac:dyDescent="0.25">
      <c r="E9042"/>
    </row>
    <row r="9043" spans="5:5" x14ac:dyDescent="0.25">
      <c r="E9043"/>
    </row>
    <row r="9044" spans="5:5" x14ac:dyDescent="0.25">
      <c r="E9044"/>
    </row>
    <row r="9045" spans="5:5" x14ac:dyDescent="0.25">
      <c r="E9045"/>
    </row>
    <row r="9046" spans="5:5" x14ac:dyDescent="0.25">
      <c r="E9046"/>
    </row>
    <row r="9047" spans="5:5" x14ac:dyDescent="0.25">
      <c r="E9047"/>
    </row>
    <row r="9048" spans="5:5" x14ac:dyDescent="0.25">
      <c r="E9048"/>
    </row>
    <row r="9049" spans="5:5" x14ac:dyDescent="0.25">
      <c r="E9049"/>
    </row>
    <row r="9050" spans="5:5" x14ac:dyDescent="0.25">
      <c r="E9050"/>
    </row>
    <row r="9051" spans="5:5" x14ac:dyDescent="0.25">
      <c r="E9051"/>
    </row>
    <row r="9052" spans="5:5" x14ac:dyDescent="0.25">
      <c r="E9052"/>
    </row>
    <row r="9053" spans="5:5" x14ac:dyDescent="0.25">
      <c r="E9053"/>
    </row>
    <row r="9054" spans="5:5" x14ac:dyDescent="0.25">
      <c r="E9054"/>
    </row>
    <row r="9055" spans="5:5" x14ac:dyDescent="0.25">
      <c r="E9055"/>
    </row>
    <row r="9056" spans="5:5" x14ac:dyDescent="0.25">
      <c r="E9056"/>
    </row>
    <row r="9057" spans="5:5" x14ac:dyDescent="0.25">
      <c r="E9057"/>
    </row>
    <row r="9058" spans="5:5" x14ac:dyDescent="0.25">
      <c r="E9058"/>
    </row>
    <row r="9059" spans="5:5" x14ac:dyDescent="0.25">
      <c r="E9059"/>
    </row>
    <row r="9060" spans="5:5" x14ac:dyDescent="0.25">
      <c r="E9060"/>
    </row>
    <row r="9061" spans="5:5" x14ac:dyDescent="0.25">
      <c r="E9061"/>
    </row>
    <row r="9062" spans="5:5" x14ac:dyDescent="0.25">
      <c r="E9062"/>
    </row>
    <row r="9063" spans="5:5" x14ac:dyDescent="0.25">
      <c r="E9063"/>
    </row>
    <row r="9064" spans="5:5" x14ac:dyDescent="0.25">
      <c r="E9064"/>
    </row>
    <row r="9065" spans="5:5" x14ac:dyDescent="0.25">
      <c r="E9065"/>
    </row>
    <row r="9066" spans="5:5" x14ac:dyDescent="0.25">
      <c r="E9066"/>
    </row>
    <row r="9067" spans="5:5" x14ac:dyDescent="0.25">
      <c r="E9067"/>
    </row>
    <row r="9068" spans="5:5" x14ac:dyDescent="0.25">
      <c r="E9068"/>
    </row>
    <row r="9069" spans="5:5" x14ac:dyDescent="0.25">
      <c r="E9069"/>
    </row>
    <row r="9070" spans="5:5" x14ac:dyDescent="0.25">
      <c r="E9070"/>
    </row>
    <row r="9071" spans="5:5" x14ac:dyDescent="0.25">
      <c r="E9071"/>
    </row>
    <row r="9072" spans="5:5" x14ac:dyDescent="0.25">
      <c r="E9072"/>
    </row>
    <row r="9073" spans="5:5" x14ac:dyDescent="0.25">
      <c r="E9073"/>
    </row>
    <row r="9074" spans="5:5" x14ac:dyDescent="0.25">
      <c r="E9074"/>
    </row>
    <row r="9075" spans="5:5" x14ac:dyDescent="0.25">
      <c r="E9075"/>
    </row>
    <row r="9076" spans="5:5" x14ac:dyDescent="0.25">
      <c r="E9076"/>
    </row>
    <row r="9077" spans="5:5" x14ac:dyDescent="0.25">
      <c r="E9077"/>
    </row>
    <row r="9078" spans="5:5" x14ac:dyDescent="0.25">
      <c r="E9078"/>
    </row>
    <row r="9079" spans="5:5" x14ac:dyDescent="0.25">
      <c r="E9079"/>
    </row>
    <row r="9080" spans="5:5" x14ac:dyDescent="0.25">
      <c r="E9080"/>
    </row>
    <row r="9081" spans="5:5" x14ac:dyDescent="0.25">
      <c r="E9081"/>
    </row>
    <row r="9082" spans="5:5" x14ac:dyDescent="0.25">
      <c r="E9082"/>
    </row>
    <row r="9083" spans="5:5" x14ac:dyDescent="0.25">
      <c r="E9083"/>
    </row>
    <row r="9084" spans="5:5" x14ac:dyDescent="0.25">
      <c r="E9084"/>
    </row>
    <row r="9085" spans="5:5" x14ac:dyDescent="0.25">
      <c r="E9085"/>
    </row>
    <row r="9086" spans="5:5" x14ac:dyDescent="0.25">
      <c r="E9086"/>
    </row>
    <row r="9087" spans="5:5" x14ac:dyDescent="0.25">
      <c r="E9087"/>
    </row>
    <row r="9088" spans="5:5" x14ac:dyDescent="0.25">
      <c r="E9088"/>
    </row>
    <row r="9089" spans="5:5" x14ac:dyDescent="0.25">
      <c r="E9089"/>
    </row>
    <row r="9090" spans="5:5" x14ac:dyDescent="0.25">
      <c r="E9090"/>
    </row>
    <row r="9091" spans="5:5" x14ac:dyDescent="0.25">
      <c r="E9091"/>
    </row>
    <row r="9092" spans="5:5" x14ac:dyDescent="0.25">
      <c r="E9092"/>
    </row>
    <row r="9093" spans="5:5" x14ac:dyDescent="0.25">
      <c r="E9093"/>
    </row>
    <row r="9094" spans="5:5" x14ac:dyDescent="0.25">
      <c r="E9094"/>
    </row>
    <row r="9095" spans="5:5" x14ac:dyDescent="0.25">
      <c r="E9095"/>
    </row>
    <row r="9096" spans="5:5" x14ac:dyDescent="0.25">
      <c r="E9096"/>
    </row>
    <row r="9097" spans="5:5" x14ac:dyDescent="0.25">
      <c r="E9097"/>
    </row>
    <row r="9098" spans="5:5" x14ac:dyDescent="0.25">
      <c r="E9098"/>
    </row>
    <row r="9099" spans="5:5" x14ac:dyDescent="0.25">
      <c r="E9099"/>
    </row>
    <row r="9100" spans="5:5" x14ac:dyDescent="0.25">
      <c r="E9100"/>
    </row>
    <row r="9101" spans="5:5" x14ac:dyDescent="0.25">
      <c r="E9101"/>
    </row>
    <row r="9102" spans="5:5" x14ac:dyDescent="0.25">
      <c r="E9102"/>
    </row>
    <row r="9103" spans="5:5" x14ac:dyDescent="0.25">
      <c r="E9103"/>
    </row>
    <row r="9104" spans="5:5" x14ac:dyDescent="0.25">
      <c r="E9104"/>
    </row>
    <row r="9105" spans="5:5" x14ac:dyDescent="0.25">
      <c r="E9105"/>
    </row>
    <row r="9106" spans="5:5" x14ac:dyDescent="0.25">
      <c r="E9106"/>
    </row>
    <row r="9107" spans="5:5" x14ac:dyDescent="0.25">
      <c r="E9107"/>
    </row>
    <row r="9108" spans="5:5" x14ac:dyDescent="0.25">
      <c r="E9108"/>
    </row>
    <row r="9109" spans="5:5" x14ac:dyDescent="0.25">
      <c r="E9109"/>
    </row>
    <row r="9110" spans="5:5" x14ac:dyDescent="0.25">
      <c r="E9110"/>
    </row>
    <row r="9111" spans="5:5" x14ac:dyDescent="0.25">
      <c r="E9111"/>
    </row>
    <row r="9112" spans="5:5" x14ac:dyDescent="0.25">
      <c r="E9112"/>
    </row>
    <row r="9113" spans="5:5" x14ac:dyDescent="0.25">
      <c r="E9113"/>
    </row>
    <row r="9114" spans="5:5" x14ac:dyDescent="0.25">
      <c r="E9114"/>
    </row>
    <row r="9115" spans="5:5" x14ac:dyDescent="0.25">
      <c r="E9115"/>
    </row>
    <row r="9116" spans="5:5" x14ac:dyDescent="0.25">
      <c r="E9116"/>
    </row>
    <row r="9117" spans="5:5" x14ac:dyDescent="0.25">
      <c r="E9117"/>
    </row>
    <row r="9118" spans="5:5" x14ac:dyDescent="0.25">
      <c r="E9118"/>
    </row>
    <row r="9119" spans="5:5" x14ac:dyDescent="0.25">
      <c r="E9119"/>
    </row>
    <row r="9120" spans="5:5" x14ac:dyDescent="0.25">
      <c r="E9120"/>
    </row>
    <row r="9121" spans="5:5" x14ac:dyDescent="0.25">
      <c r="E9121"/>
    </row>
    <row r="9122" spans="5:5" x14ac:dyDescent="0.25">
      <c r="E9122"/>
    </row>
    <row r="9123" spans="5:5" x14ac:dyDescent="0.25">
      <c r="E9123"/>
    </row>
    <row r="9124" spans="5:5" x14ac:dyDescent="0.25">
      <c r="E9124"/>
    </row>
    <row r="9125" spans="5:5" x14ac:dyDescent="0.25">
      <c r="E9125"/>
    </row>
    <row r="9126" spans="5:5" x14ac:dyDescent="0.25">
      <c r="E9126"/>
    </row>
    <row r="9127" spans="5:5" x14ac:dyDescent="0.25">
      <c r="E9127"/>
    </row>
    <row r="9128" spans="5:5" x14ac:dyDescent="0.25">
      <c r="E9128"/>
    </row>
    <row r="9129" spans="5:5" x14ac:dyDescent="0.25">
      <c r="E9129"/>
    </row>
    <row r="9130" spans="5:5" x14ac:dyDescent="0.25">
      <c r="E9130"/>
    </row>
    <row r="9131" spans="5:5" x14ac:dyDescent="0.25">
      <c r="E9131"/>
    </row>
    <row r="9132" spans="5:5" x14ac:dyDescent="0.25">
      <c r="E9132"/>
    </row>
    <row r="9133" spans="5:5" x14ac:dyDescent="0.25">
      <c r="E9133"/>
    </row>
    <row r="9134" spans="5:5" x14ac:dyDescent="0.25">
      <c r="E9134"/>
    </row>
    <row r="9135" spans="5:5" x14ac:dyDescent="0.25">
      <c r="E9135"/>
    </row>
    <row r="9136" spans="5:5" x14ac:dyDescent="0.25">
      <c r="E9136"/>
    </row>
    <row r="9137" spans="5:5" x14ac:dyDescent="0.25">
      <c r="E9137"/>
    </row>
    <row r="9138" spans="5:5" x14ac:dyDescent="0.25">
      <c r="E9138"/>
    </row>
    <row r="9139" spans="5:5" x14ac:dyDescent="0.25">
      <c r="E9139"/>
    </row>
    <row r="9140" spans="5:5" x14ac:dyDescent="0.25">
      <c r="E9140"/>
    </row>
    <row r="9141" spans="5:5" x14ac:dyDescent="0.25">
      <c r="E9141"/>
    </row>
    <row r="9142" spans="5:5" x14ac:dyDescent="0.25">
      <c r="E9142"/>
    </row>
    <row r="9143" spans="5:5" x14ac:dyDescent="0.25">
      <c r="E9143"/>
    </row>
    <row r="9144" spans="5:5" x14ac:dyDescent="0.25">
      <c r="E9144"/>
    </row>
    <row r="9145" spans="5:5" x14ac:dyDescent="0.25">
      <c r="E9145"/>
    </row>
    <row r="9146" spans="5:5" x14ac:dyDescent="0.25">
      <c r="E9146"/>
    </row>
    <row r="9147" spans="5:5" x14ac:dyDescent="0.25">
      <c r="E9147"/>
    </row>
    <row r="9148" spans="5:5" x14ac:dyDescent="0.25">
      <c r="E9148"/>
    </row>
    <row r="9149" spans="5:5" x14ac:dyDescent="0.25">
      <c r="E9149"/>
    </row>
    <row r="9150" spans="5:5" x14ac:dyDescent="0.25">
      <c r="E9150"/>
    </row>
    <row r="9151" spans="5:5" x14ac:dyDescent="0.25">
      <c r="E9151"/>
    </row>
    <row r="9152" spans="5:5" x14ac:dyDescent="0.25">
      <c r="E9152"/>
    </row>
    <row r="9153" spans="5:5" x14ac:dyDescent="0.25">
      <c r="E9153"/>
    </row>
    <row r="9154" spans="5:5" x14ac:dyDescent="0.25">
      <c r="E9154"/>
    </row>
    <row r="9155" spans="5:5" x14ac:dyDescent="0.25">
      <c r="E9155"/>
    </row>
    <row r="9156" spans="5:5" x14ac:dyDescent="0.25">
      <c r="E9156"/>
    </row>
    <row r="9157" spans="5:5" x14ac:dyDescent="0.25">
      <c r="E9157"/>
    </row>
    <row r="9158" spans="5:5" x14ac:dyDescent="0.25">
      <c r="E9158"/>
    </row>
    <row r="9159" spans="5:5" x14ac:dyDescent="0.25">
      <c r="E9159"/>
    </row>
    <row r="9160" spans="5:5" x14ac:dyDescent="0.25">
      <c r="E9160"/>
    </row>
    <row r="9161" spans="5:5" x14ac:dyDescent="0.25">
      <c r="E9161"/>
    </row>
    <row r="9162" spans="5:5" x14ac:dyDescent="0.25">
      <c r="E9162"/>
    </row>
    <row r="9163" spans="5:5" x14ac:dyDescent="0.25">
      <c r="E9163"/>
    </row>
    <row r="9164" spans="5:5" x14ac:dyDescent="0.25">
      <c r="E9164"/>
    </row>
    <row r="9165" spans="5:5" x14ac:dyDescent="0.25">
      <c r="E9165"/>
    </row>
    <row r="9166" spans="5:5" x14ac:dyDescent="0.25">
      <c r="E9166"/>
    </row>
    <row r="9167" spans="5:5" x14ac:dyDescent="0.25">
      <c r="E9167"/>
    </row>
    <row r="9168" spans="5:5" x14ac:dyDescent="0.25">
      <c r="E9168"/>
    </row>
    <row r="9169" spans="5:5" x14ac:dyDescent="0.25">
      <c r="E9169"/>
    </row>
    <row r="9170" spans="5:5" x14ac:dyDescent="0.25">
      <c r="E9170"/>
    </row>
    <row r="9171" spans="5:5" x14ac:dyDescent="0.25">
      <c r="E9171"/>
    </row>
    <row r="9172" spans="5:5" x14ac:dyDescent="0.25">
      <c r="E9172"/>
    </row>
    <row r="9173" spans="5:5" x14ac:dyDescent="0.25">
      <c r="E9173"/>
    </row>
    <row r="9174" spans="5:5" x14ac:dyDescent="0.25">
      <c r="E9174"/>
    </row>
    <row r="9175" spans="5:5" x14ac:dyDescent="0.25">
      <c r="E9175"/>
    </row>
    <row r="9176" spans="5:5" x14ac:dyDescent="0.25">
      <c r="E9176"/>
    </row>
    <row r="9177" spans="5:5" x14ac:dyDescent="0.25">
      <c r="E9177"/>
    </row>
    <row r="9178" spans="5:5" x14ac:dyDescent="0.25">
      <c r="E9178"/>
    </row>
    <row r="9179" spans="5:5" x14ac:dyDescent="0.25">
      <c r="E9179"/>
    </row>
    <row r="9180" spans="5:5" x14ac:dyDescent="0.25">
      <c r="E9180"/>
    </row>
    <row r="9181" spans="5:5" x14ac:dyDescent="0.25">
      <c r="E9181"/>
    </row>
    <row r="9182" spans="5:5" x14ac:dyDescent="0.25">
      <c r="E9182"/>
    </row>
    <row r="9183" spans="5:5" x14ac:dyDescent="0.25">
      <c r="E9183"/>
    </row>
    <row r="9184" spans="5:5" x14ac:dyDescent="0.25">
      <c r="E9184"/>
    </row>
    <row r="9185" spans="5:5" x14ac:dyDescent="0.25">
      <c r="E9185"/>
    </row>
    <row r="9186" spans="5:5" x14ac:dyDescent="0.25">
      <c r="E9186"/>
    </row>
    <row r="9187" spans="5:5" x14ac:dyDescent="0.25">
      <c r="E9187"/>
    </row>
    <row r="9188" spans="5:5" x14ac:dyDescent="0.25">
      <c r="E9188"/>
    </row>
    <row r="9189" spans="5:5" x14ac:dyDescent="0.25">
      <c r="E9189"/>
    </row>
    <row r="9190" spans="5:5" x14ac:dyDescent="0.25">
      <c r="E9190"/>
    </row>
    <row r="9191" spans="5:5" x14ac:dyDescent="0.25">
      <c r="E9191"/>
    </row>
    <row r="9192" spans="5:5" x14ac:dyDescent="0.25">
      <c r="E9192"/>
    </row>
    <row r="9193" spans="5:5" x14ac:dyDescent="0.25">
      <c r="E9193"/>
    </row>
    <row r="9194" spans="5:5" x14ac:dyDescent="0.25">
      <c r="E9194"/>
    </row>
    <row r="9195" spans="5:5" x14ac:dyDescent="0.25">
      <c r="E9195"/>
    </row>
    <row r="9196" spans="5:5" x14ac:dyDescent="0.25">
      <c r="E9196"/>
    </row>
    <row r="9197" spans="5:5" x14ac:dyDescent="0.25">
      <c r="E9197"/>
    </row>
    <row r="9198" spans="5:5" x14ac:dyDescent="0.25">
      <c r="E9198"/>
    </row>
    <row r="9199" spans="5:5" x14ac:dyDescent="0.25">
      <c r="E9199"/>
    </row>
    <row r="9200" spans="5:5" x14ac:dyDescent="0.25">
      <c r="E9200"/>
    </row>
    <row r="9201" spans="5:5" x14ac:dyDescent="0.25">
      <c r="E9201"/>
    </row>
    <row r="9202" spans="5:5" x14ac:dyDescent="0.25">
      <c r="E9202"/>
    </row>
    <row r="9203" spans="5:5" x14ac:dyDescent="0.25">
      <c r="E9203"/>
    </row>
    <row r="9204" spans="5:5" x14ac:dyDescent="0.25">
      <c r="E9204"/>
    </row>
    <row r="9205" spans="5:5" x14ac:dyDescent="0.25">
      <c r="E9205"/>
    </row>
    <row r="9206" spans="5:5" x14ac:dyDescent="0.25">
      <c r="E9206"/>
    </row>
    <row r="9207" spans="5:5" x14ac:dyDescent="0.25">
      <c r="E9207"/>
    </row>
    <row r="9208" spans="5:5" x14ac:dyDescent="0.25">
      <c r="E9208"/>
    </row>
    <row r="9209" spans="5:5" x14ac:dyDescent="0.25">
      <c r="E9209"/>
    </row>
    <row r="9210" spans="5:5" x14ac:dyDescent="0.25">
      <c r="E9210"/>
    </row>
    <row r="9211" spans="5:5" x14ac:dyDescent="0.25">
      <c r="E9211"/>
    </row>
    <row r="9212" spans="5:5" x14ac:dyDescent="0.25">
      <c r="E9212"/>
    </row>
    <row r="9213" spans="5:5" x14ac:dyDescent="0.25">
      <c r="E9213"/>
    </row>
    <row r="9214" spans="5:5" x14ac:dyDescent="0.25">
      <c r="E9214"/>
    </row>
    <row r="9215" spans="5:5" x14ac:dyDescent="0.25">
      <c r="E9215"/>
    </row>
    <row r="9216" spans="5:5" x14ac:dyDescent="0.25">
      <c r="E9216"/>
    </row>
    <row r="9217" spans="5:5" x14ac:dyDescent="0.25">
      <c r="E9217"/>
    </row>
    <row r="9218" spans="5:5" x14ac:dyDescent="0.25">
      <c r="E9218"/>
    </row>
    <row r="9219" spans="5:5" x14ac:dyDescent="0.25">
      <c r="E9219"/>
    </row>
    <row r="9220" spans="5:5" x14ac:dyDescent="0.25">
      <c r="E9220"/>
    </row>
    <row r="9221" spans="5:5" x14ac:dyDescent="0.25">
      <c r="E9221"/>
    </row>
    <row r="9222" spans="5:5" x14ac:dyDescent="0.25">
      <c r="E9222"/>
    </row>
    <row r="9223" spans="5:5" x14ac:dyDescent="0.25">
      <c r="E9223"/>
    </row>
    <row r="9224" spans="5:5" x14ac:dyDescent="0.25">
      <c r="E9224"/>
    </row>
    <row r="9225" spans="5:5" x14ac:dyDescent="0.25">
      <c r="E9225"/>
    </row>
    <row r="9226" spans="5:5" x14ac:dyDescent="0.25">
      <c r="E9226"/>
    </row>
    <row r="9227" spans="5:5" x14ac:dyDescent="0.25">
      <c r="E9227"/>
    </row>
    <row r="9228" spans="5:5" x14ac:dyDescent="0.25">
      <c r="E9228"/>
    </row>
    <row r="9229" spans="5:5" x14ac:dyDescent="0.25">
      <c r="E9229"/>
    </row>
    <row r="9230" spans="5:5" x14ac:dyDescent="0.25">
      <c r="E9230"/>
    </row>
    <row r="9231" spans="5:5" x14ac:dyDescent="0.25">
      <c r="E9231"/>
    </row>
    <row r="9232" spans="5:5" x14ac:dyDescent="0.25">
      <c r="E9232"/>
    </row>
    <row r="9233" spans="5:5" x14ac:dyDescent="0.25">
      <c r="E9233"/>
    </row>
    <row r="9234" spans="5:5" x14ac:dyDescent="0.25">
      <c r="E9234"/>
    </row>
    <row r="9235" spans="5:5" x14ac:dyDescent="0.25">
      <c r="E9235"/>
    </row>
    <row r="9236" spans="5:5" x14ac:dyDescent="0.25">
      <c r="E9236"/>
    </row>
    <row r="9237" spans="5:5" x14ac:dyDescent="0.25">
      <c r="E9237"/>
    </row>
    <row r="9238" spans="5:5" x14ac:dyDescent="0.25">
      <c r="E9238"/>
    </row>
    <row r="9239" spans="5:5" x14ac:dyDescent="0.25">
      <c r="E9239"/>
    </row>
    <row r="9240" spans="5:5" x14ac:dyDescent="0.25">
      <c r="E9240"/>
    </row>
    <row r="9241" spans="5:5" x14ac:dyDescent="0.25">
      <c r="E9241"/>
    </row>
    <row r="9242" spans="5:5" x14ac:dyDescent="0.25">
      <c r="E9242"/>
    </row>
    <row r="9243" spans="5:5" x14ac:dyDescent="0.25">
      <c r="E9243"/>
    </row>
    <row r="9244" spans="5:5" x14ac:dyDescent="0.25">
      <c r="E9244"/>
    </row>
    <row r="9245" spans="5:5" x14ac:dyDescent="0.25">
      <c r="E9245"/>
    </row>
    <row r="9246" spans="5:5" x14ac:dyDescent="0.25">
      <c r="E9246"/>
    </row>
    <row r="9247" spans="5:5" x14ac:dyDescent="0.25">
      <c r="E9247"/>
    </row>
    <row r="9248" spans="5:5" x14ac:dyDescent="0.25">
      <c r="E9248"/>
    </row>
    <row r="9249" spans="5:5" x14ac:dyDescent="0.25">
      <c r="E9249"/>
    </row>
    <row r="9250" spans="5:5" x14ac:dyDescent="0.25">
      <c r="E9250"/>
    </row>
    <row r="9251" spans="5:5" x14ac:dyDescent="0.25">
      <c r="E9251"/>
    </row>
    <row r="9252" spans="5:5" x14ac:dyDescent="0.25">
      <c r="E9252"/>
    </row>
    <row r="9253" spans="5:5" x14ac:dyDescent="0.25">
      <c r="E9253"/>
    </row>
    <row r="9254" spans="5:5" x14ac:dyDescent="0.25">
      <c r="E9254"/>
    </row>
    <row r="9255" spans="5:5" x14ac:dyDescent="0.25">
      <c r="E9255"/>
    </row>
    <row r="9256" spans="5:5" x14ac:dyDescent="0.25">
      <c r="E9256"/>
    </row>
    <row r="9257" spans="5:5" x14ac:dyDescent="0.25">
      <c r="E9257"/>
    </row>
    <row r="9258" spans="5:5" x14ac:dyDescent="0.25">
      <c r="E9258"/>
    </row>
    <row r="9259" spans="5:5" x14ac:dyDescent="0.25">
      <c r="E9259"/>
    </row>
    <row r="9260" spans="5:5" x14ac:dyDescent="0.25">
      <c r="E9260"/>
    </row>
    <row r="9261" spans="5:5" x14ac:dyDescent="0.25">
      <c r="E9261"/>
    </row>
    <row r="9262" spans="5:5" x14ac:dyDescent="0.25">
      <c r="E9262"/>
    </row>
    <row r="9263" spans="5:5" x14ac:dyDescent="0.25">
      <c r="E9263"/>
    </row>
    <row r="9264" spans="5:5" x14ac:dyDescent="0.25">
      <c r="E9264"/>
    </row>
    <row r="9265" spans="5:5" x14ac:dyDescent="0.25">
      <c r="E9265"/>
    </row>
    <row r="9266" spans="5:5" x14ac:dyDescent="0.25">
      <c r="E9266"/>
    </row>
    <row r="9267" spans="5:5" x14ac:dyDescent="0.25">
      <c r="E9267"/>
    </row>
    <row r="9268" spans="5:5" x14ac:dyDescent="0.25">
      <c r="E9268"/>
    </row>
    <row r="9269" spans="5:5" x14ac:dyDescent="0.25">
      <c r="E9269"/>
    </row>
    <row r="9270" spans="5:5" x14ac:dyDescent="0.25">
      <c r="E9270"/>
    </row>
    <row r="9271" spans="5:5" x14ac:dyDescent="0.25">
      <c r="E9271"/>
    </row>
    <row r="9272" spans="5:5" x14ac:dyDescent="0.25">
      <c r="E9272"/>
    </row>
    <row r="9273" spans="5:5" x14ac:dyDescent="0.25">
      <c r="E9273"/>
    </row>
    <row r="9274" spans="5:5" x14ac:dyDescent="0.25">
      <c r="E9274"/>
    </row>
    <row r="9275" spans="5:5" x14ac:dyDescent="0.25">
      <c r="E9275"/>
    </row>
    <row r="9276" spans="5:5" x14ac:dyDescent="0.25">
      <c r="E9276"/>
    </row>
    <row r="9277" spans="5:5" x14ac:dyDescent="0.25">
      <c r="E9277"/>
    </row>
    <row r="9278" spans="5:5" x14ac:dyDescent="0.25">
      <c r="E9278"/>
    </row>
    <row r="9279" spans="5:5" x14ac:dyDescent="0.25">
      <c r="E9279"/>
    </row>
    <row r="9280" spans="5:5" x14ac:dyDescent="0.25">
      <c r="E9280"/>
    </row>
    <row r="9281" spans="5:5" x14ac:dyDescent="0.25">
      <c r="E9281"/>
    </row>
    <row r="9282" spans="5:5" x14ac:dyDescent="0.25">
      <c r="E9282"/>
    </row>
    <row r="9283" spans="5:5" x14ac:dyDescent="0.25">
      <c r="E9283"/>
    </row>
    <row r="9284" spans="5:5" x14ac:dyDescent="0.25">
      <c r="E9284"/>
    </row>
    <row r="9285" spans="5:5" x14ac:dyDescent="0.25">
      <c r="E9285"/>
    </row>
    <row r="9286" spans="5:5" x14ac:dyDescent="0.25">
      <c r="E9286"/>
    </row>
    <row r="9287" spans="5:5" x14ac:dyDescent="0.25">
      <c r="E9287"/>
    </row>
    <row r="9288" spans="5:5" x14ac:dyDescent="0.25">
      <c r="E9288"/>
    </row>
    <row r="9289" spans="5:5" x14ac:dyDescent="0.25">
      <c r="E9289"/>
    </row>
    <row r="9290" spans="5:5" x14ac:dyDescent="0.25">
      <c r="E9290"/>
    </row>
    <row r="9291" spans="5:5" x14ac:dyDescent="0.25">
      <c r="E9291"/>
    </row>
    <row r="9292" spans="5:5" x14ac:dyDescent="0.25">
      <c r="E9292"/>
    </row>
    <row r="9293" spans="5:5" x14ac:dyDescent="0.25">
      <c r="E9293"/>
    </row>
    <row r="9294" spans="5:5" x14ac:dyDescent="0.25">
      <c r="E9294"/>
    </row>
    <row r="9295" spans="5:5" x14ac:dyDescent="0.25">
      <c r="E9295"/>
    </row>
    <row r="9296" spans="5:5" x14ac:dyDescent="0.25">
      <c r="E9296"/>
    </row>
    <row r="9297" spans="5:5" x14ac:dyDescent="0.25">
      <c r="E9297"/>
    </row>
    <row r="9298" spans="5:5" x14ac:dyDescent="0.25">
      <c r="E9298"/>
    </row>
    <row r="9299" spans="5:5" x14ac:dyDescent="0.25">
      <c r="E9299"/>
    </row>
    <row r="9300" spans="5:5" x14ac:dyDescent="0.25">
      <c r="E9300"/>
    </row>
    <row r="9301" spans="5:5" x14ac:dyDescent="0.25">
      <c r="E9301"/>
    </row>
    <row r="9302" spans="5:5" x14ac:dyDescent="0.25">
      <c r="E9302"/>
    </row>
    <row r="9303" spans="5:5" x14ac:dyDescent="0.25">
      <c r="E9303"/>
    </row>
    <row r="9304" spans="5:5" x14ac:dyDescent="0.25">
      <c r="E9304"/>
    </row>
    <row r="9305" spans="5:5" x14ac:dyDescent="0.25">
      <c r="E9305"/>
    </row>
    <row r="9306" spans="5:5" x14ac:dyDescent="0.25">
      <c r="E9306"/>
    </row>
    <row r="9307" spans="5:5" x14ac:dyDescent="0.25">
      <c r="E9307"/>
    </row>
    <row r="9308" spans="5:5" x14ac:dyDescent="0.25">
      <c r="E9308"/>
    </row>
    <row r="9309" spans="5:5" x14ac:dyDescent="0.25">
      <c r="E9309"/>
    </row>
    <row r="9310" spans="5:5" x14ac:dyDescent="0.25">
      <c r="E9310"/>
    </row>
    <row r="9311" spans="5:5" x14ac:dyDescent="0.25">
      <c r="E9311"/>
    </row>
    <row r="9312" spans="5:5" x14ac:dyDescent="0.25">
      <c r="E9312"/>
    </row>
    <row r="9313" spans="5:5" x14ac:dyDescent="0.25">
      <c r="E9313"/>
    </row>
    <row r="9314" spans="5:5" x14ac:dyDescent="0.25">
      <c r="E9314"/>
    </row>
    <row r="9315" spans="5:5" x14ac:dyDescent="0.25">
      <c r="E9315"/>
    </row>
    <row r="9316" spans="5:5" x14ac:dyDescent="0.25">
      <c r="E9316"/>
    </row>
    <row r="9317" spans="5:5" x14ac:dyDescent="0.25">
      <c r="E9317"/>
    </row>
    <row r="9318" spans="5:5" x14ac:dyDescent="0.25">
      <c r="E9318"/>
    </row>
    <row r="9319" spans="5:5" x14ac:dyDescent="0.25">
      <c r="E9319"/>
    </row>
    <row r="9320" spans="5:5" x14ac:dyDescent="0.25">
      <c r="E9320"/>
    </row>
    <row r="9321" spans="5:5" x14ac:dyDescent="0.25">
      <c r="E9321"/>
    </row>
    <row r="9322" spans="5:5" x14ac:dyDescent="0.25">
      <c r="E9322"/>
    </row>
    <row r="9323" spans="5:5" x14ac:dyDescent="0.25">
      <c r="E9323"/>
    </row>
    <row r="9324" spans="5:5" x14ac:dyDescent="0.25">
      <c r="E9324"/>
    </row>
    <row r="9325" spans="5:5" x14ac:dyDescent="0.25">
      <c r="E9325"/>
    </row>
    <row r="9326" spans="5:5" x14ac:dyDescent="0.25">
      <c r="E9326"/>
    </row>
    <row r="9327" spans="5:5" x14ac:dyDescent="0.25">
      <c r="E9327"/>
    </row>
    <row r="9328" spans="5:5" x14ac:dyDescent="0.25">
      <c r="E9328"/>
    </row>
    <row r="9329" spans="5:5" x14ac:dyDescent="0.25">
      <c r="E9329"/>
    </row>
    <row r="9330" spans="5:5" x14ac:dyDescent="0.25">
      <c r="E9330"/>
    </row>
    <row r="9331" spans="5:5" x14ac:dyDescent="0.25">
      <c r="E9331"/>
    </row>
    <row r="9332" spans="5:5" x14ac:dyDescent="0.25">
      <c r="E9332"/>
    </row>
    <row r="9333" spans="5:5" x14ac:dyDescent="0.25">
      <c r="E9333"/>
    </row>
    <row r="9334" spans="5:5" x14ac:dyDescent="0.25">
      <c r="E9334"/>
    </row>
    <row r="9335" spans="5:5" x14ac:dyDescent="0.25">
      <c r="E9335"/>
    </row>
    <row r="9336" spans="5:5" x14ac:dyDescent="0.25">
      <c r="E9336"/>
    </row>
    <row r="9337" spans="5:5" x14ac:dyDescent="0.25">
      <c r="E9337"/>
    </row>
    <row r="9338" spans="5:5" x14ac:dyDescent="0.25">
      <c r="E9338"/>
    </row>
    <row r="9339" spans="5:5" x14ac:dyDescent="0.25">
      <c r="E9339"/>
    </row>
    <row r="9340" spans="5:5" x14ac:dyDescent="0.25">
      <c r="E9340"/>
    </row>
    <row r="9341" spans="5:5" x14ac:dyDescent="0.25">
      <c r="E9341"/>
    </row>
    <row r="9342" spans="5:5" x14ac:dyDescent="0.25">
      <c r="E9342"/>
    </row>
    <row r="9343" spans="5:5" x14ac:dyDescent="0.25">
      <c r="E9343"/>
    </row>
    <row r="9344" spans="5:5" x14ac:dyDescent="0.25">
      <c r="E9344"/>
    </row>
    <row r="9345" spans="5:5" x14ac:dyDescent="0.25">
      <c r="E9345"/>
    </row>
    <row r="9346" spans="5:5" x14ac:dyDescent="0.25">
      <c r="E9346"/>
    </row>
    <row r="9347" spans="5:5" x14ac:dyDescent="0.25">
      <c r="E9347"/>
    </row>
    <row r="9348" spans="5:5" x14ac:dyDescent="0.25">
      <c r="E9348"/>
    </row>
    <row r="9349" spans="5:5" x14ac:dyDescent="0.25">
      <c r="E9349"/>
    </row>
    <row r="9350" spans="5:5" x14ac:dyDescent="0.25">
      <c r="E9350"/>
    </row>
    <row r="9351" spans="5:5" x14ac:dyDescent="0.25">
      <c r="E9351"/>
    </row>
    <row r="9352" spans="5:5" x14ac:dyDescent="0.25">
      <c r="E9352"/>
    </row>
    <row r="9353" spans="5:5" x14ac:dyDescent="0.25">
      <c r="E9353"/>
    </row>
    <row r="9354" spans="5:5" x14ac:dyDescent="0.25">
      <c r="E9354"/>
    </row>
    <row r="9355" spans="5:5" x14ac:dyDescent="0.25">
      <c r="E9355"/>
    </row>
    <row r="9356" spans="5:5" x14ac:dyDescent="0.25">
      <c r="E9356"/>
    </row>
    <row r="9357" spans="5:5" x14ac:dyDescent="0.25">
      <c r="E9357"/>
    </row>
    <row r="9358" spans="5:5" x14ac:dyDescent="0.25">
      <c r="E9358"/>
    </row>
    <row r="9359" spans="5:5" x14ac:dyDescent="0.25">
      <c r="E9359"/>
    </row>
    <row r="9360" spans="5:5" x14ac:dyDescent="0.25">
      <c r="E9360"/>
    </row>
    <row r="9361" spans="5:5" x14ac:dyDescent="0.25">
      <c r="E9361"/>
    </row>
    <row r="9362" spans="5:5" x14ac:dyDescent="0.25">
      <c r="E9362"/>
    </row>
    <row r="9363" spans="5:5" x14ac:dyDescent="0.25">
      <c r="E9363"/>
    </row>
    <row r="9364" spans="5:5" x14ac:dyDescent="0.25">
      <c r="E9364"/>
    </row>
    <row r="9365" spans="5:5" x14ac:dyDescent="0.25">
      <c r="E9365"/>
    </row>
    <row r="9366" spans="5:5" x14ac:dyDescent="0.25">
      <c r="E9366"/>
    </row>
    <row r="9367" spans="5:5" x14ac:dyDescent="0.25">
      <c r="E9367"/>
    </row>
    <row r="9368" spans="5:5" x14ac:dyDescent="0.25">
      <c r="E9368"/>
    </row>
    <row r="9369" spans="5:5" x14ac:dyDescent="0.25">
      <c r="E9369"/>
    </row>
    <row r="9370" spans="5:5" x14ac:dyDescent="0.25">
      <c r="E9370"/>
    </row>
    <row r="9371" spans="5:5" x14ac:dyDescent="0.25">
      <c r="E9371"/>
    </row>
    <row r="9372" spans="5:5" x14ac:dyDescent="0.25">
      <c r="E9372"/>
    </row>
    <row r="9373" spans="5:5" x14ac:dyDescent="0.25">
      <c r="E9373"/>
    </row>
    <row r="9374" spans="5:5" x14ac:dyDescent="0.25">
      <c r="E9374"/>
    </row>
    <row r="9375" spans="5:5" x14ac:dyDescent="0.25">
      <c r="E9375"/>
    </row>
    <row r="9376" spans="5:5" x14ac:dyDescent="0.25">
      <c r="E9376"/>
    </row>
    <row r="9377" spans="5:5" x14ac:dyDescent="0.25">
      <c r="E9377"/>
    </row>
    <row r="9378" spans="5:5" x14ac:dyDescent="0.25">
      <c r="E9378"/>
    </row>
    <row r="9379" spans="5:5" x14ac:dyDescent="0.25">
      <c r="E9379"/>
    </row>
    <row r="9380" spans="5:5" x14ac:dyDescent="0.25">
      <c r="E9380"/>
    </row>
    <row r="9381" spans="5:5" x14ac:dyDescent="0.25">
      <c r="E9381"/>
    </row>
    <row r="9382" spans="5:5" x14ac:dyDescent="0.25">
      <c r="E9382"/>
    </row>
    <row r="9383" spans="5:5" x14ac:dyDescent="0.25">
      <c r="E9383"/>
    </row>
    <row r="9384" spans="5:5" x14ac:dyDescent="0.25">
      <c r="E9384"/>
    </row>
    <row r="9385" spans="5:5" x14ac:dyDescent="0.25">
      <c r="E9385"/>
    </row>
    <row r="9386" spans="5:5" x14ac:dyDescent="0.25">
      <c r="E9386"/>
    </row>
    <row r="9387" spans="5:5" x14ac:dyDescent="0.25">
      <c r="E9387"/>
    </row>
    <row r="9388" spans="5:5" x14ac:dyDescent="0.25">
      <c r="E9388"/>
    </row>
    <row r="9389" spans="5:5" x14ac:dyDescent="0.25">
      <c r="E9389"/>
    </row>
    <row r="9390" spans="5:5" x14ac:dyDescent="0.25">
      <c r="E9390"/>
    </row>
    <row r="9391" spans="5:5" x14ac:dyDescent="0.25">
      <c r="E9391"/>
    </row>
    <row r="9392" spans="5:5" x14ac:dyDescent="0.25">
      <c r="E9392"/>
    </row>
    <row r="9393" spans="5:5" x14ac:dyDescent="0.25">
      <c r="E9393"/>
    </row>
    <row r="9394" spans="5:5" x14ac:dyDescent="0.25">
      <c r="E9394"/>
    </row>
    <row r="9395" spans="5:5" x14ac:dyDescent="0.25">
      <c r="E9395"/>
    </row>
    <row r="9396" spans="5:5" x14ac:dyDescent="0.25">
      <c r="E9396"/>
    </row>
    <row r="9397" spans="5:5" x14ac:dyDescent="0.25">
      <c r="E9397"/>
    </row>
    <row r="9398" spans="5:5" x14ac:dyDescent="0.25">
      <c r="E9398"/>
    </row>
    <row r="9399" spans="5:5" x14ac:dyDescent="0.25">
      <c r="E9399"/>
    </row>
    <row r="9400" spans="5:5" x14ac:dyDescent="0.25">
      <c r="E9400"/>
    </row>
    <row r="9401" spans="5:5" x14ac:dyDescent="0.25">
      <c r="E9401"/>
    </row>
    <row r="9402" spans="5:5" x14ac:dyDescent="0.25">
      <c r="E9402"/>
    </row>
    <row r="9403" spans="5:5" x14ac:dyDescent="0.25">
      <c r="E9403"/>
    </row>
    <row r="9404" spans="5:5" x14ac:dyDescent="0.25">
      <c r="E9404"/>
    </row>
    <row r="9405" spans="5:5" x14ac:dyDescent="0.25">
      <c r="E9405"/>
    </row>
    <row r="9406" spans="5:5" x14ac:dyDescent="0.25">
      <c r="E9406"/>
    </row>
    <row r="9407" spans="5:5" x14ac:dyDescent="0.25">
      <c r="E9407"/>
    </row>
    <row r="9408" spans="5:5" x14ac:dyDescent="0.25">
      <c r="E9408"/>
    </row>
    <row r="9409" spans="5:5" x14ac:dyDescent="0.25">
      <c r="E9409"/>
    </row>
    <row r="9410" spans="5:5" x14ac:dyDescent="0.25">
      <c r="E9410"/>
    </row>
    <row r="9411" spans="5:5" x14ac:dyDescent="0.25">
      <c r="E9411"/>
    </row>
    <row r="9412" spans="5:5" x14ac:dyDescent="0.25">
      <c r="E9412"/>
    </row>
    <row r="9413" spans="5:5" x14ac:dyDescent="0.25">
      <c r="E9413"/>
    </row>
    <row r="9414" spans="5:5" x14ac:dyDescent="0.25">
      <c r="E9414"/>
    </row>
    <row r="9415" spans="5:5" x14ac:dyDescent="0.25">
      <c r="E9415"/>
    </row>
    <row r="9416" spans="5:5" x14ac:dyDescent="0.25">
      <c r="E9416"/>
    </row>
    <row r="9417" spans="5:5" x14ac:dyDescent="0.25">
      <c r="E9417"/>
    </row>
    <row r="9418" spans="5:5" x14ac:dyDescent="0.25">
      <c r="E9418"/>
    </row>
    <row r="9419" spans="5:5" x14ac:dyDescent="0.25">
      <c r="E9419"/>
    </row>
    <row r="9420" spans="5:5" x14ac:dyDescent="0.25">
      <c r="E9420"/>
    </row>
    <row r="9421" spans="5:5" x14ac:dyDescent="0.25">
      <c r="E9421"/>
    </row>
    <row r="9422" spans="5:5" x14ac:dyDescent="0.25">
      <c r="E9422"/>
    </row>
    <row r="9423" spans="5:5" x14ac:dyDescent="0.25">
      <c r="E9423"/>
    </row>
    <row r="9424" spans="5:5" x14ac:dyDescent="0.25">
      <c r="E9424"/>
    </row>
    <row r="9425" spans="5:5" x14ac:dyDescent="0.25">
      <c r="E9425"/>
    </row>
    <row r="9426" spans="5:5" x14ac:dyDescent="0.25">
      <c r="E9426"/>
    </row>
    <row r="9427" spans="5:5" x14ac:dyDescent="0.25">
      <c r="E9427"/>
    </row>
    <row r="9428" spans="5:5" x14ac:dyDescent="0.25">
      <c r="E9428"/>
    </row>
    <row r="9429" spans="5:5" x14ac:dyDescent="0.25">
      <c r="E9429"/>
    </row>
    <row r="9430" spans="5:5" x14ac:dyDescent="0.25">
      <c r="E9430"/>
    </row>
    <row r="9431" spans="5:5" x14ac:dyDescent="0.25">
      <c r="E9431"/>
    </row>
    <row r="9432" spans="5:5" x14ac:dyDescent="0.25">
      <c r="E9432"/>
    </row>
    <row r="9433" spans="5:5" x14ac:dyDescent="0.25">
      <c r="E9433"/>
    </row>
    <row r="9434" spans="5:5" x14ac:dyDescent="0.25">
      <c r="E9434"/>
    </row>
    <row r="9435" spans="5:5" x14ac:dyDescent="0.25">
      <c r="E9435"/>
    </row>
    <row r="9436" spans="5:5" x14ac:dyDescent="0.25">
      <c r="E9436"/>
    </row>
    <row r="9437" spans="5:5" x14ac:dyDescent="0.25">
      <c r="E9437"/>
    </row>
    <row r="9438" spans="5:5" x14ac:dyDescent="0.25">
      <c r="E9438"/>
    </row>
    <row r="9439" spans="5:5" x14ac:dyDescent="0.25">
      <c r="E9439"/>
    </row>
    <row r="9440" spans="5:5" x14ac:dyDescent="0.25">
      <c r="E9440"/>
    </row>
    <row r="9441" spans="5:5" x14ac:dyDescent="0.25">
      <c r="E9441"/>
    </row>
    <row r="9442" spans="5:5" x14ac:dyDescent="0.25">
      <c r="E9442"/>
    </row>
    <row r="9443" spans="5:5" x14ac:dyDescent="0.25">
      <c r="E9443"/>
    </row>
    <row r="9444" spans="5:5" x14ac:dyDescent="0.25">
      <c r="E9444"/>
    </row>
    <row r="9445" spans="5:5" x14ac:dyDescent="0.25">
      <c r="E9445"/>
    </row>
    <row r="9446" spans="5:5" x14ac:dyDescent="0.25">
      <c r="E9446"/>
    </row>
    <row r="9447" spans="5:5" x14ac:dyDescent="0.25">
      <c r="E9447"/>
    </row>
    <row r="9448" spans="5:5" x14ac:dyDescent="0.25">
      <c r="E9448"/>
    </row>
    <row r="9449" spans="5:5" x14ac:dyDescent="0.25">
      <c r="E9449"/>
    </row>
    <row r="9450" spans="5:5" x14ac:dyDescent="0.25">
      <c r="E9450"/>
    </row>
    <row r="9451" spans="5:5" x14ac:dyDescent="0.25">
      <c r="E9451"/>
    </row>
    <row r="9452" spans="5:5" x14ac:dyDescent="0.25">
      <c r="E9452"/>
    </row>
    <row r="9453" spans="5:5" x14ac:dyDescent="0.25">
      <c r="E9453"/>
    </row>
    <row r="9454" spans="5:5" x14ac:dyDescent="0.25">
      <c r="E9454"/>
    </row>
    <row r="9455" spans="5:5" x14ac:dyDescent="0.25">
      <c r="E9455"/>
    </row>
    <row r="9456" spans="5:5" x14ac:dyDescent="0.25">
      <c r="E9456"/>
    </row>
    <row r="9457" spans="5:5" x14ac:dyDescent="0.25">
      <c r="E9457"/>
    </row>
    <row r="9458" spans="5:5" x14ac:dyDescent="0.25">
      <c r="E9458"/>
    </row>
    <row r="9459" spans="5:5" x14ac:dyDescent="0.25">
      <c r="E9459"/>
    </row>
    <row r="9460" spans="5:5" x14ac:dyDescent="0.25">
      <c r="E9460"/>
    </row>
    <row r="9461" spans="5:5" x14ac:dyDescent="0.25">
      <c r="E9461"/>
    </row>
    <row r="9462" spans="5:5" x14ac:dyDescent="0.25">
      <c r="E9462"/>
    </row>
    <row r="9463" spans="5:5" x14ac:dyDescent="0.25">
      <c r="E9463"/>
    </row>
    <row r="9464" spans="5:5" x14ac:dyDescent="0.25">
      <c r="E9464"/>
    </row>
    <row r="9465" spans="5:5" x14ac:dyDescent="0.25">
      <c r="E9465"/>
    </row>
    <row r="9466" spans="5:5" x14ac:dyDescent="0.25">
      <c r="E9466"/>
    </row>
    <row r="9467" spans="5:5" x14ac:dyDescent="0.25">
      <c r="E9467"/>
    </row>
    <row r="9468" spans="5:5" x14ac:dyDescent="0.25">
      <c r="E9468"/>
    </row>
    <row r="9469" spans="5:5" x14ac:dyDescent="0.25">
      <c r="E9469"/>
    </row>
    <row r="9470" spans="5:5" x14ac:dyDescent="0.25">
      <c r="E9470"/>
    </row>
    <row r="9471" spans="5:5" x14ac:dyDescent="0.25">
      <c r="E9471"/>
    </row>
    <row r="9472" spans="5:5" x14ac:dyDescent="0.25">
      <c r="E9472"/>
    </row>
    <row r="9473" spans="5:5" x14ac:dyDescent="0.25">
      <c r="E9473"/>
    </row>
    <row r="9474" spans="5:5" x14ac:dyDescent="0.25">
      <c r="E9474"/>
    </row>
    <row r="9475" spans="5:5" x14ac:dyDescent="0.25">
      <c r="E9475"/>
    </row>
    <row r="9476" spans="5:5" x14ac:dyDescent="0.25">
      <c r="E9476"/>
    </row>
    <row r="9477" spans="5:5" x14ac:dyDescent="0.25">
      <c r="E9477"/>
    </row>
    <row r="9478" spans="5:5" x14ac:dyDescent="0.25">
      <c r="E9478"/>
    </row>
    <row r="9479" spans="5:5" x14ac:dyDescent="0.25">
      <c r="E9479"/>
    </row>
    <row r="9480" spans="5:5" x14ac:dyDescent="0.25">
      <c r="E9480"/>
    </row>
    <row r="9481" spans="5:5" x14ac:dyDescent="0.25">
      <c r="E9481"/>
    </row>
    <row r="9482" spans="5:5" x14ac:dyDescent="0.25">
      <c r="E9482"/>
    </row>
    <row r="9483" spans="5:5" x14ac:dyDescent="0.25">
      <c r="E9483"/>
    </row>
    <row r="9484" spans="5:5" x14ac:dyDescent="0.25">
      <c r="E9484"/>
    </row>
    <row r="9485" spans="5:5" x14ac:dyDescent="0.25">
      <c r="E9485"/>
    </row>
    <row r="9486" spans="5:5" x14ac:dyDescent="0.25">
      <c r="E9486"/>
    </row>
    <row r="9487" spans="5:5" x14ac:dyDescent="0.25">
      <c r="E9487"/>
    </row>
    <row r="9488" spans="5:5" x14ac:dyDescent="0.25">
      <c r="E9488"/>
    </row>
    <row r="9489" spans="5:5" x14ac:dyDescent="0.25">
      <c r="E9489"/>
    </row>
    <row r="9490" spans="5:5" x14ac:dyDescent="0.25">
      <c r="E9490"/>
    </row>
    <row r="9491" spans="5:5" x14ac:dyDescent="0.25">
      <c r="E9491"/>
    </row>
    <row r="9492" spans="5:5" x14ac:dyDescent="0.25">
      <c r="E9492"/>
    </row>
    <row r="9493" spans="5:5" x14ac:dyDescent="0.25">
      <c r="E9493"/>
    </row>
    <row r="9494" spans="5:5" x14ac:dyDescent="0.25">
      <c r="E9494"/>
    </row>
    <row r="9495" spans="5:5" x14ac:dyDescent="0.25">
      <c r="E9495"/>
    </row>
    <row r="9496" spans="5:5" x14ac:dyDescent="0.25">
      <c r="E9496"/>
    </row>
    <row r="9497" spans="5:5" x14ac:dyDescent="0.25">
      <c r="E9497"/>
    </row>
    <row r="9498" spans="5:5" x14ac:dyDescent="0.25">
      <c r="E9498"/>
    </row>
    <row r="9499" spans="5:5" x14ac:dyDescent="0.25">
      <c r="E9499"/>
    </row>
    <row r="9500" spans="5:5" x14ac:dyDescent="0.25">
      <c r="E9500"/>
    </row>
    <row r="9501" spans="5:5" x14ac:dyDescent="0.25">
      <c r="E9501"/>
    </row>
    <row r="9502" spans="5:5" x14ac:dyDescent="0.25">
      <c r="E9502"/>
    </row>
    <row r="9503" spans="5:5" x14ac:dyDescent="0.25">
      <c r="E9503"/>
    </row>
    <row r="9504" spans="5:5" x14ac:dyDescent="0.25">
      <c r="E9504"/>
    </row>
    <row r="9505" spans="5:5" x14ac:dyDescent="0.25">
      <c r="E9505"/>
    </row>
    <row r="9506" spans="5:5" x14ac:dyDescent="0.25">
      <c r="E9506"/>
    </row>
    <row r="9507" spans="5:5" x14ac:dyDescent="0.25">
      <c r="E9507"/>
    </row>
    <row r="9508" spans="5:5" x14ac:dyDescent="0.25">
      <c r="E9508"/>
    </row>
    <row r="9509" spans="5:5" x14ac:dyDescent="0.25">
      <c r="E9509"/>
    </row>
    <row r="9510" spans="5:5" x14ac:dyDescent="0.25">
      <c r="E9510"/>
    </row>
    <row r="9511" spans="5:5" x14ac:dyDescent="0.25">
      <c r="E9511"/>
    </row>
    <row r="9512" spans="5:5" x14ac:dyDescent="0.25">
      <c r="E9512"/>
    </row>
    <row r="9513" spans="5:5" x14ac:dyDescent="0.25">
      <c r="E9513"/>
    </row>
    <row r="9514" spans="5:5" x14ac:dyDescent="0.25">
      <c r="E9514"/>
    </row>
    <row r="9515" spans="5:5" x14ac:dyDescent="0.25">
      <c r="E9515"/>
    </row>
    <row r="9516" spans="5:5" x14ac:dyDescent="0.25">
      <c r="E9516"/>
    </row>
    <row r="9517" spans="5:5" x14ac:dyDescent="0.25">
      <c r="E9517"/>
    </row>
    <row r="9518" spans="5:5" x14ac:dyDescent="0.25">
      <c r="E9518"/>
    </row>
    <row r="9519" spans="5:5" x14ac:dyDescent="0.25">
      <c r="E9519"/>
    </row>
    <row r="9520" spans="5:5" x14ac:dyDescent="0.25">
      <c r="E9520"/>
    </row>
    <row r="9521" spans="5:5" x14ac:dyDescent="0.25">
      <c r="E9521"/>
    </row>
    <row r="9522" spans="5:5" x14ac:dyDescent="0.25">
      <c r="E9522"/>
    </row>
    <row r="9523" spans="5:5" x14ac:dyDescent="0.25">
      <c r="E9523"/>
    </row>
    <row r="9524" spans="5:5" x14ac:dyDescent="0.25">
      <c r="E9524"/>
    </row>
    <row r="9525" spans="5:5" x14ac:dyDescent="0.25">
      <c r="E9525"/>
    </row>
    <row r="9526" spans="5:5" x14ac:dyDescent="0.25">
      <c r="E9526"/>
    </row>
    <row r="9527" spans="5:5" x14ac:dyDescent="0.25">
      <c r="E9527"/>
    </row>
    <row r="9528" spans="5:5" x14ac:dyDescent="0.25">
      <c r="E9528"/>
    </row>
    <row r="9529" spans="5:5" x14ac:dyDescent="0.25">
      <c r="E9529"/>
    </row>
    <row r="9530" spans="5:5" x14ac:dyDescent="0.25">
      <c r="E9530"/>
    </row>
    <row r="9531" spans="5:5" x14ac:dyDescent="0.25">
      <c r="E9531"/>
    </row>
    <row r="9532" spans="5:5" x14ac:dyDescent="0.25">
      <c r="E9532"/>
    </row>
    <row r="9533" spans="5:5" x14ac:dyDescent="0.25">
      <c r="E9533"/>
    </row>
    <row r="9534" spans="5:5" x14ac:dyDescent="0.25">
      <c r="E9534"/>
    </row>
    <row r="9535" spans="5:5" x14ac:dyDescent="0.25">
      <c r="E9535"/>
    </row>
    <row r="9536" spans="5:5" x14ac:dyDescent="0.25">
      <c r="E9536"/>
    </row>
    <row r="9537" spans="5:5" x14ac:dyDescent="0.25">
      <c r="E9537"/>
    </row>
    <row r="9538" spans="5:5" x14ac:dyDescent="0.25">
      <c r="E9538"/>
    </row>
    <row r="9539" spans="5:5" x14ac:dyDescent="0.25">
      <c r="E9539"/>
    </row>
    <row r="9540" spans="5:5" x14ac:dyDescent="0.25">
      <c r="E9540"/>
    </row>
    <row r="9541" spans="5:5" x14ac:dyDescent="0.25">
      <c r="E9541"/>
    </row>
    <row r="9542" spans="5:5" x14ac:dyDescent="0.25">
      <c r="E9542"/>
    </row>
    <row r="9543" spans="5:5" x14ac:dyDescent="0.25">
      <c r="E9543"/>
    </row>
    <row r="9544" spans="5:5" x14ac:dyDescent="0.25">
      <c r="E9544"/>
    </row>
    <row r="9545" spans="5:5" x14ac:dyDescent="0.25">
      <c r="E9545"/>
    </row>
    <row r="9546" spans="5:5" x14ac:dyDescent="0.25">
      <c r="E9546"/>
    </row>
    <row r="9547" spans="5:5" x14ac:dyDescent="0.25">
      <c r="E9547"/>
    </row>
    <row r="9548" spans="5:5" x14ac:dyDescent="0.25">
      <c r="E9548"/>
    </row>
    <row r="9549" spans="5:5" x14ac:dyDescent="0.25">
      <c r="E9549"/>
    </row>
    <row r="9550" spans="5:5" x14ac:dyDescent="0.25">
      <c r="E9550"/>
    </row>
    <row r="9551" spans="5:5" x14ac:dyDescent="0.25">
      <c r="E9551"/>
    </row>
    <row r="9552" spans="5:5" x14ac:dyDescent="0.25">
      <c r="E9552"/>
    </row>
    <row r="9553" spans="5:5" x14ac:dyDescent="0.25">
      <c r="E9553"/>
    </row>
    <row r="9554" spans="5:5" x14ac:dyDescent="0.25">
      <c r="E9554"/>
    </row>
    <row r="9555" spans="5:5" x14ac:dyDescent="0.25">
      <c r="E9555"/>
    </row>
    <row r="9556" spans="5:5" x14ac:dyDescent="0.25">
      <c r="E9556"/>
    </row>
    <row r="9557" spans="5:5" x14ac:dyDescent="0.25">
      <c r="E9557"/>
    </row>
    <row r="9558" spans="5:5" x14ac:dyDescent="0.25">
      <c r="E9558"/>
    </row>
    <row r="9559" spans="5:5" x14ac:dyDescent="0.25">
      <c r="E9559"/>
    </row>
    <row r="9560" spans="5:5" x14ac:dyDescent="0.25">
      <c r="E9560"/>
    </row>
    <row r="9561" spans="5:5" x14ac:dyDescent="0.25">
      <c r="E9561"/>
    </row>
    <row r="9562" spans="5:5" x14ac:dyDescent="0.25">
      <c r="E9562"/>
    </row>
    <row r="9563" spans="5:5" x14ac:dyDescent="0.25">
      <c r="E9563"/>
    </row>
    <row r="9564" spans="5:5" x14ac:dyDescent="0.25">
      <c r="E9564"/>
    </row>
    <row r="9565" spans="5:5" x14ac:dyDescent="0.25">
      <c r="E9565"/>
    </row>
    <row r="9566" spans="5:5" x14ac:dyDescent="0.25">
      <c r="E9566"/>
    </row>
    <row r="9567" spans="5:5" x14ac:dyDescent="0.25">
      <c r="E9567"/>
    </row>
    <row r="9568" spans="5:5" x14ac:dyDescent="0.25">
      <c r="E9568"/>
    </row>
    <row r="9569" spans="5:5" x14ac:dyDescent="0.25">
      <c r="E9569"/>
    </row>
    <row r="9570" spans="5:5" x14ac:dyDescent="0.25">
      <c r="E9570"/>
    </row>
    <row r="9571" spans="5:5" x14ac:dyDescent="0.25">
      <c r="E9571"/>
    </row>
    <row r="9572" spans="5:5" x14ac:dyDescent="0.25">
      <c r="E9572"/>
    </row>
    <row r="9573" spans="5:5" x14ac:dyDescent="0.25">
      <c r="E9573"/>
    </row>
    <row r="9574" spans="5:5" x14ac:dyDescent="0.25">
      <c r="E9574"/>
    </row>
    <row r="9575" spans="5:5" x14ac:dyDescent="0.25">
      <c r="E9575"/>
    </row>
    <row r="9576" spans="5:5" x14ac:dyDescent="0.25">
      <c r="E9576"/>
    </row>
    <row r="9577" spans="5:5" x14ac:dyDescent="0.25">
      <c r="E9577"/>
    </row>
    <row r="9578" spans="5:5" x14ac:dyDescent="0.25">
      <c r="E9578"/>
    </row>
    <row r="9579" spans="5:5" x14ac:dyDescent="0.25">
      <c r="E9579"/>
    </row>
    <row r="9580" spans="5:5" x14ac:dyDescent="0.25">
      <c r="E9580"/>
    </row>
    <row r="9581" spans="5:5" x14ac:dyDescent="0.25">
      <c r="E9581"/>
    </row>
    <row r="9582" spans="5:5" x14ac:dyDescent="0.25">
      <c r="E9582"/>
    </row>
    <row r="9583" spans="5:5" x14ac:dyDescent="0.25">
      <c r="E9583"/>
    </row>
    <row r="9584" spans="5:5" x14ac:dyDescent="0.25">
      <c r="E9584"/>
    </row>
    <row r="9585" spans="5:5" x14ac:dyDescent="0.25">
      <c r="E9585"/>
    </row>
    <row r="9586" spans="5:5" x14ac:dyDescent="0.25">
      <c r="E9586"/>
    </row>
    <row r="9587" spans="5:5" x14ac:dyDescent="0.25">
      <c r="E9587"/>
    </row>
    <row r="9588" spans="5:5" x14ac:dyDescent="0.25">
      <c r="E9588"/>
    </row>
    <row r="9589" spans="5:5" x14ac:dyDescent="0.25">
      <c r="E9589"/>
    </row>
    <row r="9590" spans="5:5" x14ac:dyDescent="0.25">
      <c r="E9590"/>
    </row>
    <row r="9591" spans="5:5" x14ac:dyDescent="0.25">
      <c r="E9591"/>
    </row>
    <row r="9592" spans="5:5" x14ac:dyDescent="0.25">
      <c r="E9592"/>
    </row>
    <row r="9593" spans="5:5" x14ac:dyDescent="0.25">
      <c r="E9593"/>
    </row>
    <row r="9594" spans="5:5" x14ac:dyDescent="0.25">
      <c r="E9594"/>
    </row>
    <row r="9595" spans="5:5" x14ac:dyDescent="0.25">
      <c r="E9595"/>
    </row>
    <row r="9596" spans="5:5" x14ac:dyDescent="0.25">
      <c r="E9596"/>
    </row>
    <row r="9597" spans="5:5" x14ac:dyDescent="0.25">
      <c r="E9597"/>
    </row>
    <row r="9598" spans="5:5" x14ac:dyDescent="0.25">
      <c r="E9598"/>
    </row>
    <row r="9599" spans="5:5" x14ac:dyDescent="0.25">
      <c r="E9599"/>
    </row>
    <row r="9600" spans="5:5" x14ac:dyDescent="0.25">
      <c r="E9600"/>
    </row>
    <row r="9601" spans="5:5" x14ac:dyDescent="0.25">
      <c r="E9601"/>
    </row>
    <row r="9602" spans="5:5" x14ac:dyDescent="0.25">
      <c r="E9602"/>
    </row>
    <row r="9603" spans="5:5" x14ac:dyDescent="0.25">
      <c r="E9603"/>
    </row>
    <row r="9604" spans="5:5" x14ac:dyDescent="0.25">
      <c r="E9604"/>
    </row>
    <row r="9605" spans="5:5" x14ac:dyDescent="0.25">
      <c r="E9605"/>
    </row>
    <row r="9606" spans="5:5" x14ac:dyDescent="0.25">
      <c r="E9606"/>
    </row>
    <row r="9607" spans="5:5" x14ac:dyDescent="0.25">
      <c r="E9607"/>
    </row>
    <row r="9608" spans="5:5" x14ac:dyDescent="0.25">
      <c r="E9608"/>
    </row>
    <row r="9609" spans="5:5" x14ac:dyDescent="0.25">
      <c r="E9609"/>
    </row>
    <row r="9610" spans="5:5" x14ac:dyDescent="0.25">
      <c r="E9610"/>
    </row>
    <row r="9611" spans="5:5" x14ac:dyDescent="0.25">
      <c r="E9611"/>
    </row>
    <row r="9612" spans="5:5" x14ac:dyDescent="0.25">
      <c r="E9612"/>
    </row>
    <row r="9613" spans="5:5" x14ac:dyDescent="0.25">
      <c r="E9613"/>
    </row>
    <row r="9614" spans="5:5" x14ac:dyDescent="0.25">
      <c r="E9614"/>
    </row>
    <row r="9615" spans="5:5" x14ac:dyDescent="0.25">
      <c r="E9615"/>
    </row>
    <row r="9616" spans="5:5" x14ac:dyDescent="0.25">
      <c r="E9616"/>
    </row>
    <row r="9617" spans="5:5" x14ac:dyDescent="0.25">
      <c r="E9617"/>
    </row>
    <row r="9618" spans="5:5" x14ac:dyDescent="0.25">
      <c r="E9618"/>
    </row>
    <row r="9619" spans="5:5" x14ac:dyDescent="0.25">
      <c r="E9619"/>
    </row>
    <row r="9620" spans="5:5" x14ac:dyDescent="0.25">
      <c r="E9620"/>
    </row>
    <row r="9621" spans="5:5" x14ac:dyDescent="0.25">
      <c r="E9621"/>
    </row>
    <row r="9622" spans="5:5" x14ac:dyDescent="0.25">
      <c r="E9622"/>
    </row>
    <row r="9623" spans="5:5" x14ac:dyDescent="0.25">
      <c r="E9623"/>
    </row>
    <row r="9624" spans="5:5" x14ac:dyDescent="0.25">
      <c r="E9624"/>
    </row>
    <row r="9625" spans="5:5" x14ac:dyDescent="0.25">
      <c r="E9625"/>
    </row>
    <row r="9626" spans="5:5" x14ac:dyDescent="0.25">
      <c r="E9626"/>
    </row>
    <row r="9627" spans="5:5" x14ac:dyDescent="0.25">
      <c r="E9627"/>
    </row>
    <row r="9628" spans="5:5" x14ac:dyDescent="0.25">
      <c r="E9628"/>
    </row>
    <row r="9629" spans="5:5" x14ac:dyDescent="0.25">
      <c r="E9629"/>
    </row>
    <row r="9630" spans="5:5" x14ac:dyDescent="0.25">
      <c r="E9630"/>
    </row>
    <row r="9631" spans="5:5" x14ac:dyDescent="0.25">
      <c r="E9631"/>
    </row>
    <row r="9632" spans="5:5" x14ac:dyDescent="0.25">
      <c r="E9632"/>
    </row>
    <row r="9633" spans="5:5" x14ac:dyDescent="0.25">
      <c r="E9633"/>
    </row>
    <row r="9634" spans="5:5" x14ac:dyDescent="0.25">
      <c r="E9634"/>
    </row>
    <row r="9635" spans="5:5" x14ac:dyDescent="0.25">
      <c r="E9635"/>
    </row>
    <row r="9636" spans="5:5" x14ac:dyDescent="0.25">
      <c r="E9636"/>
    </row>
    <row r="9637" spans="5:5" x14ac:dyDescent="0.25">
      <c r="E9637"/>
    </row>
    <row r="9638" spans="5:5" x14ac:dyDescent="0.25">
      <c r="E9638"/>
    </row>
    <row r="9639" spans="5:5" x14ac:dyDescent="0.25">
      <c r="E9639"/>
    </row>
    <row r="9640" spans="5:5" x14ac:dyDescent="0.25">
      <c r="E9640"/>
    </row>
    <row r="9641" spans="5:5" x14ac:dyDescent="0.25">
      <c r="E9641"/>
    </row>
    <row r="9642" spans="5:5" x14ac:dyDescent="0.25">
      <c r="E9642"/>
    </row>
    <row r="9643" spans="5:5" x14ac:dyDescent="0.25">
      <c r="E9643"/>
    </row>
    <row r="9644" spans="5:5" x14ac:dyDescent="0.25">
      <c r="E9644"/>
    </row>
    <row r="9645" spans="5:5" x14ac:dyDescent="0.25">
      <c r="E9645"/>
    </row>
    <row r="9646" spans="5:5" x14ac:dyDescent="0.25">
      <c r="E9646"/>
    </row>
    <row r="9647" spans="5:5" x14ac:dyDescent="0.25">
      <c r="E9647"/>
    </row>
    <row r="9648" spans="5:5" x14ac:dyDescent="0.25">
      <c r="E9648"/>
    </row>
    <row r="9649" spans="5:5" x14ac:dyDescent="0.25">
      <c r="E9649"/>
    </row>
    <row r="9650" spans="5:5" x14ac:dyDescent="0.25">
      <c r="E9650"/>
    </row>
    <row r="9651" spans="5:5" x14ac:dyDescent="0.25">
      <c r="E9651"/>
    </row>
    <row r="9652" spans="5:5" x14ac:dyDescent="0.25">
      <c r="E9652"/>
    </row>
    <row r="9653" spans="5:5" x14ac:dyDescent="0.25">
      <c r="E9653"/>
    </row>
    <row r="9654" spans="5:5" x14ac:dyDescent="0.25">
      <c r="E9654"/>
    </row>
    <row r="9655" spans="5:5" x14ac:dyDescent="0.25">
      <c r="E9655"/>
    </row>
    <row r="9656" spans="5:5" x14ac:dyDescent="0.25">
      <c r="E9656"/>
    </row>
    <row r="9657" spans="5:5" x14ac:dyDescent="0.25">
      <c r="E9657"/>
    </row>
    <row r="9658" spans="5:5" x14ac:dyDescent="0.25">
      <c r="E9658"/>
    </row>
    <row r="9659" spans="5:5" x14ac:dyDescent="0.25">
      <c r="E9659"/>
    </row>
    <row r="9660" spans="5:5" x14ac:dyDescent="0.25">
      <c r="E9660"/>
    </row>
    <row r="9661" spans="5:5" x14ac:dyDescent="0.25">
      <c r="E9661"/>
    </row>
    <row r="9662" spans="5:5" x14ac:dyDescent="0.25">
      <c r="E9662"/>
    </row>
    <row r="9663" spans="5:5" x14ac:dyDescent="0.25">
      <c r="E9663"/>
    </row>
    <row r="9664" spans="5:5" x14ac:dyDescent="0.25">
      <c r="E9664"/>
    </row>
    <row r="9665" spans="5:5" x14ac:dyDescent="0.25">
      <c r="E9665"/>
    </row>
    <row r="9666" spans="5:5" x14ac:dyDescent="0.25">
      <c r="E9666"/>
    </row>
    <row r="9667" spans="5:5" x14ac:dyDescent="0.25">
      <c r="E9667"/>
    </row>
    <row r="9668" spans="5:5" x14ac:dyDescent="0.25">
      <c r="E9668"/>
    </row>
    <row r="9669" spans="5:5" x14ac:dyDescent="0.25">
      <c r="E9669"/>
    </row>
    <row r="9670" spans="5:5" x14ac:dyDescent="0.25">
      <c r="E9670"/>
    </row>
    <row r="9671" spans="5:5" x14ac:dyDescent="0.25">
      <c r="E9671"/>
    </row>
    <row r="9672" spans="5:5" x14ac:dyDescent="0.25">
      <c r="E9672"/>
    </row>
    <row r="9673" spans="5:5" x14ac:dyDescent="0.25">
      <c r="E9673"/>
    </row>
    <row r="9674" spans="5:5" x14ac:dyDescent="0.25">
      <c r="E9674"/>
    </row>
    <row r="9675" spans="5:5" x14ac:dyDescent="0.25">
      <c r="E9675"/>
    </row>
    <row r="9676" spans="5:5" x14ac:dyDescent="0.25">
      <c r="E9676"/>
    </row>
    <row r="9677" spans="5:5" x14ac:dyDescent="0.25">
      <c r="E9677"/>
    </row>
    <row r="9678" spans="5:5" x14ac:dyDescent="0.25">
      <c r="E9678"/>
    </row>
    <row r="9679" spans="5:5" x14ac:dyDescent="0.25">
      <c r="E9679"/>
    </row>
    <row r="9680" spans="5:5" x14ac:dyDescent="0.25">
      <c r="E9680"/>
    </row>
    <row r="9681" spans="5:5" x14ac:dyDescent="0.25">
      <c r="E9681"/>
    </row>
    <row r="9682" spans="5:5" x14ac:dyDescent="0.25">
      <c r="E9682"/>
    </row>
    <row r="9683" spans="5:5" x14ac:dyDescent="0.25">
      <c r="E9683"/>
    </row>
    <row r="9684" spans="5:5" x14ac:dyDescent="0.25">
      <c r="E9684"/>
    </row>
    <row r="9685" spans="5:5" x14ac:dyDescent="0.25">
      <c r="E9685"/>
    </row>
    <row r="9686" spans="5:5" x14ac:dyDescent="0.25">
      <c r="E9686"/>
    </row>
    <row r="9687" spans="5:5" x14ac:dyDescent="0.25">
      <c r="E9687"/>
    </row>
    <row r="9688" spans="5:5" x14ac:dyDescent="0.25">
      <c r="E9688"/>
    </row>
    <row r="9689" spans="5:5" x14ac:dyDescent="0.25">
      <c r="E9689"/>
    </row>
    <row r="9690" spans="5:5" x14ac:dyDescent="0.25">
      <c r="E9690"/>
    </row>
    <row r="9691" spans="5:5" x14ac:dyDescent="0.25">
      <c r="E9691"/>
    </row>
    <row r="9692" spans="5:5" x14ac:dyDescent="0.25">
      <c r="E9692"/>
    </row>
    <row r="9693" spans="5:5" x14ac:dyDescent="0.25">
      <c r="E9693"/>
    </row>
    <row r="9694" spans="5:5" x14ac:dyDescent="0.25">
      <c r="E9694"/>
    </row>
    <row r="9695" spans="5:5" x14ac:dyDescent="0.25">
      <c r="E9695"/>
    </row>
    <row r="9696" spans="5:5" x14ac:dyDescent="0.25">
      <c r="E9696"/>
    </row>
    <row r="9697" spans="5:5" x14ac:dyDescent="0.25">
      <c r="E9697"/>
    </row>
    <row r="9698" spans="5:5" x14ac:dyDescent="0.25">
      <c r="E9698"/>
    </row>
    <row r="9699" spans="5:5" x14ac:dyDescent="0.25">
      <c r="E9699"/>
    </row>
    <row r="9700" spans="5:5" x14ac:dyDescent="0.25">
      <c r="E9700"/>
    </row>
  </sheetData>
  <conditionalFormatting sqref="G1:G1048576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{22DF76E9-9250-43B0-81FC-BCCE46A2A08C}</x14:id>
        </ext>
      </extLst>
    </cfRule>
    <cfRule type="cellIs" dxfId="8" priority="53" operator="greaterThan">
      <formula>2.5</formula>
    </cfRule>
    <cfRule type="cellIs" dxfId="7" priority="54" stopIfTrue="1" operator="greaterThan">
      <formula>2.5</formula>
    </cfRule>
  </conditionalFormatting>
  <conditionalFormatting sqref="E1:E1048576">
    <cfRule type="cellIs" dxfId="6" priority="38" operator="greaterThan">
      <formula>7</formula>
    </cfRule>
  </conditionalFormatting>
  <conditionalFormatting sqref="E1:E1201">
    <cfRule type="cellIs" dxfId="5" priority="35" operator="between">
      <formula>5.5</formula>
      <formula>7</formula>
    </cfRule>
    <cfRule type="cellIs" dxfId="4" priority="36" operator="lessThan">
      <formula>5</formula>
    </cfRule>
  </conditionalFormatting>
  <conditionalFormatting sqref="G1:G1201">
    <cfRule type="cellIs" dxfId="3" priority="34" operator="lessThan">
      <formula>2.5</formula>
    </cfRule>
  </conditionalFormatting>
  <conditionalFormatting sqref="I1:I1048576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F1:F1048576">
    <cfRule type="aboveAverage" dxfId="2" priority="20"/>
  </conditionalFormatting>
  <conditionalFormatting sqref="H1:H104857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max"/>
        <color rgb="FFFCFCFF"/>
        <color rgb="FFF8696B"/>
      </colorScale>
    </cfRule>
  </conditionalFormatting>
  <conditionalFormatting sqref="J1:J1048576">
    <cfRule type="iconSet" priority="15">
      <iconSet iconSet="3Flags">
        <cfvo type="percent" val="0"/>
        <cfvo type="percent" val="33"/>
        <cfvo type="percent" val="67"/>
      </iconSet>
    </cfRule>
  </conditionalFormatting>
  <conditionalFormatting sqref="A1:A1048576">
    <cfRule type="top10" dxfId="1" priority="9" percent="1" bottom="1" rank="10"/>
    <cfRule type="top10" dxfId="0" priority="10" percent="1" rank="10"/>
  </conditionalFormatting>
  <conditionalFormatting sqref="C1:C120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{E636BFCD-D32B-4E7C-AFEB-AE5AA220DAB3}</x14:id>
        </ext>
      </extLst>
    </cfRule>
  </conditionalFormatting>
  <conditionalFormatting sqref="K1:K1201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L1:L1201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C1:C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{2F31F75D-501D-46CD-A416-8B7DE17E8CEC}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DF76E9-9250-43B0-81FC-BCCE46A2A0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E636BFCD-D32B-4E7C-AFEB-AE5AA220DA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C1:C1201</xm:sqref>
        </x14:conditionalFormatting>
        <x14:conditionalFormatting xmlns:xm="http://schemas.microsoft.com/office/excel/2006/main">
          <x14:cfRule type="dataBar" id="{2F31F75D-501D-46CD-A416-8B7DE17E8C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Teen_Mental_Health_Dataset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2026-06-04T07:22:26Z</dcterms:created>
  <dcterms:modified xsi:type="dcterms:W3CDTF">2026-06-04T11:27:19Z</dcterms:modified>
</cp:coreProperties>
</file>