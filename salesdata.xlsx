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DA946F75-E2C4-492D-8DDF-E7B46C06C5A7}" xr6:coauthVersionLast="47" xr6:coauthVersionMax="47" xr10:uidLastSave="{00000000-0000-0000-0000-000000000000}"/>
  <bookViews>
    <workbookView xWindow="-120" yWindow="-120" windowWidth="29040" windowHeight="15720" xr2:uid="{A8E1E8F2-838F-468E-955E-F9460F4754B5}"/>
  </bookViews>
  <sheets>
    <sheet name="Sheet1" sheetId="1" r:id="rId1"/>
  </sheets>
  <definedNames>
    <definedName name="_xlchart.v1.0" hidden="1">Sheet1!$A$2:$A$6</definedName>
    <definedName name="_xlchart.v1.1" hidden="1">Sheet1!$B$1</definedName>
    <definedName name="_xlchart.v1.2" hidden="1">Sheet1!$B$2:$B$6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L3" i="1"/>
  <c r="K3" i="1"/>
  <c r="J4" i="1"/>
  <c r="I4" i="1"/>
  <c r="H4" i="1"/>
  <c r="G4" i="1"/>
  <c r="F4" i="1"/>
  <c r="E4" i="1"/>
</calcChain>
</file>

<file path=xl/sharedStrings.xml><?xml version="1.0" encoding="utf-8"?>
<sst xmlns="http://schemas.openxmlformats.org/spreadsheetml/2006/main" count="72" uniqueCount="58">
  <si>
    <t>Product</t>
  </si>
  <si>
    <t>Product_Count</t>
  </si>
  <si>
    <t>Sold</t>
  </si>
  <si>
    <t>book</t>
  </si>
  <si>
    <t>mean</t>
  </si>
  <si>
    <t>Column1</t>
  </si>
  <si>
    <t>Median</t>
  </si>
  <si>
    <t>Column2</t>
  </si>
  <si>
    <t>mode</t>
  </si>
  <si>
    <t>Column3</t>
  </si>
  <si>
    <t>Range of Product_Count</t>
  </si>
  <si>
    <t>std</t>
  </si>
  <si>
    <t>Correlation</t>
  </si>
  <si>
    <t>pen</t>
  </si>
  <si>
    <t>pencil</t>
  </si>
  <si>
    <t>eraser</t>
  </si>
  <si>
    <t>sharpener</t>
  </si>
  <si>
    <t>Mean</t>
  </si>
  <si>
    <t>Standard Error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</si>
  <si>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</si>
  <si>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</si>
  <si>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</si>
  <si>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</si>
  <si>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</si>
  <si>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</si>
  <si>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</si>
  <si>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</si>
  <si>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</si>
  <si>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</si>
  <si>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</si>
  <si>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</si>
  <si>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</si>
  <si>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</si>
  <si>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</si>
  <si>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</si>
  <si>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</si>
  <si>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</si>
  <si>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</si>
  <si>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</si>
  <si>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</si>
  <si>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</si>
  <si>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</si>
  <si>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</si>
  <si>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</si>
  <si>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</si>
  <si>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</si>
  <si>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</si>
  <si>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</si>
  <si>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</si>
  <si>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</si>
  <si>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</si>
  <si>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</si>
  <si>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Column4</t>
  </si>
  <si>
    <t>Column5</t>
  </si>
  <si>
    <t>Column6</t>
  </si>
  <si>
    <t>Column7</t>
  </si>
  <si>
    <t>Column8</t>
  </si>
  <si>
    <t>Column9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</si>
</sst>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1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25"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Continuous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Number</a:t>
            </a:r>
            <a:r>
              <a:rPr lang="en-IN" baseline="0"/>
              <a:t> of products and sold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535870516185476E-2"/>
          <c:y val="0.16652777777777777"/>
          <c:w val="0.84045384951881019"/>
          <c:h val="0.59276210265383489"/>
        </c:manualLayout>
      </c:layout>
      <c:area3D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Product_Count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  <a:sp3d/>
          </c:spPr>
          <c:cat>
            <c:strRef>
              <c:f>Sheet1!$A$2:$A$6</c:f>
              <c:strCache>
                <c:ptCount val="5"/>
                <c:pt idx="0">
                  <c:v>book</c:v>
                </c:pt>
                <c:pt idx="1">
                  <c:v>pen</c:v>
                </c:pt>
                <c:pt idx="2">
                  <c:v>pencil</c:v>
                </c:pt>
                <c:pt idx="3">
                  <c:v>eraser</c:v>
                </c:pt>
                <c:pt idx="4">
                  <c:v>sharpener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2-4A7E-804D-B6A690EBD54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Sold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  <a:sp3d/>
          </c:spPr>
          <c:cat>
            <c:strRef>
              <c:f>Sheet1!$A$2:$A$6</c:f>
              <c:strCache>
                <c:ptCount val="5"/>
                <c:pt idx="0">
                  <c:v>book</c:v>
                </c:pt>
                <c:pt idx="1">
                  <c:v>pen</c:v>
                </c:pt>
                <c:pt idx="2">
                  <c:v>pencil</c:v>
                </c:pt>
                <c:pt idx="3">
                  <c:v>eraser</c:v>
                </c:pt>
                <c:pt idx="4">
                  <c:v>sharpener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10</c:v>
                </c:pt>
                <c:pt idx="3">
                  <c:v>3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82-4A7E-804D-B6A690EBD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613392"/>
        <c:axId val="662607632"/>
        <c:axId val="0"/>
      </c:area3DChart>
      <c:catAx>
        <c:axId val="66261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607632"/>
        <c:crosses val="autoZero"/>
        <c:auto val="1"/>
        <c:lblAlgn val="ctr"/>
        <c:lblOffset val="100"/>
        <c:noMultiLvlLbl val="0"/>
      </c:catAx>
      <c:valAx>
        <c:axId val="66260763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613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Product_Count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CE1-40B7-8B49-4B486E5344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CE1-40B7-8B49-4B486E5344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CE1-40B7-8B49-4B486E5344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CE1-40B7-8B49-4B486E5344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CE1-40B7-8B49-4B486E53440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Sheet1!$B$2:$B$6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C-4AB8-B22B-387F66F9338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CE1-40B7-8B49-4B486E5344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CE1-40B7-8B49-4B486E5344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CE1-40B7-8B49-4B486E5344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CE1-40B7-8B49-4B486E5344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0CE1-40B7-8B49-4B486E53440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Sheet1!$C$2:$C$6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10</c:v>
                </c:pt>
                <c:pt idx="3">
                  <c:v>3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EC-4AB8-B22B-387F66F9338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Sold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Calibri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Sheet1!$B$2:$B$6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  <c:pt idx="4">
                  <c:v>8</c:v>
                </c:pt>
              </c:numCache>
            </c:numRef>
          </c:xVal>
          <c:yVal>
            <c:numRef>
              <c:f>Sheet1!$C$2:$C$6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10</c:v>
                </c:pt>
                <c:pt idx="3">
                  <c:v>3</c:v>
                </c:pt>
                <c:pt idx="4">
                  <c:v>6</c:v>
                </c:pt>
              </c:numCache>
            </c:numRef>
          </c:yVal>
          <c:bubbleSize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00-D10B-48E0-B2A8-72A56C0DC510}"/>
            </c:ext>
          </c:extLst>
        </c:ser>
        <c:dLbls>
          <c:dLblPos val="r"/>
          <c:showLegendKey val="0"/>
          <c:showVal val="1"/>
          <c:showCatName val="1"/>
          <c:showSerName val="0"/>
          <c:showPercent val="0"/>
          <c:showBubbleSize val="0"/>
        </c:dLbls>
        <c:bubbleScale val="100"/>
        <c:showNegBubbles val="0"/>
        <c:axId val="662602832"/>
        <c:axId val="662603312"/>
      </c:bubbleChart>
      <c:valAx>
        <c:axId val="6626028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603312"/>
        <c:crosses val="autoZero"/>
        <c:crossBetween val="midCat"/>
      </c:valAx>
      <c:valAx>
        <c:axId val="6626033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602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Range of products</a:t>
          </a:r>
        </a:p>
      </cx:txPr>
    </cx:title>
    <cx:plotArea>
      <cx:plotAreaRegion>
        <cx:series layoutId="sunburst" uniqueId="{C6701E8D-1A80-45F9-B5BB-AACC38842617}">
          <cx:tx>
            <cx:txData>
              <cx:f>_xlchart.v1.1</cx:f>
              <cx:v>Product_Count</cx:v>
            </cx:txData>
          </cx:tx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0"/>
          </cx:dataLabels>
          <cx:dataId val="0"/>
        </cx:series>
      </cx:plotAreaRegion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 w="6350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6350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72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>
      <a:latin typeface="Calibri"/>
    </cs:defRPr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6</xdr:row>
      <xdr:rowOff>34290</xdr:rowOff>
    </xdr:from>
    <xdr:to>
      <xdr:col>6</xdr:col>
      <xdr:colOff>320040</xdr:colOff>
      <xdr:row>21</xdr:row>
      <xdr:rowOff>34290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CB27E36-C414-2533-1E76-1E95AB8A19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2420" y="1177290"/>
              <a:ext cx="5084445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34290</xdr:colOff>
      <xdr:row>22</xdr:row>
      <xdr:rowOff>11430</xdr:rowOff>
    </xdr:from>
    <xdr:to>
      <xdr:col>7</xdr:col>
      <xdr:colOff>217170</xdr:colOff>
      <xdr:row>37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755390-A946-9A52-B16B-F35BE26D7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379095</xdr:colOff>
      <xdr:row>21</xdr:row>
      <xdr:rowOff>106680</xdr:rowOff>
    </xdr:from>
    <xdr:to>
      <xdr:col>12</xdr:col>
      <xdr:colOff>781050</xdr:colOff>
      <xdr:row>36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8FBE5D-65CA-52C7-8635-DB14446CC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419100</xdr:colOff>
      <xdr:row>5</xdr:row>
      <xdr:rowOff>102870</xdr:rowOff>
    </xdr:from>
    <xdr:to>
      <xdr:col>11</xdr:col>
      <xdr:colOff>525780</xdr:colOff>
      <xdr:row>20</xdr:row>
      <xdr:rowOff>102870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321732-1CBE-E556-726E-F5890DD05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330722-71FC-4434-9484-42D5C1C5B879}" name="Table1" displayName="Table1" ref="A1:C6" totalsRowShown="0" headerRowCellStyle="Normal">
  <autoFilter ref="A1:C6" xr:uid="{CF330722-71FC-4434-9484-42D5C1C5B879}"/>
  <tableColumns count="3">
    <tableColumn id="1" xr3:uid="{DED4894E-1E0F-4D80-96E4-62F966BB5A00}" name="Product"/>
    <tableColumn id="2" xr3:uid="{77CEB0BC-13E2-4DCE-B37D-0ED5D9193D9F}" name="Product_Count" dataDxfId="24"/>
    <tableColumn id="3" xr3:uid="{79789BD2-356D-45C6-8FD1-8445E16D72E1}" name="Sold" dataDxfId="23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8D0C4D-39EF-4434-A98D-D100F7526657}" name="Table2" displayName="Table2" ref="E2:M4" totalsRowShown="0" dataDxfId="22">
  <autoFilter ref="E2:M4" xr:uid="{EE8D0C4D-39EF-4434-A98D-D100F7526657}"/>
  <tableColumns count="9">
    <tableColumn id="1" xr3:uid="{59F98FFE-2267-406C-9033-15C3C42A92E8}" name="mean" dataDxfId="21">
      <calculatedColumnFormula>AVERAGE(B1:B5)</calculatedColumnFormula>
    </tableColumn>
    <tableColumn id="2" xr3:uid="{84485BF2-CE04-4A18-BD28-26EF56E822F1}" name="Column1" dataDxfId="20">
      <calculatedColumnFormula>AVERAGE(C1:C5)</calculatedColumnFormula>
    </tableColumn>
    <tableColumn id="3" xr3:uid="{72FD5E0D-4F58-4D75-9B71-6DA50706D7D0}" name="Median" dataDxfId="19">
      <calculatedColumnFormula>MEDIAN(B1:B5)</calculatedColumnFormula>
    </tableColumn>
    <tableColumn id="4" xr3:uid="{11FFE377-FF29-4EF9-B756-17D956FE66AF}" name="Column2" dataDxfId="18">
      <calculatedColumnFormula>MEDIAN(C1:C5)</calculatedColumnFormula>
    </tableColumn>
    <tableColumn id="5" xr3:uid="{61B94556-90D5-4287-9C07-BA5A605C9B3F}" name="mode" dataDxfId="17">
      <calculatedColumnFormula>MODE(B1:B8)</calculatedColumnFormula>
    </tableColumn>
    <tableColumn id="6" xr3:uid="{4D760EAF-40E7-4E79-AF98-4E6F3C3D1C4B}" name="Column3" dataDxfId="16">
      <calculatedColumnFormula>MODE(C1:C5)</calculatedColumnFormula>
    </tableColumn>
    <tableColumn id="7" xr3:uid="{0A5D8650-026D-4C4A-800D-8FE6BC154316}" name="Range of Product_Count" dataDxfId="15"/>
    <tableColumn id="8" xr3:uid="{145906CD-A505-4725-82A1-4DF080409090}" name="std" dataDxfId="14"/>
    <tableColumn id="9" xr3:uid="{EFD81B16-30B5-4563-92F6-0D0593E5D1BC}" name="Correlation" dataDxfId="13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853BB3-5DB4-4942-815B-4CC1CB5279A6}" name="Table3" displayName="Table3" ref="O1:P16" totalsRowShown="0" headerRowDxfId="7" dataDxfId="8" headerRowBorderDxfId="11" tableBorderDxfId="12">
  <autoFilter ref="O1:P16" xr:uid="{CF853BB3-5DB4-4942-815B-4CC1CB5279A6}"/>
  <tableColumns count="2">
    <tableColumn id="1" xr3:uid="{C49F9268-E12B-489D-B65A-F3F85C65563F}" name="Column1" dataDxfId="10"/>
    <tableColumn id="2" xr3:uid="{72317224-799E-4954-8BAB-FF8A7FDAFD19}" name="Column2" dataDxfId="9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988875-BFA7-4354-8EC6-5344C1F956FD}" name="Table4" displayName="Table4" ref="O18:W36" totalsRowShown="0" tableBorderDxfId="6">
  <autoFilter ref="O18:W36" xr:uid="{08988875-BFA7-4354-8EC6-5344C1F956FD}"/>
  <tableColumns count="9">
    <tableColumn id="1" xr3:uid="{2B4C4266-F2C2-480C-86DA-34746AA387D9}" name="Column1" dataDxfId="5"/>
    <tableColumn id="2" xr3:uid="{65DC7556-DCFF-45BB-9EDD-BBD8B60AE1E0}" name="Column2" dataDxfId="4"/>
    <tableColumn id="3" xr3:uid="{CF93AE22-95EA-414F-91A2-06368F22143A}" name="Column3" dataDxfId="3"/>
    <tableColumn id="4" xr3:uid="{B4CBCC8E-EF81-4772-AEE0-11A878057664}" name="Column4" dataDxfId="2"/>
    <tableColumn id="5" xr3:uid="{E261DB34-30BB-4803-B53D-E0434948BCB5}" name="Column5" dataDxfId="1"/>
    <tableColumn id="6" xr3:uid="{61F39B0E-BA76-4407-B224-830BD82FF822}" name="Column6" dataDxfId="0"/>
    <tableColumn id="7" xr3:uid="{B1CDEAE0-45BF-40F1-816F-1CC36F3F287E}" name="Column7"/>
    <tableColumn id="8" xr3:uid="{80D55E69-F011-4C68-B712-F6FEB7C5AFA0}" name="Column8"/>
    <tableColumn id="9" xr3:uid="{FA0B5290-7BA4-410B-B11B-E00D308750FF}" name="Column9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0BC6B-40C8-49D5-9A48-ECBB47E006BA}">
  <dimension ref="A1:W36"/>
  <sheetViews>
    <sheetView tabSelected="1" topLeftCell="B1" workbookViewId="0">
      <selection activeCell="N25" sqref="N25"/>
    </sheetView>
  </sheetViews>
  <sheetFormatPr defaultRowHeight="15" x14ac:dyDescent="0.25"/>
  <cols>
    <col min="1" max="1" width="11.42578125" customWidth="1"/>
    <col min="2" max="2" width="19.5703125" customWidth="1"/>
    <col min="5" max="5" width="14.5703125" customWidth="1"/>
    <col min="6" max="6" width="12.28515625" customWidth="1"/>
    <col min="7" max="7" width="13.5703125" customWidth="1"/>
    <col min="8" max="8" width="12.7109375" customWidth="1"/>
    <col min="9" max="9" width="12.140625" customWidth="1"/>
    <col min="10" max="10" width="11.5703125" customWidth="1"/>
    <col min="11" max="11" width="24.140625" customWidth="1"/>
    <col min="13" max="13" width="13.42578125" customWidth="1"/>
    <col min="15" max="16" width="11.7109375" customWidth="1"/>
    <col min="17" max="23" width="11" customWidth="1"/>
  </cols>
  <sheetData>
    <row r="1" spans="1:16" ht="15.75" thickBot="1" x14ac:dyDescent="0.3">
      <c r="A1" t="s">
        <v>0</v>
      </c>
      <c r="B1" t="s">
        <v>1</v>
      </c>
      <c r="C1" t="s">
        <v>2</v>
      </c>
      <c r="O1" s="6" t="s">
        <v>5</v>
      </c>
      <c r="P1" s="6" t="s">
        <v>7</v>
      </c>
    </row>
    <row r="2" spans="1:16" x14ac:dyDescent="0.25">
      <c r="A2" t="s">
        <v>3</v>
      </c>
      <c r="B2" s="1">
        <v>10</v>
      </c>
      <c r="C2" s="1">
        <v>5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O2" s="5">
        <v>10</v>
      </c>
      <c r="P2" s="5"/>
    </row>
    <row r="3" spans="1:16" x14ac:dyDescent="0.25">
      <c r="A3" t="s">
        <v>13</v>
      </c>
      <c r="B3" s="1">
        <v>20</v>
      </c>
      <c r="C3" s="1">
        <v>15</v>
      </c>
      <c r="E3" s="1" t="s">
        <v>1</v>
      </c>
      <c r="F3" s="1" t="s">
        <v>2</v>
      </c>
      <c r="G3" s="1" t="s">
        <v>1</v>
      </c>
      <c r="H3" s="1" t="s">
        <v>2</v>
      </c>
      <c r="I3" s="1" t="s">
        <v>1</v>
      </c>
      <c r="J3" s="1" t="s">
        <v>2</v>
      </c>
      <c r="K3" s="1">
        <f>MAX(B2:B6)-MIN(B2:B6)</f>
        <v>15</v>
      </c>
      <c r="L3" s="1">
        <f>_xlfn.STDEV.S(B2:B6)</f>
        <v>5.9413803110051804</v>
      </c>
      <c r="M3" s="1">
        <f>CORREL(B2:B6,C2:C6)</f>
        <v>0.97677571699589771</v>
      </c>
      <c r="O3" s="2"/>
      <c r="P3" s="2"/>
    </row>
    <row r="4" spans="1:16" x14ac:dyDescent="0.25">
      <c r="A4" t="s">
        <v>14</v>
      </c>
      <c r="B4" s="1">
        <v>15</v>
      </c>
      <c r="C4" s="1">
        <v>10</v>
      </c>
      <c r="E4" s="1">
        <f>AVERAGE(B2:B6)</f>
        <v>11.6</v>
      </c>
      <c r="F4" s="1">
        <f>AVERAGE(C2:C6)</f>
        <v>7.8</v>
      </c>
      <c r="G4" s="1">
        <f>MEDIAN(B2:B6)</f>
        <v>10</v>
      </c>
      <c r="H4" s="1">
        <f>MEDIAN(C2:C6)</f>
        <v>6</v>
      </c>
      <c r="I4" s="1" t="e">
        <f>MODE(B2:B9)</f>
        <v>#N/A</v>
      </c>
      <c r="J4" s="1" t="e">
        <f>MODE(C2:C6)</f>
        <v>#N/A</v>
      </c>
      <c r="K4" s="1"/>
      <c r="L4" s="1"/>
      <c r="M4" s="1"/>
      <c r="O4" s="2" t="s">
        <v>17</v>
      </c>
      <c r="P4" s="2">
        <v>12</v>
      </c>
    </row>
    <row r="5" spans="1:16" x14ac:dyDescent="0.25">
      <c r="A5" t="s">
        <v>15</v>
      </c>
      <c r="B5" s="1">
        <v>5</v>
      </c>
      <c r="C5" s="1">
        <v>3</v>
      </c>
      <c r="O5" s="2" t="s">
        <v>18</v>
      </c>
      <c r="P5" s="2">
        <v>3.3911649915626341</v>
      </c>
    </row>
    <row r="6" spans="1:16" x14ac:dyDescent="0.25">
      <c r="A6" t="s">
        <v>16</v>
      </c>
      <c r="B6" s="1">
        <v>8</v>
      </c>
      <c r="C6" s="1">
        <v>6</v>
      </c>
      <c r="O6" s="2" t="s">
        <v>6</v>
      </c>
      <c r="P6" s="2">
        <v>11.5</v>
      </c>
    </row>
    <row r="7" spans="1:16" x14ac:dyDescent="0.25">
      <c r="O7" s="2" t="s">
        <v>19</v>
      </c>
      <c r="P7" s="2" t="e">
        <v>#N/A</v>
      </c>
    </row>
    <row r="8" spans="1:16" x14ac:dyDescent="0.25">
      <c r="O8" s="2" t="s">
        <v>20</v>
      </c>
      <c r="P8" s="2">
        <v>6.7823299831252681</v>
      </c>
    </row>
    <row r="9" spans="1:16" x14ac:dyDescent="0.25">
      <c r="O9" s="2" t="s">
        <v>21</v>
      </c>
      <c r="P9" s="2">
        <v>46</v>
      </c>
    </row>
    <row r="10" spans="1:16" x14ac:dyDescent="0.25">
      <c r="O10" s="2" t="s">
        <v>22</v>
      </c>
      <c r="P10" s="2">
        <v>-2.7344045368620069</v>
      </c>
    </row>
    <row r="11" spans="1:16" x14ac:dyDescent="0.25">
      <c r="O11" s="2" t="s">
        <v>23</v>
      </c>
      <c r="P11" s="2">
        <v>0.28206287264415109</v>
      </c>
    </row>
    <row r="12" spans="1:16" x14ac:dyDescent="0.25">
      <c r="O12" s="2" t="s">
        <v>24</v>
      </c>
      <c r="P12" s="2">
        <v>15</v>
      </c>
    </row>
    <row r="13" spans="1:16" x14ac:dyDescent="0.25">
      <c r="O13" s="2" t="s">
        <v>25</v>
      </c>
      <c r="P13" s="2">
        <v>5</v>
      </c>
    </row>
    <row r="14" spans="1:16" x14ac:dyDescent="0.25">
      <c r="O14" s="2" t="s">
        <v>26</v>
      </c>
      <c r="P14" s="2">
        <v>20</v>
      </c>
    </row>
    <row r="15" spans="1:16" x14ac:dyDescent="0.25">
      <c r="O15" s="2" t="s">
        <v>27</v>
      </c>
      <c r="P15" s="2">
        <v>48</v>
      </c>
    </row>
    <row r="16" spans="1:16" x14ac:dyDescent="0.25">
      <c r="O16" s="2" t="s">
        <v>28</v>
      </c>
      <c r="P16" s="2">
        <v>4</v>
      </c>
    </row>
    <row r="18" spans="15:23" x14ac:dyDescent="0.25">
      <c r="O18" t="s">
        <v>5</v>
      </c>
      <c r="P18" t="s">
        <v>7</v>
      </c>
      <c r="Q18" t="s">
        <v>9</v>
      </c>
      <c r="R18" t="s">
        <v>52</v>
      </c>
      <c r="S18" t="s">
        <v>53</v>
      </c>
      <c r="T18" t="s">
        <v>54</v>
      </c>
      <c r="U18" t="s">
        <v>55</v>
      </c>
      <c r="V18" t="s">
        <v>56</v>
      </c>
      <c r="W18" t="s">
        <v>57</v>
      </c>
    </row>
    <row r="19" spans="15:23" x14ac:dyDescent="0.25">
      <c r="O19" t="s">
        <v>29</v>
      </c>
    </row>
    <row r="20" spans="15:23" ht="15.75" thickBot="1" x14ac:dyDescent="0.3"/>
    <row r="21" spans="15:23" x14ac:dyDescent="0.25">
      <c r="O21" s="5" t="s">
        <v>30</v>
      </c>
      <c r="P21" s="5"/>
    </row>
    <row r="22" spans="15:23" x14ac:dyDescent="0.25">
      <c r="O22" s="2" t="s">
        <v>31</v>
      </c>
      <c r="P22" s="2">
        <v>0.99313261921854001</v>
      </c>
    </row>
    <row r="23" spans="15:23" x14ac:dyDescent="0.25">
      <c r="O23" s="2" t="s">
        <v>32</v>
      </c>
      <c r="P23" s="2">
        <v>0.98631239935587767</v>
      </c>
    </row>
    <row r="24" spans="15:23" x14ac:dyDescent="0.25">
      <c r="O24" s="2" t="s">
        <v>33</v>
      </c>
      <c r="P24" s="2">
        <v>0.97946859903381656</v>
      </c>
    </row>
    <row r="25" spans="15:23" x14ac:dyDescent="0.25">
      <c r="O25" s="2" t="s">
        <v>18</v>
      </c>
      <c r="P25" s="2">
        <v>0.74454538215407451</v>
      </c>
    </row>
    <row r="26" spans="15:23" ht="15.75" thickBot="1" x14ac:dyDescent="0.3">
      <c r="O26" s="3" t="s">
        <v>34</v>
      </c>
      <c r="P26" s="3">
        <v>4</v>
      </c>
    </row>
    <row r="28" spans="15:23" ht="15.75" thickBot="1" x14ac:dyDescent="0.3">
      <c r="O28" t="s">
        <v>35</v>
      </c>
    </row>
    <row r="29" spans="15:23" x14ac:dyDescent="0.25">
      <c r="O29" s="4"/>
      <c r="P29" s="4" t="s">
        <v>40</v>
      </c>
      <c r="Q29" s="4" t="s">
        <v>41</v>
      </c>
      <c r="R29" s="4" t="s">
        <v>42</v>
      </c>
      <c r="S29" s="4" t="s">
        <v>43</v>
      </c>
      <c r="T29" s="4" t="s">
        <v>44</v>
      </c>
    </row>
    <row r="30" spans="15:23" x14ac:dyDescent="0.25">
      <c r="O30" s="2" t="s">
        <v>36</v>
      </c>
      <c r="P30" s="2">
        <v>1</v>
      </c>
      <c r="Q30" s="2">
        <v>79.891304347826093</v>
      </c>
      <c r="R30" s="2">
        <v>79.891304347826093</v>
      </c>
      <c r="S30" s="2">
        <v>144.11764705882345</v>
      </c>
      <c r="T30" s="2">
        <v>6.8673807814599776E-3</v>
      </c>
    </row>
    <row r="31" spans="15:23" x14ac:dyDescent="0.25">
      <c r="O31" s="2" t="s">
        <v>37</v>
      </c>
      <c r="P31" s="2">
        <v>2</v>
      </c>
      <c r="Q31" s="2">
        <v>1.1086956521739137</v>
      </c>
      <c r="R31" s="2">
        <v>0.55434782608695687</v>
      </c>
      <c r="S31" s="2"/>
      <c r="T31" s="2"/>
    </row>
    <row r="32" spans="15:23" ht="15.75" thickBot="1" x14ac:dyDescent="0.3">
      <c r="O32" s="3" t="s">
        <v>38</v>
      </c>
      <c r="P32" s="3">
        <v>3</v>
      </c>
      <c r="Q32" s="3">
        <v>81</v>
      </c>
      <c r="R32" s="3"/>
      <c r="S32" s="3"/>
      <c r="T32" s="3"/>
    </row>
    <row r="33" spans="15:23" ht="15.75" thickBot="1" x14ac:dyDescent="0.3"/>
    <row r="34" spans="15:23" x14ac:dyDescent="0.25">
      <c r="O34" s="4"/>
      <c r="P34" s="4" t="s">
        <v>45</v>
      </c>
      <c r="Q34" s="4" t="s">
        <v>18</v>
      </c>
      <c r="R34" s="4" t="s">
        <v>46</v>
      </c>
      <c r="S34" s="4" t="s">
        <v>47</v>
      </c>
      <c r="T34" s="4" t="s">
        <v>48</v>
      </c>
      <c r="U34" s="4" t="s">
        <v>49</v>
      </c>
      <c r="V34" s="4" t="s">
        <v>50</v>
      </c>
      <c r="W34" s="4" t="s">
        <v>51</v>
      </c>
    </row>
    <row r="35" spans="15:23" x14ac:dyDescent="0.25">
      <c r="O35" s="2" t="s">
        <v>39</v>
      </c>
      <c r="P35" s="2">
        <v>-0.63043478260869534</v>
      </c>
      <c r="Q35" s="2">
        <v>0.84678029145923162</v>
      </c>
      <c r="R35" s="2">
        <v>-0.74450809609926749</v>
      </c>
      <c r="S35" s="2">
        <v>0.53416284227730504</v>
      </c>
      <c r="T35" s="2">
        <v>-4.2738363151538046</v>
      </c>
      <c r="U35" s="2">
        <v>3.0129667499364139</v>
      </c>
      <c r="V35" s="2">
        <v>-4.2738363151538046</v>
      </c>
      <c r="W35" s="2">
        <v>3.0129667499364139</v>
      </c>
    </row>
    <row r="36" spans="15:23" x14ac:dyDescent="0.25">
      <c r="O36" s="2">
        <v>10</v>
      </c>
      <c r="P36" s="2">
        <v>0.76086956521739135</v>
      </c>
      <c r="Q36" s="2">
        <v>6.3379911900492414E-2</v>
      </c>
      <c r="R36" s="2">
        <v>12.004900959975616</v>
      </c>
      <c r="S36" s="2">
        <v>6.8673807814599768E-3</v>
      </c>
      <c r="T36" s="2">
        <v>0.48816781426745715</v>
      </c>
      <c r="U36" s="2">
        <v>1.0335713161673254</v>
      </c>
      <c r="V36" s="2">
        <v>0.48816781426745715</v>
      </c>
      <c r="W36" s="2">
        <v>1.0335713161673254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7c97cfc-7407-48dc-ae10-5bdef32fd55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CF2F6472FC5A4A9A05D787EA6D2D78" ma:contentTypeVersion="5" ma:contentTypeDescription="Create a new document." ma:contentTypeScope="" ma:versionID="1fb46ed0efcf2ce057a415e9258c35cd">
  <xsd:schema xmlns:xsd="http://www.w3.org/2001/XMLSchema" xmlns:xs="http://www.w3.org/2001/XMLSchema" xmlns:p="http://schemas.microsoft.com/office/2006/metadata/properties" xmlns:ns3="f7c97cfc-7407-48dc-ae10-5bdef32fd558" targetNamespace="http://schemas.microsoft.com/office/2006/metadata/properties" ma:root="true" ma:fieldsID="c45d1230af08ae8e3df15138100bf808" ns3:_="">
    <xsd:import namespace="f7c97cfc-7407-48dc-ae10-5bdef32fd55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c97cfc-7407-48dc-ae10-5bdef32fd55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CB7427-93B2-4CC5-969F-3C26E5F37049}">
  <ds:schemaRefs>
    <ds:schemaRef ds:uri="http://schemas.microsoft.com/office/2006/metadata/properties"/>
    <ds:schemaRef ds:uri="http://schemas.microsoft.com/office/infopath/2007/PartnerControls"/>
    <ds:schemaRef ds:uri="f7c97cfc-7407-48dc-ae10-5bdef32fd558"/>
  </ds:schemaRefs>
</ds:datastoreItem>
</file>

<file path=customXml/itemProps2.xml><?xml version="1.0" encoding="utf-8"?>
<ds:datastoreItem xmlns:ds="http://schemas.openxmlformats.org/officeDocument/2006/customXml" ds:itemID="{3D7FA4AA-E8C3-4039-93A5-AAF026A1CF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c97cfc-7407-48dc-ae10-5bdef32fd5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0A1762-3FD2-4A04-96DE-91C6ABB974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Sake Vinodini</dc:creator>
  <cp:keywords/>
  <dc:description/>
  <cp:lastModifiedBy>MITS</cp:lastModifiedBy>
  <cp:revision/>
  <dcterms:created xsi:type="dcterms:W3CDTF">2026-05-26T17:03:38Z</dcterms:created>
  <dcterms:modified xsi:type="dcterms:W3CDTF">2026-05-27T04:06:01Z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0x010100ACCF2F6472FC5A4A9A05D787EA6D2D78</vt:lpwstr>
  </property>
</Properties>
</file>