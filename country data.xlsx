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F96CC00B-12BF-4D99-AD00-6407CE749DB8}" xr6:coauthVersionLast="47" xr6:coauthVersionMax="47" xr10:uidLastSave="{00000000-0000-0000-0000-000000000000}"/>
  <bookViews>
    <workbookView xWindow="-120" yWindow="-120" windowWidth="29040" windowHeight="15720" xr2:uid="{CC178331-4FDD-42E6-A154-337C1B065EDA}"/>
  </bookViews>
  <sheets>
    <sheet name="Sheet1" sheetId="1" r:id="rId1"/>
  </sheets>
  <definedNames>
    <definedName name="_xlchart.v1.0" hidden="1">Sheet1!$A$2:$A$11</definedName>
    <definedName name="_xlchart.v1.1" hidden="1">Sheet1!$B$1</definedName>
    <definedName name="_xlchart.v1.10" hidden="1">Sheet1!$C$1</definedName>
    <definedName name="_xlchart.v1.11" hidden="1">Sheet1!$C$2:$C$11</definedName>
    <definedName name="_xlchart.v1.12" hidden="1">Sheet1!$D$1</definedName>
    <definedName name="_xlchart.v1.13" hidden="1">Sheet1!$D$2:$D$11</definedName>
    <definedName name="_xlchart.v1.2" hidden="1">Sheet1!$B$2:$B$11</definedName>
    <definedName name="_xlchart.v1.3" hidden="1">Sheet1!$C$1</definedName>
    <definedName name="_xlchart.v1.4" hidden="1">Sheet1!$C$2:$C$11</definedName>
    <definedName name="_xlchart.v1.5" hidden="1">Sheet1!$D$1</definedName>
    <definedName name="_xlchart.v1.6" hidden="1">Sheet1!$D$2:$D$11</definedName>
    <definedName name="_xlchart.v1.7" hidden="1">Sheet1!$A$2:$A$11</definedName>
    <definedName name="_xlchart.v1.8" hidden="1">Sheet1!$B$1</definedName>
    <definedName name="_xlchart.v1.9" hidden="1">Sheet1!$B$2:$B$11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H5" i="1" a="1"/>
  <c r="H5" i="1" s="1"/>
  <c r="I5" i="1"/>
  <c r="J5" i="1"/>
  <c r="K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<sst xmlns="http://schemas.openxmlformats.org/spreadsheetml/2006/main" count="69" uniqueCount="65">
  <si>
    <t>Country</t>
  </si>
  <si>
    <t>Population</t>
  </si>
  <si>
    <t>Life_Expectation</t>
  </si>
  <si>
    <t>Health_Expenditure</t>
  </si>
  <si>
    <t>India</t>
  </si>
  <si>
    <t>US</t>
  </si>
  <si>
    <t>Brazil</t>
  </si>
  <si>
    <t>mean</t>
  </si>
  <si>
    <t>median</t>
  </si>
  <si>
    <t>mode</t>
  </si>
  <si>
    <t>range</t>
  </si>
  <si>
    <t>std</t>
  </si>
  <si>
    <t>correlation</t>
  </si>
  <si>
    <t>Russia</t>
  </si>
  <si>
    <t>UK</t>
  </si>
  <si>
    <t>France</t>
  </si>
  <si>
    <t>Spain</t>
  </si>
  <si>
    <t>Italy</t>
  </si>
  <si>
    <t>Germany</t>
  </si>
  <si>
    <t>Turkey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</si>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</sst>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1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25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E3D-408D-9CB0-5CCF614E78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E3D-408D-9CB0-5CCF614E78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E3D-408D-9CB0-5CCF614E78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E3D-408D-9CB0-5CCF614E78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E3D-408D-9CB0-5CCF614E78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1E3D-408D-9CB0-5CCF614E78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1E3D-408D-9CB0-5CCF614E78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1E3D-408D-9CB0-5CCF614E78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1E3D-408D-9CB0-5CCF614E78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1E3D-408D-9CB0-5CCF614E781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Sheet1!$A$2:$A$11</c:f>
              <c:strCache>
                <c:ptCount val="10"/>
                <c:pt idx="0">
                  <c:v>India</c:v>
                </c:pt>
                <c:pt idx="1">
                  <c:v>US</c:v>
                </c:pt>
                <c:pt idx="2">
                  <c:v>Brazil</c:v>
                </c:pt>
                <c:pt idx="3">
                  <c:v>Russia</c:v>
                </c:pt>
                <c:pt idx="4">
                  <c:v>UK</c:v>
                </c:pt>
                <c:pt idx="5">
                  <c:v>France</c:v>
                </c:pt>
                <c:pt idx="6">
                  <c:v>Spain</c:v>
                </c:pt>
                <c:pt idx="7">
                  <c:v>Italy</c:v>
                </c:pt>
                <c:pt idx="8">
                  <c:v>Germany</c:v>
                </c:pt>
                <c:pt idx="9">
                  <c:v>Turkey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1380004385</c:v>
                </c:pt>
                <c:pt idx="1">
                  <c:v>331002651</c:v>
                </c:pt>
                <c:pt idx="2">
                  <c:v>212559417</c:v>
                </c:pt>
                <c:pt idx="3">
                  <c:v>145934462</c:v>
                </c:pt>
                <c:pt idx="4">
                  <c:v>67886011</c:v>
                </c:pt>
                <c:pt idx="5">
                  <c:v>65273511</c:v>
                </c:pt>
                <c:pt idx="6">
                  <c:v>46754778</c:v>
                </c:pt>
                <c:pt idx="7">
                  <c:v>60461826</c:v>
                </c:pt>
                <c:pt idx="8">
                  <c:v>83783942</c:v>
                </c:pt>
                <c:pt idx="9">
                  <c:v>84339067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0-4545-A23F-315DBB033C3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Life_Expectation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1E3D-408D-9CB0-5CCF614E78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1E3D-408D-9CB0-5CCF614E78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1E3D-408D-9CB0-5CCF614E78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1E3D-408D-9CB0-5CCF614E78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1E3D-408D-9CB0-5CCF614E78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1E3D-408D-9CB0-5CCF614E78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1E3D-408D-9CB0-5CCF614E78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1E3D-408D-9CB0-5CCF614E78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1E3D-408D-9CB0-5CCF614E78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1E3D-408D-9CB0-5CCF614E781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Sheet1!$A$2:$A$11</c:f>
              <c:strCache>
                <c:ptCount val="10"/>
                <c:pt idx="0">
                  <c:v>India</c:v>
                </c:pt>
                <c:pt idx="1">
                  <c:v>US</c:v>
                </c:pt>
                <c:pt idx="2">
                  <c:v>Brazil</c:v>
                </c:pt>
                <c:pt idx="3">
                  <c:v>Russia</c:v>
                </c:pt>
                <c:pt idx="4">
                  <c:v>UK</c:v>
                </c:pt>
                <c:pt idx="5">
                  <c:v>France</c:v>
                </c:pt>
                <c:pt idx="6">
                  <c:v>Spain</c:v>
                </c:pt>
                <c:pt idx="7">
                  <c:v>Italy</c:v>
                </c:pt>
                <c:pt idx="8">
                  <c:v>Germany</c:v>
                </c:pt>
                <c:pt idx="9">
                  <c:v>Turkey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69.66</c:v>
                </c:pt>
                <c:pt idx="1">
                  <c:v>78.930000000000007</c:v>
                </c:pt>
                <c:pt idx="2">
                  <c:v>75.88</c:v>
                </c:pt>
                <c:pt idx="3">
                  <c:v>72.58</c:v>
                </c:pt>
                <c:pt idx="4">
                  <c:v>81.400000000000006</c:v>
                </c:pt>
                <c:pt idx="5">
                  <c:v>82.66</c:v>
                </c:pt>
                <c:pt idx="6">
                  <c:v>83.4</c:v>
                </c:pt>
                <c:pt idx="7">
                  <c:v>83.51</c:v>
                </c:pt>
                <c:pt idx="8">
                  <c:v>81.33</c:v>
                </c:pt>
                <c:pt idx="9">
                  <c:v>77.69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0-4545-A23F-315DBB033C3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Health_Expenditure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1E3D-408D-9CB0-5CCF614E78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1E3D-408D-9CB0-5CCF614E78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1E3D-408D-9CB0-5CCF614E78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1E3D-408D-9CB0-5CCF614E78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1E3D-408D-9CB0-5CCF614E78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1E3D-408D-9CB0-5CCF614E78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1E3D-408D-9CB0-5CCF614E78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1E3D-408D-9CB0-5CCF614E78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1E3D-408D-9CB0-5CCF614E78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1E3D-408D-9CB0-5CCF614E781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Sheet1!$A$2:$A$11</c:f>
              <c:strCache>
                <c:ptCount val="10"/>
                <c:pt idx="0">
                  <c:v>India</c:v>
                </c:pt>
                <c:pt idx="1">
                  <c:v>US</c:v>
                </c:pt>
                <c:pt idx="2">
                  <c:v>Brazil</c:v>
                </c:pt>
                <c:pt idx="3">
                  <c:v>Russia</c:v>
                </c:pt>
                <c:pt idx="4">
                  <c:v>UK</c:v>
                </c:pt>
                <c:pt idx="5">
                  <c:v>France</c:v>
                </c:pt>
                <c:pt idx="6">
                  <c:v>Spain</c:v>
                </c:pt>
                <c:pt idx="7">
                  <c:v>Italy</c:v>
                </c:pt>
                <c:pt idx="8">
                  <c:v>Germany</c:v>
                </c:pt>
                <c:pt idx="9">
                  <c:v>Turkey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3.54</c:v>
                </c:pt>
                <c:pt idx="1">
                  <c:v>16.89</c:v>
                </c:pt>
                <c:pt idx="2">
                  <c:v>9.16</c:v>
                </c:pt>
                <c:pt idx="3">
                  <c:v>5.35</c:v>
                </c:pt>
                <c:pt idx="4">
                  <c:v>10</c:v>
                </c:pt>
                <c:pt idx="5">
                  <c:v>11.26</c:v>
                </c:pt>
                <c:pt idx="6">
                  <c:v>9.16</c:v>
                </c:pt>
                <c:pt idx="7">
                  <c:v>8.83</c:v>
                </c:pt>
                <c:pt idx="8">
                  <c:v>11.25</c:v>
                </c:pt>
                <c:pt idx="9">
                  <c:v>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0-4545-A23F-315DBB033C3A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  <cx:data id="2">
      <cx:strDim type="cat">
        <cx:f>_xlchart.v1.0</cx:f>
      </cx:strDim>
      <cx:numDim type="size">
        <cx:f>_xlchart.v1.6</cx:f>
      </cx:numDim>
    </cx:data>
  </cx:chartData>
  <cx:chart>
    <cx:title pos="t" align="ctr" overlay="0">
      <cx:tx>
        <cx:txData>
          <cx:v>Country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Country range</a:t>
          </a:r>
        </a:p>
      </cx:txPr>
    </cx:title>
    <cx:plotArea>
      <cx:plotAreaRegion>
        <cx:series layoutId="sunburst" uniqueId="{2805C2D5-ECE5-4A76-86F9-305D7CB2DCCC}" formatIdx="0">
          <cx:tx>
            <cx:txData>
              <cx:f>_xlchart.v1.1</cx:f>
              <cx:v>Population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  <cx:series layoutId="sunburst" hidden="1" uniqueId="{4D31E3D9-E36F-4A91-8B79-BFB3C01FC503}" formatIdx="1">
          <cx:tx>
            <cx:txData>
              <cx:f>_xlchart.v1.3</cx:f>
              <cx:v>Life_Expectation</cx:v>
            </cx:txData>
          </cx:tx>
          <cx:dataLabels pos="ctr">
            <cx:visibility seriesName="0" categoryName="1" value="0"/>
          </cx:dataLabels>
          <cx:dataId val="1"/>
        </cx:series>
        <cx:series layoutId="sunburst" hidden="1" uniqueId="{81174B67-5CD1-4C5E-BE95-061C0B94C77A}" formatIdx="2">
          <cx:tx>
            <cx:txData>
              <cx:f>_xlchart.v1.5</cx:f>
              <cx:v>Health_Expenditure</cx:v>
            </cx:txData>
          </cx:tx>
          <cx:dataLabels pos="ctr">
            <cx:visibility seriesName="0" categoryName="1" value="0"/>
          </cx:dataLabels>
          <cx:dataId val="2"/>
        </cx:series>
      </cx:plotAreaRegion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  <cx:data id="2">
      <cx:strDim type="cat">
        <cx:f>_xlchart.v1.7</cx:f>
      </cx:strDim>
      <cx:numDim type="val">
        <cx:f>_xlchart.v1.13</cx:f>
      </cx:numDim>
    </cx:data>
  </cx:chartData>
  <cx:chart>
    <cx:title pos="t" align="ctr" overlay="0">
      <cx:tx>
        <cx:txData>
          <cx:v>Country population with life expectation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Country population with life expectation</a:t>
          </a:r>
        </a:p>
      </cx:txPr>
    </cx:title>
    <cx:plotArea>
      <cx:plotAreaRegion>
        <cx:series layoutId="boxWhisker" uniqueId="{7C2509B0-B64A-44E5-BC5C-26CDDC769557}">
          <cx:tx>
            <cx:txData>
              <cx:f>_xlchart.v1.8</cx:f>
              <cx:v>Population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37C9526-1608-4A13-8E7A-0945741EC2C5}">
          <cx:tx>
            <cx:txData>
              <cx:f>_xlchart.v1.10</cx:f>
              <cx:v>Life_Expectation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CCE49DA-A20E-41EF-B9EF-F7CA7F764FC7}">
          <cx:tx>
            <cx:txData>
              <cx:f>_xlchart.v1.12</cx:f>
              <cx:v>Health_Expenditure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79007</xdr:colOff>
      <xdr:row>6</xdr:row>
      <xdr:rowOff>158616</xdr:rowOff>
    </xdr:from>
    <xdr:to>
      <xdr:col>11</xdr:col>
      <xdr:colOff>198120</xdr:colOff>
      <xdr:row>21</xdr:row>
      <xdr:rowOff>158616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253B27D-88B3-0B86-7508-5447D308B3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1482" y="1301616"/>
              <a:ext cx="4481563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68580</xdr:colOff>
      <xdr:row>13</xdr:row>
      <xdr:rowOff>63567</xdr:rowOff>
    </xdr:from>
    <xdr:to>
      <xdr:col>4</xdr:col>
      <xdr:colOff>581125</xdr:colOff>
      <xdr:row>28</xdr:row>
      <xdr:rowOff>63567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EC48999-5B21-8F9A-68CE-A63B9CED7B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" y="2540067"/>
              <a:ext cx="446542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322045</xdr:colOff>
      <xdr:row>23</xdr:row>
      <xdr:rowOff>92443</xdr:rowOff>
    </xdr:from>
    <xdr:to>
      <xdr:col>11</xdr:col>
      <xdr:colOff>456398</xdr:colOff>
      <xdr:row>38</xdr:row>
      <xdr:rowOff>92443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7653F5-787C-30AD-B182-FE3E4EE16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BC0EEF-B9F9-47DE-AF52-7E8A62125CA7}" name="Table1" displayName="Table1" ref="A1:D11" totalsRowShown="0" dataDxfId="24">
  <autoFilter ref="A1:D11" xr:uid="{32BC0EEF-B9F9-47DE-AF52-7E8A62125CA7}"/>
  <tableColumns count="4">
    <tableColumn id="1" xr3:uid="{E1ECB8F7-CBD9-4F92-98BA-97D9FE951068}" name="Country"/>
    <tableColumn id="2" xr3:uid="{363F9272-6B37-4DFE-8C12-1812225079AF}" name="Population" dataDxfId="23"/>
    <tableColumn id="3" xr3:uid="{BD996376-F816-483E-84FA-FEADBD54194C}" name="Life_Expectation" dataDxfId="22"/>
    <tableColumn id="4" xr3:uid="{E10B7B3F-3033-4957-86AC-EEB07AEEBC44}" name="Health_Expenditure" dataDxfId="21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285F63-B389-467D-9DA8-BE34E1441CB8}" name="Table2" displayName="Table2" ref="F4:K5" totalsRowShown="0" headerRowDxfId="20" dataDxfId="19">
  <autoFilter ref="F4:K5" xr:uid="{F5285F63-B389-467D-9DA8-BE34E1441CB8}"/>
  <tableColumns count="6">
    <tableColumn id="1" xr3:uid="{CFDCC325-8695-42F6-9E39-0E72D72D07C8}" name="mean" dataDxfId="18">
      <calculatedColumnFormula>AVERAGE(B2:B11)</calculatedColumnFormula>
    </tableColumn>
    <tableColumn id="2" xr3:uid="{3442A505-D045-404D-BA17-8D662E9DC1B4}" name="median" dataDxfId="17">
      <calculatedColumnFormula>MEDIAN(D2:D11)</calculatedColumnFormula>
    </tableColumn>
    <tableColumn id="3" xr3:uid="{826F4882-425D-41DE-9926-FA0C0BEE2AD8}" name="mode" dataDxfId="16">
      <calculatedColumnFormula array="1">_xlfn.MODE.MULT(C2:C11,D2:D11)</calculatedColumnFormula>
    </tableColumn>
    <tableColumn id="4" xr3:uid="{3ACB4AD9-1B23-4D56-8B52-DC6CA46E0D53}" name="range" dataDxfId="15">
      <calculatedColumnFormula>MAX(B2:B11)-MIN(B2:B11)</calculatedColumnFormula>
    </tableColumn>
    <tableColumn id="5" xr3:uid="{EE950E82-BDE0-42DC-8137-A272ADBA5ED9}" name="std" dataDxfId="14">
      <calculatedColumnFormula>_xlfn.STDEV.S(B2:B11)</calculatedColumnFormula>
    </tableColumn>
    <tableColumn id="6" xr3:uid="{B33E3837-0EAB-4F11-8F52-2FCAB6BB965F}" name="correlation" dataDxfId="13">
      <calculatedColumnFormula>CORREL(C2:C11,D2:D11)</calculatedColumnFormula>
    </tableColumn>
  </tableColumns>
  <tableStyleInfo name="TableStyleDark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EF5F97-B77A-4967-888A-B5E2EFBDB213}" name="Table3" displayName="Table3" ref="M1:N16" totalsRowShown="0" headerRowDxfId="7" dataDxfId="8" headerRowBorderDxfId="11" tableBorderDxfId="12">
  <autoFilter ref="M1:N16" xr:uid="{96EF5F97-B77A-4967-888A-B5E2EFBDB213}"/>
  <tableColumns count="2">
    <tableColumn id="1" xr3:uid="{C3EFF376-734A-42CF-AACF-997688F84D60}" name="Column1" dataDxfId="10"/>
    <tableColumn id="2" xr3:uid="{C433DF74-76BC-4B06-98A3-A3C08E1BCB97}" name="Column2" dataDxfId="9"/>
  </tableColumns>
  <tableStyleInfo name="TableStyleDark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729CF3-CBCA-4DBB-85D3-74A1138258E5}" name="Table4" displayName="Table4" ref="P1:X19" totalsRowShown="0" tableBorderDxfId="6">
  <autoFilter ref="P1:X19" xr:uid="{CA729CF3-CBCA-4DBB-85D3-74A1138258E5}"/>
  <tableColumns count="9">
    <tableColumn id="1" xr3:uid="{F5500565-218E-4ED0-8E5C-15548FF1C4BD}" name="Column1" dataDxfId="5"/>
    <tableColumn id="2" xr3:uid="{8A91A76A-AC78-4FCD-B2E9-6FFD4DB01942}" name="Column2" dataDxfId="4"/>
    <tableColumn id="3" xr3:uid="{49667604-51B3-43C4-8C80-C454ED2DF407}" name="Column3" dataDxfId="3"/>
    <tableColumn id="4" xr3:uid="{1510EDB3-A2D7-4328-9950-A6BD1C9F2182}" name="Column4" dataDxfId="2"/>
    <tableColumn id="5" xr3:uid="{D45D5C9A-2020-4171-A49D-934E481153F8}" name="Column5" dataDxfId="1"/>
    <tableColumn id="6" xr3:uid="{2173B30E-16F9-4628-A755-FB4E3A159BA0}" name="Column6" dataDxfId="0"/>
    <tableColumn id="7" xr3:uid="{46DBA467-4DD5-4D42-BEF3-0461CD9B9903}" name="Column7"/>
    <tableColumn id="8" xr3:uid="{EF816154-A472-4398-B55F-34917F3C758F}" name="Column8"/>
    <tableColumn id="9" xr3:uid="{6CAD54F5-1E8A-4C82-92B1-2FF4535E19A2}" name="Column9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16B7-C0B8-46D8-8E66-6D46C01F92AB}">
  <dimension ref="A1:X19"/>
  <sheetViews>
    <sheetView tabSelected="1" zoomScale="76" workbookViewId="0">
      <selection activeCell="P24" sqref="P24"/>
    </sheetView>
  </sheetViews>
  <sheetFormatPr defaultRowHeight="15" x14ac:dyDescent="0.25"/>
  <cols>
    <col min="1" max="1" width="11.140625" customWidth="1"/>
    <col min="2" max="2" width="13.5703125" customWidth="1"/>
    <col min="3" max="3" width="16.140625" customWidth="1"/>
    <col min="4" max="4" width="18.42578125" customWidth="1"/>
    <col min="6" max="6" width="10" bestFit="1" customWidth="1"/>
    <col min="9" max="9" width="11" bestFit="1" customWidth="1"/>
    <col min="10" max="10" width="12" bestFit="1" customWidth="1"/>
    <col min="11" max="11" width="14.140625" customWidth="1"/>
    <col min="13" max="14" width="11.7109375" customWidth="1"/>
    <col min="16" max="24" width="11.140625" customWidth="1"/>
  </cols>
  <sheetData>
    <row r="1" spans="1:24" ht="15.75" thickBot="1" x14ac:dyDescent="0.3">
      <c r="A1" t="s">
        <v>0</v>
      </c>
      <c r="B1" t="s">
        <v>1</v>
      </c>
      <c r="C1" t="s">
        <v>2</v>
      </c>
      <c r="D1" t="s">
        <v>3</v>
      </c>
      <c r="M1" s="6" t="s">
        <v>56</v>
      </c>
      <c r="N1" s="6" t="s">
        <v>57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</row>
    <row r="2" spans="1:24" x14ac:dyDescent="0.25">
      <c r="A2" t="s">
        <v>4</v>
      </c>
      <c r="B2" s="1">
        <v>1380004385</v>
      </c>
      <c r="C2" s="1">
        <v>69.66</v>
      </c>
      <c r="D2" s="1">
        <v>3.54</v>
      </c>
      <c r="M2" s="5">
        <v>69.66</v>
      </c>
      <c r="N2" s="5"/>
      <c r="P2" t="s">
        <v>33</v>
      </c>
    </row>
    <row r="3" spans="1:24" ht="15.75" thickBot="1" x14ac:dyDescent="0.3">
      <c r="A3" t="s">
        <v>5</v>
      </c>
      <c r="B3" s="1">
        <v>331002651</v>
      </c>
      <c r="C3" s="1">
        <v>78.930000000000007</v>
      </c>
      <c r="D3" s="1">
        <v>16.89</v>
      </c>
      <c r="M3" s="2"/>
      <c r="N3" s="2"/>
    </row>
    <row r="4" spans="1:24" x14ac:dyDescent="0.25">
      <c r="A4" t="s">
        <v>6</v>
      </c>
      <c r="B4" s="1">
        <v>212559417</v>
      </c>
      <c r="C4" s="1">
        <v>75.88</v>
      </c>
      <c r="D4" s="1">
        <v>9.16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M4" s="2" t="s">
        <v>20</v>
      </c>
      <c r="N4" s="2">
        <v>79.708888888888879</v>
      </c>
      <c r="P4" s="5" t="s">
        <v>34</v>
      </c>
      <c r="Q4" s="5"/>
    </row>
    <row r="5" spans="1:24" x14ac:dyDescent="0.25">
      <c r="A5" t="s">
        <v>13</v>
      </c>
      <c r="B5" s="1">
        <v>145934462</v>
      </c>
      <c r="C5" s="1">
        <v>72.58</v>
      </c>
      <c r="D5" s="1">
        <v>5.35</v>
      </c>
      <c r="F5" s="1">
        <f>AVERAGE(B2:B11)</f>
        <v>247800005</v>
      </c>
      <c r="G5" s="1">
        <f>MEDIAN(D2:D11)</f>
        <v>9.16</v>
      </c>
      <c r="H5" s="1" cm="1">
        <f t="array" ref="H5">_xlfn.MODE.MULT(C2:C11,D2:D11)</f>
        <v>9.16</v>
      </c>
      <c r="I5" s="1">
        <f>MAX(B2:B11)-MIN(B2:B11)</f>
        <v>1333249607</v>
      </c>
      <c r="J5" s="1">
        <f>_xlfn.STDEV.S(B2:B11)</f>
        <v>407601168.94380385</v>
      </c>
      <c r="K5" s="1">
        <f>CORREL(C2:C11,D2:D11)</f>
        <v>0.56725750556842591</v>
      </c>
      <c r="M5" s="2" t="s">
        <v>21</v>
      </c>
      <c r="N5" s="2">
        <v>1.2496315506362989</v>
      </c>
      <c r="P5" s="2" t="s">
        <v>35</v>
      </c>
      <c r="Q5" s="2">
        <v>0.37300416059073643</v>
      </c>
    </row>
    <row r="6" spans="1:24" x14ac:dyDescent="0.25">
      <c r="A6" t="s">
        <v>14</v>
      </c>
      <c r="B6" s="1">
        <v>67886011</v>
      </c>
      <c r="C6" s="1">
        <v>81.400000000000006</v>
      </c>
      <c r="D6" s="1">
        <v>10</v>
      </c>
      <c r="M6" s="2" t="s">
        <v>22</v>
      </c>
      <c r="N6" s="2">
        <v>81.33</v>
      </c>
      <c r="P6" s="2" t="s">
        <v>36</v>
      </c>
      <c r="Q6" s="2">
        <v>0.1391321038179999</v>
      </c>
    </row>
    <row r="7" spans="1:24" x14ac:dyDescent="0.25">
      <c r="A7" t="s">
        <v>15</v>
      </c>
      <c r="B7" s="1">
        <v>65273511</v>
      </c>
      <c r="C7" s="1">
        <v>82.66</v>
      </c>
      <c r="D7" s="1">
        <v>11.26</v>
      </c>
      <c r="M7" s="2" t="s">
        <v>23</v>
      </c>
      <c r="N7" s="2" t="e">
        <v>#N/A</v>
      </c>
      <c r="P7" s="2" t="s">
        <v>37</v>
      </c>
      <c r="Q7" s="2">
        <v>1.6150975791999884E-2</v>
      </c>
    </row>
    <row r="8" spans="1:24" x14ac:dyDescent="0.25">
      <c r="A8" t="s">
        <v>16</v>
      </c>
      <c r="B8" s="1">
        <v>46754778</v>
      </c>
      <c r="C8" s="1">
        <v>83.4</v>
      </c>
      <c r="D8" s="1">
        <v>9.16</v>
      </c>
      <c r="M8" s="2" t="s">
        <v>24</v>
      </c>
      <c r="N8" s="2">
        <v>3.748894651908897</v>
      </c>
      <c r="P8" s="2" t="s">
        <v>21</v>
      </c>
      <c r="Q8" s="2">
        <v>3.7184972620239916</v>
      </c>
    </row>
    <row r="9" spans="1:24" ht="15.75" thickBot="1" x14ac:dyDescent="0.3">
      <c r="A9" t="s">
        <v>17</v>
      </c>
      <c r="B9" s="1">
        <v>60461826</v>
      </c>
      <c r="C9" s="1">
        <v>83.51</v>
      </c>
      <c r="D9" s="1">
        <v>8.83</v>
      </c>
      <c r="M9" s="2" t="s">
        <v>25</v>
      </c>
      <c r="N9" s="2">
        <v>14.054211111111131</v>
      </c>
      <c r="P9" s="3" t="s">
        <v>38</v>
      </c>
      <c r="Q9" s="3">
        <v>9</v>
      </c>
    </row>
    <row r="10" spans="1:24" x14ac:dyDescent="0.25">
      <c r="A10" t="s">
        <v>18</v>
      </c>
      <c r="B10" s="1">
        <v>83783942</v>
      </c>
      <c r="C10" s="1">
        <v>81.33</v>
      </c>
      <c r="D10" s="1">
        <v>11.25</v>
      </c>
      <c r="M10" s="2" t="s">
        <v>26</v>
      </c>
      <c r="N10" s="2">
        <v>-9.6313347388123027E-2</v>
      </c>
    </row>
    <row r="11" spans="1:24" ht="15.75" thickBot="1" x14ac:dyDescent="0.3">
      <c r="A11" t="s">
        <v>19</v>
      </c>
      <c r="B11" s="1">
        <v>84339067</v>
      </c>
      <c r="C11" s="1">
        <v>77.69</v>
      </c>
      <c r="D11" s="1">
        <v>4.28</v>
      </c>
      <c r="M11" s="2" t="s">
        <v>27</v>
      </c>
      <c r="N11" s="2">
        <v>-0.87582199549467821</v>
      </c>
      <c r="P11" t="s">
        <v>39</v>
      </c>
    </row>
    <row r="12" spans="1:24" x14ac:dyDescent="0.25">
      <c r="M12" s="2" t="s">
        <v>28</v>
      </c>
      <c r="N12" s="2">
        <v>10.930000000000007</v>
      </c>
      <c r="P12" s="4"/>
      <c r="Q12" s="4" t="s">
        <v>44</v>
      </c>
      <c r="R12" s="4" t="s">
        <v>45</v>
      </c>
      <c r="S12" s="4" t="s">
        <v>46</v>
      </c>
      <c r="T12" s="4" t="s">
        <v>47</v>
      </c>
      <c r="U12" s="4" t="s">
        <v>48</v>
      </c>
    </row>
    <row r="13" spans="1:24" x14ac:dyDescent="0.25">
      <c r="M13" s="2" t="s">
        <v>29</v>
      </c>
      <c r="N13" s="2">
        <v>72.58</v>
      </c>
      <c r="P13" s="2" t="s">
        <v>40</v>
      </c>
      <c r="Q13" s="2">
        <v>1</v>
      </c>
      <c r="R13" s="2">
        <v>15.643135675129614</v>
      </c>
      <c r="S13" s="2">
        <v>15.643135675129614</v>
      </c>
      <c r="T13" s="2">
        <v>1.1313288961586474</v>
      </c>
      <c r="U13" s="2">
        <v>0.32280157390127179</v>
      </c>
    </row>
    <row r="14" spans="1:24" x14ac:dyDescent="0.25">
      <c r="M14" s="2" t="s">
        <v>30</v>
      </c>
      <c r="N14" s="2">
        <v>83.51</v>
      </c>
      <c r="P14" s="2" t="s">
        <v>41</v>
      </c>
      <c r="Q14" s="2">
        <v>7</v>
      </c>
      <c r="R14" s="2">
        <v>96.790553213759438</v>
      </c>
      <c r="S14" s="2">
        <v>13.82722188767992</v>
      </c>
      <c r="T14" s="2"/>
      <c r="U14" s="2"/>
    </row>
    <row r="15" spans="1:24" ht="15.75" thickBot="1" x14ac:dyDescent="0.3">
      <c r="M15" s="2" t="s">
        <v>31</v>
      </c>
      <c r="N15" s="2">
        <v>717.37999999999988</v>
      </c>
      <c r="P15" s="3" t="s">
        <v>42</v>
      </c>
      <c r="Q15" s="3">
        <v>8</v>
      </c>
      <c r="R15" s="3">
        <v>112.43368888888905</v>
      </c>
      <c r="S15" s="3"/>
      <c r="T15" s="3"/>
      <c r="U15" s="3"/>
    </row>
    <row r="16" spans="1:24" ht="15.75" thickBot="1" x14ac:dyDescent="0.3">
      <c r="M16" s="2" t="s">
        <v>32</v>
      </c>
      <c r="N16" s="2">
        <v>9</v>
      </c>
    </row>
    <row r="17" spans="16:24" x14ac:dyDescent="0.25">
      <c r="P17" s="4"/>
      <c r="Q17" s="4" t="s">
        <v>49</v>
      </c>
      <c r="R17" s="4" t="s">
        <v>21</v>
      </c>
      <c r="S17" s="4" t="s">
        <v>50</v>
      </c>
      <c r="T17" s="4" t="s">
        <v>51</v>
      </c>
      <c r="U17" s="4" t="s">
        <v>52</v>
      </c>
      <c r="V17" s="4" t="s">
        <v>53</v>
      </c>
      <c r="W17" s="4" t="s">
        <v>54</v>
      </c>
      <c r="X17" s="4" t="s">
        <v>55</v>
      </c>
    </row>
    <row r="18" spans="16:24" x14ac:dyDescent="0.25">
      <c r="P18" s="2" t="s">
        <v>43</v>
      </c>
      <c r="Q18" s="2">
        <v>76.032482289745815</v>
      </c>
      <c r="R18" s="2">
        <v>3.6719667164262306</v>
      </c>
      <c r="S18" s="2">
        <v>20.706201379664193</v>
      </c>
      <c r="T18" s="2">
        <v>1.5388176424908713E-7</v>
      </c>
      <c r="U18" s="2">
        <v>67.349660741042825</v>
      </c>
      <c r="V18" s="2">
        <v>84.715303838448804</v>
      </c>
      <c r="W18" s="2">
        <v>67.349660741042825</v>
      </c>
      <c r="X18" s="2">
        <v>84.715303838448804</v>
      </c>
    </row>
    <row r="19" spans="16:24" x14ac:dyDescent="0.25">
      <c r="P19" s="2">
        <v>3.54</v>
      </c>
      <c r="Q19" s="2">
        <v>0.38393663718133636</v>
      </c>
      <c r="R19" s="2">
        <v>0.36096501908703493</v>
      </c>
      <c r="S19" s="2">
        <v>1.0636394577856936</v>
      </c>
      <c r="T19" s="2">
        <v>0.32280157390127245</v>
      </c>
      <c r="U19" s="2">
        <v>-0.46961000092851896</v>
      </c>
      <c r="V19" s="2">
        <v>1.2374832752911917</v>
      </c>
      <c r="W19" s="2">
        <v>-0.46961000092851896</v>
      </c>
      <c r="X19" s="2">
        <v>1.2374832752911917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F2F6472FC5A4A9A05D787EA6D2D78" ma:contentTypeVersion="5" ma:contentTypeDescription="Create a new document." ma:contentTypeScope="" ma:versionID="1fb46ed0efcf2ce057a415e9258c35cd">
  <xsd:schema xmlns:xsd="http://www.w3.org/2001/XMLSchema" xmlns:xs="http://www.w3.org/2001/XMLSchema" xmlns:p="http://schemas.microsoft.com/office/2006/metadata/properties" xmlns:ns3="f7c97cfc-7407-48dc-ae10-5bdef32fd558" targetNamespace="http://schemas.microsoft.com/office/2006/metadata/properties" ma:root="true" ma:fieldsID="c45d1230af08ae8e3df15138100bf808" ns3:_="">
    <xsd:import namespace="f7c97cfc-7407-48dc-ae10-5bdef32fd5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97cfc-7407-48dc-ae10-5bdef32fd5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c97cfc-7407-48dc-ae10-5bdef32fd558" xsi:nil="true"/>
  </documentManagement>
</p:properties>
</file>

<file path=customXml/itemProps1.xml><?xml version="1.0" encoding="utf-8"?>
<ds:datastoreItem xmlns:ds="http://schemas.openxmlformats.org/officeDocument/2006/customXml" ds:itemID="{54A608AE-2066-491F-96B1-4327E537E7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c97cfc-7407-48dc-ae10-5bdef32fd5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E957BB-8D6D-4A09-8477-A501AF9065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1E4F38-8598-49CC-A19D-6F7B66A854ED}">
  <ds:schemaRefs>
    <ds:schemaRef ds:uri="http://schemas.microsoft.com/office/2006/metadata/properties"/>
    <ds:schemaRef ds:uri="http://schemas.microsoft.com/office/infopath/2007/PartnerControls"/>
    <ds:schemaRef ds:uri="f7c97cfc-7407-48dc-ae10-5bdef32fd5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 Vinodini</dc:creator>
  <cp:keywords/>
  <dc:description/>
  <cp:lastModifiedBy>MITS</cp:lastModifiedBy>
  <cp:revision/>
  <dcterms:created xsi:type="dcterms:W3CDTF">2026-05-27T01:46:44Z</dcterms:created>
  <dcterms:modified xsi:type="dcterms:W3CDTF">2026-05-27T04:09:42Z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0x010100ACCF2F6472FC5A4A9A05D787EA6D2D78</vt:lpwstr>
  </property>
</Properties>
</file>