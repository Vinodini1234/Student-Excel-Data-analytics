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C310F085-0D8F-4CCD-A311-77C26669F466}" xr6:coauthVersionLast="47" xr6:coauthVersionMax="47" xr10:uidLastSave="{00000000-0000-0000-0000-000000000000}"/>
  <bookViews>
    <workbookView xWindow="-120" yWindow="-120" windowWidth="29040" windowHeight="15720" firstSheet="2" activeTab="2" xr2:uid="{51BAC4D7-06F2-4E89-9F27-9AB074873661}"/>
  </bookViews>
  <sheets>
    <sheet name="Sheet1" sheetId="2" r:id="rId1"/>
    <sheet name="Sheet7" sheetId="8" r:id="rId2"/>
    <sheet name="Sheet2" sheetId="9" r:id="rId3"/>
    <sheet name="Sheet3" sheetId="4" r:id="rId4"/>
    <sheet name="Sheet4" sheetId="5" r:id="rId5"/>
    <sheet name="Sheet5" sheetId="6" r:id="rId6"/>
    <sheet name="StudentsPerformance" sheetId="1" r:id="rId7"/>
  </sheets>
  <definedNames>
    <definedName name="_xlcn.WorksheetConnection_StudentsPerformanceQ5T101" hidden="1">StudentsPerformance!$Q$5:$T$10</definedName>
    <definedName name="Slicer_gender">#N/A</definedName>
    <definedName name="Slicer_gender1">#N/A</definedName>
    <definedName name="Slicer_gender2">#N/A</definedName>
    <definedName name="Slicer_lunch">#N/A</definedName>
    <definedName name="Slicer_parental_level_of_education">#N/A</definedName>
    <definedName name="Slicer_parental_level_of_education1">#N/A</definedName>
    <definedName name="Slicer_race_ethnicity">#N/A</definedName>
  </definedNames>
  <calcPr calcId="191028"/>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tudentsPerformance!$Q$5:$T$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 i="1" l="1" a="1"/>
  <c r="W25" i="1" s="1"/>
  <c r="W26" i="1" l="1"/>
  <c r="W27" i="1"/>
  <c r="W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89C18-160D-40CE-86C9-4BF203605E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B1F266-6172-4278-AE72-746FC26CF009}" name="WorksheetConnection_StudentsPerformance!$Q$5:$T$10" type="102" refreshedVersion="8" minRefreshableVersion="5">
    <extLst>
      <ext xmlns:x15="http://schemas.microsoft.com/office/spreadsheetml/2010/11/main" uri="{DE250136-89BD-433C-8126-D09CA5730AF9}">
        <x15:connection id="Range">
          <x15:rangePr sourceName="_xlcn.WorksheetConnection_StudentsPerformanceQ5T1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<sst xmlns="http://schemas.openxmlformats.org/spreadsheetml/2006/main" count="7152" uniqueCount="85">
  <si>
    <t>gender</t>
  </si>
  <si>
    <t>Sum of writing score</t>
  </si>
  <si>
    <t>Sum of reading score</t>
  </si>
  <si>
    <t>Sum of math score</t>
  </si>
  <si>
    <t>female</t>
  </si>
  <si>
    <t>male</t>
  </si>
  <si>
    <t>Column Labels</t>
  </si>
  <si>
    <t>Count of reading</t>
  </si>
  <si>
    <t>Count of writing</t>
  </si>
  <si>
    <t>Count of math</t>
  </si>
  <si>
    <t>Total Count of reading</t>
  </si>
  <si>
    <t>Total Count of writing</t>
  </si>
  <si>
    <t>Total Count of math</t>
  </si>
  <si>
    <t>Row Labels</t>
  </si>
  <si>
    <t>associate's degree</t>
  </si>
  <si>
    <t>high school</t>
  </si>
  <si>
    <t>master's degree</t>
  </si>
  <si>
    <t>some high school</t>
  </si>
  <si>
    <t>Grand Total</t>
  </si>
  <si>
    <t>Average of math score</t>
  </si>
  <si>
    <t>Average of reading score</t>
  </si>
  <si>
    <t>Average of writing score</t>
  </si>
  <si>
    <t>Total Average of math score</t>
  </si>
  <si>
    <t>Total Average of reading score</t>
  </si>
  <si>
    <t>Total Average of writing score</t>
  </si>
  <si>
    <t>female Total</t>
  </si>
  <si>
    <t>male Total</t>
  </si>
  <si>
    <t>group A</t>
  </si>
  <si>
    <t>group B</t>
  </si>
  <si>
    <t>group C</t>
  </si>
  <si>
    <t>group D</t>
  </si>
  <si>
    <t>group E</t>
  </si>
  <si>
    <t>free/reduced</t>
  </si>
  <si>
    <t>completed</t>
  </si>
  <si>
    <t>none</t>
  </si>
  <si>
    <t>standard</t>
  </si>
  <si>
    <t>race/ethnicity</t>
  </si>
  <si>
    <t>parental level of education</t>
  </si>
  <si>
    <t>lunch</t>
  </si>
  <si>
    <t>test preparation course</t>
  </si>
  <si>
    <t>math score</t>
  </si>
  <si>
    <t>reading score</t>
  </si>
  <si>
    <t>writing score</t>
  </si>
  <si>
    <t>bachelor's degree</t>
  </si>
  <si>
    <t>descriptive analysis</t>
  </si>
  <si>
    <t>some college</t>
  </si>
  <si>
    <t>Anova: Single Factor</t>
  </si>
  <si>
    <t>Anova: Two-Factor With Replication</t>
  </si>
  <si>
    <t>SUMMARY</t>
  </si>
  <si>
    <t>Total</t>
  </si>
  <si>
    <t>Mean</t>
  </si>
  <si>
    <t>Groups</t>
  </si>
  <si>
    <t>Count</t>
  </si>
  <si>
    <t>Sum</t>
  </si>
  <si>
    <t>Average</t>
  </si>
  <si>
    <t>Variance</t>
  </si>
  <si>
    <t>Standard Error</t>
  </si>
  <si>
    <t>Median</t>
  </si>
  <si>
    <t>Mode</t>
  </si>
  <si>
    <t>Standard Deviation</t>
  </si>
  <si>
    <t>Sample Variance</t>
  </si>
  <si>
    <t>Kurtosis</t>
  </si>
  <si>
    <t>ANOVA</t>
  </si>
  <si>
    <t>Skewness</t>
  </si>
  <si>
    <t>Source of Variation</t>
  </si>
  <si>
    <t>SS</t>
  </si>
  <si>
    <t>df</t>
  </si>
  <si>
    <t>MS</t>
  </si>
  <si>
    <t>F</t>
  </si>
  <si>
    <t>P-value</t>
  </si>
  <si>
    <t>F crit</t>
  </si>
  <si>
    <t>Range</t>
  </si>
  <si>
    <t>Between Groups</t>
  </si>
  <si>
    <t>Minimum</t>
  </si>
  <si>
    <t>Within Groups</t>
  </si>
  <si>
    <t>Maximum</t>
  </si>
  <si>
    <t>correlation</t>
  </si>
  <si>
    <t>Anova: Two-Factor Without Replication</t>
  </si>
  <si>
    <t>mode</t>
  </si>
  <si>
    <t>Rows</t>
  </si>
  <si>
    <t>Columns</t>
  </si>
  <si>
    <t>Error</t>
  </si>
  <si>
    <t>Sample</t>
  </si>
  <si>
    <t>Interaction</t>
  </si>
  <si>
    <t>Within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</si>
</sst>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0"/>
    <numFmt numFmtId="166" formatCode="#.00"/>
    <numFmt numFmtId="167" formatCode="#.000"/>
    <numFmt numFmtId="168"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i/>
      <sz val="10"/>
      <color theme="1"/>
      <name val="Calibri"/>
      <family val="2"/>
      <scheme val="minor"/>
    </font>
    <font>
      <b/>
      <i/>
      <sz val="12"/>
      <color theme="1"/>
      <name val="Calibri Light"/>
      <family val="2"/>
      <scheme val="major"/>
    </font>
    <font>
      <b/>
      <sz val="20"/>
      <color theme="5" tint="-0.249977111117893"/>
      <name val="Calibri"/>
      <family val="2"/>
      <scheme val="minor"/>
    </font>
    <font>
      <sz val="11"/>
      <color theme="5" tint="-0.249977111117893"/>
      <name val="Calibri"/>
      <family val="2"/>
      <scheme val="minor"/>
    </font>
    <font>
      <b/>
      <sz val="18"/>
      <color theme="5" tint="-0.249977111117893"/>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gradientFill degree="90">
        <stop position="0">
          <color theme="3" tint="0.80001220740379042"/>
        </stop>
        <stop position="0.5">
          <color theme="5" tint="-0.25098422193060094"/>
        </stop>
        <stop position="1">
          <color theme="3" tint="0.80001220740379042"/>
        </stop>
      </gradientFill>
    </fill>
    <fill>
      <gradientFill degree="45">
        <stop position="0">
          <color theme="0"/>
        </stop>
        <stop position="1">
          <color theme="5" tint="-0.25098422193060094"/>
        </stop>
      </gradientFill>
    </fill>
    <fill>
      <gradientFill degree="45">
        <stop position="0">
          <color theme="0"/>
        </stop>
        <stop position="1">
          <color theme="5" tint="0.59999389629810485"/>
        </stop>
      </gradientFill>
    </fill>
    <fill>
      <gradientFill degree="90">
        <stop position="0">
          <color theme="0"/>
        </stop>
        <stop position="0.5">
          <color theme="4" tint="0.59999389629810485"/>
        </stop>
        <stop position="1">
          <color theme="0"/>
        </stop>
      </gradientFill>
    </fill>
    <fill>
      <gradientFill degree="45">
        <stop position="0">
          <color theme="0"/>
        </stop>
        <stop position="1">
          <color theme="5" tint="0.40000610370189521"/>
        </stop>
      </gradientFill>
    </fill>
    <fill>
      <patternFill patternType="solid">
        <fgColor theme="5" tint="0.79998168889431442"/>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bottom style="medium">
        <color indexed="18"/>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9" fillId="0" borderId="11" xfId="0" applyFont="1" applyBorder="1" applyAlignment="1">
      <alignment horizontal="right"/>
    </xf>
    <xf numFmtId="0" fontId="20" fillId="33" borderId="12" xfId="0" applyFont="1" applyFill="1" applyBorder="1"/>
    <xf numFmtId="0" fontId="20" fillId="33" borderId="12" xfId="0" applyFont="1" applyFill="1" applyBorder="1" applyAlignment="1">
      <alignment horizontal="center"/>
    </xf>
    <xf numFmtId="0" fontId="0" fillId="0" borderId="0" xfId="0" applyAlignment="1">
      <alignment horizontal="center"/>
    </xf>
    <xf numFmtId="0" fontId="21" fillId="0" borderId="0" xfId="0" applyFont="1"/>
    <xf numFmtId="0" fontId="22" fillId="0" borderId="0" xfId="0" applyFont="1"/>
    <xf numFmtId="0" fontId="18" fillId="34" borderId="13" xfId="0" applyFont="1" applyFill="1" applyBorder="1" applyAlignment="1">
      <alignment horizontal="center"/>
    </xf>
    <xf numFmtId="0" fontId="18" fillId="34" borderId="14" xfId="0" applyFont="1" applyFill="1" applyBorder="1" applyAlignment="1">
      <alignment horizontal="center"/>
    </xf>
    <xf numFmtId="0" fontId="0" fillId="35" borderId="12" xfId="0" applyFill="1" applyBorder="1"/>
    <xf numFmtId="4" fontId="0" fillId="35" borderId="12" xfId="0" applyNumberFormat="1" applyFill="1" applyBorder="1" applyAlignment="1">
      <alignment horizontal="center"/>
    </xf>
    <xf numFmtId="165" fontId="0" fillId="35" borderId="12" xfId="0" applyNumberFormat="1" applyFill="1" applyBorder="1"/>
    <xf numFmtId="0" fontId="18" fillId="34" borderId="15" xfId="0" applyFont="1" applyFill="1" applyBorder="1" applyAlignment="1">
      <alignment horizontal="center"/>
    </xf>
    <xf numFmtId="0" fontId="0" fillId="35" borderId="16" xfId="0" applyFill="1" applyBorder="1"/>
    <xf numFmtId="0" fontId="19" fillId="35" borderId="12" xfId="0" applyFont="1" applyFill="1" applyBorder="1" applyAlignment="1">
      <alignment horizontal="right"/>
    </xf>
    <xf numFmtId="0" fontId="19" fillId="35" borderId="17" xfId="0" applyFont="1" applyFill="1" applyBorder="1" applyAlignment="1">
      <alignment horizontal="right"/>
    </xf>
    <xf numFmtId="0" fontId="0" fillId="34" borderId="13" xfId="0" applyFill="1" applyBorder="1"/>
    <xf numFmtId="0" fontId="18" fillId="35" borderId="12" xfId="0" applyFont="1" applyFill="1" applyBorder="1" applyAlignment="1">
      <alignment horizontal="centerContinuous"/>
    </xf>
    <xf numFmtId="0" fontId="18" fillId="35" borderId="12" xfId="0" applyFont="1" applyFill="1" applyBorder="1" applyAlignment="1">
      <alignment horizontal="center"/>
    </xf>
    <xf numFmtId="0" fontId="23" fillId="0" borderId="0" xfId="0" applyFont="1"/>
    <xf numFmtId="0" fontId="0" fillId="36" borderId="12" xfId="0" applyFill="1" applyBorder="1"/>
    <xf numFmtId="0" fontId="0" fillId="37" borderId="12" xfId="0" applyFill="1" applyBorder="1"/>
    <xf numFmtId="164" fontId="0" fillId="37" borderId="12" xfId="0" applyNumberFormat="1" applyFill="1" applyBorder="1" applyAlignment="1">
      <alignment horizontal="center"/>
    </xf>
    <xf numFmtId="0" fontId="0" fillId="35" borderId="0" xfId="0" applyFill="1"/>
    <xf numFmtId="0" fontId="0" fillId="35" borderId="10" xfId="0" applyFill="1" applyBorder="1"/>
    <xf numFmtId="166" fontId="0" fillId="35" borderId="0" xfId="0" applyNumberFormat="1" applyFill="1"/>
    <xf numFmtId="167" fontId="0" fillId="35" borderId="0" xfId="0" applyNumberFormat="1" applyFill="1"/>
    <xf numFmtId="0" fontId="0" fillId="0" borderId="0" xfId="0" pivotButton="1" applyAlignment="1">
      <alignment horizontal="center"/>
    </xf>
    <xf numFmtId="164" fontId="0" fillId="0" borderId="0" xfId="0" applyNumberFormat="1" applyAlignment="1">
      <alignment horizontal="center"/>
    </xf>
    <xf numFmtId="168" fontId="0" fillId="0" borderId="0" xfId="0" applyNumberFormat="1" applyAlignment="1">
      <alignment horizontal="center"/>
    </xf>
    <xf numFmtId="0" fontId="0" fillId="38" borderId="0" xfId="0" applyFill="1"/>
    <xf numFmtId="0" fontId="0" fillId="39" borderId="0" xfId="0" applyFill="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3">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00"/>
    </dxf>
    <dxf>
      <numFmt numFmtId="168" formatCode="00"/>
    </dxf>
    <dxf>
      <alignment horizontal="center"/>
    </dxf>
    <dxf>
      <alignment horizontal="center" indent="0"/>
    </dxf>
    <dxf>
      <alignment horizontal="center" indent="0"/>
    </dxf>
    <dxf>
      <alignment horizontal="center" indent="0"/>
    </dxf>
    <dxf>
      <alignment horizontal="center"/>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0000FF"/>
      <color rgb="FFEF995F"/>
      <color rgb="FFF097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(1).xlsx]Sheet1!PivotTable14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scores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writing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F226-4DFA-A8C0-EE9CA815FB12}"/>
            </c:ext>
          </c:extLst>
        </c:ser>
        <c:ser>
          <c:idx val="1"/>
          <c:order val="1"/>
          <c:tx>
            <c:strRef>
              <c:f>Sheet1!$C$3</c:f>
              <c:strCache>
                <c:ptCount val="1"/>
                <c:pt idx="0">
                  <c:v>Sum of reading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2-F226-4DFA-A8C0-EE9CA815FB12}"/>
            </c:ext>
          </c:extLst>
        </c:ser>
        <c:ser>
          <c:idx val="2"/>
          <c:order val="2"/>
          <c:tx>
            <c:strRef>
              <c:f>Sheet1!$D$3</c:f>
              <c:strCache>
                <c:ptCount val="1"/>
                <c:pt idx="0">
                  <c:v>Sum of math 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3-F226-4DFA-A8C0-EE9CA815FB12}"/>
            </c:ext>
          </c:extLst>
        </c:ser>
        <c:dLbls>
          <c:dLblPos val="inEnd"/>
          <c:showLegendKey val="0"/>
          <c:showVal val="1"/>
          <c:showCatName val="0"/>
          <c:showSerName val="0"/>
          <c:showPercent val="0"/>
          <c:showBubbleSize val="0"/>
        </c:dLbls>
        <c:gapWidth val="65"/>
        <c:axId val="1268024016"/>
        <c:axId val="1268031216"/>
      </c:barChart>
      <c:catAx>
        <c:axId val="1268024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31216"/>
        <c:crosses val="autoZero"/>
        <c:auto val="1"/>
        <c:lblAlgn val="ctr"/>
        <c:lblOffset val="100"/>
        <c:noMultiLvlLbl val="0"/>
      </c:catAx>
      <c:valAx>
        <c:axId val="1268031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68024016"/>
        <c:crosses val="autoZero"/>
        <c:crossBetween val="between"/>
      </c:valAx>
      <c:spPr>
        <a:noFill/>
        <a:ln>
          <a:noFill/>
        </a:ln>
        <a:effectLst/>
      </c:spPr>
    </c:plotArea>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(1).xlsx]Sheet1!PivotTable14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6847-41E4-9F41-7CB1CA8EF2F3}"/>
            </c:ext>
          </c:extLst>
        </c:ser>
        <c:ser>
          <c:idx val="1"/>
          <c:order val="1"/>
          <c:tx>
            <c:strRef>
              <c:f>Sheet1!$C$3</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1-6847-41E4-9F41-7CB1CA8EF2F3}"/>
            </c:ext>
          </c:extLst>
        </c:ser>
        <c:ser>
          <c:idx val="2"/>
          <c:order val="2"/>
          <c:tx>
            <c:strRef>
              <c:f>Sheet1!$D$3</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A76-49FD-9904-D81F167C8A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A76-49FD-9904-D81F167C8A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2-6847-41E4-9F41-7CB1CA8EF2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(1).xlsx]Sheet4!PivotTable2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252F-42E2-B415-EEAE4747ECDA}"/>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252F-42E2-B415-EEAE4747ECDA}"/>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252F-42E2-B415-EEAE4747ECDA}"/>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3-6C6C-4D5E-92CA-E00BC934B007}"/>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4-6C6C-4D5E-92CA-E00BC934B007}"/>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5-6C6C-4D5E-92CA-E00BC934B007}"/>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20000"/>
            <a:lumOff val="80000"/>
            <a:shade val="30000"/>
            <a:satMod val="115000"/>
          </a:schemeClr>
        </a:gs>
        <a:gs pos="50000">
          <a:schemeClr val="accent2">
            <a:lumMod val="20000"/>
            <a:lumOff val="80000"/>
            <a:shade val="67500"/>
            <a:satMod val="115000"/>
          </a:schemeClr>
        </a:gs>
        <a:gs pos="100000">
          <a:schemeClr val="accent2">
            <a:lumMod val="20000"/>
            <a:lumOff val="80000"/>
            <a:shade val="100000"/>
            <a:satMod val="115000"/>
          </a:schemeClr>
        </a:gs>
      </a:gsLst>
      <a:lin ang="5400000" scaled="0"/>
      <a:tileRect/>
    </a:gradFill>
    <a:ln>
      <a:noFill/>
    </a:ln>
    <a:effectLst>
      <a:glow rad="63500">
        <a:srgbClr val="F0975A">
          <a:alpha val="40000"/>
        </a:srgbClr>
      </a:glow>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(1).xlsx]Sheet3!PivotTable24</c:name>
    <c:fmtId val="1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 Count of student</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23402759066144588"/>
          <c:y val="0.12410979790184368"/>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9583942456712E-2"/>
          <c:y val="0.14093398854277039"/>
          <c:w val="0.633961527035661"/>
          <c:h val="0.65604366173596118"/>
        </c:manualLayout>
      </c:layout>
      <c:barChart>
        <c:barDir val="col"/>
        <c:grouping val="clustered"/>
        <c:varyColors val="0"/>
        <c:ser>
          <c:idx val="0"/>
          <c:order val="0"/>
          <c:tx>
            <c:strRef>
              <c:f>Sheet3!$B$3:$B$5</c:f>
              <c:strCache>
                <c:ptCount val="1"/>
                <c:pt idx="0">
                  <c:v>Count of reading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61EB-4DD5-92E1-5B34C81C1221}"/>
            </c:ext>
          </c:extLst>
        </c:ser>
        <c:ser>
          <c:idx val="1"/>
          <c:order val="1"/>
          <c:tx>
            <c:strRef>
              <c:f>Sheet3!$C$3:$C$5</c:f>
              <c:strCache>
                <c:ptCount val="1"/>
                <c:pt idx="0">
                  <c:v>Count of reading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61EB-4DD5-92E1-5B34C81C1221}"/>
            </c:ext>
          </c:extLst>
        </c:ser>
        <c:ser>
          <c:idx val="2"/>
          <c:order val="2"/>
          <c:tx>
            <c:strRef>
              <c:f>Sheet3!$D$3:$D$5</c:f>
              <c:strCache>
                <c:ptCount val="1"/>
                <c:pt idx="0">
                  <c:v>Count of writing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61EB-4DD5-92E1-5B34C81C1221}"/>
            </c:ext>
          </c:extLst>
        </c:ser>
        <c:ser>
          <c:idx val="3"/>
          <c:order val="3"/>
          <c:tx>
            <c:strRef>
              <c:f>Sheet3!$E$3:$E$5</c:f>
              <c:strCache>
                <c:ptCount val="1"/>
                <c:pt idx="0">
                  <c:v>Count of writing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3-61EB-4DD5-92E1-5B34C81C1221}"/>
            </c:ext>
          </c:extLst>
        </c:ser>
        <c:ser>
          <c:idx val="4"/>
          <c:order val="4"/>
          <c:tx>
            <c:strRef>
              <c:f>Sheet3!$F$3:$F$5</c:f>
              <c:strCache>
                <c:ptCount val="1"/>
                <c:pt idx="0">
                  <c:v>Count of math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4-61EB-4DD5-92E1-5B34C81C1221}"/>
            </c:ext>
          </c:extLst>
        </c:ser>
        <c:ser>
          <c:idx val="5"/>
          <c:order val="5"/>
          <c:tx>
            <c:strRef>
              <c:f>Sheet3!$G$3:$G$5</c:f>
              <c:strCache>
                <c:ptCount val="1"/>
                <c:pt idx="0">
                  <c:v>Count of math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5-61EB-4DD5-92E1-5B34C81C1221}"/>
            </c:ext>
          </c:extLst>
        </c:ser>
        <c:dLbls>
          <c:showLegendKey val="0"/>
          <c:showVal val="0"/>
          <c:showCatName val="0"/>
          <c:showSerName val="0"/>
          <c:showPercent val="0"/>
          <c:showBubbleSize val="0"/>
        </c:dLbls>
        <c:gapWidth val="100"/>
        <c:overlap val="-24"/>
        <c:axId val="1482419791"/>
        <c:axId val="1482420271"/>
      </c:barChart>
      <c:catAx>
        <c:axId val="1482419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420271"/>
        <c:crosses val="autoZero"/>
        <c:auto val="1"/>
        <c:lblAlgn val="ctr"/>
        <c:lblOffset val="100"/>
        <c:noMultiLvlLbl val="0"/>
      </c:catAx>
      <c:valAx>
        <c:axId val="148242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2419791"/>
        <c:crosses val="autoZero"/>
        <c:crossBetween val="between"/>
      </c:valAx>
      <c:spPr>
        <a:noFill/>
        <a:ln>
          <a:noFill/>
        </a:ln>
        <a:effectLst/>
      </c:spPr>
    </c:plotArea>
    <c:legend>
      <c:legendPos val="r"/>
      <c:layout>
        <c:manualLayout>
          <c:xMode val="edge"/>
          <c:yMode val="edge"/>
          <c:x val="0.73138503031125324"/>
          <c:y val="0.28771745668502213"/>
          <c:w val="0.24434558332202669"/>
          <c:h val="0.63345988864449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(1).xlsx]Sheet3!PivotTable24</c:name>
    <c:fmtId val="17"/>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600" b="1" cap="none" spc="0" baseline="0">
                <a:ln w="22225">
                  <a:solidFill>
                    <a:schemeClr val="accent2"/>
                  </a:solidFill>
                  <a:prstDash val="solid"/>
                </a:ln>
                <a:solidFill>
                  <a:schemeClr val="dk1"/>
                </a:solidFill>
                <a:effectLst/>
                <a:latin typeface="+mn-lt"/>
                <a:ea typeface="+mn-ea"/>
                <a:cs typeface="+mn-cs"/>
              </a:rPr>
              <a:t>Percentage of student</a:t>
            </a:r>
            <a:endParaRPr lang="en-US" sz="1600" b="1" cap="none" spc="0">
              <a:ln w="22225">
                <a:solidFill>
                  <a:schemeClr val="accent2"/>
                </a:solidFill>
                <a:prstDash val="solid"/>
              </a:ln>
              <a:solidFill>
                <a:schemeClr val="tx1">
                  <a:lumMod val="85000"/>
                  <a:lumOff val="15000"/>
                </a:schemeClr>
              </a:solidFill>
              <a:effectLst/>
            </a:endParaRPr>
          </a:p>
        </c:rich>
      </c:tx>
      <c:layout>
        <c:manualLayout>
          <c:xMode val="edge"/>
          <c:yMode val="edge"/>
          <c:x val="0.18012179875522449"/>
          <c:y val="0.1361204519733373"/>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pivotFmt>
      <c:pivotFmt>
        <c:idx val="1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6"/>
        <c:spPr>
          <a:solidFill>
            <a:schemeClr val="accent1"/>
          </a:solidFill>
          <a:ln>
            <a:noFill/>
          </a:ln>
          <a:effectLst>
            <a:outerShdw blurRad="254000" sx="102000" sy="102000" algn="ctr" rotWithShape="0">
              <a:prstClr val="black">
                <a:alpha val="20000"/>
              </a:prstClr>
            </a:outerShdw>
          </a:effectLst>
        </c:spPr>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pivotFmt>
      <c:pivotFmt>
        <c:idx val="1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3"/>
        <c:spPr>
          <a:solidFill>
            <a:schemeClr val="accent1"/>
          </a:solidFill>
          <a:ln>
            <a:noFill/>
          </a:ln>
          <a:effectLst>
            <a:outerShdw blurRad="254000" sx="102000" sy="102000" algn="ctr" rotWithShape="0">
              <a:prstClr val="black">
                <a:alpha val="20000"/>
              </a:prstClr>
            </a:outerShdw>
          </a:effectLst>
        </c:spPr>
      </c:pivotFmt>
      <c:pivotFmt>
        <c:idx val="184"/>
        <c:spPr>
          <a:solidFill>
            <a:schemeClr val="accent1"/>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pivotFmt>
      <c:pivotFmt>
        <c:idx val="187"/>
        <c:spPr>
          <a:solidFill>
            <a:schemeClr val="accent1"/>
          </a:solidFill>
          <a:ln>
            <a:noFill/>
          </a:ln>
          <a:effectLst>
            <a:outerShdw blurRad="254000" sx="102000" sy="102000" algn="ctr" rotWithShape="0">
              <a:prstClr val="black">
                <a:alpha val="20000"/>
              </a:prstClr>
            </a:outerShdw>
          </a:effectLst>
        </c:spPr>
      </c:pivotFmt>
      <c:pivotFmt>
        <c:idx val="188"/>
        <c:spPr>
          <a:solidFill>
            <a:schemeClr val="accent1"/>
          </a:solidFill>
          <a:ln>
            <a:noFill/>
          </a:ln>
          <a:effectLst>
            <a:outerShdw blurRad="254000" sx="102000" sy="102000" algn="ctr" rotWithShape="0">
              <a:prstClr val="black">
                <a:alpha val="20000"/>
              </a:prstClr>
            </a:outerShdw>
          </a:effectLst>
        </c:spPr>
      </c:pivotFmt>
      <c:pivotFmt>
        <c:idx val="18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0"/>
        <c:spPr>
          <a:solidFill>
            <a:schemeClr val="accent1"/>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pivotFmt>
      <c:pivotFmt>
        <c:idx val="192"/>
        <c:spPr>
          <a:solidFill>
            <a:schemeClr val="accent1"/>
          </a:solidFill>
          <a:ln>
            <a:noFill/>
          </a:ln>
          <a:effectLst>
            <a:outerShdw blurRad="254000" sx="102000" sy="102000" algn="ctr" rotWithShape="0">
              <a:prstClr val="black">
                <a:alpha val="20000"/>
              </a:prstClr>
            </a:outerShdw>
          </a:effectLst>
        </c:spPr>
      </c:pivotFmt>
      <c:pivotFmt>
        <c:idx val="193"/>
        <c:spPr>
          <a:solidFill>
            <a:schemeClr val="accent1"/>
          </a:solidFill>
          <a:ln>
            <a:noFill/>
          </a:ln>
          <a:effectLst>
            <a:outerShdw blurRad="254000" sx="102000" sy="102000" algn="ctr" rotWithShape="0">
              <a:prstClr val="black">
                <a:alpha val="20000"/>
              </a:prstClr>
            </a:outerShdw>
          </a:effectLst>
        </c:spPr>
      </c:pivotFmt>
      <c:pivotFmt>
        <c:idx val="194"/>
        <c:spPr>
          <a:solidFill>
            <a:schemeClr val="accent1"/>
          </a:solidFill>
          <a:ln>
            <a:noFill/>
          </a:ln>
          <a:effectLst>
            <a:outerShdw blurRad="254000" sx="102000" sy="102000" algn="ctr" rotWithShape="0">
              <a:prstClr val="black">
                <a:alpha val="20000"/>
              </a:prstClr>
            </a:outerShdw>
          </a:effectLst>
        </c:spPr>
      </c:pivotFmt>
      <c:pivotFmt>
        <c:idx val="195"/>
        <c:spPr>
          <a:solidFill>
            <a:schemeClr val="accent1"/>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7"/>
        <c:spPr>
          <a:solidFill>
            <a:schemeClr val="accent1"/>
          </a:solidFill>
          <a:ln>
            <a:noFill/>
          </a:ln>
          <a:effectLst>
            <a:outerShdw blurRad="254000" sx="102000" sy="102000" algn="ctr" rotWithShape="0">
              <a:prstClr val="black">
                <a:alpha val="20000"/>
              </a:prstClr>
            </a:outerShdw>
          </a:effectLst>
        </c:spPr>
      </c:pivotFmt>
      <c:pivotFmt>
        <c:idx val="198"/>
        <c:spPr>
          <a:solidFill>
            <a:schemeClr val="accent1"/>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pivotFmt>
      <c:pivotFmt>
        <c:idx val="200"/>
        <c:spPr>
          <a:solidFill>
            <a:schemeClr val="accent1"/>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pivotFmt>
      <c:pivotFmt>
        <c:idx val="2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4"/>
        <c:spPr>
          <a:solidFill>
            <a:schemeClr val="accent1"/>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pivotFmt>
      <c:pivotFmt>
        <c:idx val="206"/>
        <c:spPr>
          <a:solidFill>
            <a:schemeClr val="accent1"/>
          </a:solidFill>
          <a:ln>
            <a:noFill/>
          </a:ln>
          <a:effectLst>
            <a:outerShdw blurRad="254000" sx="102000" sy="102000" algn="ctr" rotWithShape="0">
              <a:prstClr val="black">
                <a:alpha val="20000"/>
              </a:prstClr>
            </a:outerShdw>
          </a:effectLst>
        </c:spPr>
      </c:pivotFmt>
      <c:pivotFmt>
        <c:idx val="207"/>
        <c:spPr>
          <a:solidFill>
            <a:schemeClr val="accent1"/>
          </a:solidFill>
          <a:ln>
            <a:noFill/>
          </a:ln>
          <a:effectLst>
            <a:outerShdw blurRad="254000" sx="102000" sy="102000" algn="ctr" rotWithShape="0">
              <a:prstClr val="black">
                <a:alpha val="20000"/>
              </a:prstClr>
            </a:outerShdw>
          </a:effectLst>
        </c:spPr>
      </c:pivotFmt>
      <c:pivotFmt>
        <c:idx val="208"/>
        <c:spPr>
          <a:solidFill>
            <a:schemeClr val="accent1"/>
          </a:solidFill>
          <a:ln>
            <a:noFill/>
          </a:ln>
          <a:effectLst>
            <a:outerShdw blurRad="254000" sx="102000" sy="102000" algn="ctr" rotWithShape="0">
              <a:prstClr val="black">
                <a:alpha val="20000"/>
              </a:prstClr>
            </a:outerShdw>
          </a:effectLst>
        </c:spPr>
      </c:pivotFmt>
      <c:pivotFmt>
        <c:idx val="20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606780236505357E-2"/>
          <c:y val="0.29582542558515346"/>
          <c:w val="0.25156766290094862"/>
          <c:h val="0.62306954012581628"/>
        </c:manualLayout>
      </c:layout>
      <c:pieChart>
        <c:varyColors val="1"/>
        <c:ser>
          <c:idx val="0"/>
          <c:order val="0"/>
          <c:tx>
            <c:strRef>
              <c:f>Sheet3!$B$3:$B$5</c:f>
              <c:strCache>
                <c:ptCount val="1"/>
                <c:pt idx="0">
                  <c:v>Count of reading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C-7BC9-4553-BE88-A233D985CEBF}"/>
            </c:ext>
          </c:extLst>
        </c:ser>
        <c:ser>
          <c:idx val="1"/>
          <c:order val="1"/>
          <c:tx>
            <c:strRef>
              <c:f>Sheet3!$C$3:$C$5</c:f>
              <c:strCache>
                <c:ptCount val="1"/>
                <c:pt idx="0">
                  <c:v>Count of reading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19-7BC9-4553-BE88-A233D985CEBF}"/>
            </c:ext>
          </c:extLst>
        </c:ser>
        <c:ser>
          <c:idx val="2"/>
          <c:order val="2"/>
          <c:tx>
            <c:strRef>
              <c:f>Sheet3!$D$3:$D$5</c:f>
              <c:strCache>
                <c:ptCount val="1"/>
                <c:pt idx="0">
                  <c:v>Count of writing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26-7BC9-4553-BE88-A233D985CEBF}"/>
            </c:ext>
          </c:extLst>
        </c:ser>
        <c:ser>
          <c:idx val="3"/>
          <c:order val="3"/>
          <c:tx>
            <c:strRef>
              <c:f>Sheet3!$E$3:$E$5</c:f>
              <c:strCache>
                <c:ptCount val="1"/>
                <c:pt idx="0">
                  <c:v>Count of writing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C-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33-7BC9-4553-BE88-A233D985CEBF}"/>
            </c:ext>
          </c:extLst>
        </c:ser>
        <c:ser>
          <c:idx val="4"/>
          <c:order val="4"/>
          <c:tx>
            <c:strRef>
              <c:f>Sheet3!$F$3:$F$5</c:f>
              <c:strCache>
                <c:ptCount val="1"/>
                <c:pt idx="0">
                  <c:v>Count of math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40-7BC9-4553-BE88-A233D985CEBF}"/>
            </c:ext>
          </c:extLst>
        </c:ser>
        <c:ser>
          <c:idx val="5"/>
          <c:order val="5"/>
          <c:tx>
            <c:strRef>
              <c:f>Sheet3!$G$3:$G$5</c:f>
              <c:strCache>
                <c:ptCount val="1"/>
                <c:pt idx="0">
                  <c:v>Count of math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7BC9-4553-BE88-A233D985CE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7BC9-4553-BE88-A233D985CE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7BC9-4553-BE88-A233D985CE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8-7BC9-4553-BE88-A233D985CE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A-7BC9-4553-BE88-A233D985CE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C-7BC9-4553-BE88-A233D985CE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4D-7BC9-4553-BE88-A233D985CE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46929122728618011"/>
          <c:y val="0.34564915624798787"/>
          <c:w val="0.3999638300965076"/>
          <c:h val="0.54155225563415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(1).xlsx]Sheet4!PivotTable2</c:name>
    <c:fmtId val="1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Average</a:t>
            </a:r>
            <a:r>
              <a:rPr lang="en-IN" b="1" cap="none" spc="0" baseline="0">
                <a:ln w="22225">
                  <a:solidFill>
                    <a:schemeClr val="accent2"/>
                  </a:solidFill>
                  <a:prstDash val="solid"/>
                </a:ln>
                <a:solidFill>
                  <a:schemeClr val="dk1"/>
                </a:solidFill>
                <a:effectLst/>
                <a:latin typeface="+mn-lt"/>
                <a:ea typeface="+mn-ea"/>
                <a:cs typeface="+mn-cs"/>
              </a:rPr>
              <a:t> Scores</a:t>
            </a:r>
            <a:endParaRPr lang="en-IN" b="1" cap="none" spc="0" baseline="0">
              <a:ln w="22225">
                <a:solidFill>
                  <a:schemeClr val="accent2"/>
                </a:solidFill>
                <a:prstDash val="solid"/>
              </a:ln>
              <a:solidFill>
                <a:schemeClr val="tx1"/>
              </a:solidFill>
              <a:effectLst/>
            </a:endParaRPr>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97087901026792E-2"/>
          <c:y val="0.28672458209794011"/>
          <c:w val="0.69490296721706901"/>
          <c:h val="0.44654525403608836"/>
        </c:manualLayout>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1996-42AC-BE0A-1D7CCD338C70}"/>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1996-42AC-BE0A-1D7CCD338C70}"/>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1996-42AC-BE0A-1D7CCD338C70}"/>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4-2252-4854-B797-4537C3C632BD}"/>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5-2252-4854-B797-4537C3C632BD}"/>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6-2252-4854-B797-4537C3C632BD}"/>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95878271"/>
        <c:crosses val="autoZero"/>
        <c:crossBetween val="between"/>
      </c:valAx>
      <c:spPr>
        <a:noFill/>
        <a:ln>
          <a:noFill/>
        </a:ln>
        <a:effectLst/>
      </c:spPr>
    </c:plotArea>
    <c:legend>
      <c:legendPos val="r"/>
      <c:layout>
        <c:manualLayout>
          <c:xMode val="edge"/>
          <c:yMode val="edge"/>
          <c:x val="0.81176881580870974"/>
          <c:y val="0.23771979270380758"/>
          <c:w val="0.18823118627677859"/>
          <c:h val="0.42335974009289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(1).xlsx]Sheet4!PivotTable2</c:name>
    <c:fmtId val="2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b="1" cap="none" spc="0">
                <a:ln w="22225">
                  <a:solidFill>
                    <a:schemeClr val="accent2"/>
                  </a:solidFill>
                  <a:prstDash val="solid"/>
                </a:ln>
                <a:solidFill>
                  <a:schemeClr val="dk1"/>
                </a:solidFill>
                <a:effectLst/>
                <a:latin typeface="+mn-lt"/>
                <a:ea typeface="+mn-ea"/>
                <a:cs typeface="+mn-cs"/>
              </a:rPr>
              <a:t>Average Math Scores</a:t>
            </a:r>
            <a:endParaRPr lang="en-US" b="1" cap="none" spc="0">
              <a:ln w="22225">
                <a:solidFill>
                  <a:schemeClr val="accent2"/>
                </a:solidFill>
                <a:prstDash val="solid"/>
              </a:ln>
              <a:solidFill>
                <a:schemeClr val="tx1"/>
              </a:solidFill>
              <a:effectLst/>
            </a:endParaRPr>
          </a:p>
        </c:rich>
      </c:tx>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899069879786952E-3"/>
          <c:y val="0.41347790189791822"/>
          <c:w val="0.58651561219522874"/>
          <c:h val="0.42132377645872998"/>
        </c:manualLayout>
      </c:layout>
      <c:pie3DChart>
        <c:varyColors val="1"/>
        <c:ser>
          <c:idx val="0"/>
          <c:order val="0"/>
          <c:tx>
            <c:strRef>
              <c:f>Sheet4!$B$3:$B$5</c:f>
              <c:strCache>
                <c:ptCount val="1"/>
                <c:pt idx="0">
                  <c:v>Average of math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A-8EE5-404E-B9AB-9AF9F92E9AC2}"/>
            </c:ext>
          </c:extLst>
        </c:ser>
        <c:ser>
          <c:idx val="1"/>
          <c:order val="1"/>
          <c:tx>
            <c:strRef>
              <c:f>Sheet4!$C$3:$C$5</c:f>
              <c:strCache>
                <c:ptCount val="1"/>
                <c:pt idx="0">
                  <c:v>Average of math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15-8EE5-404E-B9AB-9AF9F92E9AC2}"/>
            </c:ext>
          </c:extLst>
        </c:ser>
        <c:ser>
          <c:idx val="2"/>
          <c:order val="2"/>
          <c:tx>
            <c:strRef>
              <c:f>Sheet4!$D$3:$D$5</c:f>
              <c:strCache>
                <c:ptCount val="1"/>
                <c:pt idx="0">
                  <c:v>Average of reading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8EE5-404E-B9AB-9AF9F92E9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8EE5-404E-B9AB-9AF9F92E9A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8EE5-404E-B9AB-9AF9F92E9AC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8EE5-404E-B9AB-9AF9F92E9AC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8EE5-404E-B9AB-9AF9F92E9AC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20-8EE5-404E-B9AB-9AF9F92E9AC2}"/>
            </c:ext>
          </c:extLst>
        </c:ser>
        <c:ser>
          <c:idx val="3"/>
          <c:order val="3"/>
          <c:tx>
            <c:strRef>
              <c:f>Sheet4!$E$3:$E$5</c:f>
              <c:strCache>
                <c:ptCount val="1"/>
                <c:pt idx="0">
                  <c:v>Average of reading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22-156C-4E59-BCCB-958E82E48669}"/>
            </c:ext>
          </c:extLst>
        </c:ser>
        <c:ser>
          <c:idx val="4"/>
          <c:order val="4"/>
          <c:tx>
            <c:strRef>
              <c:f>Sheet4!$F$3:$F$5</c:f>
              <c:strCache>
                <c:ptCount val="1"/>
                <c:pt idx="0">
                  <c:v>Average of writing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23-156C-4E59-BCCB-958E82E48669}"/>
            </c:ext>
          </c:extLst>
        </c:ser>
        <c:ser>
          <c:idx val="5"/>
          <c:order val="5"/>
          <c:tx>
            <c:strRef>
              <c:f>Sheet4!$G$3:$G$5</c:f>
              <c:strCache>
                <c:ptCount val="1"/>
                <c:pt idx="0">
                  <c:v>Average of writing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24-156C-4E59-BCCB-958E82E4866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12096607421518"/>
          <c:y val="0.34867104053424042"/>
          <c:w val="0.33333333333333331"/>
          <c:h val="0.43943247077098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(1).xlsx]Sheet5!PivotTable4</c:name>
    <c:fmtId val="9"/>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Math</a:t>
            </a:r>
            <a:r>
              <a:rPr lang="en-IN" b="1" cap="none" spc="0" baseline="0">
                <a:ln w="22225">
                  <a:solidFill>
                    <a:schemeClr val="accent2"/>
                  </a:solidFill>
                  <a:prstDash val="solid"/>
                </a:ln>
                <a:solidFill>
                  <a:schemeClr val="dk1"/>
                </a:solidFill>
                <a:effectLst/>
                <a:latin typeface="+mn-lt"/>
                <a:ea typeface="+mn-ea"/>
                <a:cs typeface="+mn-cs"/>
              </a:rPr>
              <a:t> Scores based Groups</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15166770077576233"/>
          <c:y val="9.7135500561430957E-2"/>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4586325265833"/>
          <c:y val="0.15757439434231738"/>
          <c:w val="0.60579222072943972"/>
          <c:h val="0.53691670969830285"/>
        </c:manualLayout>
      </c:layout>
      <c:barChart>
        <c:barDir val="col"/>
        <c:grouping val="clustered"/>
        <c:varyColors val="0"/>
        <c:ser>
          <c:idx val="0"/>
          <c:order val="0"/>
          <c:tx>
            <c:strRef>
              <c:f>Sheet5!$B$3:$B$5</c:f>
              <c:strCache>
                <c:ptCount val="1"/>
                <c:pt idx="0">
                  <c:v>female - group 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E939-47A0-9529-082108B5E2F0}"/>
            </c:ext>
          </c:extLst>
        </c:ser>
        <c:ser>
          <c:idx val="1"/>
          <c:order val="1"/>
          <c:tx>
            <c:strRef>
              <c:f>Sheet5!$D$3:$D$5</c:f>
              <c:strCache>
                <c:ptCount val="1"/>
                <c:pt idx="0">
                  <c:v>male - group 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07-7C56-4D22-A1D4-109C45C2F63E}"/>
            </c:ext>
          </c:extLst>
        </c:ser>
        <c:dLbls>
          <c:showLegendKey val="0"/>
          <c:showVal val="0"/>
          <c:showCatName val="0"/>
          <c:showSerName val="0"/>
          <c:showPercent val="0"/>
          <c:showBubbleSize val="0"/>
        </c:dLbls>
        <c:gapWidth val="100"/>
        <c:overlap val="-24"/>
        <c:axId val="787276143"/>
        <c:axId val="787272783"/>
      </c:barChart>
      <c:catAx>
        <c:axId val="78727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2783"/>
        <c:crosses val="autoZero"/>
        <c:auto val="1"/>
        <c:lblAlgn val="ctr"/>
        <c:lblOffset val="100"/>
        <c:noMultiLvlLbl val="0"/>
      </c:catAx>
      <c:valAx>
        <c:axId val="787272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(1).xlsx]Sheet5!PivotTable4</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b="1" cap="none" spc="0">
                <a:ln w="22225">
                  <a:solidFill>
                    <a:schemeClr val="accent2"/>
                  </a:solidFill>
                  <a:prstDash val="solid"/>
                </a:ln>
                <a:solidFill>
                  <a:schemeClr val="dk1"/>
                </a:solidFill>
                <a:effectLst/>
                <a:latin typeface="+mn-lt"/>
                <a:ea typeface="+mn-ea"/>
                <a:cs typeface="+mn-cs"/>
              </a:rPr>
              <a:t>Group</a:t>
            </a:r>
            <a:r>
              <a:rPr lang="en-IN" b="1" cap="none" spc="0" baseline="0">
                <a:ln w="22225">
                  <a:solidFill>
                    <a:schemeClr val="accent2"/>
                  </a:solidFill>
                  <a:prstDash val="solid"/>
                </a:ln>
                <a:solidFill>
                  <a:schemeClr val="dk1"/>
                </a:solidFill>
                <a:effectLst/>
                <a:latin typeface="+mn-lt"/>
                <a:ea typeface="+mn-ea"/>
                <a:cs typeface="+mn-cs"/>
              </a:rPr>
              <a:t> by Math Score</a:t>
            </a:r>
            <a:endParaRPr lang="en-IN" b="1" cap="none" spc="0">
              <a:ln w="22225">
                <a:solidFill>
                  <a:schemeClr val="accent2"/>
                </a:solidFill>
                <a:prstDash val="solid"/>
              </a:ln>
              <a:solidFill>
                <a:schemeClr val="tx1">
                  <a:lumMod val="85000"/>
                  <a:lumOff val="15000"/>
                </a:schemeClr>
              </a:solidFill>
              <a:effectLst/>
            </a:endParaRPr>
          </a:p>
        </c:rich>
      </c:tx>
      <c:layout>
        <c:manualLayout>
          <c:xMode val="edge"/>
          <c:yMode val="edge"/>
          <c:x val="0.21798608669061997"/>
          <c:y val="6.2704087959327068E-2"/>
        </c:manualLayout>
      </c:layout>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3736013261500203E-2"/>
          <c:y val="0.26414973329946662"/>
          <c:w val="0.28370641169853772"/>
          <c:h val="0.60859601219202442"/>
        </c:manualLayout>
      </c:layout>
      <c:pieChart>
        <c:varyColors val="1"/>
        <c:ser>
          <c:idx val="0"/>
          <c:order val="0"/>
          <c:tx>
            <c:strRef>
              <c:f>Sheet5!$B$3:$B$5</c:f>
              <c:strCache>
                <c:ptCount val="1"/>
                <c:pt idx="0">
                  <c:v>female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A2-479B-94CD-9BA16C6C70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A2-479B-94CD-9BA16C6C70A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A2-479B-94CD-9BA16C6C70A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6A2-479B-94CD-9BA16C6C70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8-86A2-479B-94CD-9BA16C6C70AC}"/>
            </c:ext>
          </c:extLst>
        </c:ser>
        <c:ser>
          <c:idx val="1"/>
          <c:order val="1"/>
          <c:tx>
            <c:strRef>
              <c:f>Sheet5!$D$3:$D$5</c:f>
              <c:strCache>
                <c:ptCount val="1"/>
                <c:pt idx="0">
                  <c:v>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57-FD2D-41E1-AC7F-6716254780B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523829258184835"/>
          <c:y val="0.30311150622301247"/>
          <c:w val="0.33333323215549171"/>
          <c:h val="0.25295446090717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(1).xlsx]Sheet1!PivotTable14</c:name>
    <c:fmtId val="6"/>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b="1" cap="none" spc="0">
                <a:ln w="22225">
                  <a:solidFill>
                    <a:schemeClr val="accent2"/>
                  </a:solidFill>
                  <a:prstDash val="solid"/>
                </a:ln>
                <a:solidFill>
                  <a:schemeClr val="tx1">
                    <a:lumMod val="85000"/>
                    <a:lumOff val="15000"/>
                  </a:schemeClr>
                </a:solidFill>
                <a:effectLst/>
                <a:latin typeface="+mn-lt"/>
                <a:ea typeface="+mn-ea"/>
                <a:cs typeface="+mn-cs"/>
              </a:rPr>
              <a:t>Sum of scores by gender</a:t>
            </a:r>
            <a:endParaRPr lang="en-IN" b="1" cap="none" spc="0">
              <a:ln w="22225">
                <a:solidFill>
                  <a:schemeClr val="accent2"/>
                </a:solidFill>
                <a:prstDash val="solid"/>
              </a:ln>
              <a:solidFill>
                <a:schemeClr val="tx1">
                  <a:lumMod val="85000"/>
                  <a:lumOff val="15000"/>
                </a:schemeClr>
              </a:solidFill>
              <a:effectLst/>
            </a:endParaRPr>
          </a:p>
        </c:rich>
      </c:tx>
      <c:overlay val="0"/>
      <c:spPr>
        <a:solidFill>
          <a:schemeClr val="accent6">
            <a:lumMod val="60000"/>
            <a:lumOff val="40000"/>
          </a:schemeClr>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writing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Sheet1!$B$4:$B$5</c:f>
              <c:numCache>
                <c:formatCode>000</c:formatCode>
                <c:ptCount val="2"/>
                <c:pt idx="0">
                  <c:v>37538</c:v>
                </c:pt>
                <c:pt idx="1">
                  <c:v>30516</c:v>
                </c:pt>
              </c:numCache>
            </c:numRef>
          </c:val>
          <c:extLst>
            <c:ext xmlns:c16="http://schemas.microsoft.com/office/drawing/2014/chart" uri="{C3380CC4-5D6E-409C-BE32-E72D297353CC}">
              <c16:uniqueId val="{00000000-A3F9-4783-8DDE-75D8CD6A0602}"/>
            </c:ext>
          </c:extLst>
        </c:ser>
        <c:ser>
          <c:idx val="1"/>
          <c:order val="1"/>
          <c:tx>
            <c:strRef>
              <c:f>Sheet1!$C$3</c:f>
              <c:strCache>
                <c:ptCount val="1"/>
                <c:pt idx="0">
                  <c:v>Sum of reading score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Sheet1!$C$4:$C$5</c:f>
              <c:numCache>
                <c:formatCode>000</c:formatCode>
                <c:ptCount val="2"/>
                <c:pt idx="0">
                  <c:v>37611</c:v>
                </c:pt>
                <c:pt idx="1">
                  <c:v>31558</c:v>
                </c:pt>
              </c:numCache>
            </c:numRef>
          </c:val>
          <c:extLst>
            <c:ext xmlns:c16="http://schemas.microsoft.com/office/drawing/2014/chart" uri="{C3380CC4-5D6E-409C-BE32-E72D297353CC}">
              <c16:uniqueId val="{00000001-A3F9-4783-8DDE-75D8CD6A0602}"/>
            </c:ext>
          </c:extLst>
        </c:ser>
        <c:ser>
          <c:idx val="2"/>
          <c:order val="2"/>
          <c:tx>
            <c:strRef>
              <c:f>Sheet1!$D$3</c:f>
              <c:strCache>
                <c:ptCount val="1"/>
                <c:pt idx="0">
                  <c:v>Sum of math score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2"/>
                <c:pt idx="0">
                  <c:v>female</c:v>
                </c:pt>
                <c:pt idx="1">
                  <c:v>male</c:v>
                </c:pt>
              </c:strCache>
            </c:strRef>
          </c:cat>
          <c:val>
            <c:numRef>
              <c:f>Sheet1!$D$4:$D$5</c:f>
              <c:numCache>
                <c:formatCode>000</c:formatCode>
                <c:ptCount val="2"/>
                <c:pt idx="0">
                  <c:v>32962</c:v>
                </c:pt>
                <c:pt idx="1">
                  <c:v>33127</c:v>
                </c:pt>
              </c:numCache>
            </c:numRef>
          </c:val>
          <c:extLst>
            <c:ext xmlns:c16="http://schemas.microsoft.com/office/drawing/2014/chart" uri="{C3380CC4-5D6E-409C-BE32-E72D297353CC}">
              <c16:uniqueId val="{00000002-A3F9-4783-8DDE-75D8CD6A0602}"/>
            </c:ext>
          </c:extLst>
        </c:ser>
        <c:dLbls>
          <c:dLblPos val="inEnd"/>
          <c:showLegendKey val="0"/>
          <c:showVal val="1"/>
          <c:showCatName val="0"/>
          <c:showSerName val="0"/>
          <c:showPercent val="0"/>
          <c:showBubbleSize val="0"/>
        </c:dLbls>
        <c:gapWidth val="65"/>
        <c:axId val="1268024016"/>
        <c:axId val="1268031216"/>
      </c:barChart>
      <c:catAx>
        <c:axId val="1268024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31216"/>
        <c:crosses val="autoZero"/>
        <c:auto val="1"/>
        <c:lblAlgn val="ctr"/>
        <c:lblOffset val="100"/>
        <c:noMultiLvlLbl val="0"/>
      </c:catAx>
      <c:valAx>
        <c:axId val="1268031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68024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(1).xlsx]Sheet3!PivotTable24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percentage of student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Sheet3!$B$3:$B$5</c:f>
              <c:strCache>
                <c:ptCount val="1"/>
                <c:pt idx="0">
                  <c:v>Count of reading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4FF2-4857-A1AC-5CDC0DE4679C}"/>
            </c:ext>
          </c:extLst>
        </c:ser>
        <c:ser>
          <c:idx val="1"/>
          <c:order val="1"/>
          <c:tx>
            <c:strRef>
              <c:f>Sheet3!$C$3:$C$5</c:f>
              <c:strCache>
                <c:ptCount val="1"/>
                <c:pt idx="0">
                  <c:v>Count of reading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4FF2-4857-A1AC-5CDC0DE4679C}"/>
            </c:ext>
          </c:extLst>
        </c:ser>
        <c:ser>
          <c:idx val="2"/>
          <c:order val="2"/>
          <c:tx>
            <c:strRef>
              <c:f>Sheet3!$D$3:$D$5</c:f>
              <c:strCache>
                <c:ptCount val="1"/>
                <c:pt idx="0">
                  <c:v>Count of writing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ED83-4A35-8DB4-D832177E0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ED83-4A35-8DB4-D832177E0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ED83-4A35-8DB4-D832177E0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ED83-4A35-8DB4-D832177E0F1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ED83-4A35-8DB4-D832177E0F1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ED83-4A35-8DB4-D832177E0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4FF2-4857-A1AC-5CDC0DE4679C}"/>
            </c:ext>
          </c:extLst>
        </c:ser>
        <c:ser>
          <c:idx val="3"/>
          <c:order val="3"/>
          <c:tx>
            <c:strRef>
              <c:f>Sheet3!$E$3:$E$5</c:f>
              <c:strCache>
                <c:ptCount val="1"/>
                <c:pt idx="0">
                  <c:v>Count of writing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4F-ED83-4A35-8DB4-D832177E0F11}"/>
            </c:ext>
          </c:extLst>
        </c:ser>
        <c:ser>
          <c:idx val="4"/>
          <c:order val="4"/>
          <c:tx>
            <c:strRef>
              <c:f>Sheet3!$F$3:$F$5</c:f>
              <c:strCache>
                <c:ptCount val="1"/>
                <c:pt idx="0">
                  <c:v>Count of math -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50-ED83-4A35-8DB4-D832177E0F11}"/>
            </c:ext>
          </c:extLst>
        </c:ser>
        <c:ser>
          <c:idx val="5"/>
          <c:order val="5"/>
          <c:tx>
            <c:strRef>
              <c:f>Sheet3!$G$3:$G$5</c:f>
              <c:strCache>
                <c:ptCount val="1"/>
                <c:pt idx="0">
                  <c:v>Count of math - 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F8D3-4322-A3D7-E64513AB23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F8D3-4322-A3D7-E64513AB23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F8D3-4322-A3D7-E64513AB237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F8D3-4322-A3D7-E64513AB237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F8D3-4322-A3D7-E64513AB237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F8D3-4322-A3D7-E64513AB23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51-ED83-4A35-8DB4-D832177E0F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100000" t="100000"/>
      </a:path>
      <a:tileRect r="-100000" b="-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(1).xlsx]Sheet3!PivotTable24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Count of student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91450167619992E-2"/>
          <c:y val="0.12898838081869909"/>
          <c:w val="0.6044925068285133"/>
          <c:h val="0.65604366173596118"/>
        </c:manualLayout>
      </c:layout>
      <c:barChart>
        <c:barDir val="col"/>
        <c:grouping val="clustered"/>
        <c:varyColors val="0"/>
        <c:ser>
          <c:idx val="0"/>
          <c:order val="0"/>
          <c:tx>
            <c:strRef>
              <c:f>Sheet3!$B$3:$B$5</c:f>
              <c:strCache>
                <c:ptCount val="1"/>
                <c:pt idx="0">
                  <c:v>Count of reading - 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Sheet3!$B$6:$B$10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0-C41E-400A-B14C-65FE0F9545B5}"/>
            </c:ext>
          </c:extLst>
        </c:ser>
        <c:ser>
          <c:idx val="1"/>
          <c:order val="1"/>
          <c:tx>
            <c:strRef>
              <c:f>Sheet3!$C$3:$C$5</c:f>
              <c:strCache>
                <c:ptCount val="1"/>
                <c:pt idx="0">
                  <c:v>Count of reading - 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Sheet3!$C$6:$C$10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1-C41E-400A-B14C-65FE0F9545B5}"/>
            </c:ext>
          </c:extLst>
        </c:ser>
        <c:ser>
          <c:idx val="2"/>
          <c:order val="2"/>
          <c:tx>
            <c:strRef>
              <c:f>Sheet3!$D$3:$D$5</c:f>
              <c:strCache>
                <c:ptCount val="1"/>
                <c:pt idx="0">
                  <c:v>Count of writing - female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Sheet3!$D$6:$D$10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2-C41E-400A-B14C-65FE0F9545B5}"/>
            </c:ext>
          </c:extLst>
        </c:ser>
        <c:ser>
          <c:idx val="3"/>
          <c:order val="3"/>
          <c:tx>
            <c:strRef>
              <c:f>Sheet3!$E$3:$E$5</c:f>
              <c:strCache>
                <c:ptCount val="1"/>
                <c:pt idx="0">
                  <c:v>Count of writing - male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Sheet3!$E$6:$E$10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7-C41E-400A-B14C-65FE0F9545B5}"/>
            </c:ext>
          </c:extLst>
        </c:ser>
        <c:ser>
          <c:idx val="4"/>
          <c:order val="4"/>
          <c:tx>
            <c:strRef>
              <c:f>Sheet3!$F$3:$F$5</c:f>
              <c:strCache>
                <c:ptCount val="1"/>
                <c:pt idx="0">
                  <c:v>Count of math - female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Sheet3!$F$6:$F$10</c:f>
              <c:numCache>
                <c:formatCode>General</c:formatCode>
                <c:ptCount val="4"/>
                <c:pt idx="0">
                  <c:v>116</c:v>
                </c:pt>
                <c:pt idx="1">
                  <c:v>36</c:v>
                </c:pt>
                <c:pt idx="2">
                  <c:v>118</c:v>
                </c:pt>
                <c:pt idx="3">
                  <c:v>91</c:v>
                </c:pt>
              </c:numCache>
            </c:numRef>
          </c:val>
          <c:extLst>
            <c:ext xmlns:c16="http://schemas.microsoft.com/office/drawing/2014/chart" uri="{C3380CC4-5D6E-409C-BE32-E72D297353CC}">
              <c16:uniqueId val="{00000008-C41E-400A-B14C-65FE0F9545B5}"/>
            </c:ext>
          </c:extLst>
        </c:ser>
        <c:ser>
          <c:idx val="5"/>
          <c:order val="5"/>
          <c:tx>
            <c:strRef>
              <c:f>Sheet3!$G$3:$G$5</c:f>
              <c:strCache>
                <c:ptCount val="1"/>
                <c:pt idx="0">
                  <c:v>Count of math - male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Sheet3!$A$6:$A$10</c:f>
              <c:strCache>
                <c:ptCount val="4"/>
                <c:pt idx="0">
                  <c:v>associate's degree</c:v>
                </c:pt>
                <c:pt idx="1">
                  <c:v>master's degree</c:v>
                </c:pt>
                <c:pt idx="2">
                  <c:v>some college</c:v>
                </c:pt>
                <c:pt idx="3">
                  <c:v>some high school</c:v>
                </c:pt>
              </c:strCache>
            </c:strRef>
          </c:cat>
          <c:val>
            <c:numRef>
              <c:f>Sheet3!$G$6:$G$10</c:f>
              <c:numCache>
                <c:formatCode>General</c:formatCode>
                <c:ptCount val="4"/>
                <c:pt idx="0">
                  <c:v>106</c:v>
                </c:pt>
                <c:pt idx="1">
                  <c:v>23</c:v>
                </c:pt>
                <c:pt idx="2">
                  <c:v>108</c:v>
                </c:pt>
                <c:pt idx="3">
                  <c:v>88</c:v>
                </c:pt>
              </c:numCache>
            </c:numRef>
          </c:val>
          <c:extLst>
            <c:ext xmlns:c16="http://schemas.microsoft.com/office/drawing/2014/chart" uri="{C3380CC4-5D6E-409C-BE32-E72D297353CC}">
              <c16:uniqueId val="{00000009-C41E-400A-B14C-65FE0F9545B5}"/>
            </c:ext>
          </c:extLst>
        </c:ser>
        <c:dLbls>
          <c:dLblPos val="inEnd"/>
          <c:showLegendKey val="0"/>
          <c:showVal val="1"/>
          <c:showCatName val="0"/>
          <c:showSerName val="0"/>
          <c:showPercent val="0"/>
          <c:showBubbleSize val="0"/>
        </c:dLbls>
        <c:gapWidth val="65"/>
        <c:axId val="1482419791"/>
        <c:axId val="1482420271"/>
      </c:barChart>
      <c:catAx>
        <c:axId val="1482419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2420271"/>
        <c:crosses val="autoZero"/>
        <c:auto val="1"/>
        <c:lblAlgn val="ctr"/>
        <c:lblOffset val="100"/>
        <c:noMultiLvlLbl val="0"/>
      </c:catAx>
      <c:valAx>
        <c:axId val="14824202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824197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(1).xlsx]Sheet4!PivotTable2</c:name>
    <c:fmtId val="1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b="1" cap="none" spc="0">
                <a:ln w="22225">
                  <a:solidFill>
                    <a:schemeClr val="accent2"/>
                  </a:solidFill>
                  <a:prstDash val="solid"/>
                </a:ln>
                <a:solidFill>
                  <a:schemeClr val="tx1"/>
                </a:solidFill>
                <a:effectLst/>
                <a:latin typeface="+mn-lt"/>
                <a:ea typeface="+mn-ea"/>
                <a:cs typeface="+mn-cs"/>
              </a:rPr>
              <a:t>Average</a:t>
            </a:r>
            <a:r>
              <a:rPr lang="en-IN" b="1" cap="none" spc="0" baseline="0">
                <a:ln w="22225">
                  <a:solidFill>
                    <a:schemeClr val="accent2"/>
                  </a:solidFill>
                  <a:prstDash val="solid"/>
                </a:ln>
                <a:solidFill>
                  <a:schemeClr val="tx1"/>
                </a:solidFill>
                <a:effectLst/>
                <a:latin typeface="+mn-lt"/>
                <a:ea typeface="+mn-ea"/>
                <a:cs typeface="+mn-cs"/>
              </a:rPr>
              <a:t> Scores</a:t>
            </a:r>
            <a:endParaRPr lang="en-IN" b="1" cap="none" spc="0" baseline="0">
              <a:ln w="22225">
                <a:solidFill>
                  <a:schemeClr val="accent2"/>
                </a:solidFill>
                <a:prstDash val="solid"/>
              </a:ln>
              <a:solidFill>
                <a:schemeClr val="tx1"/>
              </a:solidFill>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Average of math score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0-1E35-4081-8E25-90F0B44C946D}"/>
            </c:ext>
          </c:extLst>
        </c:ser>
        <c:ser>
          <c:idx val="1"/>
          <c:order val="1"/>
          <c:tx>
            <c:strRef>
              <c:f>Sheet4!$C$3:$C$5</c:f>
              <c:strCache>
                <c:ptCount val="1"/>
                <c:pt idx="0">
                  <c:v>Average of math score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1-1E35-4081-8E25-90F0B44C946D}"/>
            </c:ext>
          </c:extLst>
        </c:ser>
        <c:ser>
          <c:idx val="2"/>
          <c:order val="2"/>
          <c:tx>
            <c:strRef>
              <c:f>Sheet4!$D$3:$D$5</c:f>
              <c:strCache>
                <c:ptCount val="1"/>
                <c:pt idx="0">
                  <c:v>Average of reading score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02-1E35-4081-8E25-90F0B44C946D}"/>
            </c:ext>
          </c:extLst>
        </c:ser>
        <c:ser>
          <c:idx val="3"/>
          <c:order val="3"/>
          <c:tx>
            <c:strRef>
              <c:f>Sheet4!$E$3:$E$5</c:f>
              <c:strCache>
                <c:ptCount val="1"/>
                <c:pt idx="0">
                  <c:v>Average of reading score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03-563E-4D12-AD34-D2BFAFF8242B}"/>
            </c:ext>
          </c:extLst>
        </c:ser>
        <c:ser>
          <c:idx val="4"/>
          <c:order val="4"/>
          <c:tx>
            <c:strRef>
              <c:f>Sheet4!$F$3:$F$5</c:f>
              <c:strCache>
                <c:ptCount val="1"/>
                <c:pt idx="0">
                  <c:v>Average of writing score - female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04-563E-4D12-AD34-D2BFAFF8242B}"/>
            </c:ext>
          </c:extLst>
        </c:ser>
        <c:ser>
          <c:idx val="5"/>
          <c:order val="5"/>
          <c:tx>
            <c:strRef>
              <c:f>Sheet4!$G$3:$G$5</c:f>
              <c:strCache>
                <c:ptCount val="1"/>
                <c:pt idx="0">
                  <c:v>Average of writing score - 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05-563E-4D12-AD34-D2BFAFF8242B}"/>
            </c:ext>
          </c:extLst>
        </c:ser>
        <c:dLbls>
          <c:showLegendKey val="0"/>
          <c:showVal val="0"/>
          <c:showCatName val="0"/>
          <c:showSerName val="0"/>
          <c:showPercent val="0"/>
          <c:showBubbleSize val="0"/>
        </c:dLbls>
        <c:gapWidth val="100"/>
        <c:overlap val="-24"/>
        <c:axId val="795878271"/>
        <c:axId val="795878751"/>
      </c:barChart>
      <c:catAx>
        <c:axId val="795878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751"/>
        <c:crosses val="autoZero"/>
        <c:auto val="1"/>
        <c:lblAlgn val="ctr"/>
        <c:lblOffset val="100"/>
        <c:noMultiLvlLbl val="0"/>
      </c:catAx>
      <c:valAx>
        <c:axId val="79587875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587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accent2">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(1).xlsx]Sheet4!PivotTable2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cap="none" spc="0">
                <a:ln w="22225">
                  <a:solidFill>
                    <a:schemeClr val="accent2"/>
                  </a:solidFill>
                  <a:prstDash val="solid"/>
                </a:ln>
                <a:solidFill>
                  <a:schemeClr val="tx1"/>
                </a:solidFill>
                <a:effectLst/>
              </a:rPr>
              <a:t>Average of math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Sheet4!$B$3:$B$5</c:f>
              <c:strCache>
                <c:ptCount val="1"/>
                <c:pt idx="0">
                  <c:v>Average of math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Sheet4!$B$6:$B$12</c:f>
              <c:numCache>
                <c:formatCode>00</c:formatCode>
                <c:ptCount val="6"/>
                <c:pt idx="0">
                  <c:v>65.25</c:v>
                </c:pt>
                <c:pt idx="1">
                  <c:v>68.349206349206355</c:v>
                </c:pt>
                <c:pt idx="2">
                  <c:v>59.351063829787236</c:v>
                </c:pt>
                <c:pt idx="3">
                  <c:v>66.5</c:v>
                </c:pt>
                <c:pt idx="4">
                  <c:v>65.406779661016955</c:v>
                </c:pt>
                <c:pt idx="5">
                  <c:v>59.296703296703299</c:v>
                </c:pt>
              </c:numCache>
            </c:numRef>
          </c:val>
          <c:extLst>
            <c:ext xmlns:c16="http://schemas.microsoft.com/office/drawing/2014/chart" uri="{C3380CC4-5D6E-409C-BE32-E72D297353CC}">
              <c16:uniqueId val="{00000006-D395-4D2D-8ED5-DED6C2E94C82}"/>
            </c:ext>
          </c:extLst>
        </c:ser>
        <c:ser>
          <c:idx val="1"/>
          <c:order val="1"/>
          <c:tx>
            <c:strRef>
              <c:f>Sheet4!$C$3:$C$5</c:f>
              <c:strCache>
                <c:ptCount val="1"/>
                <c:pt idx="0">
                  <c:v>Average of math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Sheet4!$C$6:$C$12</c:f>
              <c:numCache>
                <c:formatCode>00</c:formatCode>
                <c:ptCount val="6"/>
                <c:pt idx="0">
                  <c:v>70.764150943396231</c:v>
                </c:pt>
                <c:pt idx="1">
                  <c:v>70.581818181818178</c:v>
                </c:pt>
                <c:pt idx="2">
                  <c:v>64.705882352941174</c:v>
                </c:pt>
                <c:pt idx="3">
                  <c:v>74.826086956521735</c:v>
                </c:pt>
                <c:pt idx="4">
                  <c:v>69.009259259259252</c:v>
                </c:pt>
                <c:pt idx="5">
                  <c:v>67.840909090909093</c:v>
                </c:pt>
              </c:numCache>
            </c:numRef>
          </c:val>
          <c:extLst>
            <c:ext xmlns:c16="http://schemas.microsoft.com/office/drawing/2014/chart" uri="{C3380CC4-5D6E-409C-BE32-E72D297353CC}">
              <c16:uniqueId val="{0000000D-D395-4D2D-8ED5-DED6C2E94C82}"/>
            </c:ext>
          </c:extLst>
        </c:ser>
        <c:ser>
          <c:idx val="2"/>
          <c:order val="2"/>
          <c:tx>
            <c:strRef>
              <c:f>Sheet4!$D$3:$D$5</c:f>
              <c:strCache>
                <c:ptCount val="1"/>
                <c:pt idx="0">
                  <c:v>Average of reading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395-4D2D-8ED5-DED6C2E94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395-4D2D-8ED5-DED6C2E94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395-4D2D-8ED5-DED6C2E94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2F3-4ED6-9162-CD565E5288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2F3-4ED6-9162-CD565E52881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elete val="1"/>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Sheet4!$D$6:$D$12</c:f>
              <c:numCache>
                <c:formatCode>00</c:formatCode>
                <c:ptCount val="6"/>
                <c:pt idx="0">
                  <c:v>74.120689655172413</c:v>
                </c:pt>
                <c:pt idx="1">
                  <c:v>77.285714285714292</c:v>
                </c:pt>
                <c:pt idx="2">
                  <c:v>68.202127659574472</c:v>
                </c:pt>
                <c:pt idx="3">
                  <c:v>76.805555555555557</c:v>
                </c:pt>
                <c:pt idx="4">
                  <c:v>73.550847457627114</c:v>
                </c:pt>
                <c:pt idx="5">
                  <c:v>69.109890109890117</c:v>
                </c:pt>
              </c:numCache>
            </c:numRef>
          </c:val>
          <c:extLst>
            <c:ext xmlns:c16="http://schemas.microsoft.com/office/drawing/2014/chart" uri="{C3380CC4-5D6E-409C-BE32-E72D297353CC}">
              <c16:uniqueId val="{00000014-D395-4D2D-8ED5-DED6C2E94C82}"/>
            </c:ext>
          </c:extLst>
        </c:ser>
        <c:ser>
          <c:idx val="3"/>
          <c:order val="3"/>
          <c:tx>
            <c:strRef>
              <c:f>Sheet4!$E$3:$E$5</c:f>
              <c:strCache>
                <c:ptCount val="1"/>
                <c:pt idx="0">
                  <c:v>Average of reading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Sheet4!$E$6:$E$12</c:f>
              <c:numCache>
                <c:formatCode>00</c:formatCode>
                <c:ptCount val="6"/>
                <c:pt idx="0">
                  <c:v>67.433962264150949</c:v>
                </c:pt>
                <c:pt idx="1">
                  <c:v>68.090909090909093</c:v>
                </c:pt>
                <c:pt idx="2">
                  <c:v>61.480392156862742</c:v>
                </c:pt>
                <c:pt idx="3">
                  <c:v>73.130434782608702</c:v>
                </c:pt>
                <c:pt idx="4">
                  <c:v>64.990740740740748</c:v>
                </c:pt>
                <c:pt idx="5">
                  <c:v>64.693181818181813</c:v>
                </c:pt>
              </c:numCache>
            </c:numRef>
          </c:val>
          <c:extLst>
            <c:ext xmlns:c16="http://schemas.microsoft.com/office/drawing/2014/chart" uri="{C3380CC4-5D6E-409C-BE32-E72D297353CC}">
              <c16:uniqueId val="{00000021-09C4-486A-9BD5-D9861DD8F34C}"/>
            </c:ext>
          </c:extLst>
        </c:ser>
        <c:ser>
          <c:idx val="4"/>
          <c:order val="4"/>
          <c:tx>
            <c:strRef>
              <c:f>Sheet4!$F$3:$F$5</c:f>
              <c:strCache>
                <c:ptCount val="1"/>
                <c:pt idx="0">
                  <c:v>Average of writing score - 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elete val="1"/>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Sheet4!$F$6:$F$12</c:f>
              <c:numCache>
                <c:formatCode>00</c:formatCode>
                <c:ptCount val="6"/>
                <c:pt idx="0">
                  <c:v>74</c:v>
                </c:pt>
                <c:pt idx="1">
                  <c:v>78.38095238095238</c:v>
                </c:pt>
                <c:pt idx="2">
                  <c:v>66.691489361702125</c:v>
                </c:pt>
                <c:pt idx="3">
                  <c:v>77.638888888888886</c:v>
                </c:pt>
                <c:pt idx="4">
                  <c:v>74.050847457627114</c:v>
                </c:pt>
                <c:pt idx="5">
                  <c:v>68.285714285714292</c:v>
                </c:pt>
              </c:numCache>
            </c:numRef>
          </c:val>
          <c:extLst>
            <c:ext xmlns:c16="http://schemas.microsoft.com/office/drawing/2014/chart" uri="{C3380CC4-5D6E-409C-BE32-E72D297353CC}">
              <c16:uniqueId val="{00000022-09C4-486A-9BD5-D9861DD8F34C}"/>
            </c:ext>
          </c:extLst>
        </c:ser>
        <c:ser>
          <c:idx val="5"/>
          <c:order val="5"/>
          <c:tx>
            <c:strRef>
              <c:f>Sheet4!$G$3:$G$5</c:f>
              <c:strCache>
                <c:ptCount val="1"/>
                <c:pt idx="0">
                  <c:v>Average of writing score - 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Sheet4!$A$6:$A$12</c:f>
              <c:strCache>
                <c:ptCount val="6"/>
                <c:pt idx="0">
                  <c:v>associate's degree</c:v>
                </c:pt>
                <c:pt idx="1">
                  <c:v>bachelor's degree</c:v>
                </c:pt>
                <c:pt idx="2">
                  <c:v>high school</c:v>
                </c:pt>
                <c:pt idx="3">
                  <c:v>master's degree</c:v>
                </c:pt>
                <c:pt idx="4">
                  <c:v>some college</c:v>
                </c:pt>
                <c:pt idx="5">
                  <c:v>some high school</c:v>
                </c:pt>
              </c:strCache>
            </c:strRef>
          </c:cat>
          <c:val>
            <c:numRef>
              <c:f>Sheet4!$G$6:$G$12</c:f>
              <c:numCache>
                <c:formatCode>00</c:formatCode>
                <c:ptCount val="6"/>
                <c:pt idx="0">
                  <c:v>65.405660377358487</c:v>
                </c:pt>
                <c:pt idx="1">
                  <c:v>67.654545454545456</c:v>
                </c:pt>
                <c:pt idx="2">
                  <c:v>58.53921568627451</c:v>
                </c:pt>
                <c:pt idx="3">
                  <c:v>72.608695652173907</c:v>
                </c:pt>
                <c:pt idx="4">
                  <c:v>63.148148148148145</c:v>
                </c:pt>
                <c:pt idx="5">
                  <c:v>61.375</c:v>
                </c:pt>
              </c:numCache>
            </c:numRef>
          </c:val>
          <c:extLst>
            <c:ext xmlns:c16="http://schemas.microsoft.com/office/drawing/2014/chart" uri="{C3380CC4-5D6E-409C-BE32-E72D297353CC}">
              <c16:uniqueId val="{00000023-09C4-486A-9BD5-D9861DD8F34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(1).xlsx]Sheet5!PivotTable4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Sheet5!$B$3:$B$5</c:f>
              <c:strCache>
                <c:ptCount val="1"/>
                <c:pt idx="0">
                  <c:v>female - group 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67DE-42DC-BD68-D349D100EB57}"/>
            </c:ext>
          </c:extLst>
        </c:ser>
        <c:ser>
          <c:idx val="1"/>
          <c:order val="1"/>
          <c:tx>
            <c:strRef>
              <c:f>Sheet5!$D$3:$D$5</c:f>
              <c:strCache>
                <c:ptCount val="1"/>
                <c:pt idx="0">
                  <c:v>male - group 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06-DE82-41BC-B4F8-85DA30D42689}"/>
            </c:ext>
          </c:extLst>
        </c:ser>
        <c:dLbls>
          <c:dLblPos val="inEnd"/>
          <c:showLegendKey val="0"/>
          <c:showVal val="1"/>
          <c:showCatName val="0"/>
          <c:showSerName val="0"/>
          <c:showPercent val="0"/>
          <c:showBubbleSize val="0"/>
        </c:dLbls>
        <c:gapWidth val="100"/>
        <c:overlap val="-24"/>
        <c:axId val="787276143"/>
        <c:axId val="787272783"/>
      </c:barChart>
      <c:catAx>
        <c:axId val="78727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2783"/>
        <c:crosses val="autoZero"/>
        <c:auto val="1"/>
        <c:lblAlgn val="ctr"/>
        <c:lblOffset val="100"/>
        <c:noMultiLvlLbl val="0"/>
      </c:catAx>
      <c:valAx>
        <c:axId val="7872727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7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(1).xlsx]Sheet5!PivotTable4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Group</a:t>
            </a:r>
            <a:r>
              <a:rPr lang="en-IN" baseline="0"/>
              <a:t> by Math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Sheet5!$B$3:$B$5</c:f>
              <c:strCache>
                <c:ptCount val="1"/>
                <c:pt idx="0">
                  <c:v>female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52-4D03-956B-B4B68A1D23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52-4D03-956B-B4B68A1D23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52-4D03-956B-B4B68A1D23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52-4D03-956B-B4B68A1D236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Sheet5!$B$6:$B$12</c:f>
              <c:numCache>
                <c:formatCode>000</c:formatCode>
                <c:ptCount val="4"/>
                <c:pt idx="0">
                  <c:v>1024</c:v>
                </c:pt>
                <c:pt idx="1">
                  <c:v>1180</c:v>
                </c:pt>
                <c:pt idx="2">
                  <c:v>1168</c:v>
                </c:pt>
                <c:pt idx="3">
                  <c:v>3014</c:v>
                </c:pt>
              </c:numCache>
            </c:numRef>
          </c:val>
          <c:extLst>
            <c:ext xmlns:c16="http://schemas.microsoft.com/office/drawing/2014/chart" uri="{C3380CC4-5D6E-409C-BE32-E72D297353CC}">
              <c16:uniqueId val="{00000000-ED55-4A0B-87C6-0906354E805F}"/>
            </c:ext>
          </c:extLst>
        </c:ser>
        <c:ser>
          <c:idx val="1"/>
          <c:order val="1"/>
          <c:tx>
            <c:strRef>
              <c:f>Sheet5!$D$3:$D$5</c:f>
              <c:strCache>
                <c:ptCount val="1"/>
                <c:pt idx="0">
                  <c:v>male - group B</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Sheet5!$A$6:$A$12</c:f>
              <c:multiLvlStrCache>
                <c:ptCount val="4"/>
                <c:lvl>
                  <c:pt idx="0">
                    <c:v>completed</c:v>
                  </c:pt>
                  <c:pt idx="1">
                    <c:v>none</c:v>
                  </c:pt>
                  <c:pt idx="2">
                    <c:v>completed</c:v>
                  </c:pt>
                  <c:pt idx="3">
                    <c:v>none</c:v>
                  </c:pt>
                </c:lvl>
                <c:lvl>
                  <c:pt idx="0">
                    <c:v>free/reduced</c:v>
                  </c:pt>
                  <c:pt idx="2">
                    <c:v>standard</c:v>
                  </c:pt>
                </c:lvl>
              </c:multiLvlStrCache>
            </c:multiLvlStrRef>
          </c:cat>
          <c:val>
            <c:numRef>
              <c:f>Sheet5!$D$6:$D$12</c:f>
              <c:numCache>
                <c:formatCode>000</c:formatCode>
                <c:ptCount val="4"/>
                <c:pt idx="0">
                  <c:v>538</c:v>
                </c:pt>
                <c:pt idx="1">
                  <c:v>1221</c:v>
                </c:pt>
                <c:pt idx="2">
                  <c:v>1839</c:v>
                </c:pt>
                <c:pt idx="3">
                  <c:v>2072</c:v>
                </c:pt>
              </c:numCache>
            </c:numRef>
          </c:val>
          <c:extLst>
            <c:ext xmlns:c16="http://schemas.microsoft.com/office/drawing/2014/chart" uri="{C3380CC4-5D6E-409C-BE32-E72D297353CC}">
              <c16:uniqueId val="{00000056-89F2-4CD7-8961-B7D6DC86FFA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StudentsPerformance!$Q$3016</c:f>
              <c:strCache>
                <c:ptCount val="1"/>
                <c:pt idx="0">
                  <c:v>Columns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StudentsPerformance!$R$3014:$W$3014</c:f>
              <c:strCache>
                <c:ptCount val="6"/>
                <c:pt idx="0">
                  <c:v>SS</c:v>
                </c:pt>
                <c:pt idx="1">
                  <c:v>df</c:v>
                </c:pt>
                <c:pt idx="2">
                  <c:v>MS</c:v>
                </c:pt>
                <c:pt idx="3">
                  <c:v>F</c:v>
                </c:pt>
                <c:pt idx="4">
                  <c:v>P-value</c:v>
                </c:pt>
                <c:pt idx="5">
                  <c:v>F crit</c:v>
                </c:pt>
              </c:strCache>
            </c:strRef>
          </c:cat>
          <c:val>
            <c:numRef>
              <c:f>StudentsPerformance!$R$3016:$W$3016</c:f>
              <c:numCache>
                <c:formatCode>General</c:formatCode>
                <c:ptCount val="6"/>
                <c:pt idx="0" formatCode="#.00">
                  <c:v>621.61249999934807</c:v>
                </c:pt>
                <c:pt idx="1">
                  <c:v>1</c:v>
                </c:pt>
                <c:pt idx="2" formatCode="#.000">
                  <c:v>621.61249999934807</c:v>
                </c:pt>
                <c:pt idx="3">
                  <c:v>2.7648173393587054</c:v>
                </c:pt>
                <c:pt idx="4">
                  <c:v>9.6671050674026884E-2</c:v>
                </c:pt>
                <c:pt idx="5">
                  <c:v>3.8507746681385955</c:v>
                </c:pt>
              </c:numCache>
            </c:numRef>
          </c:val>
          <c:extLst>
            <c:ext xmlns:c16="http://schemas.microsoft.com/office/drawing/2014/chart" uri="{C3380CC4-5D6E-409C-BE32-E72D297353CC}">
              <c16:uniqueId val="{00000001-7DB3-4FD3-9F22-AB1C2F3C9C15}"/>
            </c:ext>
          </c:extLst>
        </c:ser>
        <c:dLbls>
          <c:showLegendKey val="0"/>
          <c:showVal val="0"/>
          <c:showCatName val="0"/>
          <c:showSerName val="0"/>
          <c:showPercent val="0"/>
          <c:showBubbleSize val="0"/>
        </c:dLbls>
        <c:gapWidth val="219"/>
        <c:axId val="2123528016"/>
        <c:axId val="2123538576"/>
      </c:barChart>
      <c:lineChart>
        <c:grouping val="stacked"/>
        <c:varyColors val="0"/>
        <c:ser>
          <c:idx val="0"/>
          <c:order val="0"/>
          <c:tx>
            <c:strRef>
              <c:f>StudentsPerformance!$Q$3015</c:f>
              <c:strCache>
                <c:ptCount val="1"/>
                <c:pt idx="0">
                  <c:v>Sample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StudentsPerformance!$R$3015:$W$3015</c:f>
              <c:numCache>
                <c:formatCode>General</c:formatCode>
                <c:ptCount val="6"/>
                <c:pt idx="0" formatCode="#.00">
                  <c:v>213358.88549999916</c:v>
                </c:pt>
                <c:pt idx="1">
                  <c:v>499</c:v>
                </c:pt>
                <c:pt idx="2" formatCode="#.000">
                  <c:v>427.57291683366566</c:v>
                </c:pt>
                <c:pt idx="3">
                  <c:v>1.9017651902159889</c:v>
                </c:pt>
                <c:pt idx="4">
                  <c:v>7.0034745741099621E-18</c:v>
                </c:pt>
                <c:pt idx="5">
                  <c:v>1.134301857932515</c:v>
                </c:pt>
              </c:numCache>
            </c:numRef>
          </c:val>
          <c:smooth val="0"/>
          <c:extLst>
            <c:ext xmlns:c16="http://schemas.microsoft.com/office/drawing/2014/chart" uri="{C3380CC4-5D6E-409C-BE32-E72D297353CC}">
              <c16:uniqueId val="{00000000-7DB3-4FD3-9F22-AB1C2F3C9C15}"/>
            </c:ext>
          </c:extLst>
        </c:ser>
        <c:ser>
          <c:idx val="3"/>
          <c:order val="3"/>
          <c:tx>
            <c:strRef>
              <c:f>StudentsPerformance!$Q$3018</c:f>
              <c:strCache>
                <c:ptCount val="1"/>
                <c:pt idx="0">
                  <c:v>Within</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StudentsPerformance!$R$3018:$W$3018</c:f>
              <c:numCache>
                <c:formatCode>General</c:formatCode>
                <c:ptCount val="6"/>
                <c:pt idx="0" formatCode="#.00">
                  <c:v>224829.5</c:v>
                </c:pt>
                <c:pt idx="1">
                  <c:v>1000</c:v>
                </c:pt>
                <c:pt idx="2" formatCode="#.000">
                  <c:v>224.8295</c:v>
                </c:pt>
              </c:numCache>
            </c:numRef>
          </c:val>
          <c:smooth val="0"/>
          <c:extLst>
            <c:ext xmlns:c16="http://schemas.microsoft.com/office/drawing/2014/chart" uri="{C3380CC4-5D6E-409C-BE32-E72D297353CC}">
              <c16:uniqueId val="{00000003-7DB3-4FD3-9F22-AB1C2F3C9C15}"/>
            </c:ext>
          </c:extLst>
        </c:ser>
        <c:ser>
          <c:idx val="4"/>
          <c:order val="4"/>
          <c:tx>
            <c:strRef>
              <c:f>StudentsPerformance!$Q$3019</c:f>
              <c:strCache>
                <c:ptCount val="1"/>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StudentsPerformance!$R$3019:$W$3019</c:f>
              <c:numCache>
                <c:formatCode>General</c:formatCode>
                <c:ptCount val="6"/>
              </c:numCache>
            </c:numRef>
          </c:val>
          <c:smooth val="0"/>
          <c:extLst>
            <c:ext xmlns:c16="http://schemas.microsoft.com/office/drawing/2014/chart" uri="{C3380CC4-5D6E-409C-BE32-E72D297353CC}">
              <c16:uniqueId val="{00000004-7DB3-4FD3-9F22-AB1C2F3C9C15}"/>
            </c:ext>
          </c:extLst>
        </c:ser>
        <c:ser>
          <c:idx val="5"/>
          <c:order val="5"/>
          <c:tx>
            <c:strRef>
              <c:f>StudentsPerformance!$Q$3020</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StudentsPerformance!$R$3014:$W$3014</c:f>
              <c:strCache>
                <c:ptCount val="6"/>
                <c:pt idx="0">
                  <c:v>SS</c:v>
                </c:pt>
                <c:pt idx="1">
                  <c:v>df</c:v>
                </c:pt>
                <c:pt idx="2">
                  <c:v>MS</c:v>
                </c:pt>
                <c:pt idx="3">
                  <c:v>F</c:v>
                </c:pt>
                <c:pt idx="4">
                  <c:v>P-value</c:v>
                </c:pt>
                <c:pt idx="5">
                  <c:v>F crit</c:v>
                </c:pt>
              </c:strCache>
            </c:strRef>
          </c:cat>
          <c:val>
            <c:numRef>
              <c:f>StudentsPerformance!$R$3020:$W$3020</c:f>
              <c:numCache>
                <c:formatCode>General</c:formatCode>
                <c:ptCount val="6"/>
                <c:pt idx="0">
                  <c:v>444251.13549999916</c:v>
                </c:pt>
                <c:pt idx="1">
                  <c:v>1999</c:v>
                </c:pt>
              </c:numCache>
            </c:numRef>
          </c:val>
          <c:smooth val="0"/>
          <c:extLst>
            <c:ext xmlns:c16="http://schemas.microsoft.com/office/drawing/2014/chart" uri="{C3380CC4-5D6E-409C-BE32-E72D297353CC}">
              <c16:uniqueId val="{00000005-7DB3-4FD3-9F22-AB1C2F3C9C15}"/>
            </c:ext>
          </c:extLst>
        </c:ser>
        <c:dLbls>
          <c:showLegendKey val="0"/>
          <c:showVal val="0"/>
          <c:showCatName val="0"/>
          <c:showSerName val="0"/>
          <c:showPercent val="0"/>
          <c:showBubbleSize val="0"/>
        </c:dLbls>
        <c:marker val="1"/>
        <c:smooth val="0"/>
        <c:axId val="2123520336"/>
        <c:axId val="2123534736"/>
      </c:lineChart>
      <c:scatterChart>
        <c:scatterStyle val="lineMarker"/>
        <c:varyColors val="0"/>
        <c:ser>
          <c:idx val="2"/>
          <c:order val="2"/>
          <c:tx>
            <c:strRef>
              <c:f>StudentsPerformance!$Q$3017</c:f>
              <c:strCache>
                <c:ptCount val="1"/>
                <c:pt idx="0">
                  <c:v>Interaction</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xVal>
            <c:strRef>
              <c:f>StudentsPerformance!$R$3014:$W$3014</c:f>
              <c:strCache>
                <c:ptCount val="6"/>
                <c:pt idx="0">
                  <c:v>SS</c:v>
                </c:pt>
                <c:pt idx="1">
                  <c:v>df</c:v>
                </c:pt>
                <c:pt idx="2">
                  <c:v>MS</c:v>
                </c:pt>
                <c:pt idx="3">
                  <c:v>F</c:v>
                </c:pt>
                <c:pt idx="4">
                  <c:v>P-value</c:v>
                </c:pt>
                <c:pt idx="5">
                  <c:v>F crit</c:v>
                </c:pt>
              </c:strCache>
            </c:strRef>
          </c:xVal>
          <c:yVal>
            <c:numRef>
              <c:f>StudentsPerformance!$R$3017:$W$3017</c:f>
              <c:numCache>
                <c:formatCode>General</c:formatCode>
                <c:ptCount val="6"/>
                <c:pt idx="0" formatCode="#.00">
                  <c:v>5441.1375000006519</c:v>
                </c:pt>
                <c:pt idx="1">
                  <c:v>499</c:v>
                </c:pt>
                <c:pt idx="2" formatCode="#.000">
                  <c:v>10.904083166333972</c:v>
                </c:pt>
                <c:pt idx="3">
                  <c:v>4.8499343575171286E-2</c:v>
                </c:pt>
                <c:pt idx="4">
                  <c:v>1</c:v>
                </c:pt>
                <c:pt idx="5">
                  <c:v>1.134301857932515</c:v>
                </c:pt>
              </c:numCache>
            </c:numRef>
          </c:yVal>
          <c:smooth val="0"/>
          <c:extLst>
            <c:ext xmlns:c16="http://schemas.microsoft.com/office/drawing/2014/chart" uri="{C3380CC4-5D6E-409C-BE32-E72D297353CC}">
              <c16:uniqueId val="{00000002-7DB3-4FD3-9F22-AB1C2F3C9C15}"/>
            </c:ext>
          </c:extLst>
        </c:ser>
        <c:dLbls>
          <c:showLegendKey val="0"/>
          <c:showVal val="0"/>
          <c:showCatName val="0"/>
          <c:showSerName val="0"/>
          <c:showPercent val="0"/>
          <c:showBubbleSize val="0"/>
        </c:dLbls>
        <c:axId val="2123528016"/>
        <c:axId val="2123538576"/>
      </c:scatterChart>
      <c:catAx>
        <c:axId val="2123520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34736"/>
        <c:crosses val="autoZero"/>
        <c:auto val="1"/>
        <c:lblAlgn val="ctr"/>
        <c:lblOffset val="100"/>
        <c:noMultiLvlLbl val="0"/>
      </c:catAx>
      <c:valAx>
        <c:axId val="212353473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20336"/>
        <c:crosses val="autoZero"/>
        <c:crossBetween val="between"/>
      </c:valAx>
      <c:valAx>
        <c:axId val="2123538576"/>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528016"/>
        <c:crosses val="max"/>
        <c:crossBetween val="between"/>
      </c:valAx>
      <c:catAx>
        <c:axId val="2123528016"/>
        <c:scaling>
          <c:orientation val="minMax"/>
        </c:scaling>
        <c:delete val="1"/>
        <c:axPos val="b"/>
        <c:numFmt formatCode="General" sourceLinked="1"/>
        <c:majorTickMark val="none"/>
        <c:minorTickMark val="none"/>
        <c:tickLblPos val="nextTo"/>
        <c:crossAx val="2123538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171450</xdr:colOff>
      <xdr:row>7</xdr:row>
      <xdr:rowOff>185737</xdr:rowOff>
    </xdr:from>
    <xdr:to>
      <xdr:col>4</xdr:col>
      <xdr:colOff>333375</xdr:colOff>
      <xdr:row>22</xdr:row>
      <xdr:rowOff>71437</xdr:rowOff>
    </xdr:to>
    <xdr:graphicFrame macro="">
      <xdr:nvGraphicFramePr>
        <xdr:cNvPr id="2" name="Chart 1">
          <a:extLst>
            <a:ext uri="{FF2B5EF4-FFF2-40B4-BE49-F238E27FC236}">
              <a16:creationId xmlns:a16="http://schemas.microsoft.com/office/drawing/2014/main" id="{14AB3F1F-DD5E-A60B-7DA3-40B92E35F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7</xdr:row>
      <xdr:rowOff>119062</xdr:rowOff>
    </xdr:from>
    <xdr:to>
      <xdr:col>12</xdr:col>
      <xdr:colOff>190500</xdr:colOff>
      <xdr:row>22</xdr:row>
      <xdr:rowOff>4762</xdr:rowOff>
    </xdr:to>
    <xdr:graphicFrame macro="">
      <xdr:nvGraphicFramePr>
        <xdr:cNvPr id="3" name="Chart 2">
          <a:extLst>
            <a:ext uri="{FF2B5EF4-FFF2-40B4-BE49-F238E27FC236}">
              <a16:creationId xmlns:a16="http://schemas.microsoft.com/office/drawing/2014/main" id="{D2756FC3-6F03-ABD2-DF54-86E12D451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409575</xdr:colOff>
      <xdr:row>1</xdr:row>
      <xdr:rowOff>152400</xdr:rowOff>
    </xdr:from>
    <xdr:to>
      <xdr:col>6</xdr:col>
      <xdr:colOff>342375</xdr:colOff>
      <xdr:row>6</xdr:row>
      <xdr:rowOff>99900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F9AD35F8-B150-8376-6E51-EB37ECFA03C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19650" y="342900"/>
              <a:ext cx="1152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485775</xdr:colOff>
      <xdr:row>2</xdr:row>
      <xdr:rowOff>123825</xdr:rowOff>
    </xdr:from>
    <xdr:to>
      <xdr:col>15</xdr:col>
      <xdr:colOff>19878</xdr:colOff>
      <xdr:row>26</xdr:row>
      <xdr:rowOff>6626</xdr:rowOff>
    </xdr:to>
    <xdr:sp macro="" textlink="">
      <xdr:nvSpPr>
        <xdr:cNvPr id="2" name="Rectangle 1">
          <a:extLst>
            <a:ext uri="{FF2B5EF4-FFF2-40B4-BE49-F238E27FC236}">
              <a16:creationId xmlns:a16="http://schemas.microsoft.com/office/drawing/2014/main" id="{432F5E05-201C-36D5-FCE3-8A0E0CBA3D0E}"/>
            </a:ext>
          </a:extLst>
        </xdr:cNvPr>
        <xdr:cNvSpPr/>
      </xdr:nvSpPr>
      <xdr:spPr>
        <a:xfrm>
          <a:off x="485775" y="494886"/>
          <a:ext cx="8876886" cy="433553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perspectiveLeft"/>
            <a:lightRig rig="threePt" dir="t"/>
          </a:scene3d>
        </a:bodyPr>
        <a:lstStyle/>
        <a:p>
          <a:pPr algn="l"/>
          <a:r>
            <a:rPr lang="en-IN" sz="2000">
              <a:effectLst>
                <a:outerShdw blurRad="50800" dist="38100" dir="2700000" algn="tl" rotWithShape="0">
                  <a:prstClr val="black">
                    <a:alpha val="40000"/>
                  </a:prstClr>
                </a:outerShdw>
              </a:effectLst>
            </a:rPr>
            <a:t> vgvhbv hbn </a:t>
          </a:r>
        </a:p>
      </xdr:txBody>
    </xdr:sp>
    <xdr:clientData/>
  </xdr:twoCellAnchor>
  <xdr:twoCellAnchor>
    <xdr:from>
      <xdr:col>1</xdr:col>
      <xdr:colOff>371475</xdr:colOff>
      <xdr:row>4</xdr:row>
      <xdr:rowOff>66675</xdr:rowOff>
    </xdr:from>
    <xdr:to>
      <xdr:col>6</xdr:col>
      <xdr:colOff>581025</xdr:colOff>
      <xdr:row>15</xdr:row>
      <xdr:rowOff>19050</xdr:rowOff>
    </xdr:to>
    <xdr:sp macro="" textlink="">
      <xdr:nvSpPr>
        <xdr:cNvPr id="3" name="Rectangle: Rounded Corners 2">
          <a:extLst>
            <a:ext uri="{FF2B5EF4-FFF2-40B4-BE49-F238E27FC236}">
              <a16:creationId xmlns:a16="http://schemas.microsoft.com/office/drawing/2014/main" id="{095CD24C-7FCE-900A-47BE-946E82779225}"/>
            </a:ext>
          </a:extLst>
        </xdr:cNvPr>
        <xdr:cNvSpPr/>
      </xdr:nvSpPr>
      <xdr:spPr>
        <a:xfrm>
          <a:off x="981075" y="828675"/>
          <a:ext cx="3257550" cy="2047875"/>
        </a:xfrm>
        <a:prstGeom prst="roundRect">
          <a:avLst/>
        </a:prstGeom>
        <a:solidFill>
          <a:schemeClr val="accent2">
            <a:lumMod val="60000"/>
            <a:lumOff val="40000"/>
          </a:schemeClr>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433596</xdr:colOff>
      <xdr:row>4</xdr:row>
      <xdr:rowOff>151571</xdr:rowOff>
    </xdr:from>
    <xdr:to>
      <xdr:col>6</xdr:col>
      <xdr:colOff>496957</xdr:colOff>
      <xdr:row>15</xdr:row>
      <xdr:rowOff>24848</xdr:rowOff>
    </xdr:to>
    <xdr:graphicFrame macro="">
      <xdr:nvGraphicFramePr>
        <xdr:cNvPr id="4" name="Chart 2">
          <a:extLst>
            <a:ext uri="{FF2B5EF4-FFF2-40B4-BE49-F238E27FC236}">
              <a16:creationId xmlns:a16="http://schemas.microsoft.com/office/drawing/2014/main" id="{4D2D95DA-D52C-4F5D-B166-5F637D45E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23</xdr:row>
      <xdr:rowOff>0</xdr:rowOff>
    </xdr:from>
    <xdr:to>
      <xdr:col>4</xdr:col>
      <xdr:colOff>539231</xdr:colOff>
      <xdr:row>27</xdr:row>
      <xdr:rowOff>171926</xdr:rowOff>
    </xdr:to>
    <mc:AlternateContent xmlns:mc="http://schemas.openxmlformats.org/markup-compatibility/2006" xmlns:a14="http://schemas.microsoft.com/office/drawing/2010/main">
      <mc:Choice Requires="a14">
        <xdr:graphicFrame macro="">
          <xdr:nvGraphicFramePr>
            <xdr:cNvPr id="6" name="gender 3">
              <a:extLst>
                <a:ext uri="{FF2B5EF4-FFF2-40B4-BE49-F238E27FC236}">
                  <a16:creationId xmlns:a16="http://schemas.microsoft.com/office/drawing/2014/main" id="{99685A43-C70E-492E-81B9-2252FCD8D8C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838739" y="4381500"/>
              <a:ext cx="1152144" cy="93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543754</xdr:colOff>
      <xdr:row>10</xdr:row>
      <xdr:rowOff>24434</xdr:rowOff>
    </xdr:from>
    <xdr:to>
      <xdr:col>10</xdr:col>
      <xdr:colOff>289015</xdr:colOff>
      <xdr:row>20</xdr:row>
      <xdr:rowOff>99434</xdr:rowOff>
    </xdr:to>
    <mc:AlternateContent xmlns:mc="http://schemas.openxmlformats.org/markup-compatibility/2006" xmlns:a14="http://schemas.microsoft.com/office/drawing/2010/main">
      <mc:Choice Requires="a14">
        <xdr:graphicFrame macro="">
          <xdr:nvGraphicFramePr>
            <xdr:cNvPr id="5" name="education 1">
              <a:extLst>
                <a:ext uri="{FF2B5EF4-FFF2-40B4-BE49-F238E27FC236}">
                  <a16:creationId xmlns:a16="http://schemas.microsoft.com/office/drawing/2014/main" id="{97C6A2B7-1378-4BA9-B1EC-167DBACB0F5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834145" y="1929434"/>
              <a:ext cx="1584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339418</xdr:colOff>
      <xdr:row>3</xdr:row>
      <xdr:rowOff>65567</xdr:rowOff>
    </xdr:from>
    <xdr:to>
      <xdr:col>25</xdr:col>
      <xdr:colOff>95250</xdr:colOff>
      <xdr:row>50</xdr:row>
      <xdr:rowOff>122464</xdr:rowOff>
    </xdr:to>
    <xdr:sp macro="" textlink="">
      <xdr:nvSpPr>
        <xdr:cNvPr id="2" name="Rectangle 1">
          <a:extLst>
            <a:ext uri="{FF2B5EF4-FFF2-40B4-BE49-F238E27FC236}">
              <a16:creationId xmlns:a16="http://schemas.microsoft.com/office/drawing/2014/main" id="{E453970A-8F42-7D74-A8D2-679438A539A3}"/>
            </a:ext>
          </a:extLst>
        </xdr:cNvPr>
        <xdr:cNvSpPr/>
      </xdr:nvSpPr>
      <xdr:spPr>
        <a:xfrm>
          <a:off x="339418" y="596246"/>
          <a:ext cx="13362975" cy="8370861"/>
        </a:xfrm>
        <a:prstGeom prst="rect">
          <a:avLst/>
        </a:prstGeom>
        <a:solidFill>
          <a:schemeClr val="accent6">
            <a:lumMod val="40000"/>
            <a:lumOff val="60000"/>
          </a:schemeClr>
        </a:solidFill>
        <a:effectLst>
          <a:innerShdw blurRad="63500" dist="50800" dir="16200000">
            <a:prstClr val="black">
              <a:alpha val="50000"/>
            </a:prstClr>
          </a:innerShdw>
        </a:effectLst>
        <a:scene3d>
          <a:camera prst="orthographicFront"/>
          <a:lightRig rig="threePt" dir="t"/>
        </a:scene3d>
        <a:sp3d>
          <a:bevelT w="152400" h="50800" prst="softRound"/>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306917</xdr:colOff>
      <xdr:row>5</xdr:row>
      <xdr:rowOff>42334</xdr:rowOff>
    </xdr:from>
    <xdr:to>
      <xdr:col>22</xdr:col>
      <xdr:colOff>465667</xdr:colOff>
      <xdr:row>9</xdr:row>
      <xdr:rowOff>148167</xdr:rowOff>
    </xdr:to>
    <xdr:sp macro="" textlink="">
      <xdr:nvSpPr>
        <xdr:cNvPr id="3" name="Flowchart: Terminator 2">
          <a:extLst>
            <a:ext uri="{FF2B5EF4-FFF2-40B4-BE49-F238E27FC236}">
              <a16:creationId xmlns:a16="http://schemas.microsoft.com/office/drawing/2014/main" id="{E6F083A2-0DBB-C7E4-5F64-0F4C1B146A73}"/>
            </a:ext>
          </a:extLst>
        </xdr:cNvPr>
        <xdr:cNvSpPr/>
      </xdr:nvSpPr>
      <xdr:spPr>
        <a:xfrm>
          <a:off x="1386417" y="941917"/>
          <a:ext cx="10953750" cy="825500"/>
        </a:xfrm>
        <a:prstGeom prst="flowChartTerminator">
          <a:avLst/>
        </a:prstGeom>
        <a:solidFill>
          <a:schemeClr val="accent2">
            <a:lumMod val="60000"/>
            <a:lumOff val="4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cap="none" spc="0">
              <a:ln w="6600">
                <a:solidFill>
                  <a:schemeClr val="accent2"/>
                </a:solidFill>
                <a:prstDash val="solid"/>
              </a:ln>
              <a:solidFill>
                <a:schemeClr val="tx1">
                  <a:lumMod val="85000"/>
                  <a:lumOff val="15000"/>
                </a:schemeClr>
              </a:solidFill>
              <a:effectLst>
                <a:outerShdw dist="38100" dir="2700000" algn="tl" rotWithShape="0">
                  <a:schemeClr val="accent2"/>
                </a:outerShdw>
              </a:effectLst>
            </a:rPr>
            <a:t>STUDENT</a:t>
          </a:r>
          <a:r>
            <a:rPr lang="en-IN" sz="3200" b="1" cap="none" spc="0" baseline="0">
              <a:ln w="6600">
                <a:solidFill>
                  <a:schemeClr val="accent2"/>
                </a:solidFill>
                <a:prstDash val="solid"/>
              </a:ln>
              <a:solidFill>
                <a:schemeClr val="tx1">
                  <a:lumMod val="85000"/>
                  <a:lumOff val="15000"/>
                </a:schemeClr>
              </a:solidFill>
              <a:effectLst>
                <a:outerShdw dist="38100" dir="2700000" algn="tl" rotWithShape="0">
                  <a:schemeClr val="accent2"/>
                </a:outerShdw>
              </a:effectLst>
            </a:rPr>
            <a:t> TEST PERFORMANCE ANALYSIS</a:t>
          </a:r>
          <a:endParaRPr lang="en-IN" sz="3200" b="1" cap="none" spc="0">
            <a:ln w="6600">
              <a:solidFill>
                <a:schemeClr val="accent2"/>
              </a:solidFill>
              <a:prstDash val="solid"/>
            </a:ln>
            <a:solidFill>
              <a:schemeClr val="tx1">
                <a:lumMod val="85000"/>
                <a:lumOff val="15000"/>
              </a:schemeClr>
            </a:solidFill>
            <a:effectLst>
              <a:outerShdw dist="38100" dir="2700000" algn="tl" rotWithShape="0">
                <a:schemeClr val="accent2"/>
              </a:outerShdw>
            </a:effectLst>
          </a:endParaRPr>
        </a:p>
      </xdr:txBody>
    </xdr:sp>
    <xdr:clientData/>
  </xdr:twoCellAnchor>
  <xdr:twoCellAnchor editAs="oneCell">
    <xdr:from>
      <xdr:col>19</xdr:col>
      <xdr:colOff>251433</xdr:colOff>
      <xdr:row>4</xdr:row>
      <xdr:rowOff>178279</xdr:rowOff>
    </xdr:from>
    <xdr:to>
      <xdr:col>21</xdr:col>
      <xdr:colOff>94174</xdr:colOff>
      <xdr:row>10</xdr:row>
      <xdr:rowOff>7056</xdr:rowOff>
    </xdr:to>
    <xdr:pic>
      <xdr:nvPicPr>
        <xdr:cNvPr id="4" name="Picture 3">
          <a:extLst>
            <a:ext uri="{FF2B5EF4-FFF2-40B4-BE49-F238E27FC236}">
              <a16:creationId xmlns:a16="http://schemas.microsoft.com/office/drawing/2014/main" id="{580868C7-DAD5-C567-5545-92305D82FC61}"/>
            </a:ext>
          </a:extLst>
        </xdr:cNvPr>
        <xdr:cNvPicPr>
          <a:picLocks noChangeAspect="1"/>
        </xdr:cNvPicPr>
      </xdr:nvPicPr>
      <xdr:blipFill rotWithShape="1">
        <a:blip xmlns:r="http://schemas.openxmlformats.org/officeDocument/2006/relationships" r:embed="rId1"/>
        <a:srcRect l="1989" t="4036" r="3794" b="2961"/>
        <a:stretch>
          <a:fillRect/>
        </a:stretch>
      </xdr:blipFill>
      <xdr:spPr>
        <a:xfrm>
          <a:off x="10573711" y="912057"/>
          <a:ext cx="929296" cy="929443"/>
        </a:xfrm>
        <a:prstGeom prst="ellipse">
          <a:avLst/>
        </a:prstGeom>
        <a:ln>
          <a:noFill/>
        </a:ln>
        <a:effectLst>
          <a:softEdge rad="112500"/>
        </a:effectLst>
      </xdr:spPr>
    </xdr:pic>
    <xdr:clientData/>
  </xdr:twoCellAnchor>
  <xdr:twoCellAnchor editAs="oneCell">
    <xdr:from>
      <xdr:col>4</xdr:col>
      <xdr:colOff>166972</xdr:colOff>
      <xdr:row>4</xdr:row>
      <xdr:rowOff>177376</xdr:rowOff>
    </xdr:from>
    <xdr:to>
      <xdr:col>6</xdr:col>
      <xdr:colOff>9072</xdr:colOff>
      <xdr:row>10</xdr:row>
      <xdr:rowOff>9359</xdr:rowOff>
    </xdr:to>
    <xdr:pic>
      <xdr:nvPicPr>
        <xdr:cNvPr id="5" name="Picture 4">
          <a:extLst>
            <a:ext uri="{FF2B5EF4-FFF2-40B4-BE49-F238E27FC236}">
              <a16:creationId xmlns:a16="http://schemas.microsoft.com/office/drawing/2014/main" id="{F3D33CD0-F461-4CFF-9379-7F04BEF1BC59}"/>
            </a:ext>
          </a:extLst>
        </xdr:cNvPr>
        <xdr:cNvPicPr>
          <a:picLocks noChangeAspect="1"/>
        </xdr:cNvPicPr>
      </xdr:nvPicPr>
      <xdr:blipFill rotWithShape="1">
        <a:blip xmlns:r="http://schemas.openxmlformats.org/officeDocument/2006/relationships" r:embed="rId1"/>
        <a:srcRect l="1989" t="4036" r="3794" b="2961"/>
        <a:stretch>
          <a:fillRect/>
        </a:stretch>
      </xdr:blipFill>
      <xdr:spPr>
        <a:xfrm>
          <a:off x="2332020" y="903090"/>
          <a:ext cx="924623" cy="920555"/>
        </a:xfrm>
        <a:prstGeom prst="ellipse">
          <a:avLst/>
        </a:prstGeom>
        <a:ln>
          <a:noFill/>
        </a:ln>
        <a:effectLst>
          <a:softEdge rad="112500"/>
        </a:effectLst>
      </xdr:spPr>
    </xdr:pic>
    <xdr:clientData/>
  </xdr:twoCellAnchor>
  <xdr:twoCellAnchor>
    <xdr:from>
      <xdr:col>16</xdr:col>
      <xdr:colOff>185352</xdr:colOff>
      <xdr:row>11</xdr:row>
      <xdr:rowOff>43966</xdr:rowOff>
    </xdr:from>
    <xdr:to>
      <xdr:col>23</xdr:col>
      <xdr:colOff>193149</xdr:colOff>
      <xdr:row>24</xdr:row>
      <xdr:rowOff>82379</xdr:rowOff>
    </xdr:to>
    <xdr:sp macro="" textlink="">
      <xdr:nvSpPr>
        <xdr:cNvPr id="15" name="Rectangle: Rounded Corners 14">
          <a:extLst>
            <a:ext uri="{FF2B5EF4-FFF2-40B4-BE49-F238E27FC236}">
              <a16:creationId xmlns:a16="http://schemas.microsoft.com/office/drawing/2014/main" id="{D6C0B5A3-6971-436A-96DC-AA03664EB44F}"/>
            </a:ext>
          </a:extLst>
        </xdr:cNvPr>
        <xdr:cNvSpPr/>
      </xdr:nvSpPr>
      <xdr:spPr>
        <a:xfrm>
          <a:off x="8862541" y="2082831"/>
          <a:ext cx="3804067" cy="2447980"/>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279400</xdr:colOff>
      <xdr:row>36</xdr:row>
      <xdr:rowOff>16934</xdr:rowOff>
    </xdr:from>
    <xdr:to>
      <xdr:col>23</xdr:col>
      <xdr:colOff>389735</xdr:colOff>
      <xdr:row>49</xdr:row>
      <xdr:rowOff>59298</xdr:rowOff>
    </xdr:to>
    <xdr:sp macro="" textlink="">
      <xdr:nvSpPr>
        <xdr:cNvPr id="16" name="Rectangle: Rounded Corners 15">
          <a:extLst>
            <a:ext uri="{FF2B5EF4-FFF2-40B4-BE49-F238E27FC236}">
              <a16:creationId xmlns:a16="http://schemas.microsoft.com/office/drawing/2014/main" id="{F815A541-6929-47D5-B510-994E16408FB9}"/>
            </a:ext>
          </a:extLst>
        </xdr:cNvPr>
        <xdr:cNvSpPr/>
      </xdr:nvSpPr>
      <xdr:spPr>
        <a:xfrm>
          <a:off x="8949267" y="6722534"/>
          <a:ext cx="3903401" cy="2463831"/>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464491</xdr:colOff>
      <xdr:row>35</xdr:row>
      <xdr:rowOff>155512</xdr:rowOff>
    </xdr:from>
    <xdr:to>
      <xdr:col>8</xdr:col>
      <xdr:colOff>347579</xdr:colOff>
      <xdr:row>49</xdr:row>
      <xdr:rowOff>80210</xdr:rowOff>
    </xdr:to>
    <xdr:sp macro="" textlink="">
      <xdr:nvSpPr>
        <xdr:cNvPr id="17" name="Rectangle: Rounded Corners 16">
          <a:extLst>
            <a:ext uri="{FF2B5EF4-FFF2-40B4-BE49-F238E27FC236}">
              <a16:creationId xmlns:a16="http://schemas.microsoft.com/office/drawing/2014/main" id="{17908F52-C548-4600-A6B4-017154EEEE61}"/>
            </a:ext>
          </a:extLst>
        </xdr:cNvPr>
        <xdr:cNvSpPr/>
      </xdr:nvSpPr>
      <xdr:spPr>
        <a:xfrm>
          <a:off x="999228" y="6706038"/>
          <a:ext cx="3626246" cy="2544909"/>
        </a:xfrm>
        <a:prstGeom prst="roundRect">
          <a:avLst/>
        </a:prstGeom>
        <a:solidFill>
          <a:schemeClr val="accent6">
            <a:lumMod val="75000"/>
          </a:schemeClr>
        </a:solidFill>
        <a:ln>
          <a:noFill/>
        </a:ln>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536253</xdr:colOff>
      <xdr:row>11</xdr:row>
      <xdr:rowOff>6294</xdr:rowOff>
    </xdr:from>
    <xdr:to>
      <xdr:col>8</xdr:col>
      <xdr:colOff>214356</xdr:colOff>
      <xdr:row>23</xdr:row>
      <xdr:rowOff>107354</xdr:rowOff>
    </xdr:to>
    <xdr:sp macro="" textlink="">
      <xdr:nvSpPr>
        <xdr:cNvPr id="19" name="Rectangle: Rounded Corners 18">
          <a:extLst>
            <a:ext uri="{FF2B5EF4-FFF2-40B4-BE49-F238E27FC236}">
              <a16:creationId xmlns:a16="http://schemas.microsoft.com/office/drawing/2014/main" id="{F6136218-E5EA-4D31-8C9A-0C756A2AE793}"/>
            </a:ext>
          </a:extLst>
        </xdr:cNvPr>
        <xdr:cNvSpPr/>
      </xdr:nvSpPr>
      <xdr:spPr>
        <a:xfrm>
          <a:off x="1081883" y="1972442"/>
          <a:ext cx="3497510" cy="2245949"/>
        </a:xfrm>
        <a:prstGeom prst="roundRect">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20902</xdr:colOff>
      <xdr:row>11</xdr:row>
      <xdr:rowOff>101600</xdr:rowOff>
    </xdr:from>
    <xdr:to>
      <xdr:col>8</xdr:col>
      <xdr:colOff>245534</xdr:colOff>
      <xdr:row>23</xdr:row>
      <xdr:rowOff>91387</xdr:rowOff>
    </xdr:to>
    <xdr:graphicFrame macro="">
      <xdr:nvGraphicFramePr>
        <xdr:cNvPr id="22" name="Chart 21">
          <a:extLst>
            <a:ext uri="{FF2B5EF4-FFF2-40B4-BE49-F238E27FC236}">
              <a16:creationId xmlns:a16="http://schemas.microsoft.com/office/drawing/2014/main" id="{12C9BAFC-B01B-47CD-B447-A8A1AC3BC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350548</xdr:colOff>
      <xdr:row>12</xdr:row>
      <xdr:rowOff>28196</xdr:rowOff>
    </xdr:from>
    <xdr:to>
      <xdr:col>11</xdr:col>
      <xdr:colOff>234424</xdr:colOff>
      <xdr:row>22</xdr:row>
      <xdr:rowOff>80804</xdr:rowOff>
    </xdr:to>
    <mc:AlternateContent xmlns:mc="http://schemas.openxmlformats.org/markup-compatibility/2006" xmlns:a14="http://schemas.microsoft.com/office/drawing/2010/main">
      <mc:Choice Requires="a14">
        <xdr:graphicFrame macro="">
          <xdr:nvGraphicFramePr>
            <xdr:cNvPr id="23" name="level of education 1">
              <a:extLst>
                <a:ext uri="{FF2B5EF4-FFF2-40B4-BE49-F238E27FC236}">
                  <a16:creationId xmlns:a16="http://schemas.microsoft.com/office/drawing/2014/main" id="{C6A9A5F5-8E38-4A7B-BE17-184CE707C48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level of education 1"/>
            </a:graphicData>
          </a:graphic>
        </xdr:graphicFrame>
      </mc:Choice>
      <mc:Fallback xmlns="">
        <xdr:sp macro="" textlink="">
          <xdr:nvSpPr>
            <xdr:cNvPr id="0" name=""/>
            <xdr:cNvSpPr>
              <a:spLocks noTextEdit="1"/>
            </xdr:cNvSpPr>
          </xdr:nvSpPr>
          <xdr:spPr>
            <a:xfrm>
              <a:off x="4690900" y="2222756"/>
              <a:ext cx="1511508" cy="188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196614</xdr:colOff>
      <xdr:row>24</xdr:row>
      <xdr:rowOff>17288</xdr:rowOff>
    </xdr:from>
    <xdr:to>
      <xdr:col>8</xdr:col>
      <xdr:colOff>384763</xdr:colOff>
      <xdr:row>35</xdr:row>
      <xdr:rowOff>132527</xdr:rowOff>
    </xdr:to>
    <xdr:sp macro="" textlink="">
      <xdr:nvSpPr>
        <xdr:cNvPr id="25" name="Oval 24">
          <a:extLst>
            <a:ext uri="{FF2B5EF4-FFF2-40B4-BE49-F238E27FC236}">
              <a16:creationId xmlns:a16="http://schemas.microsoft.com/office/drawing/2014/main" id="{9AF07BD7-38A6-E51F-420B-D5F2F86374CD}"/>
            </a:ext>
          </a:extLst>
        </xdr:cNvPr>
        <xdr:cNvSpPr/>
      </xdr:nvSpPr>
      <xdr:spPr>
        <a:xfrm>
          <a:off x="720489" y="4589288"/>
          <a:ext cx="3855274" cy="2210739"/>
        </a:xfrm>
        <a:prstGeom prst="ellipse">
          <a:avLst/>
        </a:prstGeom>
        <a:solidFill>
          <a:schemeClr val="accent6">
            <a:lumMod val="75000"/>
          </a:schemeClr>
        </a:solidFill>
        <a:effectLst>
          <a:glow rad="381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141112</xdr:colOff>
      <xdr:row>25</xdr:row>
      <xdr:rowOff>66676</xdr:rowOff>
    </xdr:from>
    <xdr:to>
      <xdr:col>8</xdr:col>
      <xdr:colOff>238125</xdr:colOff>
      <xdr:row>34</xdr:row>
      <xdr:rowOff>114300</xdr:rowOff>
    </xdr:to>
    <xdr:graphicFrame macro="">
      <xdr:nvGraphicFramePr>
        <xdr:cNvPr id="27" name="Chart 26">
          <a:extLst>
            <a:ext uri="{FF2B5EF4-FFF2-40B4-BE49-F238E27FC236}">
              <a16:creationId xmlns:a16="http://schemas.microsoft.com/office/drawing/2014/main" id="{0CC92254-9A5B-4DB7-A877-1B6380A38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216369</xdr:colOff>
      <xdr:row>11</xdr:row>
      <xdr:rowOff>47037</xdr:rowOff>
    </xdr:from>
    <xdr:to>
      <xdr:col>23</xdr:col>
      <xdr:colOff>206963</xdr:colOff>
      <xdr:row>24</xdr:row>
      <xdr:rowOff>84666</xdr:rowOff>
    </xdr:to>
    <xdr:graphicFrame macro="">
      <xdr:nvGraphicFramePr>
        <xdr:cNvPr id="28" name="Chart 2">
          <a:extLst>
            <a:ext uri="{FF2B5EF4-FFF2-40B4-BE49-F238E27FC236}">
              <a16:creationId xmlns:a16="http://schemas.microsoft.com/office/drawing/2014/main" id="{0A8E7C82-89C3-4B67-8867-4E7B0595B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532459</xdr:colOff>
      <xdr:row>22</xdr:row>
      <xdr:rowOff>158044</xdr:rowOff>
    </xdr:from>
    <xdr:to>
      <xdr:col>16</xdr:col>
      <xdr:colOff>240121</xdr:colOff>
      <xdr:row>35</xdr:row>
      <xdr:rowOff>16933</xdr:rowOff>
    </xdr:to>
    <xdr:sp macro="" textlink="">
      <xdr:nvSpPr>
        <xdr:cNvPr id="32" name="Flowchart: Preparation 31">
          <a:extLst>
            <a:ext uri="{FF2B5EF4-FFF2-40B4-BE49-F238E27FC236}">
              <a16:creationId xmlns:a16="http://schemas.microsoft.com/office/drawing/2014/main" id="{5FF67317-C511-724C-537F-5E6C9AFEEC57}"/>
            </a:ext>
          </a:extLst>
        </xdr:cNvPr>
        <xdr:cNvSpPr/>
      </xdr:nvSpPr>
      <xdr:spPr>
        <a:xfrm>
          <a:off x="4867392" y="4255911"/>
          <a:ext cx="4042596" cy="2280355"/>
        </a:xfrm>
        <a:prstGeom prst="flowChartPreparation">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524934</xdr:colOff>
      <xdr:row>23</xdr:row>
      <xdr:rowOff>147348</xdr:rowOff>
    </xdr:from>
    <xdr:to>
      <xdr:col>15</xdr:col>
      <xdr:colOff>262467</xdr:colOff>
      <xdr:row>34</xdr:row>
      <xdr:rowOff>75779</xdr:rowOff>
    </xdr:to>
    <xdr:graphicFrame macro="">
      <xdr:nvGraphicFramePr>
        <xdr:cNvPr id="33" name="Chart 1">
          <a:extLst>
            <a:ext uri="{FF2B5EF4-FFF2-40B4-BE49-F238E27FC236}">
              <a16:creationId xmlns:a16="http://schemas.microsoft.com/office/drawing/2014/main" id="{FB277474-71BB-45A5-8AC4-4BFAD40A3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288620</xdr:colOff>
      <xdr:row>12</xdr:row>
      <xdr:rowOff>42050</xdr:rowOff>
    </xdr:from>
    <xdr:to>
      <xdr:col>14</xdr:col>
      <xdr:colOff>127000</xdr:colOff>
      <xdr:row>22</xdr:row>
      <xdr:rowOff>64133</xdr:rowOff>
    </xdr:to>
    <mc:AlternateContent xmlns:mc="http://schemas.openxmlformats.org/markup-compatibility/2006" xmlns:a14="http://schemas.microsoft.com/office/drawing/2010/main">
      <mc:Choice Requires="a14">
        <xdr:graphicFrame macro="">
          <xdr:nvGraphicFramePr>
            <xdr:cNvPr id="34" name="education 2">
              <a:extLst>
                <a:ext uri="{FF2B5EF4-FFF2-40B4-BE49-F238E27FC236}">
                  <a16:creationId xmlns:a16="http://schemas.microsoft.com/office/drawing/2014/main" id="{74F2AC91-DA9A-4AEA-A719-A3FFC3B3D482}"/>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6256604" y="2236610"/>
              <a:ext cx="1466012" cy="1850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203954</xdr:colOff>
      <xdr:row>13</xdr:row>
      <xdr:rowOff>135183</xdr:rowOff>
    </xdr:from>
    <xdr:to>
      <xdr:col>16</xdr:col>
      <xdr:colOff>143934</xdr:colOff>
      <xdr:row>18</xdr:row>
      <xdr:rowOff>94480</xdr:rowOff>
    </xdr:to>
    <mc:AlternateContent xmlns:mc="http://schemas.openxmlformats.org/markup-compatibility/2006" xmlns:a14="http://schemas.microsoft.com/office/drawing/2010/main">
      <mc:Choice Requires="a14">
        <xdr:graphicFrame macro="">
          <xdr:nvGraphicFramePr>
            <xdr:cNvPr id="35" name="gender 4">
              <a:extLst>
                <a:ext uri="{FF2B5EF4-FFF2-40B4-BE49-F238E27FC236}">
                  <a16:creationId xmlns:a16="http://schemas.microsoft.com/office/drawing/2014/main" id="{9DAD1147-D178-4BE3-A5FC-F31577A79336}"/>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7799570" y="2512623"/>
              <a:ext cx="1025068" cy="873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313266</xdr:colOff>
      <xdr:row>36</xdr:row>
      <xdr:rowOff>8466</xdr:rowOff>
    </xdr:from>
    <xdr:to>
      <xdr:col>23</xdr:col>
      <xdr:colOff>397934</xdr:colOff>
      <xdr:row>49</xdr:row>
      <xdr:rowOff>42332</xdr:rowOff>
    </xdr:to>
    <xdr:graphicFrame macro="">
      <xdr:nvGraphicFramePr>
        <xdr:cNvPr id="37" name="Chart 36">
          <a:extLst>
            <a:ext uri="{FF2B5EF4-FFF2-40B4-BE49-F238E27FC236}">
              <a16:creationId xmlns:a16="http://schemas.microsoft.com/office/drawing/2014/main" id="{0893AAE9-C479-4DFC-B14D-5B5F6DB63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343895</xdr:colOff>
      <xdr:row>24</xdr:row>
      <xdr:rowOff>110067</xdr:rowOff>
    </xdr:from>
    <xdr:to>
      <xdr:col>24</xdr:col>
      <xdr:colOff>89897</xdr:colOff>
      <xdr:row>35</xdr:row>
      <xdr:rowOff>143934</xdr:rowOff>
    </xdr:to>
    <xdr:sp macro="" textlink="">
      <xdr:nvSpPr>
        <xdr:cNvPr id="38" name="Oval 37">
          <a:extLst>
            <a:ext uri="{FF2B5EF4-FFF2-40B4-BE49-F238E27FC236}">
              <a16:creationId xmlns:a16="http://schemas.microsoft.com/office/drawing/2014/main" id="{45D7767A-9971-5A8B-0DF1-200AAD94E536}"/>
            </a:ext>
          </a:extLst>
        </xdr:cNvPr>
        <xdr:cNvSpPr/>
      </xdr:nvSpPr>
      <xdr:spPr>
        <a:xfrm>
          <a:off x="8770719" y="4682067"/>
          <a:ext cx="3959413" cy="2129367"/>
        </a:xfrm>
        <a:prstGeom prst="ellipse">
          <a:avLst/>
        </a:prstGeom>
        <a:solidFill>
          <a:schemeClr val="accent6">
            <a:lumMod val="75000"/>
          </a:schemeClr>
        </a:solidFill>
        <a:effectLst>
          <a:glow rad="63500">
            <a:schemeClr val="accent6">
              <a:satMod val="175000"/>
              <a:alpha val="40000"/>
            </a:schemeClr>
          </a:glow>
          <a:outerShdw blurRad="63500" sx="102000" sy="102000" algn="ctr" rotWithShape="0">
            <a:prstClr val="black">
              <a:alpha val="40000"/>
            </a:prstClr>
          </a:outerShdw>
          <a:reflection stA="45000" endPos="4000" dist="508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190499</xdr:colOff>
      <xdr:row>25</xdr:row>
      <xdr:rowOff>180108</xdr:rowOff>
    </xdr:from>
    <xdr:to>
      <xdr:col>23</xdr:col>
      <xdr:colOff>324969</xdr:colOff>
      <xdr:row>34</xdr:row>
      <xdr:rowOff>62346</xdr:rowOff>
    </xdr:to>
    <xdr:graphicFrame macro="">
      <xdr:nvGraphicFramePr>
        <xdr:cNvPr id="39" name="Chart 38">
          <a:extLst>
            <a:ext uri="{FF2B5EF4-FFF2-40B4-BE49-F238E27FC236}">
              <a16:creationId xmlns:a16="http://schemas.microsoft.com/office/drawing/2014/main" id="{B826492F-0930-4030-8BE1-13683FDA2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318918</xdr:colOff>
      <xdr:row>37</xdr:row>
      <xdr:rowOff>181874</xdr:rowOff>
    </xdr:from>
    <xdr:to>
      <xdr:col>16</xdr:col>
      <xdr:colOff>233893</xdr:colOff>
      <xdr:row>46</xdr:row>
      <xdr:rowOff>128894</xdr:rowOff>
    </xdr:to>
    <mc:AlternateContent xmlns:mc="http://schemas.openxmlformats.org/markup-compatibility/2006" xmlns:a14="http://schemas.microsoft.com/office/drawing/2010/main">
      <mc:Choice Requires="a14">
        <xdr:graphicFrame macro="">
          <xdr:nvGraphicFramePr>
            <xdr:cNvPr id="40" name="race/ethnicity 1">
              <a:extLst>
                <a:ext uri="{FF2B5EF4-FFF2-40B4-BE49-F238E27FC236}">
                  <a16:creationId xmlns:a16="http://schemas.microsoft.com/office/drawing/2014/main" id="{FC2F9799-6C8D-41A0-BF29-DB41BB7DCB37}"/>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mlns="">
        <xdr:sp macro="" textlink="">
          <xdr:nvSpPr>
            <xdr:cNvPr id="0" name=""/>
            <xdr:cNvSpPr>
              <a:spLocks noTextEdit="1"/>
            </xdr:cNvSpPr>
          </xdr:nvSpPr>
          <xdr:spPr>
            <a:xfrm>
              <a:off x="7371990" y="6948434"/>
              <a:ext cx="1542607" cy="159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110818</xdr:colOff>
      <xdr:row>37</xdr:row>
      <xdr:rowOff>80273</xdr:rowOff>
    </xdr:from>
    <xdr:to>
      <xdr:col>13</xdr:col>
      <xdr:colOff>253184</xdr:colOff>
      <xdr:row>42</xdr:row>
      <xdr:rowOff>9949</xdr:rowOff>
    </xdr:to>
    <mc:AlternateContent xmlns:mc="http://schemas.openxmlformats.org/markup-compatibility/2006" xmlns:a14="http://schemas.microsoft.com/office/drawing/2010/main">
      <mc:Choice Requires="a14">
        <xdr:graphicFrame macro="">
          <xdr:nvGraphicFramePr>
            <xdr:cNvPr id="41" name="lunch 1">
              <a:extLst>
                <a:ext uri="{FF2B5EF4-FFF2-40B4-BE49-F238E27FC236}">
                  <a16:creationId xmlns:a16="http://schemas.microsoft.com/office/drawing/2014/main" id="{610231CB-D446-437B-8E2A-2B1318EF0A99}"/>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6078802" y="6846833"/>
              <a:ext cx="1227454" cy="84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119285</xdr:colOff>
      <xdr:row>42</xdr:row>
      <xdr:rowOff>116369</xdr:rowOff>
    </xdr:from>
    <xdr:to>
      <xdr:col>13</xdr:col>
      <xdr:colOff>261651</xdr:colOff>
      <xdr:row>47</xdr:row>
      <xdr:rowOff>46936</xdr:rowOff>
    </xdr:to>
    <mc:AlternateContent xmlns:mc="http://schemas.openxmlformats.org/markup-compatibility/2006" xmlns:a14="http://schemas.microsoft.com/office/drawing/2010/main">
      <mc:Choice Requires="a14">
        <xdr:graphicFrame macro="">
          <xdr:nvGraphicFramePr>
            <xdr:cNvPr id="42" name="gender 5">
              <a:extLst>
                <a:ext uri="{FF2B5EF4-FFF2-40B4-BE49-F238E27FC236}">
                  <a16:creationId xmlns:a16="http://schemas.microsoft.com/office/drawing/2014/main" id="{07276AFD-0A98-4162-8B3D-77703A660FC0}"/>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6087269" y="7797329"/>
              <a:ext cx="1227454" cy="844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464492</xdr:colOff>
      <xdr:row>35</xdr:row>
      <xdr:rowOff>155512</xdr:rowOff>
    </xdr:from>
    <xdr:to>
      <xdr:col>8</xdr:col>
      <xdr:colOff>280738</xdr:colOff>
      <xdr:row>49</xdr:row>
      <xdr:rowOff>53474</xdr:rowOff>
    </xdr:to>
    <xdr:graphicFrame macro="">
      <xdr:nvGraphicFramePr>
        <xdr:cNvPr id="43" name="Chart 42">
          <a:extLst>
            <a:ext uri="{FF2B5EF4-FFF2-40B4-BE49-F238E27FC236}">
              <a16:creationId xmlns:a16="http://schemas.microsoft.com/office/drawing/2014/main" id="{2DD716DA-38FC-427F-B3CD-7BE43CA12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518125</xdr:colOff>
      <xdr:row>39</xdr:row>
      <xdr:rowOff>126830</xdr:rowOff>
    </xdr:from>
    <xdr:to>
      <xdr:col>11</xdr:col>
      <xdr:colOff>49318</xdr:colOff>
      <xdr:row>44</xdr:row>
      <xdr:rowOff>88185</xdr:rowOff>
    </xdr:to>
    <mc:AlternateContent xmlns:mc="http://schemas.openxmlformats.org/markup-compatibility/2006" xmlns:a14="http://schemas.microsoft.com/office/drawing/2010/main">
      <mc:Choice Requires="a14">
        <xdr:graphicFrame macro="">
          <xdr:nvGraphicFramePr>
            <xdr:cNvPr id="44" name="gender 6">
              <a:extLst>
                <a:ext uri="{FF2B5EF4-FFF2-40B4-BE49-F238E27FC236}">
                  <a16:creationId xmlns:a16="http://schemas.microsoft.com/office/drawing/2014/main" id="{3355544D-4915-4449-A4A9-5DDD2DE396B3}"/>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4858477" y="7259150"/>
              <a:ext cx="1158825" cy="875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1104900</xdr:colOff>
      <xdr:row>12</xdr:row>
      <xdr:rowOff>52387</xdr:rowOff>
    </xdr:from>
    <xdr:to>
      <xdr:col>9</xdr:col>
      <xdr:colOff>571500</xdr:colOff>
      <xdr:row>26</xdr:row>
      <xdr:rowOff>128587</xdr:rowOff>
    </xdr:to>
    <xdr:graphicFrame macro="">
      <xdr:nvGraphicFramePr>
        <xdr:cNvPr id="2" name="Chart 1">
          <a:extLst>
            <a:ext uri="{FF2B5EF4-FFF2-40B4-BE49-F238E27FC236}">
              <a16:creationId xmlns:a16="http://schemas.microsoft.com/office/drawing/2014/main" id="{3CB60B3A-8BB6-B601-A8FE-D7A7DAC2A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257174</xdr:colOff>
      <xdr:row>12</xdr:row>
      <xdr:rowOff>71436</xdr:rowOff>
    </xdr:from>
    <xdr:to>
      <xdr:col>5</xdr:col>
      <xdr:colOff>733424</xdr:colOff>
      <xdr:row>28</xdr:row>
      <xdr:rowOff>152400</xdr:rowOff>
    </xdr:to>
    <xdr:graphicFrame macro="">
      <xdr:nvGraphicFramePr>
        <xdr:cNvPr id="4" name="Chart 3">
          <a:extLst>
            <a:ext uri="{FF2B5EF4-FFF2-40B4-BE49-F238E27FC236}">
              <a16:creationId xmlns:a16="http://schemas.microsoft.com/office/drawing/2014/main" id="{221B978E-9160-D5C9-194C-BF08CA03C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904875</xdr:colOff>
      <xdr:row>12</xdr:row>
      <xdr:rowOff>123832</xdr:rowOff>
    </xdr:from>
    <xdr:to>
      <xdr:col>11</xdr:col>
      <xdr:colOff>480923</xdr:colOff>
      <xdr:row>23</xdr:row>
      <xdr:rowOff>8332</xdr:rowOff>
    </xdr:to>
    <mc:AlternateContent xmlns:mc="http://schemas.openxmlformats.org/markup-compatibility/2006" xmlns:a14="http://schemas.microsoft.com/office/drawing/2010/main">
      <mc:Choice Requires="a14">
        <xdr:graphicFrame macro="">
          <xdr:nvGraphicFramePr>
            <xdr:cNvPr id="3" name="level of education">
              <a:extLst>
                <a:ext uri="{FF2B5EF4-FFF2-40B4-BE49-F238E27FC236}">
                  <a16:creationId xmlns:a16="http://schemas.microsoft.com/office/drawing/2014/main" id="{DAE29E0E-02E8-D0B9-17FC-023D3B0750F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level of education"/>
            </a:graphicData>
          </a:graphic>
        </xdr:graphicFrame>
      </mc:Choice>
      <mc:Fallback xmlns="">
        <xdr:sp macro="" textlink="">
          <xdr:nvSpPr>
            <xdr:cNvPr id="0" name=""/>
            <xdr:cNvSpPr>
              <a:spLocks noTextEdit="1"/>
            </xdr:cNvSpPr>
          </xdr:nvSpPr>
          <xdr:spPr>
            <a:xfrm>
              <a:off x="10687050" y="2409832"/>
              <a:ext cx="1839188"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114303</xdr:colOff>
      <xdr:row>13</xdr:row>
      <xdr:rowOff>38110</xdr:rowOff>
    </xdr:from>
    <xdr:to>
      <xdr:col>1</xdr:col>
      <xdr:colOff>90889</xdr:colOff>
      <xdr:row>18</xdr:row>
      <xdr:rowOff>19536</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B760E1CE-7513-A454-B1A2-D2B19DFF4A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303" y="2514610"/>
              <a:ext cx="1152144" cy="933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1276351</xdr:colOff>
      <xdr:row>13</xdr:row>
      <xdr:rowOff>71437</xdr:rowOff>
    </xdr:from>
    <xdr:to>
      <xdr:col>8</xdr:col>
      <xdr:colOff>428625</xdr:colOff>
      <xdr:row>33</xdr:row>
      <xdr:rowOff>57151</xdr:rowOff>
    </xdr:to>
    <xdr:graphicFrame macro="">
      <xdr:nvGraphicFramePr>
        <xdr:cNvPr id="7" name="Chart 2">
          <a:extLst>
            <a:ext uri="{FF2B5EF4-FFF2-40B4-BE49-F238E27FC236}">
              <a16:creationId xmlns:a16="http://schemas.microsoft.com/office/drawing/2014/main" id="{380BFE2C-9B73-45B5-53FA-01AD420A9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285750</xdr:colOff>
      <xdr:row>23</xdr:row>
      <xdr:rowOff>157162</xdr:rowOff>
    </xdr:from>
    <xdr:to>
      <xdr:col>3</xdr:col>
      <xdr:colOff>904875</xdr:colOff>
      <xdr:row>38</xdr:row>
      <xdr:rowOff>42862</xdr:rowOff>
    </xdr:to>
    <xdr:graphicFrame macro="">
      <xdr:nvGraphicFramePr>
        <xdr:cNvPr id="8" name="Chart 1">
          <a:extLst>
            <a:ext uri="{FF2B5EF4-FFF2-40B4-BE49-F238E27FC236}">
              <a16:creationId xmlns:a16="http://schemas.microsoft.com/office/drawing/2014/main" id="{AD9270C3-D1E0-DEE5-E7A0-5B7171A68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447675</xdr:colOff>
      <xdr:row>12</xdr:row>
      <xdr:rowOff>152400</xdr:rowOff>
    </xdr:from>
    <xdr:to>
      <xdr:col>3</xdr:col>
      <xdr:colOff>235692</xdr:colOff>
      <xdr:row>23</xdr:row>
      <xdr:rowOff>36900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8DA42501-F786-2AB2-A9D5-E19AE902D7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09725" y="2438400"/>
              <a:ext cx="1584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628649</xdr:colOff>
      <xdr:row>14</xdr:row>
      <xdr:rowOff>23812</xdr:rowOff>
    </xdr:from>
    <xdr:to>
      <xdr:col>14</xdr:col>
      <xdr:colOff>933449</xdr:colOff>
      <xdr:row>33</xdr:row>
      <xdr:rowOff>114300</xdr:rowOff>
    </xdr:to>
    <xdr:graphicFrame macro="">
      <xdr:nvGraphicFramePr>
        <xdr:cNvPr id="2" name="Chart 1">
          <a:extLst>
            <a:ext uri="{FF2B5EF4-FFF2-40B4-BE49-F238E27FC236}">
              <a16:creationId xmlns:a16="http://schemas.microsoft.com/office/drawing/2014/main" id="{6685BDA6-3E94-A086-3DA7-2870F6093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14</xdr:row>
      <xdr:rowOff>23812</xdr:rowOff>
    </xdr:from>
    <xdr:to>
      <xdr:col>6</xdr:col>
      <xdr:colOff>495300</xdr:colOff>
      <xdr:row>28</xdr:row>
      <xdr:rowOff>100012</xdr:rowOff>
    </xdr:to>
    <xdr:graphicFrame macro="">
      <xdr:nvGraphicFramePr>
        <xdr:cNvPr id="3" name="Chart 2">
          <a:extLst>
            <a:ext uri="{FF2B5EF4-FFF2-40B4-BE49-F238E27FC236}">
              <a16:creationId xmlns:a16="http://schemas.microsoft.com/office/drawing/2014/main" id="{124984B3-6A7D-DF43-0B14-6AFF7563D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495300</xdr:colOff>
      <xdr:row>6</xdr:row>
      <xdr:rowOff>95250</xdr:rowOff>
    </xdr:from>
    <xdr:to>
      <xdr:col>15</xdr:col>
      <xdr:colOff>426000</xdr:colOff>
      <xdr:row>11</xdr:row>
      <xdr:rowOff>42750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1C06DDCF-50F8-583F-FA8A-EA0AD7CF050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639300" y="1238250"/>
              <a:ext cx="118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xdr:row>
      <xdr:rowOff>180975</xdr:rowOff>
    </xdr:from>
    <xdr:to>
      <xdr:col>18</xdr:col>
      <xdr:colOff>473775</xdr:colOff>
      <xdr:row>10</xdr:row>
      <xdr:rowOff>158475</xdr:rowOff>
    </xdr:to>
    <mc:AlternateContent xmlns:mc="http://schemas.openxmlformats.org/markup-compatibility/2006" xmlns:a14="http://schemas.microsoft.com/office/drawing/2010/main">
      <mc:Choice Requires="a14">
        <xdr:graphicFrame macro="">
          <xdr:nvGraphicFramePr>
            <xdr:cNvPr id="5" name="race/ethnicity">
              <a:extLst>
                <a:ext uri="{FF2B5EF4-FFF2-40B4-BE49-F238E27FC236}">
                  <a16:creationId xmlns:a16="http://schemas.microsoft.com/office/drawing/2014/main" id="{BB2C85CB-29BD-968C-CCE1-E74B42CFED94}"/>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0915650" y="371475"/>
              <a:ext cx="1512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466725</xdr:colOff>
      <xdr:row>1</xdr:row>
      <xdr:rowOff>57150</xdr:rowOff>
    </xdr:from>
    <xdr:to>
      <xdr:col>15</xdr:col>
      <xdr:colOff>397425</xdr:colOff>
      <xdr:row>6</xdr:row>
      <xdr:rowOff>4650</xdr:rowOff>
    </xdr:to>
    <mc:AlternateContent xmlns:mc="http://schemas.openxmlformats.org/markup-compatibility/2006" xmlns:a14="http://schemas.microsoft.com/office/drawing/2010/main">
      <mc:Choice Requires="a14">
        <xdr:graphicFrame macro="">
          <xdr:nvGraphicFramePr>
            <xdr:cNvPr id="6" name="lunch">
              <a:extLst>
                <a:ext uri="{FF2B5EF4-FFF2-40B4-BE49-F238E27FC236}">
                  <a16:creationId xmlns:a16="http://schemas.microsoft.com/office/drawing/2014/main" id="{8989499A-522F-B807-1910-88614DE23C12}"/>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9610725" y="247650"/>
              <a:ext cx="118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166687</xdr:colOff>
      <xdr:row>3017</xdr:row>
      <xdr:rowOff>123825</xdr:rowOff>
    </xdr:from>
    <xdr:to>
      <xdr:col>17</xdr:col>
      <xdr:colOff>471487</xdr:colOff>
      <xdr:row>3032</xdr:row>
      <xdr:rowOff>0</xdr:rowOff>
    </xdr:to>
    <xdr:graphicFrame macro="">
      <xdr:nvGraphicFramePr>
        <xdr:cNvPr id="2" name="Chart 1">
          <a:extLst>
            <a:ext uri="{FF2B5EF4-FFF2-40B4-BE49-F238E27FC236}">
              <a16:creationId xmlns:a16="http://schemas.microsoft.com/office/drawing/2014/main" id="{8582D7DA-00C4-7F66-842A-4D3315572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437936689814" createdVersion="8" refreshedVersion="8" minRefreshableVersion="3" recordCount="1000" xr:uid="{503E7F24-E9D6-40B7-A930-56937D57D406}">
  <cacheSource type="worksheet">
    <worksheetSource ref="A1:H1001" sheet="StudentsPerformance"/>
  </cacheSource>
  <cacheFields count="8">
    <cacheField name="gender" numFmtId="0">
      <sharedItems count="2">
        <s v="female"/>
        <s v="male"/>
      </sharedItems>
    </cacheField>
    <cacheField name="race/ethnicity" numFmtId="0">
      <sharedItems/>
    </cacheField>
    <cacheField name="parental level of education" numFmtId="0">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1094770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8690162035" createdVersion="8" refreshedVersion="8" minRefreshableVersion="3" recordCount="1000" xr:uid="{AF1D57DB-6D9F-4CF3-922C-8EDA38ADD236}">
  <cacheSource type="worksheet">
    <worksheetSource ref="A1:H1001" sheet="StudentsPerformance"/>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15447182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3037037041" createdVersion="8" refreshedVersion="8" minRefreshableVersion="3" recordCount="1000" xr:uid="{BFB83B67-9E19-4CFC-B65C-56587C9F540C}">
  <cacheSource type="worksheet">
    <worksheetSource ref="A1:H1001" sheet="StudentsPerformance"/>
  </cacheSource>
  <cacheFields count="8">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80664933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1857754629" createdVersion="8" refreshedVersion="8" minRefreshableVersion="3" recordCount="1000" xr:uid="{47D0883C-F00F-41FD-83B6-FE27C45A9444}">
  <cacheSource type="worksheet">
    <worksheetSource ref="A1:H1001" sheet="StudentsPerformance"/>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164">
      <sharedItems containsSemiMixedTypes="0" containsString="0" containsNumber="1" containsInteger="1" minValue="0" maxValue="100"/>
    </cacheField>
    <cacheField name="reading score" numFmtId="164">
      <sharedItems containsSemiMixedTypes="0" containsString="0" containsNumber="1" containsInteger="1" minValue="17" maxValue="100"/>
    </cacheField>
    <cacheField name="writing score" numFmtId="164">
      <sharedItems containsSemiMixedTypes="0" containsString="0" containsNumber="1" containsInteger="1" minValue="10" maxValue="100"/>
    </cacheField>
  </cacheFields>
  <extLst>
    <ext xmlns:x14="http://schemas.microsoft.com/office/spreadsheetml/2009/9/main" uri="{725AE2AE-9491-48be-B2B4-4EB974FC3084}">
      <x14:pivotCacheDefinition pivotCacheId="801294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s v="bachelor's degree"/>
    <s v="standard"/>
    <s v="none"/>
    <n v="72"/>
    <n v="72"/>
    <n v="74"/>
  </r>
  <r>
    <x v="0"/>
    <s v="group C"/>
    <s v="some college"/>
    <s v="standard"/>
    <s v="completed"/>
    <n v="69"/>
    <n v="90"/>
    <n v="88"/>
  </r>
  <r>
    <x v="0"/>
    <s v="group B"/>
    <s v="master's degree"/>
    <s v="standard"/>
    <s v="none"/>
    <n v="90"/>
    <n v="95"/>
    <n v="93"/>
  </r>
  <r>
    <x v="1"/>
    <s v="group A"/>
    <s v="associate's degree"/>
    <s v="free/reduced"/>
    <s v="none"/>
    <n v="47"/>
    <n v="57"/>
    <n v="44"/>
  </r>
  <r>
    <x v="1"/>
    <s v="group C"/>
    <s v="some college"/>
    <s v="standard"/>
    <s v="none"/>
    <n v="76"/>
    <n v="78"/>
    <n v="75"/>
  </r>
  <r>
    <x v="0"/>
    <s v="group B"/>
    <s v="associate's degree"/>
    <s v="standard"/>
    <s v="none"/>
    <n v="71"/>
    <n v="83"/>
    <n v="78"/>
  </r>
  <r>
    <x v="0"/>
    <s v="group B"/>
    <s v="some college"/>
    <s v="standard"/>
    <s v="completed"/>
    <n v="88"/>
    <n v="95"/>
    <n v="92"/>
  </r>
  <r>
    <x v="1"/>
    <s v="group B"/>
    <s v="some college"/>
    <s v="free/reduced"/>
    <s v="none"/>
    <n v="40"/>
    <n v="43"/>
    <n v="39"/>
  </r>
  <r>
    <x v="1"/>
    <s v="group D"/>
    <s v="high school"/>
    <s v="free/reduced"/>
    <s v="completed"/>
    <n v="64"/>
    <n v="64"/>
    <n v="67"/>
  </r>
  <r>
    <x v="0"/>
    <s v="group B"/>
    <s v="high school"/>
    <s v="free/reduced"/>
    <s v="none"/>
    <n v="38"/>
    <n v="60"/>
    <n v="50"/>
  </r>
  <r>
    <x v="1"/>
    <s v="group C"/>
    <s v="associate's degree"/>
    <s v="standard"/>
    <s v="none"/>
    <n v="58"/>
    <n v="54"/>
    <n v="52"/>
  </r>
  <r>
    <x v="1"/>
    <s v="group D"/>
    <s v="associate's degree"/>
    <s v="standard"/>
    <s v="none"/>
    <n v="40"/>
    <n v="52"/>
    <n v="43"/>
  </r>
  <r>
    <x v="0"/>
    <s v="group B"/>
    <s v="high school"/>
    <s v="standard"/>
    <s v="none"/>
    <n v="65"/>
    <n v="81"/>
    <n v="73"/>
  </r>
  <r>
    <x v="1"/>
    <s v="group A"/>
    <s v="some college"/>
    <s v="standard"/>
    <s v="completed"/>
    <n v="78"/>
    <n v="72"/>
    <n v="70"/>
  </r>
  <r>
    <x v="0"/>
    <s v="group A"/>
    <s v="master's degree"/>
    <s v="standard"/>
    <s v="none"/>
    <n v="50"/>
    <n v="53"/>
    <n v="58"/>
  </r>
  <r>
    <x v="0"/>
    <s v="group C"/>
    <s v="some high school"/>
    <s v="standard"/>
    <s v="none"/>
    <n v="69"/>
    <n v="75"/>
    <n v="78"/>
  </r>
  <r>
    <x v="1"/>
    <s v="group C"/>
    <s v="high school"/>
    <s v="standard"/>
    <s v="none"/>
    <n v="88"/>
    <n v="89"/>
    <n v="86"/>
  </r>
  <r>
    <x v="0"/>
    <s v="group B"/>
    <s v="some high school"/>
    <s v="free/reduced"/>
    <s v="none"/>
    <n v="18"/>
    <n v="32"/>
    <n v="28"/>
  </r>
  <r>
    <x v="1"/>
    <s v="group C"/>
    <s v="master's degree"/>
    <s v="free/reduced"/>
    <s v="completed"/>
    <n v="46"/>
    <n v="42"/>
    <n v="46"/>
  </r>
  <r>
    <x v="0"/>
    <s v="group C"/>
    <s v="associate's degree"/>
    <s v="free/reduced"/>
    <s v="none"/>
    <n v="54"/>
    <n v="58"/>
    <n v="61"/>
  </r>
  <r>
    <x v="1"/>
    <s v="group D"/>
    <s v="high school"/>
    <s v="standard"/>
    <s v="none"/>
    <n v="66"/>
    <n v="69"/>
    <n v="63"/>
  </r>
  <r>
    <x v="0"/>
    <s v="group B"/>
    <s v="some college"/>
    <s v="free/reduced"/>
    <s v="completed"/>
    <n v="65"/>
    <n v="75"/>
    <n v="70"/>
  </r>
  <r>
    <x v="1"/>
    <s v="group D"/>
    <s v="some college"/>
    <s v="standard"/>
    <s v="none"/>
    <n v="44"/>
    <n v="54"/>
    <n v="53"/>
  </r>
  <r>
    <x v="0"/>
    <s v="group C"/>
    <s v="some high school"/>
    <s v="standard"/>
    <s v="none"/>
    <n v="69"/>
    <n v="73"/>
    <n v="73"/>
  </r>
  <r>
    <x v="1"/>
    <s v="group D"/>
    <s v="bachelor's degree"/>
    <s v="free/reduced"/>
    <s v="completed"/>
    <n v="74"/>
    <n v="71"/>
    <n v="80"/>
  </r>
  <r>
    <x v="1"/>
    <s v="group A"/>
    <s v="master's degree"/>
    <s v="free/reduced"/>
    <s v="none"/>
    <n v="73"/>
    <n v="74"/>
    <n v="72"/>
  </r>
  <r>
    <x v="1"/>
    <s v="group B"/>
    <s v="some college"/>
    <s v="standard"/>
    <s v="none"/>
    <n v="69"/>
    <n v="54"/>
    <n v="55"/>
  </r>
  <r>
    <x v="0"/>
    <s v="group C"/>
    <s v="bachelor's degree"/>
    <s v="standard"/>
    <s v="none"/>
    <n v="67"/>
    <n v="69"/>
    <n v="75"/>
  </r>
  <r>
    <x v="1"/>
    <s v="group C"/>
    <s v="high school"/>
    <s v="standard"/>
    <s v="none"/>
    <n v="70"/>
    <n v="70"/>
    <n v="65"/>
  </r>
  <r>
    <x v="0"/>
    <s v="group D"/>
    <s v="master's degree"/>
    <s v="standard"/>
    <s v="none"/>
    <n v="62"/>
    <n v="70"/>
    <n v="75"/>
  </r>
  <r>
    <x v="0"/>
    <s v="group D"/>
    <s v="some college"/>
    <s v="standard"/>
    <s v="none"/>
    <n v="69"/>
    <n v="74"/>
    <n v="74"/>
  </r>
  <r>
    <x v="0"/>
    <s v="group B"/>
    <s v="some college"/>
    <s v="standard"/>
    <s v="none"/>
    <n v="63"/>
    <n v="65"/>
    <n v="61"/>
  </r>
  <r>
    <x v="0"/>
    <s v="group E"/>
    <s v="master's degree"/>
    <s v="free/reduced"/>
    <s v="none"/>
    <n v="56"/>
    <n v="72"/>
    <n v="65"/>
  </r>
  <r>
    <x v="1"/>
    <s v="group D"/>
    <s v="some college"/>
    <s v="standard"/>
    <s v="none"/>
    <n v="40"/>
    <n v="42"/>
    <n v="38"/>
  </r>
  <r>
    <x v="1"/>
    <s v="group E"/>
    <s v="some college"/>
    <s v="standard"/>
    <s v="none"/>
    <n v="97"/>
    <n v="87"/>
    <n v="82"/>
  </r>
  <r>
    <x v="1"/>
    <s v="group E"/>
    <s v="associate's degree"/>
    <s v="standard"/>
    <s v="completed"/>
    <n v="81"/>
    <n v="81"/>
    <n v="79"/>
  </r>
  <r>
    <x v="0"/>
    <s v="group D"/>
    <s v="associate's degree"/>
    <s v="standard"/>
    <s v="none"/>
    <n v="74"/>
    <n v="81"/>
    <n v="83"/>
  </r>
  <r>
    <x v="0"/>
    <s v="group D"/>
    <s v="some high school"/>
    <s v="free/reduced"/>
    <s v="none"/>
    <n v="50"/>
    <n v="64"/>
    <n v="59"/>
  </r>
  <r>
    <x v="0"/>
    <s v="group D"/>
    <s v="associate's degree"/>
    <s v="free/reduced"/>
    <s v="completed"/>
    <n v="75"/>
    <n v="90"/>
    <n v="88"/>
  </r>
  <r>
    <x v="1"/>
    <s v="group B"/>
    <s v="associate's degree"/>
    <s v="free/reduced"/>
    <s v="none"/>
    <n v="57"/>
    <n v="56"/>
    <n v="57"/>
  </r>
  <r>
    <x v="1"/>
    <s v="group C"/>
    <s v="associate's degree"/>
    <s v="free/reduced"/>
    <s v="none"/>
    <n v="55"/>
    <n v="61"/>
    <n v="54"/>
  </r>
  <r>
    <x v="0"/>
    <s v="group C"/>
    <s v="associate's degree"/>
    <s v="standard"/>
    <s v="none"/>
    <n v="58"/>
    <n v="73"/>
    <n v="68"/>
  </r>
  <r>
    <x v="0"/>
    <s v="group B"/>
    <s v="associate's degree"/>
    <s v="standard"/>
    <s v="none"/>
    <n v="53"/>
    <n v="58"/>
    <n v="65"/>
  </r>
  <r>
    <x v="1"/>
    <s v="group B"/>
    <s v="some college"/>
    <s v="free/reduced"/>
    <s v="completed"/>
    <n v="59"/>
    <n v="65"/>
    <n v="66"/>
  </r>
  <r>
    <x v="0"/>
    <s v="group E"/>
    <s v="associate's degree"/>
    <s v="free/reduced"/>
    <s v="none"/>
    <n v="50"/>
    <n v="56"/>
    <n v="54"/>
  </r>
  <r>
    <x v="1"/>
    <s v="group B"/>
    <s v="associate's degree"/>
    <s v="standard"/>
    <s v="none"/>
    <n v="65"/>
    <n v="54"/>
    <n v="57"/>
  </r>
  <r>
    <x v="0"/>
    <s v="group A"/>
    <s v="associate's degree"/>
    <s v="standard"/>
    <s v="completed"/>
    <n v="55"/>
    <n v="65"/>
    <n v="62"/>
  </r>
  <r>
    <x v="0"/>
    <s v="group C"/>
    <s v="high school"/>
    <s v="standard"/>
    <s v="none"/>
    <n v="66"/>
    <n v="71"/>
    <n v="76"/>
  </r>
  <r>
    <x v="0"/>
    <s v="group D"/>
    <s v="associate's degree"/>
    <s v="free/reduced"/>
    <s v="completed"/>
    <n v="57"/>
    <n v="74"/>
    <n v="76"/>
  </r>
  <r>
    <x v="1"/>
    <s v="group C"/>
    <s v="high school"/>
    <s v="standard"/>
    <s v="completed"/>
    <n v="82"/>
    <n v="84"/>
    <n v="82"/>
  </r>
  <r>
    <x v="1"/>
    <s v="group E"/>
    <s v="some college"/>
    <s v="standard"/>
    <s v="none"/>
    <n v="53"/>
    <n v="55"/>
    <n v="48"/>
  </r>
  <r>
    <x v="1"/>
    <s v="group E"/>
    <s v="associate's degree"/>
    <s v="free/reduced"/>
    <s v="completed"/>
    <n v="77"/>
    <n v="69"/>
    <n v="68"/>
  </r>
  <r>
    <x v="1"/>
    <s v="group C"/>
    <s v="some college"/>
    <s v="standard"/>
    <s v="none"/>
    <n v="53"/>
    <n v="44"/>
    <n v="42"/>
  </r>
  <r>
    <x v="1"/>
    <s v="group D"/>
    <s v="high school"/>
    <s v="standard"/>
    <s v="none"/>
    <n v="88"/>
    <n v="78"/>
    <n v="75"/>
  </r>
  <r>
    <x v="0"/>
    <s v="group C"/>
    <s v="some high school"/>
    <s v="free/reduced"/>
    <s v="completed"/>
    <n v="71"/>
    <n v="84"/>
    <n v="87"/>
  </r>
  <r>
    <x v="0"/>
    <s v="group C"/>
    <s v="high school"/>
    <s v="free/reduced"/>
    <s v="none"/>
    <n v="33"/>
    <n v="41"/>
    <n v="43"/>
  </r>
  <r>
    <x v="0"/>
    <s v="group E"/>
    <s v="associate's degree"/>
    <s v="standard"/>
    <s v="completed"/>
    <n v="82"/>
    <n v="85"/>
    <n v="86"/>
  </r>
  <r>
    <x v="1"/>
    <s v="group D"/>
    <s v="associate's degree"/>
    <s v="standard"/>
    <s v="none"/>
    <n v="52"/>
    <n v="55"/>
    <n v="49"/>
  </r>
  <r>
    <x v="1"/>
    <s v="group D"/>
    <s v="some college"/>
    <s v="standard"/>
    <s v="completed"/>
    <n v="58"/>
    <n v="59"/>
    <n v="58"/>
  </r>
  <r>
    <x v="0"/>
    <s v="group C"/>
    <s v="some high school"/>
    <s v="free/reduced"/>
    <s v="none"/>
    <n v="0"/>
    <n v="17"/>
    <n v="10"/>
  </r>
  <r>
    <x v="1"/>
    <s v="group E"/>
    <s v="bachelor's degree"/>
    <s v="free/reduced"/>
    <s v="completed"/>
    <n v="79"/>
    <n v="74"/>
    <n v="72"/>
  </r>
  <r>
    <x v="1"/>
    <s v="group A"/>
    <s v="some high school"/>
    <s v="free/reduced"/>
    <s v="none"/>
    <n v="39"/>
    <n v="39"/>
    <n v="34"/>
  </r>
  <r>
    <x v="1"/>
    <s v="group A"/>
    <s v="associate's degree"/>
    <s v="free/reduced"/>
    <s v="none"/>
    <n v="62"/>
    <n v="61"/>
    <n v="55"/>
  </r>
  <r>
    <x v="0"/>
    <s v="group C"/>
    <s v="associate's degree"/>
    <s v="standard"/>
    <s v="none"/>
    <n v="69"/>
    <n v="80"/>
    <n v="71"/>
  </r>
  <r>
    <x v="0"/>
    <s v="group D"/>
    <s v="some high school"/>
    <s v="standard"/>
    <s v="none"/>
    <n v="59"/>
    <n v="58"/>
    <n v="59"/>
  </r>
  <r>
    <x v="1"/>
    <s v="group B"/>
    <s v="some high school"/>
    <s v="standard"/>
    <s v="none"/>
    <n v="67"/>
    <n v="64"/>
    <n v="61"/>
  </r>
  <r>
    <x v="1"/>
    <s v="group D"/>
    <s v="some high school"/>
    <s v="free/reduced"/>
    <s v="none"/>
    <n v="45"/>
    <n v="37"/>
    <n v="37"/>
  </r>
  <r>
    <x v="0"/>
    <s v="group C"/>
    <s v="some college"/>
    <s v="standard"/>
    <s v="none"/>
    <n v="60"/>
    <n v="72"/>
    <n v="74"/>
  </r>
  <r>
    <x v="1"/>
    <s v="group B"/>
    <s v="associate's degree"/>
    <s v="free/reduced"/>
    <s v="none"/>
    <n v="61"/>
    <n v="58"/>
    <n v="56"/>
  </r>
  <r>
    <x v="0"/>
    <s v="group C"/>
    <s v="associate's degree"/>
    <s v="standard"/>
    <s v="none"/>
    <n v="39"/>
    <n v="64"/>
    <n v="57"/>
  </r>
  <r>
    <x v="0"/>
    <s v="group D"/>
    <s v="some college"/>
    <s v="free/reduced"/>
    <s v="completed"/>
    <n v="58"/>
    <n v="63"/>
    <n v="73"/>
  </r>
  <r>
    <x v="1"/>
    <s v="group D"/>
    <s v="some college"/>
    <s v="standard"/>
    <s v="completed"/>
    <n v="63"/>
    <n v="55"/>
    <n v="63"/>
  </r>
  <r>
    <x v="0"/>
    <s v="group A"/>
    <s v="associate's degree"/>
    <s v="free/reduced"/>
    <s v="none"/>
    <n v="41"/>
    <n v="51"/>
    <n v="48"/>
  </r>
  <r>
    <x v="1"/>
    <s v="group C"/>
    <s v="some high school"/>
    <s v="free/reduced"/>
    <s v="none"/>
    <n v="61"/>
    <n v="57"/>
    <n v="56"/>
  </r>
  <r>
    <x v="1"/>
    <s v="group C"/>
    <s v="some high school"/>
    <s v="standard"/>
    <s v="none"/>
    <n v="49"/>
    <n v="49"/>
    <n v="41"/>
  </r>
  <r>
    <x v="1"/>
    <s v="group B"/>
    <s v="associate's degree"/>
    <s v="free/reduced"/>
    <s v="none"/>
    <n v="44"/>
    <n v="41"/>
    <n v="38"/>
  </r>
  <r>
    <x v="1"/>
    <s v="group E"/>
    <s v="some high school"/>
    <s v="standard"/>
    <s v="none"/>
    <n v="30"/>
    <n v="26"/>
    <n v="22"/>
  </r>
  <r>
    <x v="1"/>
    <s v="group A"/>
    <s v="bachelor's degree"/>
    <s v="standard"/>
    <s v="completed"/>
    <n v="80"/>
    <n v="78"/>
    <n v="81"/>
  </r>
  <r>
    <x v="0"/>
    <s v="group D"/>
    <s v="some high school"/>
    <s v="standard"/>
    <s v="completed"/>
    <n v="61"/>
    <n v="74"/>
    <n v="72"/>
  </r>
  <r>
    <x v="0"/>
    <s v="group E"/>
    <s v="master's degree"/>
    <s v="standard"/>
    <s v="none"/>
    <n v="62"/>
    <n v="68"/>
    <n v="68"/>
  </r>
  <r>
    <x v="0"/>
    <s v="group B"/>
    <s v="associate's degree"/>
    <s v="standard"/>
    <s v="none"/>
    <n v="47"/>
    <n v="49"/>
    <n v="50"/>
  </r>
  <r>
    <x v="1"/>
    <s v="group B"/>
    <s v="high school"/>
    <s v="free/reduced"/>
    <s v="none"/>
    <n v="49"/>
    <n v="45"/>
    <n v="45"/>
  </r>
  <r>
    <x v="1"/>
    <s v="group A"/>
    <s v="some college"/>
    <s v="free/reduced"/>
    <s v="completed"/>
    <n v="50"/>
    <n v="47"/>
    <n v="54"/>
  </r>
  <r>
    <x v="1"/>
    <s v="group E"/>
    <s v="associate's degree"/>
    <s v="standard"/>
    <s v="none"/>
    <n v="72"/>
    <n v="64"/>
    <n v="63"/>
  </r>
  <r>
    <x v="1"/>
    <s v="group D"/>
    <s v="high school"/>
    <s v="free/reduced"/>
    <s v="none"/>
    <n v="42"/>
    <n v="39"/>
    <n v="34"/>
  </r>
  <r>
    <x v="0"/>
    <s v="group C"/>
    <s v="some college"/>
    <s v="standard"/>
    <s v="none"/>
    <n v="73"/>
    <n v="80"/>
    <n v="82"/>
  </r>
  <r>
    <x v="0"/>
    <s v="group C"/>
    <s v="some college"/>
    <s v="free/reduced"/>
    <s v="none"/>
    <n v="76"/>
    <n v="83"/>
    <n v="88"/>
  </r>
  <r>
    <x v="0"/>
    <s v="group D"/>
    <s v="associate's degree"/>
    <s v="standard"/>
    <s v="none"/>
    <n v="71"/>
    <n v="71"/>
    <n v="74"/>
  </r>
  <r>
    <x v="0"/>
    <s v="group A"/>
    <s v="some college"/>
    <s v="standard"/>
    <s v="none"/>
    <n v="58"/>
    <n v="70"/>
    <n v="67"/>
  </r>
  <r>
    <x v="0"/>
    <s v="group D"/>
    <s v="some high school"/>
    <s v="standard"/>
    <s v="none"/>
    <n v="73"/>
    <n v="86"/>
    <n v="82"/>
  </r>
  <r>
    <x v="0"/>
    <s v="group C"/>
    <s v="bachelor's degree"/>
    <s v="standard"/>
    <s v="none"/>
    <n v="65"/>
    <n v="72"/>
    <n v="74"/>
  </r>
  <r>
    <x v="1"/>
    <s v="group C"/>
    <s v="high school"/>
    <s v="free/reduced"/>
    <s v="none"/>
    <n v="27"/>
    <n v="34"/>
    <n v="36"/>
  </r>
  <r>
    <x v="1"/>
    <s v="group C"/>
    <s v="high school"/>
    <s v="standard"/>
    <s v="none"/>
    <n v="71"/>
    <n v="79"/>
    <n v="71"/>
  </r>
  <r>
    <x v="1"/>
    <s v="group C"/>
    <s v="associate's degree"/>
    <s v="free/reduced"/>
    <s v="completed"/>
    <n v="43"/>
    <n v="45"/>
    <n v="50"/>
  </r>
  <r>
    <x v="0"/>
    <s v="group B"/>
    <s v="some college"/>
    <s v="standard"/>
    <s v="none"/>
    <n v="79"/>
    <n v="86"/>
    <n v="92"/>
  </r>
  <r>
    <x v="1"/>
    <s v="group C"/>
    <s v="associate's degree"/>
    <s v="free/reduced"/>
    <s v="completed"/>
    <n v="78"/>
    <n v="81"/>
    <n v="82"/>
  </r>
  <r>
    <x v="1"/>
    <s v="group B"/>
    <s v="some high school"/>
    <s v="standard"/>
    <s v="completed"/>
    <n v="65"/>
    <n v="66"/>
    <n v="62"/>
  </r>
  <r>
    <x v="0"/>
    <s v="group E"/>
    <s v="some college"/>
    <s v="standard"/>
    <s v="completed"/>
    <n v="63"/>
    <n v="72"/>
    <n v="70"/>
  </r>
  <r>
    <x v="0"/>
    <s v="group D"/>
    <s v="some college"/>
    <s v="free/reduced"/>
    <s v="none"/>
    <n v="58"/>
    <n v="67"/>
    <n v="62"/>
  </r>
  <r>
    <x v="0"/>
    <s v="group D"/>
    <s v="bachelor's degree"/>
    <s v="standard"/>
    <s v="none"/>
    <n v="65"/>
    <n v="67"/>
    <n v="62"/>
  </r>
  <r>
    <x v="1"/>
    <s v="group B"/>
    <s v="some college"/>
    <s v="standard"/>
    <s v="none"/>
    <n v="79"/>
    <n v="67"/>
    <n v="67"/>
  </r>
  <r>
    <x v="1"/>
    <s v="group D"/>
    <s v="bachelor's degree"/>
    <s v="standard"/>
    <s v="completed"/>
    <n v="68"/>
    <n v="74"/>
    <n v="74"/>
  </r>
  <r>
    <x v="0"/>
    <s v="group D"/>
    <s v="associate's degree"/>
    <s v="standard"/>
    <s v="none"/>
    <n v="85"/>
    <n v="91"/>
    <n v="89"/>
  </r>
  <r>
    <x v="1"/>
    <s v="group B"/>
    <s v="high school"/>
    <s v="standard"/>
    <s v="completed"/>
    <n v="60"/>
    <n v="44"/>
    <n v="47"/>
  </r>
  <r>
    <x v="1"/>
    <s v="group C"/>
    <s v="some college"/>
    <s v="standard"/>
    <s v="completed"/>
    <n v="98"/>
    <n v="86"/>
    <n v="90"/>
  </r>
  <r>
    <x v="0"/>
    <s v="group C"/>
    <s v="some college"/>
    <s v="standard"/>
    <s v="none"/>
    <n v="58"/>
    <n v="67"/>
    <n v="72"/>
  </r>
  <r>
    <x v="0"/>
    <s v="group D"/>
    <s v="master's degree"/>
    <s v="standard"/>
    <s v="none"/>
    <n v="87"/>
    <n v="100"/>
    <n v="100"/>
  </r>
  <r>
    <x v="1"/>
    <s v="group E"/>
    <s v="associate's degree"/>
    <s v="standard"/>
    <s v="completed"/>
    <n v="66"/>
    <n v="63"/>
    <n v="64"/>
  </r>
  <r>
    <x v="0"/>
    <s v="group B"/>
    <s v="associate's degree"/>
    <s v="free/reduced"/>
    <s v="none"/>
    <n v="52"/>
    <n v="76"/>
    <n v="70"/>
  </r>
  <r>
    <x v="0"/>
    <s v="group B"/>
    <s v="some high school"/>
    <s v="standard"/>
    <s v="none"/>
    <n v="70"/>
    <n v="64"/>
    <n v="72"/>
  </r>
  <r>
    <x v="0"/>
    <s v="group D"/>
    <s v="associate's degree"/>
    <s v="free/reduced"/>
    <s v="completed"/>
    <n v="77"/>
    <n v="89"/>
    <n v="98"/>
  </r>
  <r>
    <x v="1"/>
    <s v="group C"/>
    <s v="high school"/>
    <s v="standard"/>
    <s v="none"/>
    <n v="62"/>
    <n v="55"/>
    <n v="49"/>
  </r>
  <r>
    <x v="1"/>
    <s v="group A"/>
    <s v="associate's degree"/>
    <s v="standard"/>
    <s v="none"/>
    <n v="54"/>
    <n v="53"/>
    <n v="47"/>
  </r>
  <r>
    <x v="0"/>
    <s v="group D"/>
    <s v="some college"/>
    <s v="standard"/>
    <s v="none"/>
    <n v="51"/>
    <n v="58"/>
    <n v="54"/>
  </r>
  <r>
    <x v="0"/>
    <s v="group E"/>
    <s v="bachelor's degree"/>
    <s v="standard"/>
    <s v="completed"/>
    <n v="99"/>
    <n v="100"/>
    <n v="100"/>
  </r>
  <r>
    <x v="1"/>
    <s v="group C"/>
    <s v="high school"/>
    <s v="standard"/>
    <s v="none"/>
    <n v="84"/>
    <n v="77"/>
    <n v="74"/>
  </r>
  <r>
    <x v="0"/>
    <s v="group B"/>
    <s v="bachelor's degree"/>
    <s v="free/reduced"/>
    <s v="none"/>
    <n v="75"/>
    <n v="85"/>
    <n v="82"/>
  </r>
  <r>
    <x v="0"/>
    <s v="group D"/>
    <s v="bachelor's degree"/>
    <s v="standard"/>
    <s v="none"/>
    <n v="78"/>
    <n v="82"/>
    <n v="79"/>
  </r>
  <r>
    <x v="0"/>
    <s v="group D"/>
    <s v="some high school"/>
    <s v="standard"/>
    <s v="none"/>
    <n v="51"/>
    <n v="63"/>
    <n v="61"/>
  </r>
  <r>
    <x v="0"/>
    <s v="group C"/>
    <s v="some college"/>
    <s v="standard"/>
    <s v="none"/>
    <n v="55"/>
    <n v="69"/>
    <n v="65"/>
  </r>
  <r>
    <x v="0"/>
    <s v="group C"/>
    <s v="bachelor's degree"/>
    <s v="standard"/>
    <s v="completed"/>
    <n v="79"/>
    <n v="92"/>
    <n v="89"/>
  </r>
  <r>
    <x v="1"/>
    <s v="group B"/>
    <s v="associate's degree"/>
    <s v="standard"/>
    <s v="completed"/>
    <n v="91"/>
    <n v="89"/>
    <n v="92"/>
  </r>
  <r>
    <x v="0"/>
    <s v="group C"/>
    <s v="some college"/>
    <s v="standard"/>
    <s v="completed"/>
    <n v="88"/>
    <n v="93"/>
    <n v="93"/>
  </r>
  <r>
    <x v="1"/>
    <s v="group D"/>
    <s v="high school"/>
    <s v="free/reduced"/>
    <s v="none"/>
    <n v="63"/>
    <n v="57"/>
    <n v="56"/>
  </r>
  <r>
    <x v="1"/>
    <s v="group E"/>
    <s v="some college"/>
    <s v="standard"/>
    <s v="none"/>
    <n v="83"/>
    <n v="80"/>
    <n v="73"/>
  </r>
  <r>
    <x v="0"/>
    <s v="group B"/>
    <s v="high school"/>
    <s v="standard"/>
    <s v="none"/>
    <n v="87"/>
    <n v="95"/>
    <n v="86"/>
  </r>
  <r>
    <x v="1"/>
    <s v="group B"/>
    <s v="some high school"/>
    <s v="standard"/>
    <s v="none"/>
    <n v="72"/>
    <n v="68"/>
    <n v="67"/>
  </r>
  <r>
    <x v="1"/>
    <s v="group D"/>
    <s v="some college"/>
    <s v="standard"/>
    <s v="completed"/>
    <n v="65"/>
    <n v="77"/>
    <n v="74"/>
  </r>
  <r>
    <x v="1"/>
    <s v="group D"/>
    <s v="master's degree"/>
    <s v="standard"/>
    <s v="none"/>
    <n v="82"/>
    <n v="82"/>
    <n v="74"/>
  </r>
  <r>
    <x v="0"/>
    <s v="group A"/>
    <s v="bachelor's degree"/>
    <s v="standard"/>
    <s v="none"/>
    <n v="51"/>
    <n v="49"/>
    <n v="51"/>
  </r>
  <r>
    <x v="1"/>
    <s v="group D"/>
    <s v="master's degree"/>
    <s v="standard"/>
    <s v="none"/>
    <n v="89"/>
    <n v="84"/>
    <n v="82"/>
  </r>
  <r>
    <x v="1"/>
    <s v="group C"/>
    <s v="some high school"/>
    <s v="free/reduced"/>
    <s v="completed"/>
    <n v="53"/>
    <n v="37"/>
    <n v="40"/>
  </r>
  <r>
    <x v="1"/>
    <s v="group E"/>
    <s v="some college"/>
    <s v="free/reduced"/>
    <s v="completed"/>
    <n v="87"/>
    <n v="74"/>
    <n v="70"/>
  </r>
  <r>
    <x v="0"/>
    <s v="group C"/>
    <s v="some college"/>
    <s v="standard"/>
    <s v="completed"/>
    <n v="75"/>
    <n v="81"/>
    <n v="84"/>
  </r>
  <r>
    <x v="1"/>
    <s v="group D"/>
    <s v="bachelor's degree"/>
    <s v="free/reduced"/>
    <s v="completed"/>
    <n v="74"/>
    <n v="79"/>
    <n v="75"/>
  </r>
  <r>
    <x v="1"/>
    <s v="group C"/>
    <s v="bachelor's degree"/>
    <s v="standard"/>
    <s v="none"/>
    <n v="58"/>
    <n v="55"/>
    <n v="48"/>
  </r>
  <r>
    <x v="1"/>
    <s v="group B"/>
    <s v="some high school"/>
    <s v="standard"/>
    <s v="completed"/>
    <n v="51"/>
    <n v="54"/>
    <n v="41"/>
  </r>
  <r>
    <x v="1"/>
    <s v="group E"/>
    <s v="high school"/>
    <s v="standard"/>
    <s v="none"/>
    <n v="70"/>
    <n v="55"/>
    <n v="56"/>
  </r>
  <r>
    <x v="0"/>
    <s v="group C"/>
    <s v="associate's degree"/>
    <s v="standard"/>
    <s v="none"/>
    <n v="59"/>
    <n v="66"/>
    <n v="67"/>
  </r>
  <r>
    <x v="1"/>
    <s v="group D"/>
    <s v="some college"/>
    <s v="standard"/>
    <s v="completed"/>
    <n v="71"/>
    <n v="61"/>
    <n v="69"/>
  </r>
  <r>
    <x v="0"/>
    <s v="group D"/>
    <s v="some high school"/>
    <s v="standard"/>
    <s v="none"/>
    <n v="76"/>
    <n v="72"/>
    <n v="71"/>
  </r>
  <r>
    <x v="0"/>
    <s v="group C"/>
    <s v="some college"/>
    <s v="free/reduced"/>
    <s v="none"/>
    <n v="59"/>
    <n v="62"/>
    <n v="64"/>
  </r>
  <r>
    <x v="0"/>
    <s v="group E"/>
    <s v="some college"/>
    <s v="free/reduced"/>
    <s v="completed"/>
    <n v="42"/>
    <n v="55"/>
    <n v="54"/>
  </r>
  <r>
    <x v="1"/>
    <s v="group A"/>
    <s v="high school"/>
    <s v="standard"/>
    <s v="none"/>
    <n v="57"/>
    <n v="43"/>
    <n v="47"/>
  </r>
  <r>
    <x v="1"/>
    <s v="group D"/>
    <s v="some college"/>
    <s v="standard"/>
    <s v="none"/>
    <n v="88"/>
    <n v="73"/>
    <n v="78"/>
  </r>
  <r>
    <x v="0"/>
    <s v="group C"/>
    <s v="some college"/>
    <s v="free/reduced"/>
    <s v="none"/>
    <n v="22"/>
    <n v="39"/>
    <n v="33"/>
  </r>
  <r>
    <x v="1"/>
    <s v="group B"/>
    <s v="some high school"/>
    <s v="standard"/>
    <s v="none"/>
    <n v="88"/>
    <n v="84"/>
    <n v="75"/>
  </r>
  <r>
    <x v="1"/>
    <s v="group C"/>
    <s v="associate's degree"/>
    <s v="free/reduced"/>
    <s v="none"/>
    <n v="73"/>
    <n v="68"/>
    <n v="66"/>
  </r>
  <r>
    <x v="0"/>
    <s v="group D"/>
    <s v="bachelor's degree"/>
    <s v="standard"/>
    <s v="completed"/>
    <n v="68"/>
    <n v="75"/>
    <n v="81"/>
  </r>
  <r>
    <x v="1"/>
    <s v="group E"/>
    <s v="associate's degree"/>
    <s v="free/reduced"/>
    <s v="completed"/>
    <n v="100"/>
    <n v="100"/>
    <n v="93"/>
  </r>
  <r>
    <x v="1"/>
    <s v="group A"/>
    <s v="some high school"/>
    <s v="standard"/>
    <s v="completed"/>
    <n v="62"/>
    <n v="67"/>
    <n v="69"/>
  </r>
  <r>
    <x v="1"/>
    <s v="group A"/>
    <s v="bachelor's degree"/>
    <s v="standard"/>
    <s v="none"/>
    <n v="77"/>
    <n v="67"/>
    <n v="68"/>
  </r>
  <r>
    <x v="0"/>
    <s v="group B"/>
    <s v="associate's degree"/>
    <s v="standard"/>
    <s v="completed"/>
    <n v="59"/>
    <n v="70"/>
    <n v="66"/>
  </r>
  <r>
    <x v="1"/>
    <s v="group D"/>
    <s v="bachelor's degree"/>
    <s v="standard"/>
    <s v="none"/>
    <n v="54"/>
    <n v="49"/>
    <n v="47"/>
  </r>
  <r>
    <x v="1"/>
    <s v="group D"/>
    <s v="some high school"/>
    <s v="standard"/>
    <s v="none"/>
    <n v="62"/>
    <n v="67"/>
    <n v="61"/>
  </r>
  <r>
    <x v="0"/>
    <s v="group C"/>
    <s v="some college"/>
    <s v="standard"/>
    <s v="completed"/>
    <n v="70"/>
    <n v="89"/>
    <n v="88"/>
  </r>
  <r>
    <x v="0"/>
    <s v="group E"/>
    <s v="high school"/>
    <s v="free/reduced"/>
    <s v="completed"/>
    <n v="66"/>
    <n v="74"/>
    <n v="78"/>
  </r>
  <r>
    <x v="1"/>
    <s v="group B"/>
    <s v="some college"/>
    <s v="free/reduced"/>
    <s v="none"/>
    <n v="60"/>
    <n v="60"/>
    <n v="60"/>
  </r>
  <r>
    <x v="0"/>
    <s v="group B"/>
    <s v="associate's degree"/>
    <s v="standard"/>
    <s v="completed"/>
    <n v="61"/>
    <n v="86"/>
    <n v="87"/>
  </r>
  <r>
    <x v="1"/>
    <s v="group D"/>
    <s v="associate's degree"/>
    <s v="free/reduced"/>
    <s v="none"/>
    <n v="66"/>
    <n v="62"/>
    <n v="64"/>
  </r>
  <r>
    <x v="1"/>
    <s v="group B"/>
    <s v="associate's degree"/>
    <s v="free/reduced"/>
    <s v="completed"/>
    <n v="82"/>
    <n v="78"/>
    <n v="74"/>
  </r>
  <r>
    <x v="0"/>
    <s v="group E"/>
    <s v="some college"/>
    <s v="free/reduced"/>
    <s v="completed"/>
    <n v="75"/>
    <n v="88"/>
    <n v="85"/>
  </r>
  <r>
    <x v="1"/>
    <s v="group B"/>
    <s v="master's degree"/>
    <s v="free/reduced"/>
    <s v="none"/>
    <n v="49"/>
    <n v="53"/>
    <n v="52"/>
  </r>
  <r>
    <x v="1"/>
    <s v="group C"/>
    <s v="high school"/>
    <s v="standard"/>
    <s v="none"/>
    <n v="52"/>
    <n v="53"/>
    <n v="49"/>
  </r>
  <r>
    <x v="0"/>
    <s v="group E"/>
    <s v="master's degree"/>
    <s v="standard"/>
    <s v="none"/>
    <n v="81"/>
    <n v="92"/>
    <n v="91"/>
  </r>
  <r>
    <x v="0"/>
    <s v="group C"/>
    <s v="bachelor's degree"/>
    <s v="standard"/>
    <s v="completed"/>
    <n v="96"/>
    <n v="100"/>
    <n v="100"/>
  </r>
  <r>
    <x v="1"/>
    <s v="group C"/>
    <s v="high school"/>
    <s v="free/reduced"/>
    <s v="completed"/>
    <n v="53"/>
    <n v="51"/>
    <n v="51"/>
  </r>
  <r>
    <x v="0"/>
    <s v="group B"/>
    <s v="master's degree"/>
    <s v="free/reduced"/>
    <s v="completed"/>
    <n v="58"/>
    <n v="76"/>
    <n v="78"/>
  </r>
  <r>
    <x v="0"/>
    <s v="group B"/>
    <s v="high school"/>
    <s v="standard"/>
    <s v="completed"/>
    <n v="68"/>
    <n v="83"/>
    <n v="78"/>
  </r>
  <r>
    <x v="0"/>
    <s v="group C"/>
    <s v="some college"/>
    <s v="free/reduced"/>
    <s v="completed"/>
    <n v="67"/>
    <n v="75"/>
    <n v="70"/>
  </r>
  <r>
    <x v="1"/>
    <s v="group A"/>
    <s v="high school"/>
    <s v="standard"/>
    <s v="completed"/>
    <n v="72"/>
    <n v="73"/>
    <n v="74"/>
  </r>
  <r>
    <x v="1"/>
    <s v="group E"/>
    <s v="some high school"/>
    <s v="standard"/>
    <s v="none"/>
    <n v="94"/>
    <n v="88"/>
    <n v="78"/>
  </r>
  <r>
    <x v="0"/>
    <s v="group D"/>
    <s v="some college"/>
    <s v="standard"/>
    <s v="none"/>
    <n v="79"/>
    <n v="86"/>
    <n v="81"/>
  </r>
  <r>
    <x v="0"/>
    <s v="group C"/>
    <s v="associate's degree"/>
    <s v="standard"/>
    <s v="none"/>
    <n v="63"/>
    <n v="67"/>
    <n v="70"/>
  </r>
  <r>
    <x v="0"/>
    <s v="group C"/>
    <s v="bachelor's degree"/>
    <s v="free/reduced"/>
    <s v="completed"/>
    <n v="43"/>
    <n v="51"/>
    <n v="54"/>
  </r>
  <r>
    <x v="0"/>
    <s v="group C"/>
    <s v="master's degree"/>
    <s v="standard"/>
    <s v="completed"/>
    <n v="81"/>
    <n v="91"/>
    <n v="87"/>
  </r>
  <r>
    <x v="0"/>
    <s v="group B"/>
    <s v="high school"/>
    <s v="free/reduced"/>
    <s v="completed"/>
    <n v="46"/>
    <n v="54"/>
    <n v="58"/>
  </r>
  <r>
    <x v="0"/>
    <s v="group C"/>
    <s v="associate's degree"/>
    <s v="standard"/>
    <s v="completed"/>
    <n v="71"/>
    <n v="77"/>
    <n v="77"/>
  </r>
  <r>
    <x v="0"/>
    <s v="group B"/>
    <s v="master's degree"/>
    <s v="free/reduced"/>
    <s v="completed"/>
    <n v="52"/>
    <n v="70"/>
    <n v="62"/>
  </r>
  <r>
    <x v="0"/>
    <s v="group D"/>
    <s v="some high school"/>
    <s v="standard"/>
    <s v="completed"/>
    <n v="97"/>
    <n v="100"/>
    <n v="100"/>
  </r>
  <r>
    <x v="1"/>
    <s v="group C"/>
    <s v="master's degree"/>
    <s v="free/reduced"/>
    <s v="completed"/>
    <n v="62"/>
    <n v="68"/>
    <n v="75"/>
  </r>
  <r>
    <x v="0"/>
    <s v="group C"/>
    <s v="some college"/>
    <s v="free/reduced"/>
    <s v="none"/>
    <n v="46"/>
    <n v="64"/>
    <n v="66"/>
  </r>
  <r>
    <x v="0"/>
    <s v="group E"/>
    <s v="high school"/>
    <s v="standard"/>
    <s v="none"/>
    <n v="50"/>
    <n v="50"/>
    <n v="47"/>
  </r>
  <r>
    <x v="0"/>
    <s v="group D"/>
    <s v="associate's degree"/>
    <s v="standard"/>
    <s v="none"/>
    <n v="65"/>
    <n v="69"/>
    <n v="70"/>
  </r>
  <r>
    <x v="1"/>
    <s v="group C"/>
    <s v="some high school"/>
    <s v="free/reduced"/>
    <s v="completed"/>
    <n v="45"/>
    <n v="52"/>
    <n v="49"/>
  </r>
  <r>
    <x v="1"/>
    <s v="group C"/>
    <s v="associate's degree"/>
    <s v="free/reduced"/>
    <s v="completed"/>
    <n v="65"/>
    <n v="67"/>
    <n v="65"/>
  </r>
  <r>
    <x v="1"/>
    <s v="group E"/>
    <s v="high school"/>
    <s v="standard"/>
    <s v="none"/>
    <n v="80"/>
    <n v="76"/>
    <n v="65"/>
  </r>
  <r>
    <x v="1"/>
    <s v="group D"/>
    <s v="some high school"/>
    <s v="standard"/>
    <s v="completed"/>
    <n v="62"/>
    <n v="66"/>
    <n v="68"/>
  </r>
  <r>
    <x v="1"/>
    <s v="group B"/>
    <s v="some high school"/>
    <s v="free/reduced"/>
    <s v="none"/>
    <n v="48"/>
    <n v="52"/>
    <n v="45"/>
  </r>
  <r>
    <x v="0"/>
    <s v="group C"/>
    <s v="bachelor's degree"/>
    <s v="standard"/>
    <s v="none"/>
    <n v="77"/>
    <n v="88"/>
    <n v="87"/>
  </r>
  <r>
    <x v="0"/>
    <s v="group E"/>
    <s v="associate's degree"/>
    <s v="standard"/>
    <s v="none"/>
    <n v="66"/>
    <n v="65"/>
    <n v="69"/>
  </r>
  <r>
    <x v="1"/>
    <s v="group D"/>
    <s v="some college"/>
    <s v="standard"/>
    <s v="completed"/>
    <n v="76"/>
    <n v="83"/>
    <n v="79"/>
  </r>
  <r>
    <x v="0"/>
    <s v="group B"/>
    <s v="some high school"/>
    <s v="standard"/>
    <s v="none"/>
    <n v="62"/>
    <n v="64"/>
    <n v="66"/>
  </r>
  <r>
    <x v="1"/>
    <s v="group D"/>
    <s v="some college"/>
    <s v="standard"/>
    <s v="completed"/>
    <n v="77"/>
    <n v="62"/>
    <n v="62"/>
  </r>
  <r>
    <x v="0"/>
    <s v="group C"/>
    <s v="master's degree"/>
    <s v="standard"/>
    <s v="completed"/>
    <n v="69"/>
    <n v="84"/>
    <n v="85"/>
  </r>
  <r>
    <x v="1"/>
    <s v="group D"/>
    <s v="associate's degree"/>
    <s v="standard"/>
    <s v="none"/>
    <n v="61"/>
    <n v="55"/>
    <n v="52"/>
  </r>
  <r>
    <x v="1"/>
    <s v="group C"/>
    <s v="some high school"/>
    <s v="free/reduced"/>
    <s v="completed"/>
    <n v="59"/>
    <n v="69"/>
    <n v="65"/>
  </r>
  <r>
    <x v="1"/>
    <s v="group E"/>
    <s v="high school"/>
    <s v="free/reduced"/>
    <s v="none"/>
    <n v="55"/>
    <n v="56"/>
    <n v="51"/>
  </r>
  <r>
    <x v="0"/>
    <s v="group B"/>
    <s v="some college"/>
    <s v="free/reduced"/>
    <s v="none"/>
    <n v="45"/>
    <n v="53"/>
    <n v="55"/>
  </r>
  <r>
    <x v="0"/>
    <s v="group B"/>
    <s v="bachelor's degree"/>
    <s v="free/reduced"/>
    <s v="none"/>
    <n v="78"/>
    <n v="79"/>
    <n v="76"/>
  </r>
  <r>
    <x v="0"/>
    <s v="group C"/>
    <s v="associate's degree"/>
    <s v="standard"/>
    <s v="completed"/>
    <n v="67"/>
    <n v="84"/>
    <n v="86"/>
  </r>
  <r>
    <x v="0"/>
    <s v="group D"/>
    <s v="some college"/>
    <s v="free/reduced"/>
    <s v="none"/>
    <n v="65"/>
    <n v="81"/>
    <n v="77"/>
  </r>
  <r>
    <x v="1"/>
    <s v="group C"/>
    <s v="associate's degree"/>
    <s v="standard"/>
    <s v="none"/>
    <n v="69"/>
    <n v="77"/>
    <n v="69"/>
  </r>
  <r>
    <x v="0"/>
    <s v="group B"/>
    <s v="associate's degree"/>
    <s v="standard"/>
    <s v="none"/>
    <n v="57"/>
    <n v="69"/>
    <n v="68"/>
  </r>
  <r>
    <x v="1"/>
    <s v="group C"/>
    <s v="some college"/>
    <s v="standard"/>
    <s v="none"/>
    <n v="59"/>
    <n v="41"/>
    <n v="42"/>
  </r>
  <r>
    <x v="1"/>
    <s v="group D"/>
    <s v="some high school"/>
    <s v="standard"/>
    <s v="completed"/>
    <n v="74"/>
    <n v="71"/>
    <n v="78"/>
  </r>
  <r>
    <x v="1"/>
    <s v="group E"/>
    <s v="bachelor's degree"/>
    <s v="standard"/>
    <s v="none"/>
    <n v="82"/>
    <n v="62"/>
    <n v="62"/>
  </r>
  <r>
    <x v="1"/>
    <s v="group E"/>
    <s v="high school"/>
    <s v="standard"/>
    <s v="completed"/>
    <n v="81"/>
    <n v="80"/>
    <n v="76"/>
  </r>
  <r>
    <x v="0"/>
    <s v="group B"/>
    <s v="some college"/>
    <s v="free/reduced"/>
    <s v="none"/>
    <n v="74"/>
    <n v="81"/>
    <n v="76"/>
  </r>
  <r>
    <x v="0"/>
    <s v="group B"/>
    <s v="some college"/>
    <s v="free/reduced"/>
    <s v="none"/>
    <n v="58"/>
    <n v="61"/>
    <n v="66"/>
  </r>
  <r>
    <x v="1"/>
    <s v="group D"/>
    <s v="some high school"/>
    <s v="free/reduced"/>
    <s v="completed"/>
    <n v="80"/>
    <n v="79"/>
    <n v="79"/>
  </r>
  <r>
    <x v="1"/>
    <s v="group C"/>
    <s v="some college"/>
    <s v="free/reduced"/>
    <s v="none"/>
    <n v="35"/>
    <n v="28"/>
    <n v="27"/>
  </r>
  <r>
    <x v="0"/>
    <s v="group C"/>
    <s v="high school"/>
    <s v="free/reduced"/>
    <s v="none"/>
    <n v="42"/>
    <n v="62"/>
    <n v="60"/>
  </r>
  <r>
    <x v="1"/>
    <s v="group C"/>
    <s v="associate's degree"/>
    <s v="free/reduced"/>
    <s v="completed"/>
    <n v="60"/>
    <n v="51"/>
    <n v="56"/>
  </r>
  <r>
    <x v="1"/>
    <s v="group E"/>
    <s v="high school"/>
    <s v="standard"/>
    <s v="completed"/>
    <n v="87"/>
    <n v="91"/>
    <n v="81"/>
  </r>
  <r>
    <x v="1"/>
    <s v="group B"/>
    <s v="some high school"/>
    <s v="standard"/>
    <s v="completed"/>
    <n v="84"/>
    <n v="83"/>
    <n v="75"/>
  </r>
  <r>
    <x v="0"/>
    <s v="group E"/>
    <s v="associate's degree"/>
    <s v="free/reduced"/>
    <s v="completed"/>
    <n v="83"/>
    <n v="86"/>
    <n v="88"/>
  </r>
  <r>
    <x v="0"/>
    <s v="group C"/>
    <s v="high school"/>
    <s v="free/reduced"/>
    <s v="none"/>
    <n v="34"/>
    <n v="42"/>
    <n v="39"/>
  </r>
  <r>
    <x v="1"/>
    <s v="group B"/>
    <s v="high school"/>
    <s v="free/reduced"/>
    <s v="none"/>
    <n v="66"/>
    <n v="77"/>
    <n v="70"/>
  </r>
  <r>
    <x v="1"/>
    <s v="group B"/>
    <s v="some high school"/>
    <s v="standard"/>
    <s v="completed"/>
    <n v="61"/>
    <n v="56"/>
    <n v="56"/>
  </r>
  <r>
    <x v="0"/>
    <s v="group D"/>
    <s v="high school"/>
    <s v="standard"/>
    <s v="completed"/>
    <n v="56"/>
    <n v="68"/>
    <n v="74"/>
  </r>
  <r>
    <x v="1"/>
    <s v="group B"/>
    <s v="associate's degree"/>
    <s v="standard"/>
    <s v="none"/>
    <n v="87"/>
    <n v="85"/>
    <n v="73"/>
  </r>
  <r>
    <x v="0"/>
    <s v="group C"/>
    <s v="some high school"/>
    <s v="free/reduced"/>
    <s v="none"/>
    <n v="55"/>
    <n v="65"/>
    <n v="62"/>
  </r>
  <r>
    <x v="1"/>
    <s v="group D"/>
    <s v="some high school"/>
    <s v="standard"/>
    <s v="none"/>
    <n v="86"/>
    <n v="80"/>
    <n v="75"/>
  </r>
  <r>
    <x v="0"/>
    <s v="group B"/>
    <s v="associate's degree"/>
    <s v="standard"/>
    <s v="completed"/>
    <n v="52"/>
    <n v="66"/>
    <n v="73"/>
  </r>
  <r>
    <x v="0"/>
    <s v="group E"/>
    <s v="master's degree"/>
    <s v="free/reduced"/>
    <s v="none"/>
    <n v="45"/>
    <n v="56"/>
    <n v="54"/>
  </r>
  <r>
    <x v="0"/>
    <s v="group C"/>
    <s v="some college"/>
    <s v="standard"/>
    <s v="none"/>
    <n v="72"/>
    <n v="72"/>
    <n v="71"/>
  </r>
  <r>
    <x v="1"/>
    <s v="group D"/>
    <s v="high school"/>
    <s v="standard"/>
    <s v="none"/>
    <n v="57"/>
    <n v="50"/>
    <n v="54"/>
  </r>
  <r>
    <x v="1"/>
    <s v="group A"/>
    <s v="some high school"/>
    <s v="free/reduced"/>
    <s v="none"/>
    <n v="68"/>
    <n v="72"/>
    <n v="64"/>
  </r>
  <r>
    <x v="0"/>
    <s v="group C"/>
    <s v="some college"/>
    <s v="standard"/>
    <s v="completed"/>
    <n v="88"/>
    <n v="95"/>
    <n v="94"/>
  </r>
  <r>
    <x v="1"/>
    <s v="group D"/>
    <s v="some college"/>
    <s v="standard"/>
    <s v="none"/>
    <n v="76"/>
    <n v="64"/>
    <n v="66"/>
  </r>
  <r>
    <x v="1"/>
    <s v="group C"/>
    <s v="associate's degree"/>
    <s v="standard"/>
    <s v="none"/>
    <n v="46"/>
    <n v="43"/>
    <n v="42"/>
  </r>
  <r>
    <x v="0"/>
    <s v="group B"/>
    <s v="bachelor's degree"/>
    <s v="standard"/>
    <s v="none"/>
    <n v="67"/>
    <n v="86"/>
    <n v="83"/>
  </r>
  <r>
    <x v="1"/>
    <s v="group E"/>
    <s v="some high school"/>
    <s v="standard"/>
    <s v="none"/>
    <n v="92"/>
    <n v="87"/>
    <n v="78"/>
  </r>
  <r>
    <x v="1"/>
    <s v="group C"/>
    <s v="bachelor's degree"/>
    <s v="standard"/>
    <s v="completed"/>
    <n v="83"/>
    <n v="82"/>
    <n v="84"/>
  </r>
  <r>
    <x v="1"/>
    <s v="group D"/>
    <s v="associate's degree"/>
    <s v="standard"/>
    <s v="none"/>
    <n v="80"/>
    <n v="75"/>
    <n v="77"/>
  </r>
  <r>
    <x v="1"/>
    <s v="group D"/>
    <s v="bachelor's degree"/>
    <s v="free/reduced"/>
    <s v="none"/>
    <n v="63"/>
    <n v="66"/>
    <n v="67"/>
  </r>
  <r>
    <x v="0"/>
    <s v="group D"/>
    <s v="some high school"/>
    <s v="standard"/>
    <s v="completed"/>
    <n v="64"/>
    <n v="60"/>
    <n v="74"/>
  </r>
  <r>
    <x v="1"/>
    <s v="group B"/>
    <s v="some college"/>
    <s v="standard"/>
    <s v="none"/>
    <n v="54"/>
    <n v="52"/>
    <n v="51"/>
  </r>
  <r>
    <x v="1"/>
    <s v="group C"/>
    <s v="associate's degree"/>
    <s v="standard"/>
    <s v="none"/>
    <n v="84"/>
    <n v="80"/>
    <n v="80"/>
  </r>
  <r>
    <x v="1"/>
    <s v="group D"/>
    <s v="high school"/>
    <s v="free/reduced"/>
    <s v="completed"/>
    <n v="73"/>
    <n v="68"/>
    <n v="66"/>
  </r>
  <r>
    <x v="0"/>
    <s v="group E"/>
    <s v="bachelor's degree"/>
    <s v="standard"/>
    <s v="none"/>
    <n v="80"/>
    <n v="83"/>
    <n v="83"/>
  </r>
  <r>
    <x v="0"/>
    <s v="group D"/>
    <s v="high school"/>
    <s v="standard"/>
    <s v="none"/>
    <n v="56"/>
    <n v="52"/>
    <n v="55"/>
  </r>
  <r>
    <x v="1"/>
    <s v="group E"/>
    <s v="some college"/>
    <s v="standard"/>
    <s v="none"/>
    <n v="59"/>
    <n v="51"/>
    <n v="43"/>
  </r>
  <r>
    <x v="1"/>
    <s v="group D"/>
    <s v="some high school"/>
    <s v="standard"/>
    <s v="none"/>
    <n v="75"/>
    <n v="74"/>
    <n v="69"/>
  </r>
  <r>
    <x v="1"/>
    <s v="group C"/>
    <s v="associate's degree"/>
    <s v="standard"/>
    <s v="none"/>
    <n v="85"/>
    <n v="76"/>
    <n v="71"/>
  </r>
  <r>
    <x v="1"/>
    <s v="group E"/>
    <s v="associate's degree"/>
    <s v="standard"/>
    <s v="none"/>
    <n v="89"/>
    <n v="76"/>
    <n v="74"/>
  </r>
  <r>
    <x v="0"/>
    <s v="group B"/>
    <s v="high school"/>
    <s v="standard"/>
    <s v="completed"/>
    <n v="58"/>
    <n v="70"/>
    <n v="68"/>
  </r>
  <r>
    <x v="0"/>
    <s v="group B"/>
    <s v="high school"/>
    <s v="standard"/>
    <s v="none"/>
    <n v="65"/>
    <n v="64"/>
    <n v="62"/>
  </r>
  <r>
    <x v="1"/>
    <s v="group C"/>
    <s v="high school"/>
    <s v="standard"/>
    <s v="none"/>
    <n v="68"/>
    <n v="60"/>
    <n v="53"/>
  </r>
  <r>
    <x v="1"/>
    <s v="group A"/>
    <s v="some high school"/>
    <s v="standard"/>
    <s v="completed"/>
    <n v="47"/>
    <n v="49"/>
    <n v="49"/>
  </r>
  <r>
    <x v="0"/>
    <s v="group D"/>
    <s v="some college"/>
    <s v="free/reduced"/>
    <s v="none"/>
    <n v="71"/>
    <n v="83"/>
    <n v="83"/>
  </r>
  <r>
    <x v="0"/>
    <s v="group B"/>
    <s v="some high school"/>
    <s v="standard"/>
    <s v="completed"/>
    <n v="60"/>
    <n v="70"/>
    <n v="70"/>
  </r>
  <r>
    <x v="1"/>
    <s v="group D"/>
    <s v="master's degree"/>
    <s v="standard"/>
    <s v="none"/>
    <n v="80"/>
    <n v="80"/>
    <n v="72"/>
  </r>
  <r>
    <x v="1"/>
    <s v="group D"/>
    <s v="high school"/>
    <s v="standard"/>
    <s v="none"/>
    <n v="54"/>
    <n v="52"/>
    <n v="52"/>
  </r>
  <r>
    <x v="0"/>
    <s v="group E"/>
    <s v="some college"/>
    <s v="standard"/>
    <s v="none"/>
    <n v="62"/>
    <n v="73"/>
    <n v="70"/>
  </r>
  <r>
    <x v="0"/>
    <s v="group C"/>
    <s v="associate's degree"/>
    <s v="free/reduced"/>
    <s v="none"/>
    <n v="64"/>
    <n v="73"/>
    <n v="68"/>
  </r>
  <r>
    <x v="1"/>
    <s v="group C"/>
    <s v="associate's degree"/>
    <s v="standard"/>
    <s v="completed"/>
    <n v="78"/>
    <n v="77"/>
    <n v="77"/>
  </r>
  <r>
    <x v="0"/>
    <s v="group B"/>
    <s v="some college"/>
    <s v="standard"/>
    <s v="none"/>
    <n v="70"/>
    <n v="75"/>
    <n v="78"/>
  </r>
  <r>
    <x v="0"/>
    <s v="group C"/>
    <s v="master's degree"/>
    <s v="free/reduced"/>
    <s v="completed"/>
    <n v="65"/>
    <n v="81"/>
    <n v="81"/>
  </r>
  <r>
    <x v="0"/>
    <s v="group C"/>
    <s v="some high school"/>
    <s v="free/reduced"/>
    <s v="completed"/>
    <n v="64"/>
    <n v="79"/>
    <n v="77"/>
  </r>
  <r>
    <x v="1"/>
    <s v="group C"/>
    <s v="some college"/>
    <s v="standard"/>
    <s v="completed"/>
    <n v="79"/>
    <n v="79"/>
    <n v="78"/>
  </r>
  <r>
    <x v="0"/>
    <s v="group C"/>
    <s v="some high school"/>
    <s v="free/reduced"/>
    <s v="none"/>
    <n v="44"/>
    <n v="50"/>
    <n v="51"/>
  </r>
  <r>
    <x v="0"/>
    <s v="group E"/>
    <s v="high school"/>
    <s v="standard"/>
    <s v="none"/>
    <n v="99"/>
    <n v="93"/>
    <n v="90"/>
  </r>
  <r>
    <x v="1"/>
    <s v="group D"/>
    <s v="high school"/>
    <s v="standard"/>
    <s v="none"/>
    <n v="76"/>
    <n v="73"/>
    <n v="68"/>
  </r>
  <r>
    <x v="1"/>
    <s v="group D"/>
    <s v="some high school"/>
    <s v="free/reduced"/>
    <s v="none"/>
    <n v="59"/>
    <n v="42"/>
    <n v="41"/>
  </r>
  <r>
    <x v="0"/>
    <s v="group C"/>
    <s v="bachelor's degree"/>
    <s v="standard"/>
    <s v="none"/>
    <n v="63"/>
    <n v="75"/>
    <n v="81"/>
  </r>
  <r>
    <x v="0"/>
    <s v="group D"/>
    <s v="high school"/>
    <s v="standard"/>
    <s v="none"/>
    <n v="69"/>
    <n v="72"/>
    <n v="77"/>
  </r>
  <r>
    <x v="0"/>
    <s v="group D"/>
    <s v="associate's degree"/>
    <s v="standard"/>
    <s v="completed"/>
    <n v="88"/>
    <n v="92"/>
    <n v="95"/>
  </r>
  <r>
    <x v="0"/>
    <s v="group E"/>
    <s v="some college"/>
    <s v="free/reduced"/>
    <s v="none"/>
    <n v="71"/>
    <n v="76"/>
    <n v="70"/>
  </r>
  <r>
    <x v="1"/>
    <s v="group C"/>
    <s v="bachelor's degree"/>
    <s v="standard"/>
    <s v="none"/>
    <n v="69"/>
    <n v="63"/>
    <n v="61"/>
  </r>
  <r>
    <x v="1"/>
    <s v="group C"/>
    <s v="some college"/>
    <s v="standard"/>
    <s v="none"/>
    <n v="58"/>
    <n v="49"/>
    <n v="42"/>
  </r>
  <r>
    <x v="0"/>
    <s v="group D"/>
    <s v="associate's degree"/>
    <s v="free/reduced"/>
    <s v="none"/>
    <n v="47"/>
    <n v="53"/>
    <n v="58"/>
  </r>
  <r>
    <x v="0"/>
    <s v="group D"/>
    <s v="some college"/>
    <s v="standard"/>
    <s v="none"/>
    <n v="65"/>
    <n v="70"/>
    <n v="71"/>
  </r>
  <r>
    <x v="1"/>
    <s v="group B"/>
    <s v="some college"/>
    <s v="standard"/>
    <s v="completed"/>
    <n v="88"/>
    <n v="85"/>
    <n v="76"/>
  </r>
  <r>
    <x v="1"/>
    <s v="group C"/>
    <s v="bachelor's degree"/>
    <s v="standard"/>
    <s v="none"/>
    <n v="83"/>
    <n v="78"/>
    <n v="73"/>
  </r>
  <r>
    <x v="0"/>
    <s v="group C"/>
    <s v="some high school"/>
    <s v="standard"/>
    <s v="completed"/>
    <n v="85"/>
    <n v="92"/>
    <n v="93"/>
  </r>
  <r>
    <x v="0"/>
    <s v="group E"/>
    <s v="high school"/>
    <s v="standard"/>
    <s v="completed"/>
    <n v="59"/>
    <n v="63"/>
    <n v="75"/>
  </r>
  <r>
    <x v="0"/>
    <s v="group C"/>
    <s v="some high school"/>
    <s v="free/reduced"/>
    <s v="none"/>
    <n v="65"/>
    <n v="86"/>
    <n v="80"/>
  </r>
  <r>
    <x v="1"/>
    <s v="group B"/>
    <s v="bachelor's degree"/>
    <s v="free/reduced"/>
    <s v="none"/>
    <n v="73"/>
    <n v="56"/>
    <n v="57"/>
  </r>
  <r>
    <x v="1"/>
    <s v="group D"/>
    <s v="high school"/>
    <s v="standard"/>
    <s v="none"/>
    <n v="53"/>
    <n v="52"/>
    <n v="42"/>
  </r>
  <r>
    <x v="1"/>
    <s v="group D"/>
    <s v="high school"/>
    <s v="standard"/>
    <s v="none"/>
    <n v="45"/>
    <n v="48"/>
    <n v="46"/>
  </r>
  <r>
    <x v="0"/>
    <s v="group D"/>
    <s v="bachelor's degree"/>
    <s v="free/reduced"/>
    <s v="none"/>
    <n v="73"/>
    <n v="79"/>
    <n v="84"/>
  </r>
  <r>
    <x v="0"/>
    <s v="group D"/>
    <s v="some college"/>
    <s v="free/reduced"/>
    <s v="completed"/>
    <n v="70"/>
    <n v="78"/>
    <n v="78"/>
  </r>
  <r>
    <x v="0"/>
    <s v="group B"/>
    <s v="some high school"/>
    <s v="standard"/>
    <s v="none"/>
    <n v="37"/>
    <n v="46"/>
    <n v="46"/>
  </r>
  <r>
    <x v="1"/>
    <s v="group B"/>
    <s v="associate's degree"/>
    <s v="standard"/>
    <s v="completed"/>
    <n v="81"/>
    <n v="82"/>
    <n v="82"/>
  </r>
  <r>
    <x v="1"/>
    <s v="group E"/>
    <s v="associate's degree"/>
    <s v="standard"/>
    <s v="completed"/>
    <n v="97"/>
    <n v="82"/>
    <n v="88"/>
  </r>
  <r>
    <x v="0"/>
    <s v="group B"/>
    <s v="some high school"/>
    <s v="standard"/>
    <s v="none"/>
    <n v="67"/>
    <n v="89"/>
    <n v="82"/>
  </r>
  <r>
    <x v="1"/>
    <s v="group B"/>
    <s v="bachelor's degree"/>
    <s v="free/reduced"/>
    <s v="none"/>
    <n v="88"/>
    <n v="75"/>
    <n v="76"/>
  </r>
  <r>
    <x v="1"/>
    <s v="group E"/>
    <s v="some high school"/>
    <s v="standard"/>
    <s v="completed"/>
    <n v="77"/>
    <n v="76"/>
    <n v="77"/>
  </r>
  <r>
    <x v="1"/>
    <s v="group C"/>
    <s v="associate's degree"/>
    <s v="standard"/>
    <s v="none"/>
    <n v="76"/>
    <n v="70"/>
    <n v="68"/>
  </r>
  <r>
    <x v="1"/>
    <s v="group D"/>
    <s v="some high school"/>
    <s v="standard"/>
    <s v="none"/>
    <n v="86"/>
    <n v="73"/>
    <n v="70"/>
  </r>
  <r>
    <x v="1"/>
    <s v="group C"/>
    <s v="some high school"/>
    <s v="standard"/>
    <s v="completed"/>
    <n v="63"/>
    <n v="60"/>
    <n v="57"/>
  </r>
  <r>
    <x v="0"/>
    <s v="group E"/>
    <s v="bachelor's degree"/>
    <s v="standard"/>
    <s v="none"/>
    <n v="65"/>
    <n v="73"/>
    <n v="75"/>
  </r>
  <r>
    <x v="1"/>
    <s v="group D"/>
    <s v="high school"/>
    <s v="free/reduced"/>
    <s v="completed"/>
    <n v="78"/>
    <n v="77"/>
    <n v="80"/>
  </r>
  <r>
    <x v="1"/>
    <s v="group B"/>
    <s v="associate's degree"/>
    <s v="free/reduced"/>
    <s v="none"/>
    <n v="67"/>
    <n v="62"/>
    <n v="60"/>
  </r>
  <r>
    <x v="1"/>
    <s v="group A"/>
    <s v="some high school"/>
    <s v="standard"/>
    <s v="completed"/>
    <n v="46"/>
    <n v="41"/>
    <n v="43"/>
  </r>
  <r>
    <x v="1"/>
    <s v="group E"/>
    <s v="associate's degree"/>
    <s v="standard"/>
    <s v="completed"/>
    <n v="71"/>
    <n v="74"/>
    <n v="68"/>
  </r>
  <r>
    <x v="1"/>
    <s v="group C"/>
    <s v="high school"/>
    <s v="free/reduced"/>
    <s v="completed"/>
    <n v="40"/>
    <n v="46"/>
    <n v="50"/>
  </r>
  <r>
    <x v="1"/>
    <s v="group D"/>
    <s v="associate's degree"/>
    <s v="free/reduced"/>
    <s v="none"/>
    <n v="90"/>
    <n v="87"/>
    <n v="75"/>
  </r>
  <r>
    <x v="1"/>
    <s v="group A"/>
    <s v="some college"/>
    <s v="free/reduced"/>
    <s v="completed"/>
    <n v="81"/>
    <n v="78"/>
    <n v="81"/>
  </r>
  <r>
    <x v="1"/>
    <s v="group D"/>
    <s v="some high school"/>
    <s v="free/reduced"/>
    <s v="none"/>
    <n v="56"/>
    <n v="54"/>
    <n v="52"/>
  </r>
  <r>
    <x v="0"/>
    <s v="group C"/>
    <s v="associate's degree"/>
    <s v="standard"/>
    <s v="completed"/>
    <n v="67"/>
    <n v="84"/>
    <n v="81"/>
  </r>
  <r>
    <x v="1"/>
    <s v="group B"/>
    <s v="associate's degree"/>
    <s v="standard"/>
    <s v="none"/>
    <n v="80"/>
    <n v="76"/>
    <n v="64"/>
  </r>
  <r>
    <x v="0"/>
    <s v="group C"/>
    <s v="associate's degree"/>
    <s v="standard"/>
    <s v="completed"/>
    <n v="74"/>
    <n v="75"/>
    <n v="83"/>
  </r>
  <r>
    <x v="1"/>
    <s v="group A"/>
    <s v="some college"/>
    <s v="standard"/>
    <s v="none"/>
    <n v="69"/>
    <n v="67"/>
    <n v="69"/>
  </r>
  <r>
    <x v="1"/>
    <s v="group E"/>
    <s v="some college"/>
    <s v="standard"/>
    <s v="completed"/>
    <n v="99"/>
    <n v="87"/>
    <n v="81"/>
  </r>
  <r>
    <x v="1"/>
    <s v="group C"/>
    <s v="some high school"/>
    <s v="standard"/>
    <s v="none"/>
    <n v="51"/>
    <n v="52"/>
    <n v="44"/>
  </r>
  <r>
    <x v="0"/>
    <s v="group B"/>
    <s v="associate's degree"/>
    <s v="free/reduced"/>
    <s v="none"/>
    <n v="53"/>
    <n v="71"/>
    <n v="67"/>
  </r>
  <r>
    <x v="0"/>
    <s v="group D"/>
    <s v="high school"/>
    <s v="free/reduced"/>
    <s v="none"/>
    <n v="49"/>
    <n v="57"/>
    <n v="52"/>
  </r>
  <r>
    <x v="0"/>
    <s v="group B"/>
    <s v="associate's degree"/>
    <s v="standard"/>
    <s v="none"/>
    <n v="73"/>
    <n v="76"/>
    <n v="80"/>
  </r>
  <r>
    <x v="1"/>
    <s v="group B"/>
    <s v="bachelor's degree"/>
    <s v="standard"/>
    <s v="none"/>
    <n v="66"/>
    <n v="60"/>
    <n v="57"/>
  </r>
  <r>
    <x v="1"/>
    <s v="group D"/>
    <s v="bachelor's degree"/>
    <s v="standard"/>
    <s v="completed"/>
    <n v="67"/>
    <n v="61"/>
    <n v="68"/>
  </r>
  <r>
    <x v="0"/>
    <s v="group C"/>
    <s v="associate's degree"/>
    <s v="free/reduced"/>
    <s v="completed"/>
    <n v="68"/>
    <n v="67"/>
    <n v="69"/>
  </r>
  <r>
    <x v="0"/>
    <s v="group C"/>
    <s v="bachelor's degree"/>
    <s v="standard"/>
    <s v="completed"/>
    <n v="59"/>
    <n v="64"/>
    <n v="75"/>
  </r>
  <r>
    <x v="1"/>
    <s v="group C"/>
    <s v="high school"/>
    <s v="standard"/>
    <s v="none"/>
    <n v="71"/>
    <n v="66"/>
    <n v="65"/>
  </r>
  <r>
    <x v="0"/>
    <s v="group D"/>
    <s v="master's degree"/>
    <s v="standard"/>
    <s v="completed"/>
    <n v="77"/>
    <n v="82"/>
    <n v="91"/>
  </r>
  <r>
    <x v="1"/>
    <s v="group C"/>
    <s v="associate's degree"/>
    <s v="standard"/>
    <s v="none"/>
    <n v="83"/>
    <n v="72"/>
    <n v="78"/>
  </r>
  <r>
    <x v="1"/>
    <s v="group B"/>
    <s v="bachelor's degree"/>
    <s v="standard"/>
    <s v="none"/>
    <n v="63"/>
    <n v="71"/>
    <n v="69"/>
  </r>
  <r>
    <x v="0"/>
    <s v="group D"/>
    <s v="associate's degree"/>
    <s v="free/reduced"/>
    <s v="none"/>
    <n v="56"/>
    <n v="65"/>
    <n v="63"/>
  </r>
  <r>
    <x v="0"/>
    <s v="group C"/>
    <s v="high school"/>
    <s v="free/reduced"/>
    <s v="completed"/>
    <n v="67"/>
    <n v="79"/>
    <n v="84"/>
  </r>
  <r>
    <x v="0"/>
    <s v="group E"/>
    <s v="high school"/>
    <s v="standard"/>
    <s v="none"/>
    <n v="75"/>
    <n v="86"/>
    <n v="79"/>
  </r>
  <r>
    <x v="0"/>
    <s v="group C"/>
    <s v="some college"/>
    <s v="standard"/>
    <s v="none"/>
    <n v="71"/>
    <n v="81"/>
    <n v="80"/>
  </r>
  <r>
    <x v="0"/>
    <s v="group C"/>
    <s v="some high school"/>
    <s v="free/reduced"/>
    <s v="none"/>
    <n v="43"/>
    <n v="53"/>
    <n v="53"/>
  </r>
  <r>
    <x v="0"/>
    <s v="group C"/>
    <s v="high school"/>
    <s v="free/reduced"/>
    <s v="none"/>
    <n v="41"/>
    <n v="46"/>
    <n v="43"/>
  </r>
  <r>
    <x v="0"/>
    <s v="group C"/>
    <s v="some college"/>
    <s v="standard"/>
    <s v="none"/>
    <n v="82"/>
    <n v="90"/>
    <n v="94"/>
  </r>
  <r>
    <x v="1"/>
    <s v="group C"/>
    <s v="some college"/>
    <s v="standard"/>
    <s v="none"/>
    <n v="61"/>
    <n v="61"/>
    <n v="62"/>
  </r>
  <r>
    <x v="1"/>
    <s v="group A"/>
    <s v="some college"/>
    <s v="free/reduced"/>
    <s v="none"/>
    <n v="28"/>
    <n v="23"/>
    <n v="19"/>
  </r>
  <r>
    <x v="1"/>
    <s v="group C"/>
    <s v="associate's degree"/>
    <s v="standard"/>
    <s v="completed"/>
    <n v="82"/>
    <n v="75"/>
    <n v="77"/>
  </r>
  <r>
    <x v="0"/>
    <s v="group B"/>
    <s v="some high school"/>
    <s v="standard"/>
    <s v="none"/>
    <n v="41"/>
    <n v="55"/>
    <n v="51"/>
  </r>
  <r>
    <x v="1"/>
    <s v="group C"/>
    <s v="high school"/>
    <s v="standard"/>
    <s v="none"/>
    <n v="71"/>
    <n v="60"/>
    <n v="61"/>
  </r>
  <r>
    <x v="1"/>
    <s v="group C"/>
    <s v="associate's degree"/>
    <s v="standard"/>
    <s v="none"/>
    <n v="47"/>
    <n v="37"/>
    <n v="35"/>
  </r>
  <r>
    <x v="1"/>
    <s v="group E"/>
    <s v="associate's degree"/>
    <s v="standard"/>
    <s v="completed"/>
    <n v="62"/>
    <n v="56"/>
    <n v="53"/>
  </r>
  <r>
    <x v="1"/>
    <s v="group B"/>
    <s v="associate's degree"/>
    <s v="standard"/>
    <s v="none"/>
    <n v="90"/>
    <n v="78"/>
    <n v="81"/>
  </r>
  <r>
    <x v="0"/>
    <s v="group C"/>
    <s v="bachelor's degree"/>
    <s v="standard"/>
    <s v="none"/>
    <n v="83"/>
    <n v="93"/>
    <n v="95"/>
  </r>
  <r>
    <x v="0"/>
    <s v="group B"/>
    <s v="some college"/>
    <s v="free/reduced"/>
    <s v="none"/>
    <n v="61"/>
    <n v="68"/>
    <n v="66"/>
  </r>
  <r>
    <x v="1"/>
    <s v="group D"/>
    <s v="some high school"/>
    <s v="standard"/>
    <s v="completed"/>
    <n v="76"/>
    <n v="70"/>
    <n v="69"/>
  </r>
  <r>
    <x v="1"/>
    <s v="group C"/>
    <s v="associate's degree"/>
    <s v="standard"/>
    <s v="none"/>
    <n v="49"/>
    <n v="51"/>
    <n v="43"/>
  </r>
  <r>
    <x v="0"/>
    <s v="group B"/>
    <s v="some high school"/>
    <s v="free/reduced"/>
    <s v="none"/>
    <n v="24"/>
    <n v="38"/>
    <n v="27"/>
  </r>
  <r>
    <x v="0"/>
    <s v="group D"/>
    <s v="some high school"/>
    <s v="free/reduced"/>
    <s v="completed"/>
    <n v="35"/>
    <n v="55"/>
    <n v="60"/>
  </r>
  <r>
    <x v="1"/>
    <s v="group C"/>
    <s v="high school"/>
    <s v="free/reduced"/>
    <s v="none"/>
    <n v="58"/>
    <n v="61"/>
    <n v="52"/>
  </r>
  <r>
    <x v="0"/>
    <s v="group C"/>
    <s v="high school"/>
    <s v="standard"/>
    <s v="none"/>
    <n v="61"/>
    <n v="73"/>
    <n v="63"/>
  </r>
  <r>
    <x v="0"/>
    <s v="group B"/>
    <s v="high school"/>
    <s v="standard"/>
    <s v="completed"/>
    <n v="69"/>
    <n v="76"/>
    <n v="74"/>
  </r>
  <r>
    <x v="1"/>
    <s v="group D"/>
    <s v="associate's degree"/>
    <s v="standard"/>
    <s v="completed"/>
    <n v="67"/>
    <n v="72"/>
    <n v="67"/>
  </r>
  <r>
    <x v="1"/>
    <s v="group D"/>
    <s v="some college"/>
    <s v="standard"/>
    <s v="none"/>
    <n v="79"/>
    <n v="73"/>
    <n v="67"/>
  </r>
  <r>
    <x v="0"/>
    <s v="group C"/>
    <s v="high school"/>
    <s v="standard"/>
    <s v="none"/>
    <n v="72"/>
    <n v="80"/>
    <n v="75"/>
  </r>
  <r>
    <x v="1"/>
    <s v="group B"/>
    <s v="some college"/>
    <s v="standard"/>
    <s v="none"/>
    <n v="62"/>
    <n v="61"/>
    <n v="57"/>
  </r>
  <r>
    <x v="0"/>
    <s v="group C"/>
    <s v="bachelor's degree"/>
    <s v="standard"/>
    <s v="completed"/>
    <n v="77"/>
    <n v="94"/>
    <n v="95"/>
  </r>
  <r>
    <x v="1"/>
    <s v="group D"/>
    <s v="high school"/>
    <s v="free/reduced"/>
    <s v="none"/>
    <n v="75"/>
    <n v="74"/>
    <n v="66"/>
  </r>
  <r>
    <x v="1"/>
    <s v="group E"/>
    <s v="associate's degree"/>
    <s v="standard"/>
    <s v="none"/>
    <n v="87"/>
    <n v="74"/>
    <n v="76"/>
  </r>
  <r>
    <x v="0"/>
    <s v="group B"/>
    <s v="bachelor's degree"/>
    <s v="standard"/>
    <s v="none"/>
    <n v="52"/>
    <n v="65"/>
    <n v="69"/>
  </r>
  <r>
    <x v="1"/>
    <s v="group E"/>
    <s v="some college"/>
    <s v="standard"/>
    <s v="none"/>
    <n v="66"/>
    <n v="57"/>
    <n v="52"/>
  </r>
  <r>
    <x v="0"/>
    <s v="group C"/>
    <s v="some college"/>
    <s v="standard"/>
    <s v="completed"/>
    <n v="63"/>
    <n v="78"/>
    <n v="80"/>
  </r>
  <r>
    <x v="0"/>
    <s v="group C"/>
    <s v="associate's degree"/>
    <s v="standard"/>
    <s v="none"/>
    <n v="46"/>
    <n v="58"/>
    <n v="57"/>
  </r>
  <r>
    <x v="0"/>
    <s v="group C"/>
    <s v="some college"/>
    <s v="standard"/>
    <s v="none"/>
    <n v="59"/>
    <n v="71"/>
    <n v="70"/>
  </r>
  <r>
    <x v="0"/>
    <s v="group B"/>
    <s v="bachelor's degree"/>
    <s v="standard"/>
    <s v="none"/>
    <n v="61"/>
    <n v="72"/>
    <n v="70"/>
  </r>
  <r>
    <x v="1"/>
    <s v="group A"/>
    <s v="associate's degree"/>
    <s v="standard"/>
    <s v="none"/>
    <n v="63"/>
    <n v="61"/>
    <n v="61"/>
  </r>
  <r>
    <x v="0"/>
    <s v="group C"/>
    <s v="some college"/>
    <s v="free/reduced"/>
    <s v="completed"/>
    <n v="42"/>
    <n v="66"/>
    <n v="69"/>
  </r>
  <r>
    <x v="1"/>
    <s v="group D"/>
    <s v="some college"/>
    <s v="free/reduced"/>
    <s v="none"/>
    <n v="59"/>
    <n v="62"/>
    <n v="61"/>
  </r>
  <r>
    <x v="0"/>
    <s v="group D"/>
    <s v="some college"/>
    <s v="standard"/>
    <s v="none"/>
    <n v="80"/>
    <n v="90"/>
    <n v="89"/>
  </r>
  <r>
    <x v="0"/>
    <s v="group B"/>
    <s v="high school"/>
    <s v="standard"/>
    <s v="none"/>
    <n v="58"/>
    <n v="62"/>
    <n v="59"/>
  </r>
  <r>
    <x v="1"/>
    <s v="group B"/>
    <s v="some high school"/>
    <s v="standard"/>
    <s v="completed"/>
    <n v="85"/>
    <n v="84"/>
    <n v="78"/>
  </r>
  <r>
    <x v="0"/>
    <s v="group C"/>
    <s v="some college"/>
    <s v="standard"/>
    <s v="none"/>
    <n v="52"/>
    <n v="58"/>
    <n v="58"/>
  </r>
  <r>
    <x v="0"/>
    <s v="group D"/>
    <s v="some high school"/>
    <s v="free/reduced"/>
    <s v="none"/>
    <n v="27"/>
    <n v="34"/>
    <n v="32"/>
  </r>
  <r>
    <x v="1"/>
    <s v="group C"/>
    <s v="some college"/>
    <s v="standard"/>
    <s v="none"/>
    <n v="59"/>
    <n v="60"/>
    <n v="58"/>
  </r>
  <r>
    <x v="1"/>
    <s v="group A"/>
    <s v="bachelor's degree"/>
    <s v="free/reduced"/>
    <s v="completed"/>
    <n v="49"/>
    <n v="58"/>
    <n v="60"/>
  </r>
  <r>
    <x v="1"/>
    <s v="group C"/>
    <s v="high school"/>
    <s v="standard"/>
    <s v="completed"/>
    <n v="69"/>
    <n v="58"/>
    <n v="53"/>
  </r>
  <r>
    <x v="1"/>
    <s v="group C"/>
    <s v="bachelor's degree"/>
    <s v="free/reduced"/>
    <s v="none"/>
    <n v="61"/>
    <n v="66"/>
    <n v="61"/>
  </r>
  <r>
    <x v="0"/>
    <s v="group A"/>
    <s v="some high school"/>
    <s v="free/reduced"/>
    <s v="none"/>
    <n v="44"/>
    <n v="64"/>
    <n v="58"/>
  </r>
  <r>
    <x v="0"/>
    <s v="group D"/>
    <s v="some high school"/>
    <s v="standard"/>
    <s v="none"/>
    <n v="73"/>
    <n v="84"/>
    <n v="85"/>
  </r>
  <r>
    <x v="1"/>
    <s v="group E"/>
    <s v="some college"/>
    <s v="standard"/>
    <s v="none"/>
    <n v="84"/>
    <n v="77"/>
    <n v="71"/>
  </r>
  <r>
    <x v="0"/>
    <s v="group C"/>
    <s v="some college"/>
    <s v="free/reduced"/>
    <s v="completed"/>
    <n v="45"/>
    <n v="73"/>
    <n v="70"/>
  </r>
  <r>
    <x v="1"/>
    <s v="group D"/>
    <s v="some high school"/>
    <s v="standard"/>
    <s v="none"/>
    <n v="74"/>
    <n v="74"/>
    <n v="72"/>
  </r>
  <r>
    <x v="0"/>
    <s v="group D"/>
    <s v="some college"/>
    <s v="standard"/>
    <s v="completed"/>
    <n v="82"/>
    <n v="97"/>
    <n v="96"/>
  </r>
  <r>
    <x v="0"/>
    <s v="group D"/>
    <s v="bachelor's degree"/>
    <s v="standard"/>
    <s v="none"/>
    <n v="59"/>
    <n v="70"/>
    <n v="73"/>
  </r>
  <r>
    <x v="1"/>
    <s v="group E"/>
    <s v="associate's degree"/>
    <s v="free/reduced"/>
    <s v="none"/>
    <n v="46"/>
    <n v="43"/>
    <n v="41"/>
  </r>
  <r>
    <x v="0"/>
    <s v="group D"/>
    <s v="some high school"/>
    <s v="standard"/>
    <s v="none"/>
    <n v="80"/>
    <n v="90"/>
    <n v="82"/>
  </r>
  <r>
    <x v="0"/>
    <s v="group D"/>
    <s v="master's degree"/>
    <s v="free/reduced"/>
    <s v="completed"/>
    <n v="85"/>
    <n v="95"/>
    <n v="100"/>
  </r>
  <r>
    <x v="0"/>
    <s v="group A"/>
    <s v="some high school"/>
    <s v="standard"/>
    <s v="none"/>
    <n v="71"/>
    <n v="83"/>
    <n v="77"/>
  </r>
  <r>
    <x v="1"/>
    <s v="group A"/>
    <s v="bachelor's degree"/>
    <s v="standard"/>
    <s v="none"/>
    <n v="66"/>
    <n v="64"/>
    <n v="62"/>
  </r>
  <r>
    <x v="0"/>
    <s v="group B"/>
    <s v="associate's degree"/>
    <s v="standard"/>
    <s v="none"/>
    <n v="80"/>
    <n v="86"/>
    <n v="83"/>
  </r>
  <r>
    <x v="1"/>
    <s v="group C"/>
    <s v="associate's degree"/>
    <s v="standard"/>
    <s v="completed"/>
    <n v="87"/>
    <n v="100"/>
    <n v="95"/>
  </r>
  <r>
    <x v="1"/>
    <s v="group C"/>
    <s v="master's degree"/>
    <s v="free/reduced"/>
    <s v="none"/>
    <n v="79"/>
    <n v="81"/>
    <n v="71"/>
  </r>
  <r>
    <x v="0"/>
    <s v="group E"/>
    <s v="some high school"/>
    <s v="free/reduced"/>
    <s v="none"/>
    <n v="38"/>
    <n v="49"/>
    <n v="45"/>
  </r>
  <r>
    <x v="0"/>
    <s v="group A"/>
    <s v="some high school"/>
    <s v="free/reduced"/>
    <s v="none"/>
    <n v="38"/>
    <n v="43"/>
    <n v="43"/>
  </r>
  <r>
    <x v="0"/>
    <s v="group E"/>
    <s v="some college"/>
    <s v="standard"/>
    <s v="none"/>
    <n v="67"/>
    <n v="76"/>
    <n v="75"/>
  </r>
  <r>
    <x v="0"/>
    <s v="group E"/>
    <s v="bachelor's degree"/>
    <s v="standard"/>
    <s v="none"/>
    <n v="64"/>
    <n v="73"/>
    <n v="70"/>
  </r>
  <r>
    <x v="0"/>
    <s v="group C"/>
    <s v="associate's degree"/>
    <s v="free/reduced"/>
    <s v="none"/>
    <n v="57"/>
    <n v="78"/>
    <n v="67"/>
  </r>
  <r>
    <x v="0"/>
    <s v="group D"/>
    <s v="high school"/>
    <s v="standard"/>
    <s v="none"/>
    <n v="62"/>
    <n v="64"/>
    <n v="64"/>
  </r>
  <r>
    <x v="1"/>
    <s v="group D"/>
    <s v="master's degree"/>
    <s v="standard"/>
    <s v="none"/>
    <n v="73"/>
    <n v="70"/>
    <n v="75"/>
  </r>
  <r>
    <x v="1"/>
    <s v="group E"/>
    <s v="some high school"/>
    <s v="free/reduced"/>
    <s v="completed"/>
    <n v="73"/>
    <n v="67"/>
    <n v="59"/>
  </r>
  <r>
    <x v="0"/>
    <s v="group D"/>
    <s v="some college"/>
    <s v="standard"/>
    <s v="none"/>
    <n v="77"/>
    <n v="68"/>
    <n v="77"/>
  </r>
  <r>
    <x v="1"/>
    <s v="group E"/>
    <s v="some college"/>
    <s v="standard"/>
    <s v="none"/>
    <n v="76"/>
    <n v="67"/>
    <n v="67"/>
  </r>
  <r>
    <x v="1"/>
    <s v="group C"/>
    <s v="associate's degree"/>
    <s v="standard"/>
    <s v="completed"/>
    <n v="57"/>
    <n v="54"/>
    <n v="56"/>
  </r>
  <r>
    <x v="0"/>
    <s v="group C"/>
    <s v="some high school"/>
    <s v="standard"/>
    <s v="completed"/>
    <n v="65"/>
    <n v="74"/>
    <n v="77"/>
  </r>
  <r>
    <x v="1"/>
    <s v="group A"/>
    <s v="high school"/>
    <s v="free/reduced"/>
    <s v="none"/>
    <n v="48"/>
    <n v="45"/>
    <n v="41"/>
  </r>
  <r>
    <x v="0"/>
    <s v="group B"/>
    <s v="high school"/>
    <s v="free/reduced"/>
    <s v="none"/>
    <n v="50"/>
    <n v="67"/>
    <n v="63"/>
  </r>
  <r>
    <x v="0"/>
    <s v="group C"/>
    <s v="associate's degree"/>
    <s v="standard"/>
    <s v="none"/>
    <n v="85"/>
    <n v="89"/>
    <n v="95"/>
  </r>
  <r>
    <x v="1"/>
    <s v="group B"/>
    <s v="some high school"/>
    <s v="standard"/>
    <s v="none"/>
    <n v="74"/>
    <n v="63"/>
    <n v="57"/>
  </r>
  <r>
    <x v="1"/>
    <s v="group D"/>
    <s v="some high school"/>
    <s v="standard"/>
    <s v="none"/>
    <n v="60"/>
    <n v="59"/>
    <n v="54"/>
  </r>
  <r>
    <x v="0"/>
    <s v="group C"/>
    <s v="some high school"/>
    <s v="standard"/>
    <s v="completed"/>
    <n v="59"/>
    <n v="54"/>
    <n v="67"/>
  </r>
  <r>
    <x v="1"/>
    <s v="group A"/>
    <s v="some college"/>
    <s v="standard"/>
    <s v="none"/>
    <n v="53"/>
    <n v="43"/>
    <n v="43"/>
  </r>
  <r>
    <x v="0"/>
    <s v="group A"/>
    <s v="some college"/>
    <s v="free/reduced"/>
    <s v="none"/>
    <n v="49"/>
    <n v="65"/>
    <n v="55"/>
  </r>
  <r>
    <x v="0"/>
    <s v="group D"/>
    <s v="high school"/>
    <s v="standard"/>
    <s v="completed"/>
    <n v="88"/>
    <n v="99"/>
    <n v="100"/>
  </r>
  <r>
    <x v="0"/>
    <s v="group C"/>
    <s v="high school"/>
    <s v="standard"/>
    <s v="none"/>
    <n v="54"/>
    <n v="59"/>
    <n v="62"/>
  </r>
  <r>
    <x v="0"/>
    <s v="group C"/>
    <s v="some high school"/>
    <s v="standard"/>
    <s v="none"/>
    <n v="63"/>
    <n v="73"/>
    <n v="68"/>
  </r>
  <r>
    <x v="1"/>
    <s v="group B"/>
    <s v="associate's degree"/>
    <s v="standard"/>
    <s v="completed"/>
    <n v="65"/>
    <n v="65"/>
    <n v="63"/>
  </r>
  <r>
    <x v="0"/>
    <s v="group B"/>
    <s v="associate's degree"/>
    <s v="standard"/>
    <s v="none"/>
    <n v="82"/>
    <n v="80"/>
    <n v="77"/>
  </r>
  <r>
    <x v="0"/>
    <s v="group D"/>
    <s v="high school"/>
    <s v="free/reduced"/>
    <s v="completed"/>
    <n v="52"/>
    <n v="57"/>
    <n v="56"/>
  </r>
  <r>
    <x v="1"/>
    <s v="group D"/>
    <s v="associate's degree"/>
    <s v="standard"/>
    <s v="completed"/>
    <n v="87"/>
    <n v="84"/>
    <n v="85"/>
  </r>
  <r>
    <x v="0"/>
    <s v="group D"/>
    <s v="master's degree"/>
    <s v="standard"/>
    <s v="completed"/>
    <n v="70"/>
    <n v="71"/>
    <n v="74"/>
  </r>
  <r>
    <x v="1"/>
    <s v="group E"/>
    <s v="some college"/>
    <s v="standard"/>
    <s v="completed"/>
    <n v="84"/>
    <n v="83"/>
    <n v="78"/>
  </r>
  <r>
    <x v="1"/>
    <s v="group D"/>
    <s v="associate's degree"/>
    <s v="standard"/>
    <s v="none"/>
    <n v="71"/>
    <n v="66"/>
    <n v="60"/>
  </r>
  <r>
    <x v="1"/>
    <s v="group B"/>
    <s v="some high school"/>
    <s v="standard"/>
    <s v="completed"/>
    <n v="63"/>
    <n v="67"/>
    <n v="67"/>
  </r>
  <r>
    <x v="0"/>
    <s v="group C"/>
    <s v="bachelor's degree"/>
    <s v="free/reduced"/>
    <s v="completed"/>
    <n v="51"/>
    <n v="72"/>
    <n v="79"/>
  </r>
  <r>
    <x v="1"/>
    <s v="group E"/>
    <s v="high school"/>
    <s v="standard"/>
    <s v="none"/>
    <n v="84"/>
    <n v="73"/>
    <n v="69"/>
  </r>
  <r>
    <x v="1"/>
    <s v="group C"/>
    <s v="bachelor's degree"/>
    <s v="standard"/>
    <s v="completed"/>
    <n v="71"/>
    <n v="74"/>
    <n v="68"/>
  </r>
  <r>
    <x v="1"/>
    <s v="group C"/>
    <s v="associate's degree"/>
    <s v="standard"/>
    <s v="none"/>
    <n v="74"/>
    <n v="73"/>
    <n v="67"/>
  </r>
  <r>
    <x v="1"/>
    <s v="group D"/>
    <s v="some college"/>
    <s v="standard"/>
    <s v="none"/>
    <n v="68"/>
    <n v="59"/>
    <n v="62"/>
  </r>
  <r>
    <x v="1"/>
    <s v="group E"/>
    <s v="high school"/>
    <s v="free/reduced"/>
    <s v="completed"/>
    <n v="57"/>
    <n v="56"/>
    <n v="54"/>
  </r>
  <r>
    <x v="0"/>
    <s v="group C"/>
    <s v="associate's degree"/>
    <s v="free/reduced"/>
    <s v="completed"/>
    <n v="82"/>
    <n v="93"/>
    <n v="93"/>
  </r>
  <r>
    <x v="0"/>
    <s v="group D"/>
    <s v="high school"/>
    <s v="standard"/>
    <s v="completed"/>
    <n v="57"/>
    <n v="58"/>
    <n v="64"/>
  </r>
  <r>
    <x v="0"/>
    <s v="group D"/>
    <s v="master's degree"/>
    <s v="free/reduced"/>
    <s v="completed"/>
    <n v="47"/>
    <n v="58"/>
    <n v="67"/>
  </r>
  <r>
    <x v="0"/>
    <s v="group A"/>
    <s v="some high school"/>
    <s v="standard"/>
    <s v="completed"/>
    <n v="59"/>
    <n v="85"/>
    <n v="80"/>
  </r>
  <r>
    <x v="1"/>
    <s v="group B"/>
    <s v="some college"/>
    <s v="free/reduced"/>
    <s v="none"/>
    <n v="41"/>
    <n v="39"/>
    <n v="34"/>
  </r>
  <r>
    <x v="0"/>
    <s v="group C"/>
    <s v="some college"/>
    <s v="free/reduced"/>
    <s v="none"/>
    <n v="62"/>
    <n v="67"/>
    <n v="62"/>
  </r>
  <r>
    <x v="1"/>
    <s v="group C"/>
    <s v="bachelor's degree"/>
    <s v="standard"/>
    <s v="none"/>
    <n v="86"/>
    <n v="83"/>
    <n v="86"/>
  </r>
  <r>
    <x v="1"/>
    <s v="group C"/>
    <s v="some high school"/>
    <s v="free/reduced"/>
    <s v="none"/>
    <n v="69"/>
    <n v="71"/>
    <n v="65"/>
  </r>
  <r>
    <x v="1"/>
    <s v="group A"/>
    <s v="some high school"/>
    <s v="free/reduced"/>
    <s v="none"/>
    <n v="65"/>
    <n v="59"/>
    <n v="53"/>
  </r>
  <r>
    <x v="1"/>
    <s v="group C"/>
    <s v="some high school"/>
    <s v="free/reduced"/>
    <s v="none"/>
    <n v="68"/>
    <n v="63"/>
    <n v="54"/>
  </r>
  <r>
    <x v="1"/>
    <s v="group C"/>
    <s v="associate's degree"/>
    <s v="free/reduced"/>
    <s v="none"/>
    <n v="64"/>
    <n v="66"/>
    <n v="59"/>
  </r>
  <r>
    <x v="0"/>
    <s v="group C"/>
    <s v="high school"/>
    <s v="standard"/>
    <s v="none"/>
    <n v="61"/>
    <n v="72"/>
    <n v="70"/>
  </r>
  <r>
    <x v="1"/>
    <s v="group C"/>
    <s v="high school"/>
    <s v="standard"/>
    <s v="none"/>
    <n v="61"/>
    <n v="56"/>
    <n v="55"/>
  </r>
  <r>
    <x v="0"/>
    <s v="group A"/>
    <s v="some high school"/>
    <s v="free/reduced"/>
    <s v="none"/>
    <n v="47"/>
    <n v="59"/>
    <n v="50"/>
  </r>
  <r>
    <x v="1"/>
    <s v="group C"/>
    <s v="some high school"/>
    <s v="standard"/>
    <s v="none"/>
    <n v="73"/>
    <n v="66"/>
    <n v="66"/>
  </r>
  <r>
    <x v="1"/>
    <s v="group C"/>
    <s v="some college"/>
    <s v="free/reduced"/>
    <s v="completed"/>
    <n v="50"/>
    <n v="48"/>
    <n v="53"/>
  </r>
  <r>
    <x v="1"/>
    <s v="group D"/>
    <s v="associate's degree"/>
    <s v="standard"/>
    <s v="none"/>
    <n v="75"/>
    <n v="68"/>
    <n v="64"/>
  </r>
  <r>
    <x v="1"/>
    <s v="group D"/>
    <s v="associate's degree"/>
    <s v="free/reduced"/>
    <s v="none"/>
    <n v="75"/>
    <n v="66"/>
    <n v="73"/>
  </r>
  <r>
    <x v="1"/>
    <s v="group C"/>
    <s v="high school"/>
    <s v="standard"/>
    <s v="none"/>
    <n v="70"/>
    <n v="56"/>
    <n v="51"/>
  </r>
  <r>
    <x v="1"/>
    <s v="group D"/>
    <s v="some high school"/>
    <s v="standard"/>
    <s v="completed"/>
    <n v="89"/>
    <n v="88"/>
    <n v="82"/>
  </r>
  <r>
    <x v="0"/>
    <s v="group C"/>
    <s v="some college"/>
    <s v="standard"/>
    <s v="completed"/>
    <n v="67"/>
    <n v="81"/>
    <n v="79"/>
  </r>
  <r>
    <x v="0"/>
    <s v="group D"/>
    <s v="high school"/>
    <s v="standard"/>
    <s v="none"/>
    <n v="78"/>
    <n v="81"/>
    <n v="80"/>
  </r>
  <r>
    <x v="0"/>
    <s v="group A"/>
    <s v="some high school"/>
    <s v="free/reduced"/>
    <s v="none"/>
    <n v="59"/>
    <n v="73"/>
    <n v="69"/>
  </r>
  <r>
    <x v="0"/>
    <s v="group B"/>
    <s v="associate's degree"/>
    <s v="standard"/>
    <s v="none"/>
    <n v="73"/>
    <n v="83"/>
    <n v="76"/>
  </r>
  <r>
    <x v="1"/>
    <s v="group A"/>
    <s v="some high school"/>
    <s v="free/reduced"/>
    <s v="none"/>
    <n v="79"/>
    <n v="82"/>
    <n v="73"/>
  </r>
  <r>
    <x v="0"/>
    <s v="group C"/>
    <s v="some high school"/>
    <s v="standard"/>
    <s v="completed"/>
    <n v="67"/>
    <n v="74"/>
    <n v="77"/>
  </r>
  <r>
    <x v="1"/>
    <s v="group D"/>
    <s v="some college"/>
    <s v="free/reduced"/>
    <s v="none"/>
    <n v="69"/>
    <n v="66"/>
    <n v="60"/>
  </r>
  <r>
    <x v="1"/>
    <s v="group C"/>
    <s v="high school"/>
    <s v="standard"/>
    <s v="completed"/>
    <n v="86"/>
    <n v="81"/>
    <n v="80"/>
  </r>
  <r>
    <x v="1"/>
    <s v="group B"/>
    <s v="high school"/>
    <s v="standard"/>
    <s v="none"/>
    <n v="47"/>
    <n v="46"/>
    <n v="42"/>
  </r>
  <r>
    <x v="1"/>
    <s v="group B"/>
    <s v="associate's degree"/>
    <s v="standard"/>
    <s v="none"/>
    <n v="81"/>
    <n v="73"/>
    <n v="72"/>
  </r>
  <r>
    <x v="0"/>
    <s v="group C"/>
    <s v="some college"/>
    <s v="free/reduced"/>
    <s v="completed"/>
    <n v="64"/>
    <n v="85"/>
    <n v="85"/>
  </r>
  <r>
    <x v="0"/>
    <s v="group E"/>
    <s v="some college"/>
    <s v="standard"/>
    <s v="none"/>
    <n v="100"/>
    <n v="92"/>
    <n v="97"/>
  </r>
  <r>
    <x v="0"/>
    <s v="group C"/>
    <s v="associate's degree"/>
    <s v="free/reduced"/>
    <s v="none"/>
    <n v="65"/>
    <n v="77"/>
    <n v="74"/>
  </r>
  <r>
    <x v="1"/>
    <s v="group C"/>
    <s v="some college"/>
    <s v="free/reduced"/>
    <s v="none"/>
    <n v="65"/>
    <n v="58"/>
    <n v="49"/>
  </r>
  <r>
    <x v="0"/>
    <s v="group C"/>
    <s v="associate's degree"/>
    <s v="free/reduced"/>
    <s v="none"/>
    <n v="53"/>
    <n v="61"/>
    <n v="62"/>
  </r>
  <r>
    <x v="1"/>
    <s v="group C"/>
    <s v="bachelor's degree"/>
    <s v="free/reduced"/>
    <s v="none"/>
    <n v="37"/>
    <n v="56"/>
    <n v="47"/>
  </r>
  <r>
    <x v="0"/>
    <s v="group D"/>
    <s v="bachelor's degree"/>
    <s v="standard"/>
    <s v="none"/>
    <n v="79"/>
    <n v="89"/>
    <n v="89"/>
  </r>
  <r>
    <x v="1"/>
    <s v="group D"/>
    <s v="associate's degree"/>
    <s v="free/reduced"/>
    <s v="none"/>
    <n v="53"/>
    <n v="54"/>
    <n v="48"/>
  </r>
  <r>
    <x v="0"/>
    <s v="group E"/>
    <s v="bachelor's degree"/>
    <s v="standard"/>
    <s v="none"/>
    <n v="100"/>
    <n v="100"/>
    <n v="100"/>
  </r>
  <r>
    <x v="1"/>
    <s v="group B"/>
    <s v="high school"/>
    <s v="standard"/>
    <s v="completed"/>
    <n v="72"/>
    <n v="65"/>
    <n v="68"/>
  </r>
  <r>
    <x v="1"/>
    <s v="group C"/>
    <s v="bachelor's degree"/>
    <s v="free/reduced"/>
    <s v="none"/>
    <n v="53"/>
    <n v="58"/>
    <n v="55"/>
  </r>
  <r>
    <x v="1"/>
    <s v="group B"/>
    <s v="some college"/>
    <s v="free/reduced"/>
    <s v="none"/>
    <n v="54"/>
    <n v="54"/>
    <n v="45"/>
  </r>
  <r>
    <x v="0"/>
    <s v="group E"/>
    <s v="some college"/>
    <s v="standard"/>
    <s v="none"/>
    <n v="71"/>
    <n v="70"/>
    <n v="76"/>
  </r>
  <r>
    <x v="0"/>
    <s v="group C"/>
    <s v="some college"/>
    <s v="free/reduced"/>
    <s v="none"/>
    <n v="77"/>
    <n v="90"/>
    <n v="91"/>
  </r>
  <r>
    <x v="1"/>
    <s v="group A"/>
    <s v="bachelor's degree"/>
    <s v="standard"/>
    <s v="completed"/>
    <n v="75"/>
    <n v="58"/>
    <n v="62"/>
  </r>
  <r>
    <x v="0"/>
    <s v="group C"/>
    <s v="some college"/>
    <s v="standard"/>
    <s v="none"/>
    <n v="84"/>
    <n v="87"/>
    <n v="91"/>
  </r>
  <r>
    <x v="0"/>
    <s v="group D"/>
    <s v="associate's degree"/>
    <s v="free/reduced"/>
    <s v="none"/>
    <n v="26"/>
    <n v="31"/>
    <n v="38"/>
  </r>
  <r>
    <x v="1"/>
    <s v="group A"/>
    <s v="high school"/>
    <s v="free/reduced"/>
    <s v="completed"/>
    <n v="72"/>
    <n v="67"/>
    <n v="65"/>
  </r>
  <r>
    <x v="0"/>
    <s v="group A"/>
    <s v="high school"/>
    <s v="free/reduced"/>
    <s v="completed"/>
    <n v="77"/>
    <n v="88"/>
    <n v="85"/>
  </r>
  <r>
    <x v="1"/>
    <s v="group C"/>
    <s v="some college"/>
    <s v="standard"/>
    <s v="none"/>
    <n v="91"/>
    <n v="74"/>
    <n v="76"/>
  </r>
  <r>
    <x v="0"/>
    <s v="group C"/>
    <s v="associate's degree"/>
    <s v="standard"/>
    <s v="completed"/>
    <n v="83"/>
    <n v="85"/>
    <n v="90"/>
  </r>
  <r>
    <x v="0"/>
    <s v="group C"/>
    <s v="high school"/>
    <s v="standard"/>
    <s v="none"/>
    <n v="63"/>
    <n v="69"/>
    <n v="74"/>
  </r>
  <r>
    <x v="0"/>
    <s v="group C"/>
    <s v="associate's degree"/>
    <s v="standard"/>
    <s v="completed"/>
    <n v="68"/>
    <n v="86"/>
    <n v="84"/>
  </r>
  <r>
    <x v="0"/>
    <s v="group D"/>
    <s v="some high school"/>
    <s v="standard"/>
    <s v="none"/>
    <n v="59"/>
    <n v="67"/>
    <n v="61"/>
  </r>
  <r>
    <x v="0"/>
    <s v="group B"/>
    <s v="associate's degree"/>
    <s v="standard"/>
    <s v="completed"/>
    <n v="90"/>
    <n v="90"/>
    <n v="91"/>
  </r>
  <r>
    <x v="0"/>
    <s v="group D"/>
    <s v="bachelor's degree"/>
    <s v="standard"/>
    <s v="completed"/>
    <n v="71"/>
    <n v="76"/>
    <n v="83"/>
  </r>
  <r>
    <x v="1"/>
    <s v="group E"/>
    <s v="bachelor's degree"/>
    <s v="standard"/>
    <s v="completed"/>
    <n v="76"/>
    <n v="62"/>
    <n v="66"/>
  </r>
  <r>
    <x v="1"/>
    <s v="group D"/>
    <s v="associate's degree"/>
    <s v="standard"/>
    <s v="none"/>
    <n v="80"/>
    <n v="68"/>
    <n v="72"/>
  </r>
  <r>
    <x v="0"/>
    <s v="group D"/>
    <s v="master's degree"/>
    <s v="standard"/>
    <s v="none"/>
    <n v="55"/>
    <n v="64"/>
    <n v="70"/>
  </r>
  <r>
    <x v="1"/>
    <s v="group E"/>
    <s v="associate's degree"/>
    <s v="standard"/>
    <s v="none"/>
    <n v="76"/>
    <n v="71"/>
    <n v="67"/>
  </r>
  <r>
    <x v="1"/>
    <s v="group B"/>
    <s v="high school"/>
    <s v="standard"/>
    <s v="completed"/>
    <n v="73"/>
    <n v="71"/>
    <n v="68"/>
  </r>
  <r>
    <x v="0"/>
    <s v="group D"/>
    <s v="associate's degree"/>
    <s v="free/reduced"/>
    <s v="none"/>
    <n v="52"/>
    <n v="59"/>
    <n v="56"/>
  </r>
  <r>
    <x v="1"/>
    <s v="group C"/>
    <s v="some college"/>
    <s v="free/reduced"/>
    <s v="none"/>
    <n v="68"/>
    <n v="68"/>
    <n v="61"/>
  </r>
  <r>
    <x v="1"/>
    <s v="group A"/>
    <s v="high school"/>
    <s v="standard"/>
    <s v="none"/>
    <n v="59"/>
    <n v="52"/>
    <n v="46"/>
  </r>
  <r>
    <x v="0"/>
    <s v="group B"/>
    <s v="associate's degree"/>
    <s v="standard"/>
    <s v="none"/>
    <n v="49"/>
    <n v="52"/>
    <n v="54"/>
  </r>
  <r>
    <x v="1"/>
    <s v="group C"/>
    <s v="high school"/>
    <s v="standard"/>
    <s v="none"/>
    <n v="70"/>
    <n v="74"/>
    <n v="71"/>
  </r>
  <r>
    <x v="1"/>
    <s v="group D"/>
    <s v="some college"/>
    <s v="free/reduced"/>
    <s v="none"/>
    <n v="61"/>
    <n v="47"/>
    <n v="56"/>
  </r>
  <r>
    <x v="0"/>
    <s v="group C"/>
    <s v="associate's degree"/>
    <s v="free/reduced"/>
    <s v="none"/>
    <n v="60"/>
    <n v="75"/>
    <n v="74"/>
  </r>
  <r>
    <x v="1"/>
    <s v="group B"/>
    <s v="some high school"/>
    <s v="standard"/>
    <s v="completed"/>
    <n v="64"/>
    <n v="53"/>
    <n v="57"/>
  </r>
  <r>
    <x v="1"/>
    <s v="group A"/>
    <s v="associate's degree"/>
    <s v="free/reduced"/>
    <s v="completed"/>
    <n v="79"/>
    <n v="82"/>
    <n v="82"/>
  </r>
  <r>
    <x v="0"/>
    <s v="group A"/>
    <s v="associate's degree"/>
    <s v="free/reduced"/>
    <s v="none"/>
    <n v="65"/>
    <n v="85"/>
    <n v="76"/>
  </r>
  <r>
    <x v="0"/>
    <s v="group C"/>
    <s v="associate's degree"/>
    <s v="standard"/>
    <s v="none"/>
    <n v="64"/>
    <n v="64"/>
    <n v="70"/>
  </r>
  <r>
    <x v="0"/>
    <s v="group C"/>
    <s v="some college"/>
    <s v="standard"/>
    <s v="none"/>
    <n v="83"/>
    <n v="83"/>
    <n v="90"/>
  </r>
  <r>
    <x v="0"/>
    <s v="group C"/>
    <s v="bachelor's degree"/>
    <s v="standard"/>
    <s v="none"/>
    <n v="81"/>
    <n v="88"/>
    <n v="90"/>
  </r>
  <r>
    <x v="0"/>
    <s v="group B"/>
    <s v="high school"/>
    <s v="standard"/>
    <s v="none"/>
    <n v="54"/>
    <n v="64"/>
    <n v="68"/>
  </r>
  <r>
    <x v="1"/>
    <s v="group D"/>
    <s v="high school"/>
    <s v="standard"/>
    <s v="completed"/>
    <n v="68"/>
    <n v="64"/>
    <n v="66"/>
  </r>
  <r>
    <x v="0"/>
    <s v="group C"/>
    <s v="some college"/>
    <s v="standard"/>
    <s v="none"/>
    <n v="54"/>
    <n v="48"/>
    <n v="52"/>
  </r>
  <r>
    <x v="0"/>
    <s v="group D"/>
    <s v="some college"/>
    <s v="free/reduced"/>
    <s v="completed"/>
    <n v="59"/>
    <n v="78"/>
    <n v="76"/>
  </r>
  <r>
    <x v="0"/>
    <s v="group B"/>
    <s v="some high school"/>
    <s v="standard"/>
    <s v="none"/>
    <n v="66"/>
    <n v="69"/>
    <n v="68"/>
  </r>
  <r>
    <x v="1"/>
    <s v="group E"/>
    <s v="some college"/>
    <s v="standard"/>
    <s v="none"/>
    <n v="76"/>
    <n v="71"/>
    <n v="72"/>
  </r>
  <r>
    <x v="0"/>
    <s v="group D"/>
    <s v="master's degree"/>
    <s v="standard"/>
    <s v="none"/>
    <n v="74"/>
    <n v="79"/>
    <n v="82"/>
  </r>
  <r>
    <x v="0"/>
    <s v="group B"/>
    <s v="associate's degree"/>
    <s v="standard"/>
    <s v="completed"/>
    <n v="94"/>
    <n v="87"/>
    <n v="92"/>
  </r>
  <r>
    <x v="1"/>
    <s v="group C"/>
    <s v="some college"/>
    <s v="free/reduced"/>
    <s v="none"/>
    <n v="63"/>
    <n v="61"/>
    <n v="54"/>
  </r>
  <r>
    <x v="0"/>
    <s v="group E"/>
    <s v="associate's degree"/>
    <s v="standard"/>
    <s v="completed"/>
    <n v="95"/>
    <n v="89"/>
    <n v="92"/>
  </r>
  <r>
    <x v="0"/>
    <s v="group D"/>
    <s v="master's degree"/>
    <s v="free/reduced"/>
    <s v="none"/>
    <n v="40"/>
    <n v="59"/>
    <n v="54"/>
  </r>
  <r>
    <x v="0"/>
    <s v="group B"/>
    <s v="some high school"/>
    <s v="standard"/>
    <s v="none"/>
    <n v="82"/>
    <n v="82"/>
    <n v="80"/>
  </r>
  <r>
    <x v="1"/>
    <s v="group A"/>
    <s v="high school"/>
    <s v="standard"/>
    <s v="none"/>
    <n v="68"/>
    <n v="70"/>
    <n v="66"/>
  </r>
  <r>
    <x v="1"/>
    <s v="group B"/>
    <s v="bachelor's degree"/>
    <s v="free/reduced"/>
    <s v="none"/>
    <n v="55"/>
    <n v="59"/>
    <n v="54"/>
  </r>
  <r>
    <x v="1"/>
    <s v="group C"/>
    <s v="master's degree"/>
    <s v="standard"/>
    <s v="none"/>
    <n v="79"/>
    <n v="78"/>
    <n v="77"/>
  </r>
  <r>
    <x v="0"/>
    <s v="group C"/>
    <s v="bachelor's degree"/>
    <s v="standard"/>
    <s v="none"/>
    <n v="86"/>
    <n v="92"/>
    <n v="87"/>
  </r>
  <r>
    <x v="1"/>
    <s v="group D"/>
    <s v="some college"/>
    <s v="standard"/>
    <s v="none"/>
    <n v="76"/>
    <n v="71"/>
    <n v="73"/>
  </r>
  <r>
    <x v="1"/>
    <s v="group A"/>
    <s v="some high school"/>
    <s v="standard"/>
    <s v="none"/>
    <n v="64"/>
    <n v="50"/>
    <n v="43"/>
  </r>
  <r>
    <x v="1"/>
    <s v="group D"/>
    <s v="some high school"/>
    <s v="free/reduced"/>
    <s v="none"/>
    <n v="62"/>
    <n v="49"/>
    <n v="52"/>
  </r>
  <r>
    <x v="0"/>
    <s v="group B"/>
    <s v="some high school"/>
    <s v="standard"/>
    <s v="completed"/>
    <n v="54"/>
    <n v="61"/>
    <n v="62"/>
  </r>
  <r>
    <x v="0"/>
    <s v="group B"/>
    <s v="master's degree"/>
    <s v="free/reduced"/>
    <s v="completed"/>
    <n v="77"/>
    <n v="97"/>
    <n v="94"/>
  </r>
  <r>
    <x v="0"/>
    <s v="group C"/>
    <s v="some high school"/>
    <s v="standard"/>
    <s v="completed"/>
    <n v="76"/>
    <n v="87"/>
    <n v="85"/>
  </r>
  <r>
    <x v="0"/>
    <s v="group D"/>
    <s v="some college"/>
    <s v="standard"/>
    <s v="none"/>
    <n v="74"/>
    <n v="89"/>
    <n v="84"/>
  </r>
  <r>
    <x v="0"/>
    <s v="group E"/>
    <s v="some college"/>
    <s v="standard"/>
    <s v="completed"/>
    <n v="66"/>
    <n v="74"/>
    <n v="73"/>
  </r>
  <r>
    <x v="0"/>
    <s v="group D"/>
    <s v="some high school"/>
    <s v="standard"/>
    <s v="completed"/>
    <n v="66"/>
    <n v="78"/>
    <n v="78"/>
  </r>
  <r>
    <x v="0"/>
    <s v="group B"/>
    <s v="high school"/>
    <s v="free/reduced"/>
    <s v="completed"/>
    <n v="67"/>
    <n v="78"/>
    <n v="79"/>
  </r>
  <r>
    <x v="1"/>
    <s v="group D"/>
    <s v="some college"/>
    <s v="standard"/>
    <s v="none"/>
    <n v="71"/>
    <n v="49"/>
    <n v="52"/>
  </r>
  <r>
    <x v="0"/>
    <s v="group C"/>
    <s v="associate's degree"/>
    <s v="standard"/>
    <s v="none"/>
    <n v="91"/>
    <n v="86"/>
    <n v="84"/>
  </r>
  <r>
    <x v="1"/>
    <s v="group D"/>
    <s v="bachelor's degree"/>
    <s v="standard"/>
    <s v="none"/>
    <n v="69"/>
    <n v="58"/>
    <n v="57"/>
  </r>
  <r>
    <x v="1"/>
    <s v="group C"/>
    <s v="master's degree"/>
    <s v="free/reduced"/>
    <s v="none"/>
    <n v="54"/>
    <n v="59"/>
    <n v="50"/>
  </r>
  <r>
    <x v="1"/>
    <s v="group C"/>
    <s v="high school"/>
    <s v="standard"/>
    <s v="completed"/>
    <n v="53"/>
    <n v="52"/>
    <n v="49"/>
  </r>
  <r>
    <x v="1"/>
    <s v="group E"/>
    <s v="some college"/>
    <s v="standard"/>
    <s v="none"/>
    <n v="68"/>
    <n v="60"/>
    <n v="59"/>
  </r>
  <r>
    <x v="1"/>
    <s v="group C"/>
    <s v="some high school"/>
    <s v="free/reduced"/>
    <s v="completed"/>
    <n v="56"/>
    <n v="61"/>
    <n v="60"/>
  </r>
  <r>
    <x v="0"/>
    <s v="group C"/>
    <s v="high school"/>
    <s v="free/reduced"/>
    <s v="none"/>
    <n v="36"/>
    <n v="53"/>
    <n v="43"/>
  </r>
  <r>
    <x v="0"/>
    <s v="group D"/>
    <s v="bachelor's degree"/>
    <s v="free/reduced"/>
    <s v="none"/>
    <n v="29"/>
    <n v="41"/>
    <n v="47"/>
  </r>
  <r>
    <x v="0"/>
    <s v="group C"/>
    <s v="associate's degree"/>
    <s v="standard"/>
    <s v="none"/>
    <n v="62"/>
    <n v="74"/>
    <n v="70"/>
  </r>
  <r>
    <x v="0"/>
    <s v="group C"/>
    <s v="associate's degree"/>
    <s v="standard"/>
    <s v="completed"/>
    <n v="68"/>
    <n v="67"/>
    <n v="73"/>
  </r>
  <r>
    <x v="0"/>
    <s v="group C"/>
    <s v="some high school"/>
    <s v="standard"/>
    <s v="none"/>
    <n v="47"/>
    <n v="54"/>
    <n v="53"/>
  </r>
  <r>
    <x v="1"/>
    <s v="group E"/>
    <s v="associate's degree"/>
    <s v="standard"/>
    <s v="completed"/>
    <n v="62"/>
    <n v="61"/>
    <n v="58"/>
  </r>
  <r>
    <x v="0"/>
    <s v="group E"/>
    <s v="associate's degree"/>
    <s v="standard"/>
    <s v="completed"/>
    <n v="79"/>
    <n v="88"/>
    <n v="94"/>
  </r>
  <r>
    <x v="1"/>
    <s v="group B"/>
    <s v="high school"/>
    <s v="standard"/>
    <s v="completed"/>
    <n v="73"/>
    <n v="69"/>
    <n v="68"/>
  </r>
  <r>
    <x v="0"/>
    <s v="group C"/>
    <s v="bachelor's degree"/>
    <s v="free/reduced"/>
    <s v="completed"/>
    <n v="66"/>
    <n v="83"/>
    <n v="83"/>
  </r>
  <r>
    <x v="1"/>
    <s v="group C"/>
    <s v="associate's degree"/>
    <s v="standard"/>
    <s v="completed"/>
    <n v="51"/>
    <n v="60"/>
    <n v="58"/>
  </r>
  <r>
    <x v="0"/>
    <s v="group D"/>
    <s v="high school"/>
    <s v="standard"/>
    <s v="none"/>
    <n v="51"/>
    <n v="66"/>
    <n v="62"/>
  </r>
  <r>
    <x v="1"/>
    <s v="group E"/>
    <s v="bachelor's degree"/>
    <s v="standard"/>
    <s v="completed"/>
    <n v="85"/>
    <n v="66"/>
    <n v="71"/>
  </r>
  <r>
    <x v="1"/>
    <s v="group A"/>
    <s v="associate's degree"/>
    <s v="standard"/>
    <s v="completed"/>
    <n v="97"/>
    <n v="92"/>
    <n v="86"/>
  </r>
  <r>
    <x v="1"/>
    <s v="group C"/>
    <s v="high school"/>
    <s v="standard"/>
    <s v="completed"/>
    <n v="75"/>
    <n v="69"/>
    <n v="68"/>
  </r>
  <r>
    <x v="1"/>
    <s v="group D"/>
    <s v="associate's degree"/>
    <s v="free/reduced"/>
    <s v="completed"/>
    <n v="79"/>
    <n v="82"/>
    <n v="80"/>
  </r>
  <r>
    <x v="0"/>
    <s v="group C"/>
    <s v="associate's degree"/>
    <s v="standard"/>
    <s v="none"/>
    <n v="81"/>
    <n v="77"/>
    <n v="79"/>
  </r>
  <r>
    <x v="0"/>
    <s v="group D"/>
    <s v="associate's degree"/>
    <s v="standard"/>
    <s v="none"/>
    <n v="82"/>
    <n v="95"/>
    <n v="89"/>
  </r>
  <r>
    <x v="0"/>
    <s v="group D"/>
    <s v="master's degree"/>
    <s v="standard"/>
    <s v="none"/>
    <n v="64"/>
    <n v="63"/>
    <n v="66"/>
  </r>
  <r>
    <x v="1"/>
    <s v="group E"/>
    <s v="some high school"/>
    <s v="free/reduced"/>
    <s v="completed"/>
    <n v="78"/>
    <n v="83"/>
    <n v="80"/>
  </r>
  <r>
    <x v="0"/>
    <s v="group A"/>
    <s v="some high school"/>
    <s v="standard"/>
    <s v="completed"/>
    <n v="92"/>
    <n v="100"/>
    <n v="97"/>
  </r>
  <r>
    <x v="1"/>
    <s v="group C"/>
    <s v="high school"/>
    <s v="standard"/>
    <s v="completed"/>
    <n v="72"/>
    <n v="67"/>
    <n v="64"/>
  </r>
  <r>
    <x v="0"/>
    <s v="group C"/>
    <s v="high school"/>
    <s v="free/reduced"/>
    <s v="none"/>
    <n v="62"/>
    <n v="67"/>
    <n v="64"/>
  </r>
  <r>
    <x v="1"/>
    <s v="group C"/>
    <s v="master's degree"/>
    <s v="standard"/>
    <s v="none"/>
    <n v="79"/>
    <n v="72"/>
    <n v="69"/>
  </r>
  <r>
    <x v="1"/>
    <s v="group C"/>
    <s v="some high school"/>
    <s v="free/reduced"/>
    <s v="none"/>
    <n v="79"/>
    <n v="76"/>
    <n v="65"/>
  </r>
  <r>
    <x v="1"/>
    <s v="group B"/>
    <s v="bachelor's degree"/>
    <s v="free/reduced"/>
    <s v="completed"/>
    <n v="87"/>
    <n v="90"/>
    <n v="88"/>
  </r>
  <r>
    <x v="0"/>
    <s v="group B"/>
    <s v="associate's degree"/>
    <s v="standard"/>
    <s v="none"/>
    <n v="40"/>
    <n v="48"/>
    <n v="50"/>
  </r>
  <r>
    <x v="1"/>
    <s v="group D"/>
    <s v="some college"/>
    <s v="free/reduced"/>
    <s v="none"/>
    <n v="77"/>
    <n v="62"/>
    <n v="64"/>
  </r>
  <r>
    <x v="1"/>
    <s v="group E"/>
    <s v="associate's degree"/>
    <s v="standard"/>
    <s v="none"/>
    <n v="53"/>
    <n v="45"/>
    <n v="40"/>
  </r>
  <r>
    <x v="0"/>
    <s v="group C"/>
    <s v="some college"/>
    <s v="free/reduced"/>
    <s v="none"/>
    <n v="32"/>
    <n v="39"/>
    <n v="33"/>
  </r>
  <r>
    <x v="0"/>
    <s v="group C"/>
    <s v="associate's degree"/>
    <s v="standard"/>
    <s v="completed"/>
    <n v="55"/>
    <n v="72"/>
    <n v="79"/>
  </r>
  <r>
    <x v="1"/>
    <s v="group C"/>
    <s v="master's degree"/>
    <s v="free/reduced"/>
    <s v="none"/>
    <n v="61"/>
    <n v="67"/>
    <n v="66"/>
  </r>
  <r>
    <x v="0"/>
    <s v="group B"/>
    <s v="associate's degree"/>
    <s v="free/reduced"/>
    <s v="none"/>
    <n v="53"/>
    <n v="70"/>
    <n v="70"/>
  </r>
  <r>
    <x v="1"/>
    <s v="group D"/>
    <s v="some high school"/>
    <s v="standard"/>
    <s v="none"/>
    <n v="73"/>
    <n v="66"/>
    <n v="62"/>
  </r>
  <r>
    <x v="0"/>
    <s v="group D"/>
    <s v="some college"/>
    <s v="standard"/>
    <s v="completed"/>
    <n v="74"/>
    <n v="75"/>
    <n v="79"/>
  </r>
  <r>
    <x v="0"/>
    <s v="group C"/>
    <s v="some college"/>
    <s v="standard"/>
    <s v="none"/>
    <n v="63"/>
    <n v="74"/>
    <n v="74"/>
  </r>
  <r>
    <x v="1"/>
    <s v="group C"/>
    <s v="bachelor's degree"/>
    <s v="standard"/>
    <s v="completed"/>
    <n v="96"/>
    <n v="90"/>
    <n v="92"/>
  </r>
  <r>
    <x v="0"/>
    <s v="group D"/>
    <s v="some college"/>
    <s v="free/reduced"/>
    <s v="completed"/>
    <n v="63"/>
    <n v="80"/>
    <n v="80"/>
  </r>
  <r>
    <x v="1"/>
    <s v="group B"/>
    <s v="bachelor's degree"/>
    <s v="free/reduced"/>
    <s v="none"/>
    <n v="48"/>
    <n v="51"/>
    <n v="46"/>
  </r>
  <r>
    <x v="1"/>
    <s v="group B"/>
    <s v="associate's degree"/>
    <s v="standard"/>
    <s v="none"/>
    <n v="48"/>
    <n v="43"/>
    <n v="45"/>
  </r>
  <r>
    <x v="0"/>
    <s v="group E"/>
    <s v="bachelor's degree"/>
    <s v="free/reduced"/>
    <s v="completed"/>
    <n v="92"/>
    <n v="100"/>
    <n v="100"/>
  </r>
  <r>
    <x v="0"/>
    <s v="group D"/>
    <s v="master's degree"/>
    <s v="free/reduced"/>
    <s v="completed"/>
    <n v="61"/>
    <n v="71"/>
    <n v="78"/>
  </r>
  <r>
    <x v="1"/>
    <s v="group B"/>
    <s v="high school"/>
    <s v="free/reduced"/>
    <s v="none"/>
    <n v="63"/>
    <n v="48"/>
    <n v="47"/>
  </r>
  <r>
    <x v="1"/>
    <s v="group D"/>
    <s v="bachelor's degree"/>
    <s v="free/reduced"/>
    <s v="none"/>
    <n v="68"/>
    <n v="68"/>
    <n v="67"/>
  </r>
  <r>
    <x v="1"/>
    <s v="group B"/>
    <s v="some college"/>
    <s v="standard"/>
    <s v="completed"/>
    <n v="71"/>
    <n v="75"/>
    <n v="70"/>
  </r>
  <r>
    <x v="1"/>
    <s v="group A"/>
    <s v="bachelor's degree"/>
    <s v="standard"/>
    <s v="none"/>
    <n v="91"/>
    <n v="96"/>
    <n v="92"/>
  </r>
  <r>
    <x v="0"/>
    <s v="group C"/>
    <s v="some college"/>
    <s v="standard"/>
    <s v="none"/>
    <n v="53"/>
    <n v="62"/>
    <n v="56"/>
  </r>
  <r>
    <x v="0"/>
    <s v="group C"/>
    <s v="high school"/>
    <s v="free/reduced"/>
    <s v="completed"/>
    <n v="50"/>
    <n v="66"/>
    <n v="64"/>
  </r>
  <r>
    <x v="0"/>
    <s v="group E"/>
    <s v="high school"/>
    <s v="standard"/>
    <s v="none"/>
    <n v="74"/>
    <n v="81"/>
    <n v="71"/>
  </r>
  <r>
    <x v="1"/>
    <s v="group A"/>
    <s v="associate's degree"/>
    <s v="free/reduced"/>
    <s v="completed"/>
    <n v="40"/>
    <n v="55"/>
    <n v="53"/>
  </r>
  <r>
    <x v="1"/>
    <s v="group A"/>
    <s v="some college"/>
    <s v="standard"/>
    <s v="completed"/>
    <n v="61"/>
    <n v="51"/>
    <n v="52"/>
  </r>
  <r>
    <x v="0"/>
    <s v="group B"/>
    <s v="high school"/>
    <s v="standard"/>
    <s v="none"/>
    <n v="81"/>
    <n v="91"/>
    <n v="89"/>
  </r>
  <r>
    <x v="0"/>
    <s v="group B"/>
    <s v="some college"/>
    <s v="free/reduced"/>
    <s v="completed"/>
    <n v="48"/>
    <n v="56"/>
    <n v="58"/>
  </r>
  <r>
    <x v="0"/>
    <s v="group D"/>
    <s v="master's degree"/>
    <s v="standard"/>
    <s v="none"/>
    <n v="53"/>
    <n v="61"/>
    <n v="68"/>
  </r>
  <r>
    <x v="0"/>
    <s v="group D"/>
    <s v="some high school"/>
    <s v="standard"/>
    <s v="none"/>
    <n v="81"/>
    <n v="97"/>
    <n v="96"/>
  </r>
  <r>
    <x v="0"/>
    <s v="group E"/>
    <s v="some high school"/>
    <s v="standard"/>
    <s v="none"/>
    <n v="77"/>
    <n v="79"/>
    <n v="80"/>
  </r>
  <r>
    <x v="0"/>
    <s v="group D"/>
    <s v="bachelor's degree"/>
    <s v="free/reduced"/>
    <s v="none"/>
    <n v="63"/>
    <n v="73"/>
    <n v="78"/>
  </r>
  <r>
    <x v="0"/>
    <s v="group D"/>
    <s v="associate's degree"/>
    <s v="standard"/>
    <s v="completed"/>
    <n v="73"/>
    <n v="75"/>
    <n v="80"/>
  </r>
  <r>
    <x v="0"/>
    <s v="group D"/>
    <s v="some college"/>
    <s v="standard"/>
    <s v="none"/>
    <n v="69"/>
    <n v="77"/>
    <n v="77"/>
  </r>
  <r>
    <x v="0"/>
    <s v="group C"/>
    <s v="associate's degree"/>
    <s v="standard"/>
    <s v="none"/>
    <n v="65"/>
    <n v="76"/>
    <n v="76"/>
  </r>
  <r>
    <x v="0"/>
    <s v="group A"/>
    <s v="high school"/>
    <s v="standard"/>
    <s v="none"/>
    <n v="55"/>
    <n v="73"/>
    <n v="73"/>
  </r>
  <r>
    <x v="0"/>
    <s v="group C"/>
    <s v="bachelor's degree"/>
    <s v="free/reduced"/>
    <s v="none"/>
    <n v="44"/>
    <n v="63"/>
    <n v="62"/>
  </r>
  <r>
    <x v="0"/>
    <s v="group C"/>
    <s v="some college"/>
    <s v="standard"/>
    <s v="none"/>
    <n v="54"/>
    <n v="64"/>
    <n v="65"/>
  </r>
  <r>
    <x v="0"/>
    <s v="group A"/>
    <s v="some high school"/>
    <s v="standard"/>
    <s v="none"/>
    <n v="48"/>
    <n v="66"/>
    <n v="65"/>
  </r>
  <r>
    <x v="1"/>
    <s v="group C"/>
    <s v="some college"/>
    <s v="free/reduced"/>
    <s v="none"/>
    <n v="58"/>
    <n v="57"/>
    <n v="54"/>
  </r>
  <r>
    <x v="1"/>
    <s v="group A"/>
    <s v="some high school"/>
    <s v="standard"/>
    <s v="none"/>
    <n v="71"/>
    <n v="62"/>
    <n v="50"/>
  </r>
  <r>
    <x v="1"/>
    <s v="group E"/>
    <s v="bachelor's degree"/>
    <s v="standard"/>
    <s v="none"/>
    <n v="68"/>
    <n v="68"/>
    <n v="64"/>
  </r>
  <r>
    <x v="0"/>
    <s v="group E"/>
    <s v="high school"/>
    <s v="standard"/>
    <s v="none"/>
    <n v="74"/>
    <n v="76"/>
    <n v="73"/>
  </r>
  <r>
    <x v="0"/>
    <s v="group C"/>
    <s v="bachelor's degree"/>
    <s v="standard"/>
    <s v="completed"/>
    <n v="92"/>
    <n v="100"/>
    <n v="99"/>
  </r>
  <r>
    <x v="0"/>
    <s v="group C"/>
    <s v="bachelor's degree"/>
    <s v="standard"/>
    <s v="completed"/>
    <n v="56"/>
    <n v="79"/>
    <n v="72"/>
  </r>
  <r>
    <x v="1"/>
    <s v="group B"/>
    <s v="high school"/>
    <s v="free/reduced"/>
    <s v="none"/>
    <n v="30"/>
    <n v="24"/>
    <n v="15"/>
  </r>
  <r>
    <x v="1"/>
    <s v="group A"/>
    <s v="some high school"/>
    <s v="standard"/>
    <s v="none"/>
    <n v="53"/>
    <n v="54"/>
    <n v="48"/>
  </r>
  <r>
    <x v="0"/>
    <s v="group D"/>
    <s v="high school"/>
    <s v="standard"/>
    <s v="none"/>
    <n v="69"/>
    <n v="77"/>
    <n v="73"/>
  </r>
  <r>
    <x v="0"/>
    <s v="group D"/>
    <s v="some high school"/>
    <s v="standard"/>
    <s v="none"/>
    <n v="65"/>
    <n v="82"/>
    <n v="81"/>
  </r>
  <r>
    <x v="0"/>
    <s v="group D"/>
    <s v="master's degree"/>
    <s v="standard"/>
    <s v="none"/>
    <n v="54"/>
    <n v="60"/>
    <n v="63"/>
  </r>
  <r>
    <x v="0"/>
    <s v="group C"/>
    <s v="high school"/>
    <s v="standard"/>
    <s v="none"/>
    <n v="29"/>
    <n v="29"/>
    <n v="30"/>
  </r>
  <r>
    <x v="0"/>
    <s v="group E"/>
    <s v="some college"/>
    <s v="standard"/>
    <s v="none"/>
    <n v="76"/>
    <n v="78"/>
    <n v="80"/>
  </r>
  <r>
    <x v="1"/>
    <s v="group D"/>
    <s v="high school"/>
    <s v="free/reduced"/>
    <s v="none"/>
    <n v="60"/>
    <n v="57"/>
    <n v="51"/>
  </r>
  <r>
    <x v="1"/>
    <s v="group D"/>
    <s v="master's degree"/>
    <s v="free/reduced"/>
    <s v="completed"/>
    <n v="84"/>
    <n v="89"/>
    <n v="90"/>
  </r>
  <r>
    <x v="1"/>
    <s v="group C"/>
    <s v="some high school"/>
    <s v="standard"/>
    <s v="none"/>
    <n v="75"/>
    <n v="72"/>
    <n v="62"/>
  </r>
  <r>
    <x v="0"/>
    <s v="group C"/>
    <s v="associate's degree"/>
    <s v="standard"/>
    <s v="none"/>
    <n v="85"/>
    <n v="84"/>
    <n v="82"/>
  </r>
  <r>
    <x v="0"/>
    <s v="group C"/>
    <s v="master's degree"/>
    <s v="free/reduced"/>
    <s v="none"/>
    <n v="40"/>
    <n v="58"/>
    <n v="54"/>
  </r>
  <r>
    <x v="0"/>
    <s v="group E"/>
    <s v="some college"/>
    <s v="standard"/>
    <s v="none"/>
    <n v="61"/>
    <n v="64"/>
    <n v="62"/>
  </r>
  <r>
    <x v="0"/>
    <s v="group B"/>
    <s v="associate's degree"/>
    <s v="standard"/>
    <s v="none"/>
    <n v="58"/>
    <n v="63"/>
    <n v="65"/>
  </r>
  <r>
    <x v="1"/>
    <s v="group D"/>
    <s v="some college"/>
    <s v="free/reduced"/>
    <s v="completed"/>
    <n v="69"/>
    <n v="60"/>
    <n v="63"/>
  </r>
  <r>
    <x v="0"/>
    <s v="group C"/>
    <s v="some college"/>
    <s v="standard"/>
    <s v="none"/>
    <n v="58"/>
    <n v="59"/>
    <n v="66"/>
  </r>
  <r>
    <x v="1"/>
    <s v="group C"/>
    <s v="bachelor's degree"/>
    <s v="standard"/>
    <s v="completed"/>
    <n v="94"/>
    <n v="90"/>
    <n v="91"/>
  </r>
  <r>
    <x v="0"/>
    <s v="group C"/>
    <s v="associate's degree"/>
    <s v="standard"/>
    <s v="none"/>
    <n v="65"/>
    <n v="77"/>
    <n v="74"/>
  </r>
  <r>
    <x v="0"/>
    <s v="group A"/>
    <s v="associate's degree"/>
    <s v="standard"/>
    <s v="none"/>
    <n v="82"/>
    <n v="93"/>
    <n v="93"/>
  </r>
  <r>
    <x v="0"/>
    <s v="group C"/>
    <s v="high school"/>
    <s v="standard"/>
    <s v="none"/>
    <n v="60"/>
    <n v="68"/>
    <n v="72"/>
  </r>
  <r>
    <x v="0"/>
    <s v="group E"/>
    <s v="bachelor's degree"/>
    <s v="standard"/>
    <s v="none"/>
    <n v="37"/>
    <n v="45"/>
    <n v="38"/>
  </r>
  <r>
    <x v="1"/>
    <s v="group D"/>
    <s v="bachelor's degree"/>
    <s v="standard"/>
    <s v="none"/>
    <n v="88"/>
    <n v="78"/>
    <n v="83"/>
  </r>
  <r>
    <x v="1"/>
    <s v="group D"/>
    <s v="master's degree"/>
    <s v="standard"/>
    <s v="none"/>
    <n v="95"/>
    <n v="81"/>
    <n v="84"/>
  </r>
  <r>
    <x v="1"/>
    <s v="group C"/>
    <s v="associate's degree"/>
    <s v="free/reduced"/>
    <s v="completed"/>
    <n v="65"/>
    <n v="73"/>
    <n v="68"/>
  </r>
  <r>
    <x v="0"/>
    <s v="group C"/>
    <s v="high school"/>
    <s v="free/reduced"/>
    <s v="none"/>
    <n v="35"/>
    <n v="61"/>
    <n v="54"/>
  </r>
  <r>
    <x v="1"/>
    <s v="group B"/>
    <s v="bachelor's degree"/>
    <s v="free/reduced"/>
    <s v="none"/>
    <n v="62"/>
    <n v="63"/>
    <n v="56"/>
  </r>
  <r>
    <x v="1"/>
    <s v="group C"/>
    <s v="high school"/>
    <s v="free/reduced"/>
    <s v="completed"/>
    <n v="58"/>
    <n v="51"/>
    <n v="52"/>
  </r>
  <r>
    <x v="1"/>
    <s v="group A"/>
    <s v="some college"/>
    <s v="standard"/>
    <s v="completed"/>
    <n v="100"/>
    <n v="96"/>
    <n v="86"/>
  </r>
  <r>
    <x v="0"/>
    <s v="group E"/>
    <s v="bachelor's degree"/>
    <s v="free/reduced"/>
    <s v="none"/>
    <n v="61"/>
    <n v="58"/>
    <n v="62"/>
  </r>
  <r>
    <x v="1"/>
    <s v="group D"/>
    <s v="some college"/>
    <s v="standard"/>
    <s v="completed"/>
    <n v="100"/>
    <n v="97"/>
    <n v="99"/>
  </r>
  <r>
    <x v="1"/>
    <s v="group B"/>
    <s v="associate's degree"/>
    <s v="free/reduced"/>
    <s v="completed"/>
    <n v="69"/>
    <n v="70"/>
    <n v="63"/>
  </r>
  <r>
    <x v="1"/>
    <s v="group D"/>
    <s v="associate's degree"/>
    <s v="standard"/>
    <s v="none"/>
    <n v="61"/>
    <n v="48"/>
    <n v="46"/>
  </r>
  <r>
    <x v="1"/>
    <s v="group D"/>
    <s v="some college"/>
    <s v="free/reduced"/>
    <s v="none"/>
    <n v="49"/>
    <n v="57"/>
    <n v="46"/>
  </r>
  <r>
    <x v="0"/>
    <s v="group C"/>
    <s v="some high school"/>
    <s v="standard"/>
    <s v="completed"/>
    <n v="44"/>
    <n v="51"/>
    <n v="55"/>
  </r>
  <r>
    <x v="1"/>
    <s v="group D"/>
    <s v="some college"/>
    <s v="standard"/>
    <s v="none"/>
    <n v="67"/>
    <n v="64"/>
    <n v="70"/>
  </r>
  <r>
    <x v="1"/>
    <s v="group B"/>
    <s v="high school"/>
    <s v="standard"/>
    <s v="none"/>
    <n v="79"/>
    <n v="60"/>
    <n v="65"/>
  </r>
  <r>
    <x v="0"/>
    <s v="group B"/>
    <s v="bachelor's degree"/>
    <s v="standard"/>
    <s v="completed"/>
    <n v="66"/>
    <n v="74"/>
    <n v="81"/>
  </r>
  <r>
    <x v="0"/>
    <s v="group C"/>
    <s v="high school"/>
    <s v="standard"/>
    <s v="none"/>
    <n v="75"/>
    <n v="88"/>
    <n v="85"/>
  </r>
  <r>
    <x v="1"/>
    <s v="group D"/>
    <s v="some high school"/>
    <s v="standard"/>
    <s v="none"/>
    <n v="84"/>
    <n v="84"/>
    <n v="80"/>
  </r>
  <r>
    <x v="1"/>
    <s v="group A"/>
    <s v="high school"/>
    <s v="standard"/>
    <s v="none"/>
    <n v="71"/>
    <n v="74"/>
    <n v="64"/>
  </r>
  <r>
    <x v="0"/>
    <s v="group B"/>
    <s v="high school"/>
    <s v="free/reduced"/>
    <s v="completed"/>
    <n v="67"/>
    <n v="80"/>
    <n v="81"/>
  </r>
  <r>
    <x v="0"/>
    <s v="group D"/>
    <s v="some high school"/>
    <s v="standard"/>
    <s v="completed"/>
    <n v="80"/>
    <n v="92"/>
    <n v="88"/>
  </r>
  <r>
    <x v="1"/>
    <s v="group E"/>
    <s v="some college"/>
    <s v="standard"/>
    <s v="none"/>
    <n v="86"/>
    <n v="76"/>
    <n v="74"/>
  </r>
  <r>
    <x v="0"/>
    <s v="group D"/>
    <s v="associate's degree"/>
    <s v="standard"/>
    <s v="none"/>
    <n v="76"/>
    <n v="74"/>
    <n v="73"/>
  </r>
  <r>
    <x v="1"/>
    <s v="group D"/>
    <s v="high school"/>
    <s v="standard"/>
    <s v="none"/>
    <n v="41"/>
    <n v="52"/>
    <n v="51"/>
  </r>
  <r>
    <x v="0"/>
    <s v="group D"/>
    <s v="associate's degree"/>
    <s v="free/reduced"/>
    <s v="completed"/>
    <n v="74"/>
    <n v="88"/>
    <n v="90"/>
  </r>
  <r>
    <x v="0"/>
    <s v="group B"/>
    <s v="some high school"/>
    <s v="free/reduced"/>
    <s v="none"/>
    <n v="72"/>
    <n v="81"/>
    <n v="79"/>
  </r>
  <r>
    <x v="0"/>
    <s v="group E"/>
    <s v="high school"/>
    <s v="standard"/>
    <s v="completed"/>
    <n v="74"/>
    <n v="79"/>
    <n v="80"/>
  </r>
  <r>
    <x v="1"/>
    <s v="group B"/>
    <s v="high school"/>
    <s v="standard"/>
    <s v="none"/>
    <n v="70"/>
    <n v="65"/>
    <n v="60"/>
  </r>
  <r>
    <x v="0"/>
    <s v="group B"/>
    <s v="bachelor's degree"/>
    <s v="standard"/>
    <s v="completed"/>
    <n v="65"/>
    <n v="81"/>
    <n v="81"/>
  </r>
  <r>
    <x v="0"/>
    <s v="group D"/>
    <s v="associate's degree"/>
    <s v="standard"/>
    <s v="none"/>
    <n v="59"/>
    <n v="70"/>
    <n v="65"/>
  </r>
  <r>
    <x v="0"/>
    <s v="group E"/>
    <s v="high school"/>
    <s v="free/reduced"/>
    <s v="none"/>
    <n v="64"/>
    <n v="62"/>
    <n v="68"/>
  </r>
  <r>
    <x v="0"/>
    <s v="group B"/>
    <s v="high school"/>
    <s v="standard"/>
    <s v="none"/>
    <n v="50"/>
    <n v="53"/>
    <n v="55"/>
  </r>
  <r>
    <x v="0"/>
    <s v="group D"/>
    <s v="some college"/>
    <s v="standard"/>
    <s v="completed"/>
    <n v="69"/>
    <n v="79"/>
    <n v="81"/>
  </r>
  <r>
    <x v="1"/>
    <s v="group C"/>
    <s v="some high school"/>
    <s v="free/reduced"/>
    <s v="completed"/>
    <n v="51"/>
    <n v="56"/>
    <n v="53"/>
  </r>
  <r>
    <x v="0"/>
    <s v="group A"/>
    <s v="high school"/>
    <s v="standard"/>
    <s v="completed"/>
    <n v="68"/>
    <n v="80"/>
    <n v="76"/>
  </r>
  <r>
    <x v="0"/>
    <s v="group D"/>
    <s v="some college"/>
    <s v="standard"/>
    <s v="completed"/>
    <n v="85"/>
    <n v="86"/>
    <n v="98"/>
  </r>
  <r>
    <x v="0"/>
    <s v="group A"/>
    <s v="associate's degree"/>
    <s v="standard"/>
    <s v="completed"/>
    <n v="65"/>
    <n v="70"/>
    <n v="74"/>
  </r>
  <r>
    <x v="0"/>
    <s v="group B"/>
    <s v="some high school"/>
    <s v="standard"/>
    <s v="none"/>
    <n v="73"/>
    <n v="79"/>
    <n v="79"/>
  </r>
  <r>
    <x v="0"/>
    <s v="group B"/>
    <s v="some college"/>
    <s v="standard"/>
    <s v="none"/>
    <n v="62"/>
    <n v="67"/>
    <n v="67"/>
  </r>
  <r>
    <x v="1"/>
    <s v="group C"/>
    <s v="associate's degree"/>
    <s v="free/reduced"/>
    <s v="none"/>
    <n v="77"/>
    <n v="67"/>
    <n v="64"/>
  </r>
  <r>
    <x v="1"/>
    <s v="group D"/>
    <s v="some high school"/>
    <s v="standard"/>
    <s v="none"/>
    <n v="69"/>
    <n v="66"/>
    <n v="61"/>
  </r>
  <r>
    <x v="0"/>
    <s v="group D"/>
    <s v="associate's degree"/>
    <s v="free/reduced"/>
    <s v="none"/>
    <n v="43"/>
    <n v="60"/>
    <n v="58"/>
  </r>
  <r>
    <x v="1"/>
    <s v="group D"/>
    <s v="associate's degree"/>
    <s v="standard"/>
    <s v="none"/>
    <n v="90"/>
    <n v="87"/>
    <n v="85"/>
  </r>
  <r>
    <x v="1"/>
    <s v="group C"/>
    <s v="some college"/>
    <s v="free/reduced"/>
    <s v="none"/>
    <n v="74"/>
    <n v="77"/>
    <n v="73"/>
  </r>
  <r>
    <x v="1"/>
    <s v="group C"/>
    <s v="some high school"/>
    <s v="standard"/>
    <s v="none"/>
    <n v="73"/>
    <n v="66"/>
    <n v="63"/>
  </r>
  <r>
    <x v="0"/>
    <s v="group D"/>
    <s v="some college"/>
    <s v="free/reduced"/>
    <s v="none"/>
    <n v="55"/>
    <n v="71"/>
    <n v="69"/>
  </r>
  <r>
    <x v="0"/>
    <s v="group C"/>
    <s v="high school"/>
    <s v="standard"/>
    <s v="none"/>
    <n v="65"/>
    <n v="69"/>
    <n v="67"/>
  </r>
  <r>
    <x v="1"/>
    <s v="group D"/>
    <s v="associate's degree"/>
    <s v="standard"/>
    <s v="none"/>
    <n v="80"/>
    <n v="63"/>
    <n v="63"/>
  </r>
  <r>
    <x v="0"/>
    <s v="group C"/>
    <s v="some high school"/>
    <s v="free/reduced"/>
    <s v="completed"/>
    <n v="50"/>
    <n v="60"/>
    <n v="60"/>
  </r>
  <r>
    <x v="0"/>
    <s v="group C"/>
    <s v="some college"/>
    <s v="free/reduced"/>
    <s v="completed"/>
    <n v="63"/>
    <n v="73"/>
    <n v="71"/>
  </r>
  <r>
    <x v="0"/>
    <s v="group B"/>
    <s v="bachelor's degree"/>
    <s v="free/reduced"/>
    <s v="none"/>
    <n v="77"/>
    <n v="85"/>
    <n v="87"/>
  </r>
  <r>
    <x v="1"/>
    <s v="group C"/>
    <s v="some college"/>
    <s v="standard"/>
    <s v="none"/>
    <n v="73"/>
    <n v="74"/>
    <n v="61"/>
  </r>
  <r>
    <x v="1"/>
    <s v="group D"/>
    <s v="associate's degree"/>
    <s v="standard"/>
    <s v="completed"/>
    <n v="81"/>
    <n v="72"/>
    <n v="77"/>
  </r>
  <r>
    <x v="0"/>
    <s v="group C"/>
    <s v="high school"/>
    <s v="free/reduced"/>
    <s v="none"/>
    <n v="66"/>
    <n v="76"/>
    <n v="68"/>
  </r>
  <r>
    <x v="1"/>
    <s v="group D"/>
    <s v="associate's degree"/>
    <s v="free/reduced"/>
    <s v="none"/>
    <n v="52"/>
    <n v="57"/>
    <n v="50"/>
  </r>
  <r>
    <x v="0"/>
    <s v="group C"/>
    <s v="some college"/>
    <s v="standard"/>
    <s v="none"/>
    <n v="69"/>
    <n v="78"/>
    <n v="76"/>
  </r>
  <r>
    <x v="0"/>
    <s v="group C"/>
    <s v="associate's degree"/>
    <s v="standard"/>
    <s v="completed"/>
    <n v="65"/>
    <n v="84"/>
    <n v="84"/>
  </r>
  <r>
    <x v="0"/>
    <s v="group D"/>
    <s v="high school"/>
    <s v="standard"/>
    <s v="completed"/>
    <n v="69"/>
    <n v="77"/>
    <n v="78"/>
  </r>
  <r>
    <x v="0"/>
    <s v="group B"/>
    <s v="some college"/>
    <s v="standard"/>
    <s v="completed"/>
    <n v="50"/>
    <n v="64"/>
    <n v="66"/>
  </r>
  <r>
    <x v="0"/>
    <s v="group E"/>
    <s v="some college"/>
    <s v="standard"/>
    <s v="completed"/>
    <n v="73"/>
    <n v="78"/>
    <n v="76"/>
  </r>
  <r>
    <x v="0"/>
    <s v="group C"/>
    <s v="some high school"/>
    <s v="standard"/>
    <s v="completed"/>
    <n v="70"/>
    <n v="82"/>
    <n v="76"/>
  </r>
  <r>
    <x v="1"/>
    <s v="group D"/>
    <s v="associate's degree"/>
    <s v="free/reduced"/>
    <s v="none"/>
    <n v="81"/>
    <n v="75"/>
    <n v="78"/>
  </r>
  <r>
    <x v="1"/>
    <s v="group D"/>
    <s v="some college"/>
    <s v="free/reduced"/>
    <s v="none"/>
    <n v="63"/>
    <n v="61"/>
    <n v="60"/>
  </r>
  <r>
    <x v="0"/>
    <s v="group D"/>
    <s v="high school"/>
    <s v="standard"/>
    <s v="none"/>
    <n v="67"/>
    <n v="72"/>
    <n v="74"/>
  </r>
  <r>
    <x v="1"/>
    <s v="group B"/>
    <s v="high school"/>
    <s v="standard"/>
    <s v="none"/>
    <n v="60"/>
    <n v="68"/>
    <n v="60"/>
  </r>
  <r>
    <x v="1"/>
    <s v="group B"/>
    <s v="high school"/>
    <s v="standard"/>
    <s v="none"/>
    <n v="62"/>
    <n v="55"/>
    <n v="54"/>
  </r>
  <r>
    <x v="0"/>
    <s v="group C"/>
    <s v="some high school"/>
    <s v="free/reduced"/>
    <s v="completed"/>
    <n v="29"/>
    <n v="40"/>
    <n v="44"/>
  </r>
  <r>
    <x v="1"/>
    <s v="group B"/>
    <s v="some college"/>
    <s v="standard"/>
    <s v="completed"/>
    <n v="62"/>
    <n v="66"/>
    <n v="68"/>
  </r>
  <r>
    <x v="0"/>
    <s v="group E"/>
    <s v="master's degree"/>
    <s v="standard"/>
    <s v="completed"/>
    <n v="94"/>
    <n v="99"/>
    <n v="100"/>
  </r>
  <r>
    <x v="1"/>
    <s v="group E"/>
    <s v="some college"/>
    <s v="standard"/>
    <s v="completed"/>
    <n v="85"/>
    <n v="75"/>
    <n v="68"/>
  </r>
  <r>
    <x v="1"/>
    <s v="group D"/>
    <s v="associate's degree"/>
    <s v="free/reduced"/>
    <s v="none"/>
    <n v="77"/>
    <n v="78"/>
    <n v="73"/>
  </r>
  <r>
    <x v="1"/>
    <s v="group A"/>
    <s v="high school"/>
    <s v="free/reduced"/>
    <s v="none"/>
    <n v="53"/>
    <n v="58"/>
    <n v="44"/>
  </r>
  <r>
    <x v="1"/>
    <s v="group E"/>
    <s v="some college"/>
    <s v="free/reduced"/>
    <s v="none"/>
    <n v="93"/>
    <n v="90"/>
    <n v="83"/>
  </r>
  <r>
    <x v="0"/>
    <s v="group C"/>
    <s v="associate's degree"/>
    <s v="standard"/>
    <s v="none"/>
    <n v="49"/>
    <n v="53"/>
    <n v="53"/>
  </r>
  <r>
    <x v="0"/>
    <s v="group E"/>
    <s v="associate's degree"/>
    <s v="free/reduced"/>
    <s v="none"/>
    <n v="73"/>
    <n v="76"/>
    <n v="78"/>
  </r>
  <r>
    <x v="0"/>
    <s v="group C"/>
    <s v="bachelor's degree"/>
    <s v="free/reduced"/>
    <s v="completed"/>
    <n v="66"/>
    <n v="74"/>
    <n v="81"/>
  </r>
  <r>
    <x v="0"/>
    <s v="group D"/>
    <s v="associate's degree"/>
    <s v="standard"/>
    <s v="none"/>
    <n v="77"/>
    <n v="77"/>
    <n v="73"/>
  </r>
  <r>
    <x v="0"/>
    <s v="group C"/>
    <s v="some high school"/>
    <s v="standard"/>
    <s v="none"/>
    <n v="49"/>
    <n v="63"/>
    <n v="56"/>
  </r>
  <r>
    <x v="0"/>
    <s v="group D"/>
    <s v="some college"/>
    <s v="free/reduced"/>
    <s v="none"/>
    <n v="79"/>
    <n v="89"/>
    <n v="86"/>
  </r>
  <r>
    <x v="0"/>
    <s v="group C"/>
    <s v="associate's degree"/>
    <s v="standard"/>
    <s v="completed"/>
    <n v="75"/>
    <n v="82"/>
    <n v="90"/>
  </r>
  <r>
    <x v="0"/>
    <s v="group A"/>
    <s v="bachelor's degree"/>
    <s v="standard"/>
    <s v="none"/>
    <n v="59"/>
    <n v="72"/>
    <n v="70"/>
  </r>
  <r>
    <x v="0"/>
    <s v="group D"/>
    <s v="associate's degree"/>
    <s v="standard"/>
    <s v="completed"/>
    <n v="57"/>
    <n v="78"/>
    <n v="79"/>
  </r>
  <r>
    <x v="1"/>
    <s v="group C"/>
    <s v="high school"/>
    <s v="free/reduced"/>
    <s v="none"/>
    <n v="66"/>
    <n v="66"/>
    <n v="59"/>
  </r>
  <r>
    <x v="0"/>
    <s v="group E"/>
    <s v="bachelor's degree"/>
    <s v="standard"/>
    <s v="completed"/>
    <n v="79"/>
    <n v="81"/>
    <n v="82"/>
  </r>
  <r>
    <x v="0"/>
    <s v="group B"/>
    <s v="some high school"/>
    <s v="standard"/>
    <s v="none"/>
    <n v="57"/>
    <n v="67"/>
    <n v="72"/>
  </r>
  <r>
    <x v="1"/>
    <s v="group A"/>
    <s v="bachelor's degree"/>
    <s v="standard"/>
    <s v="completed"/>
    <n v="87"/>
    <n v="84"/>
    <n v="87"/>
  </r>
  <r>
    <x v="0"/>
    <s v="group D"/>
    <s v="some college"/>
    <s v="standard"/>
    <s v="none"/>
    <n v="63"/>
    <n v="64"/>
    <n v="67"/>
  </r>
  <r>
    <x v="0"/>
    <s v="group B"/>
    <s v="some high school"/>
    <s v="free/reduced"/>
    <s v="completed"/>
    <n v="59"/>
    <n v="63"/>
    <n v="64"/>
  </r>
  <r>
    <x v="1"/>
    <s v="group A"/>
    <s v="bachelor's degree"/>
    <s v="free/reduced"/>
    <s v="none"/>
    <n v="62"/>
    <n v="72"/>
    <n v="65"/>
  </r>
  <r>
    <x v="1"/>
    <s v="group D"/>
    <s v="high school"/>
    <s v="standard"/>
    <s v="none"/>
    <n v="46"/>
    <n v="34"/>
    <n v="36"/>
  </r>
  <r>
    <x v="1"/>
    <s v="group C"/>
    <s v="some college"/>
    <s v="standard"/>
    <s v="none"/>
    <n v="66"/>
    <n v="59"/>
    <n v="52"/>
  </r>
  <r>
    <x v="1"/>
    <s v="group D"/>
    <s v="high school"/>
    <s v="standard"/>
    <s v="none"/>
    <n v="89"/>
    <n v="87"/>
    <n v="79"/>
  </r>
  <r>
    <x v="0"/>
    <s v="group D"/>
    <s v="associate's degree"/>
    <s v="free/reduced"/>
    <s v="completed"/>
    <n v="42"/>
    <n v="61"/>
    <n v="58"/>
  </r>
  <r>
    <x v="1"/>
    <s v="group C"/>
    <s v="some college"/>
    <s v="standard"/>
    <s v="completed"/>
    <n v="93"/>
    <n v="84"/>
    <n v="90"/>
  </r>
  <r>
    <x v="0"/>
    <s v="group E"/>
    <s v="some high school"/>
    <s v="standard"/>
    <s v="completed"/>
    <n v="80"/>
    <n v="85"/>
    <n v="85"/>
  </r>
  <r>
    <x v="0"/>
    <s v="group D"/>
    <s v="some college"/>
    <s v="standard"/>
    <s v="none"/>
    <n v="98"/>
    <n v="100"/>
    <n v="99"/>
  </r>
  <r>
    <x v="1"/>
    <s v="group D"/>
    <s v="master's degree"/>
    <s v="standard"/>
    <s v="none"/>
    <n v="81"/>
    <n v="81"/>
    <n v="84"/>
  </r>
  <r>
    <x v="0"/>
    <s v="group B"/>
    <s v="some high school"/>
    <s v="standard"/>
    <s v="completed"/>
    <n v="60"/>
    <n v="70"/>
    <n v="74"/>
  </r>
  <r>
    <x v="0"/>
    <s v="group B"/>
    <s v="associate's degree"/>
    <s v="free/reduced"/>
    <s v="completed"/>
    <n v="76"/>
    <n v="94"/>
    <n v="87"/>
  </r>
  <r>
    <x v="1"/>
    <s v="group C"/>
    <s v="associate's degree"/>
    <s v="standard"/>
    <s v="completed"/>
    <n v="73"/>
    <n v="78"/>
    <n v="72"/>
  </r>
  <r>
    <x v="0"/>
    <s v="group C"/>
    <s v="associate's degree"/>
    <s v="standard"/>
    <s v="completed"/>
    <n v="96"/>
    <n v="96"/>
    <n v="99"/>
  </r>
  <r>
    <x v="0"/>
    <s v="group C"/>
    <s v="high school"/>
    <s v="standard"/>
    <s v="none"/>
    <n v="76"/>
    <n v="76"/>
    <n v="74"/>
  </r>
  <r>
    <x v="1"/>
    <s v="group E"/>
    <s v="associate's degree"/>
    <s v="free/reduced"/>
    <s v="completed"/>
    <n v="91"/>
    <n v="73"/>
    <n v="80"/>
  </r>
  <r>
    <x v="0"/>
    <s v="group C"/>
    <s v="some college"/>
    <s v="free/reduced"/>
    <s v="none"/>
    <n v="62"/>
    <n v="72"/>
    <n v="70"/>
  </r>
  <r>
    <x v="1"/>
    <s v="group D"/>
    <s v="some high school"/>
    <s v="free/reduced"/>
    <s v="completed"/>
    <n v="55"/>
    <n v="59"/>
    <n v="59"/>
  </r>
  <r>
    <x v="0"/>
    <s v="group B"/>
    <s v="some high school"/>
    <s v="free/reduced"/>
    <s v="completed"/>
    <n v="74"/>
    <n v="90"/>
    <n v="88"/>
  </r>
  <r>
    <x v="1"/>
    <s v="group C"/>
    <s v="high school"/>
    <s v="standard"/>
    <s v="none"/>
    <n v="50"/>
    <n v="48"/>
    <n v="42"/>
  </r>
  <r>
    <x v="1"/>
    <s v="group B"/>
    <s v="some college"/>
    <s v="standard"/>
    <s v="none"/>
    <n v="47"/>
    <n v="43"/>
    <n v="41"/>
  </r>
  <r>
    <x v="1"/>
    <s v="group E"/>
    <s v="some college"/>
    <s v="standard"/>
    <s v="completed"/>
    <n v="81"/>
    <n v="74"/>
    <n v="71"/>
  </r>
  <r>
    <x v="0"/>
    <s v="group E"/>
    <s v="associate's degree"/>
    <s v="standard"/>
    <s v="completed"/>
    <n v="65"/>
    <n v="75"/>
    <n v="77"/>
  </r>
  <r>
    <x v="1"/>
    <s v="group E"/>
    <s v="some high school"/>
    <s v="standard"/>
    <s v="completed"/>
    <n v="68"/>
    <n v="51"/>
    <n v="57"/>
  </r>
  <r>
    <x v="0"/>
    <s v="group D"/>
    <s v="high school"/>
    <s v="free/reduced"/>
    <s v="none"/>
    <n v="73"/>
    <n v="92"/>
    <n v="84"/>
  </r>
  <r>
    <x v="1"/>
    <s v="group C"/>
    <s v="some college"/>
    <s v="standard"/>
    <s v="none"/>
    <n v="53"/>
    <n v="39"/>
    <n v="37"/>
  </r>
  <r>
    <x v="0"/>
    <s v="group B"/>
    <s v="associate's degree"/>
    <s v="free/reduced"/>
    <s v="completed"/>
    <n v="68"/>
    <n v="77"/>
    <n v="80"/>
  </r>
  <r>
    <x v="1"/>
    <s v="group A"/>
    <s v="some high school"/>
    <s v="free/reduced"/>
    <s v="none"/>
    <n v="55"/>
    <n v="46"/>
    <n v="43"/>
  </r>
  <r>
    <x v="0"/>
    <s v="group C"/>
    <s v="some college"/>
    <s v="standard"/>
    <s v="completed"/>
    <n v="87"/>
    <n v="89"/>
    <n v="94"/>
  </r>
  <r>
    <x v="1"/>
    <s v="group D"/>
    <s v="some high school"/>
    <s v="standard"/>
    <s v="none"/>
    <n v="55"/>
    <n v="47"/>
    <n v="44"/>
  </r>
  <r>
    <x v="0"/>
    <s v="group E"/>
    <s v="some college"/>
    <s v="free/reduced"/>
    <s v="none"/>
    <n v="53"/>
    <n v="58"/>
    <n v="57"/>
  </r>
  <r>
    <x v="1"/>
    <s v="group C"/>
    <s v="master's degree"/>
    <s v="standard"/>
    <s v="none"/>
    <n v="67"/>
    <n v="57"/>
    <n v="59"/>
  </r>
  <r>
    <x v="1"/>
    <s v="group C"/>
    <s v="associate's degree"/>
    <s v="standard"/>
    <s v="none"/>
    <n v="92"/>
    <n v="79"/>
    <n v="84"/>
  </r>
  <r>
    <x v="0"/>
    <s v="group B"/>
    <s v="some college"/>
    <s v="free/reduced"/>
    <s v="completed"/>
    <n v="53"/>
    <n v="66"/>
    <n v="73"/>
  </r>
  <r>
    <x v="1"/>
    <s v="group D"/>
    <s v="associate's degree"/>
    <s v="standard"/>
    <s v="none"/>
    <n v="81"/>
    <n v="71"/>
    <n v="73"/>
  </r>
  <r>
    <x v="1"/>
    <s v="group C"/>
    <s v="high school"/>
    <s v="free/reduced"/>
    <s v="none"/>
    <n v="61"/>
    <n v="60"/>
    <n v="55"/>
  </r>
  <r>
    <x v="1"/>
    <s v="group D"/>
    <s v="bachelor's degree"/>
    <s v="standard"/>
    <s v="none"/>
    <n v="80"/>
    <n v="73"/>
    <n v="72"/>
  </r>
  <r>
    <x v="0"/>
    <s v="group A"/>
    <s v="associate's degree"/>
    <s v="free/reduced"/>
    <s v="none"/>
    <n v="37"/>
    <n v="57"/>
    <n v="56"/>
  </r>
  <r>
    <x v="0"/>
    <s v="group C"/>
    <s v="high school"/>
    <s v="standard"/>
    <s v="none"/>
    <n v="81"/>
    <n v="84"/>
    <n v="82"/>
  </r>
  <r>
    <x v="0"/>
    <s v="group C"/>
    <s v="associate's degree"/>
    <s v="standard"/>
    <s v="completed"/>
    <n v="59"/>
    <n v="73"/>
    <n v="72"/>
  </r>
  <r>
    <x v="1"/>
    <s v="group B"/>
    <s v="some college"/>
    <s v="free/reduced"/>
    <s v="none"/>
    <n v="55"/>
    <n v="55"/>
    <n v="47"/>
  </r>
  <r>
    <x v="1"/>
    <s v="group D"/>
    <s v="associate's degree"/>
    <s v="standard"/>
    <s v="none"/>
    <n v="72"/>
    <n v="79"/>
    <n v="74"/>
  </r>
  <r>
    <x v="1"/>
    <s v="group D"/>
    <s v="high school"/>
    <s v="standard"/>
    <s v="none"/>
    <n v="69"/>
    <n v="75"/>
    <n v="71"/>
  </r>
  <r>
    <x v="1"/>
    <s v="group C"/>
    <s v="some college"/>
    <s v="standard"/>
    <s v="none"/>
    <n v="69"/>
    <n v="64"/>
    <n v="68"/>
  </r>
  <r>
    <x v="0"/>
    <s v="group C"/>
    <s v="bachelor's degree"/>
    <s v="free/reduced"/>
    <s v="none"/>
    <n v="50"/>
    <n v="60"/>
    <n v="59"/>
  </r>
  <r>
    <x v="1"/>
    <s v="group B"/>
    <s v="some college"/>
    <s v="standard"/>
    <s v="completed"/>
    <n v="87"/>
    <n v="84"/>
    <n v="86"/>
  </r>
  <r>
    <x v="1"/>
    <s v="group D"/>
    <s v="some high school"/>
    <s v="standard"/>
    <s v="completed"/>
    <n v="71"/>
    <n v="69"/>
    <n v="68"/>
  </r>
  <r>
    <x v="1"/>
    <s v="group E"/>
    <s v="some college"/>
    <s v="standard"/>
    <s v="none"/>
    <n v="68"/>
    <n v="72"/>
    <n v="65"/>
  </r>
  <r>
    <x v="1"/>
    <s v="group C"/>
    <s v="master's degree"/>
    <s v="free/reduced"/>
    <s v="completed"/>
    <n v="79"/>
    <n v="77"/>
    <n v="75"/>
  </r>
  <r>
    <x v="0"/>
    <s v="group C"/>
    <s v="some high school"/>
    <s v="standard"/>
    <s v="completed"/>
    <n v="77"/>
    <n v="90"/>
    <n v="85"/>
  </r>
  <r>
    <x v="1"/>
    <s v="group C"/>
    <s v="associate's degree"/>
    <s v="free/reduced"/>
    <s v="none"/>
    <n v="58"/>
    <n v="55"/>
    <n v="53"/>
  </r>
  <r>
    <x v="0"/>
    <s v="group E"/>
    <s v="associate's degree"/>
    <s v="standard"/>
    <s v="none"/>
    <n v="84"/>
    <n v="95"/>
    <n v="92"/>
  </r>
  <r>
    <x v="1"/>
    <s v="group D"/>
    <s v="some college"/>
    <s v="standard"/>
    <s v="none"/>
    <n v="55"/>
    <n v="58"/>
    <n v="52"/>
  </r>
  <r>
    <x v="1"/>
    <s v="group E"/>
    <s v="bachelor's degree"/>
    <s v="free/reduced"/>
    <s v="completed"/>
    <n v="70"/>
    <n v="68"/>
    <n v="72"/>
  </r>
  <r>
    <x v="0"/>
    <s v="group D"/>
    <s v="some college"/>
    <s v="free/reduced"/>
    <s v="completed"/>
    <n v="52"/>
    <n v="59"/>
    <n v="65"/>
  </r>
  <r>
    <x v="1"/>
    <s v="group B"/>
    <s v="some college"/>
    <s v="standard"/>
    <s v="completed"/>
    <n v="69"/>
    <n v="77"/>
    <n v="77"/>
  </r>
  <r>
    <x v="0"/>
    <s v="group C"/>
    <s v="high school"/>
    <s v="free/reduced"/>
    <s v="none"/>
    <n v="53"/>
    <n v="72"/>
    <n v="64"/>
  </r>
  <r>
    <x v="0"/>
    <s v="group D"/>
    <s v="some high school"/>
    <s v="standard"/>
    <s v="none"/>
    <n v="48"/>
    <n v="58"/>
    <n v="54"/>
  </r>
  <r>
    <x v="1"/>
    <s v="group D"/>
    <s v="some high school"/>
    <s v="standard"/>
    <s v="completed"/>
    <n v="78"/>
    <n v="81"/>
    <n v="86"/>
  </r>
  <r>
    <x v="0"/>
    <s v="group B"/>
    <s v="high school"/>
    <s v="standard"/>
    <s v="none"/>
    <n v="62"/>
    <n v="62"/>
    <n v="63"/>
  </r>
  <r>
    <x v="1"/>
    <s v="group D"/>
    <s v="some college"/>
    <s v="standard"/>
    <s v="none"/>
    <n v="60"/>
    <n v="63"/>
    <n v="59"/>
  </r>
  <r>
    <x v="0"/>
    <s v="group B"/>
    <s v="high school"/>
    <s v="standard"/>
    <s v="none"/>
    <n v="74"/>
    <n v="72"/>
    <n v="72"/>
  </r>
  <r>
    <x v="0"/>
    <s v="group C"/>
    <s v="high school"/>
    <s v="standard"/>
    <s v="completed"/>
    <n v="58"/>
    <n v="75"/>
    <n v="77"/>
  </r>
  <r>
    <x v="1"/>
    <s v="group B"/>
    <s v="high school"/>
    <s v="standard"/>
    <s v="completed"/>
    <n v="76"/>
    <n v="62"/>
    <n v="60"/>
  </r>
  <r>
    <x v="0"/>
    <s v="group D"/>
    <s v="some high school"/>
    <s v="standard"/>
    <s v="none"/>
    <n v="68"/>
    <n v="71"/>
    <n v="75"/>
  </r>
  <r>
    <x v="1"/>
    <s v="group A"/>
    <s v="some college"/>
    <s v="free/reduced"/>
    <s v="none"/>
    <n v="58"/>
    <n v="60"/>
    <n v="57"/>
  </r>
  <r>
    <x v="1"/>
    <s v="group B"/>
    <s v="high school"/>
    <s v="standard"/>
    <s v="none"/>
    <n v="52"/>
    <n v="48"/>
    <n v="49"/>
  </r>
  <r>
    <x v="1"/>
    <s v="group D"/>
    <s v="bachelor's degree"/>
    <s v="standard"/>
    <s v="none"/>
    <n v="75"/>
    <n v="73"/>
    <n v="74"/>
  </r>
  <r>
    <x v="0"/>
    <s v="group B"/>
    <s v="some high school"/>
    <s v="free/reduced"/>
    <s v="completed"/>
    <n v="52"/>
    <n v="67"/>
    <n v="72"/>
  </r>
  <r>
    <x v="0"/>
    <s v="group C"/>
    <s v="bachelor's degree"/>
    <s v="free/reduced"/>
    <s v="none"/>
    <n v="62"/>
    <n v="78"/>
    <n v="79"/>
  </r>
  <r>
    <x v="1"/>
    <s v="group B"/>
    <s v="some college"/>
    <s v="standard"/>
    <s v="none"/>
    <n v="66"/>
    <n v="65"/>
    <n v="60"/>
  </r>
  <r>
    <x v="0"/>
    <s v="group B"/>
    <s v="some high school"/>
    <s v="free/reduced"/>
    <s v="none"/>
    <n v="49"/>
    <n v="58"/>
    <n v="55"/>
  </r>
  <r>
    <x v="0"/>
    <s v="group B"/>
    <s v="high school"/>
    <s v="standard"/>
    <s v="none"/>
    <n v="66"/>
    <n v="72"/>
    <n v="70"/>
  </r>
  <r>
    <x v="0"/>
    <s v="group C"/>
    <s v="some college"/>
    <s v="free/reduced"/>
    <s v="none"/>
    <n v="35"/>
    <n v="44"/>
    <n v="43"/>
  </r>
  <r>
    <x v="0"/>
    <s v="group A"/>
    <s v="some college"/>
    <s v="standard"/>
    <s v="completed"/>
    <n v="72"/>
    <n v="79"/>
    <n v="82"/>
  </r>
  <r>
    <x v="1"/>
    <s v="group E"/>
    <s v="associate's degree"/>
    <s v="standard"/>
    <s v="completed"/>
    <n v="94"/>
    <n v="85"/>
    <n v="82"/>
  </r>
  <r>
    <x v="0"/>
    <s v="group D"/>
    <s v="associate's degree"/>
    <s v="free/reduced"/>
    <s v="none"/>
    <n v="46"/>
    <n v="56"/>
    <n v="57"/>
  </r>
  <r>
    <x v="0"/>
    <s v="group B"/>
    <s v="master's degree"/>
    <s v="standard"/>
    <s v="none"/>
    <n v="77"/>
    <n v="90"/>
    <n v="84"/>
  </r>
  <r>
    <x v="0"/>
    <s v="group B"/>
    <s v="high school"/>
    <s v="free/reduced"/>
    <s v="completed"/>
    <n v="76"/>
    <n v="85"/>
    <n v="82"/>
  </r>
  <r>
    <x v="0"/>
    <s v="group C"/>
    <s v="associate's degree"/>
    <s v="standard"/>
    <s v="completed"/>
    <n v="52"/>
    <n v="59"/>
    <n v="62"/>
  </r>
  <r>
    <x v="1"/>
    <s v="group C"/>
    <s v="bachelor's degree"/>
    <s v="standard"/>
    <s v="completed"/>
    <n v="91"/>
    <n v="81"/>
    <n v="79"/>
  </r>
  <r>
    <x v="0"/>
    <s v="group B"/>
    <s v="some high school"/>
    <s v="standard"/>
    <s v="completed"/>
    <n v="32"/>
    <n v="51"/>
    <n v="44"/>
  </r>
  <r>
    <x v="0"/>
    <s v="group E"/>
    <s v="some high school"/>
    <s v="free/reduced"/>
    <s v="none"/>
    <n v="72"/>
    <n v="79"/>
    <n v="77"/>
  </r>
  <r>
    <x v="0"/>
    <s v="group B"/>
    <s v="some college"/>
    <s v="standard"/>
    <s v="none"/>
    <n v="19"/>
    <n v="38"/>
    <n v="32"/>
  </r>
  <r>
    <x v="1"/>
    <s v="group C"/>
    <s v="associate's degree"/>
    <s v="free/reduced"/>
    <s v="none"/>
    <n v="68"/>
    <n v="65"/>
    <n v="61"/>
  </r>
  <r>
    <x v="0"/>
    <s v="group C"/>
    <s v="master's degree"/>
    <s v="free/reduced"/>
    <s v="none"/>
    <n v="52"/>
    <n v="65"/>
    <n v="61"/>
  </r>
  <r>
    <x v="0"/>
    <s v="group B"/>
    <s v="high school"/>
    <s v="standard"/>
    <s v="none"/>
    <n v="48"/>
    <n v="62"/>
    <n v="60"/>
  </r>
  <r>
    <x v="0"/>
    <s v="group D"/>
    <s v="some college"/>
    <s v="free/reduced"/>
    <s v="none"/>
    <n v="60"/>
    <n v="66"/>
    <n v="70"/>
  </r>
  <r>
    <x v="1"/>
    <s v="group D"/>
    <s v="high school"/>
    <s v="free/reduced"/>
    <s v="none"/>
    <n v="66"/>
    <n v="74"/>
    <n v="69"/>
  </r>
  <r>
    <x v="1"/>
    <s v="group E"/>
    <s v="some high school"/>
    <s v="standard"/>
    <s v="completed"/>
    <n v="89"/>
    <n v="84"/>
    <n v="77"/>
  </r>
  <r>
    <x v="0"/>
    <s v="group B"/>
    <s v="high school"/>
    <s v="standard"/>
    <s v="none"/>
    <n v="42"/>
    <n v="52"/>
    <n v="51"/>
  </r>
  <r>
    <x v="0"/>
    <s v="group E"/>
    <s v="associate's degree"/>
    <s v="free/reduced"/>
    <s v="completed"/>
    <n v="57"/>
    <n v="68"/>
    <n v="73"/>
  </r>
  <r>
    <x v="1"/>
    <s v="group D"/>
    <s v="high school"/>
    <s v="standard"/>
    <s v="none"/>
    <n v="70"/>
    <n v="70"/>
    <n v="70"/>
  </r>
  <r>
    <x v="0"/>
    <s v="group E"/>
    <s v="associate's degree"/>
    <s v="free/reduced"/>
    <s v="none"/>
    <n v="70"/>
    <n v="84"/>
    <n v="81"/>
  </r>
  <r>
    <x v="1"/>
    <s v="group E"/>
    <s v="some college"/>
    <s v="standard"/>
    <s v="none"/>
    <n v="69"/>
    <n v="60"/>
    <n v="54"/>
  </r>
  <r>
    <x v="0"/>
    <s v="group C"/>
    <s v="associate's degree"/>
    <s v="standard"/>
    <s v="none"/>
    <n v="52"/>
    <n v="55"/>
    <n v="57"/>
  </r>
  <r>
    <x v="1"/>
    <s v="group C"/>
    <s v="some high school"/>
    <s v="standard"/>
    <s v="completed"/>
    <n v="67"/>
    <n v="73"/>
    <n v="68"/>
  </r>
  <r>
    <x v="1"/>
    <s v="group C"/>
    <s v="some high school"/>
    <s v="standard"/>
    <s v="completed"/>
    <n v="76"/>
    <n v="80"/>
    <n v="73"/>
  </r>
  <r>
    <x v="0"/>
    <s v="group E"/>
    <s v="associate's degree"/>
    <s v="standard"/>
    <s v="none"/>
    <n v="87"/>
    <n v="94"/>
    <n v="95"/>
  </r>
  <r>
    <x v="0"/>
    <s v="group B"/>
    <s v="some college"/>
    <s v="standard"/>
    <s v="none"/>
    <n v="82"/>
    <n v="85"/>
    <n v="87"/>
  </r>
  <r>
    <x v="0"/>
    <s v="group C"/>
    <s v="some college"/>
    <s v="standard"/>
    <s v="none"/>
    <n v="73"/>
    <n v="76"/>
    <n v="78"/>
  </r>
  <r>
    <x v="1"/>
    <s v="group A"/>
    <s v="some college"/>
    <s v="free/reduced"/>
    <s v="none"/>
    <n v="75"/>
    <n v="81"/>
    <n v="74"/>
  </r>
  <r>
    <x v="0"/>
    <s v="group D"/>
    <s v="some college"/>
    <s v="free/reduced"/>
    <s v="none"/>
    <n v="64"/>
    <n v="74"/>
    <n v="75"/>
  </r>
  <r>
    <x v="0"/>
    <s v="group E"/>
    <s v="high school"/>
    <s v="free/reduced"/>
    <s v="none"/>
    <n v="41"/>
    <n v="45"/>
    <n v="40"/>
  </r>
  <r>
    <x v="1"/>
    <s v="group C"/>
    <s v="high school"/>
    <s v="standard"/>
    <s v="none"/>
    <n v="90"/>
    <n v="75"/>
    <n v="69"/>
  </r>
  <r>
    <x v="1"/>
    <s v="group B"/>
    <s v="bachelor's degree"/>
    <s v="standard"/>
    <s v="none"/>
    <n v="59"/>
    <n v="54"/>
    <n v="51"/>
  </r>
  <r>
    <x v="1"/>
    <s v="group A"/>
    <s v="some high school"/>
    <s v="standard"/>
    <s v="none"/>
    <n v="51"/>
    <n v="31"/>
    <n v="36"/>
  </r>
  <r>
    <x v="1"/>
    <s v="group A"/>
    <s v="high school"/>
    <s v="free/reduced"/>
    <s v="none"/>
    <n v="45"/>
    <n v="47"/>
    <n v="49"/>
  </r>
  <r>
    <x v="0"/>
    <s v="group C"/>
    <s v="master's degree"/>
    <s v="standard"/>
    <s v="completed"/>
    <n v="54"/>
    <n v="64"/>
    <n v="67"/>
  </r>
  <r>
    <x v="1"/>
    <s v="group E"/>
    <s v="some high school"/>
    <s v="standard"/>
    <s v="completed"/>
    <n v="87"/>
    <n v="84"/>
    <n v="76"/>
  </r>
  <r>
    <x v="0"/>
    <s v="group C"/>
    <s v="high school"/>
    <s v="standard"/>
    <s v="none"/>
    <n v="72"/>
    <n v="80"/>
    <n v="83"/>
  </r>
  <r>
    <x v="1"/>
    <s v="group B"/>
    <s v="some high school"/>
    <s v="standard"/>
    <s v="completed"/>
    <n v="94"/>
    <n v="86"/>
    <n v="87"/>
  </r>
  <r>
    <x v="0"/>
    <s v="group A"/>
    <s v="bachelor's degree"/>
    <s v="standard"/>
    <s v="none"/>
    <n v="45"/>
    <n v="59"/>
    <n v="64"/>
  </r>
  <r>
    <x v="1"/>
    <s v="group D"/>
    <s v="bachelor's degree"/>
    <s v="free/reduced"/>
    <s v="completed"/>
    <n v="61"/>
    <n v="70"/>
    <n v="76"/>
  </r>
  <r>
    <x v="0"/>
    <s v="group B"/>
    <s v="high school"/>
    <s v="free/reduced"/>
    <s v="none"/>
    <n v="60"/>
    <n v="72"/>
    <n v="68"/>
  </r>
  <r>
    <x v="0"/>
    <s v="group C"/>
    <s v="some high school"/>
    <s v="standard"/>
    <s v="none"/>
    <n v="77"/>
    <n v="91"/>
    <n v="88"/>
  </r>
  <r>
    <x v="0"/>
    <s v="group A"/>
    <s v="some high school"/>
    <s v="standard"/>
    <s v="completed"/>
    <n v="85"/>
    <n v="90"/>
    <n v="92"/>
  </r>
  <r>
    <x v="0"/>
    <s v="group D"/>
    <s v="bachelor's degree"/>
    <s v="free/reduced"/>
    <s v="none"/>
    <n v="78"/>
    <n v="90"/>
    <n v="93"/>
  </r>
  <r>
    <x v="1"/>
    <s v="group E"/>
    <s v="some college"/>
    <s v="free/reduced"/>
    <s v="completed"/>
    <n v="49"/>
    <n v="52"/>
    <n v="51"/>
  </r>
  <r>
    <x v="0"/>
    <s v="group B"/>
    <s v="high school"/>
    <s v="free/reduced"/>
    <s v="none"/>
    <n v="71"/>
    <n v="87"/>
    <n v="82"/>
  </r>
  <r>
    <x v="0"/>
    <s v="group C"/>
    <s v="some high school"/>
    <s v="free/reduced"/>
    <s v="none"/>
    <n v="48"/>
    <n v="58"/>
    <n v="52"/>
  </r>
  <r>
    <x v="1"/>
    <s v="group C"/>
    <s v="high school"/>
    <s v="standard"/>
    <s v="none"/>
    <n v="62"/>
    <n v="67"/>
    <n v="58"/>
  </r>
  <r>
    <x v="0"/>
    <s v="group C"/>
    <s v="associate's degree"/>
    <s v="free/reduced"/>
    <s v="completed"/>
    <n v="56"/>
    <n v="68"/>
    <n v="70"/>
  </r>
  <r>
    <x v="0"/>
    <s v="group C"/>
    <s v="some high school"/>
    <s v="standard"/>
    <s v="none"/>
    <n v="65"/>
    <n v="69"/>
    <n v="76"/>
  </r>
  <r>
    <x v="0"/>
    <s v="group D"/>
    <s v="some high school"/>
    <s v="free/reduced"/>
    <s v="completed"/>
    <n v="69"/>
    <n v="86"/>
    <n v="81"/>
  </r>
  <r>
    <x v="1"/>
    <s v="group B"/>
    <s v="some high school"/>
    <s v="standard"/>
    <s v="none"/>
    <n v="68"/>
    <n v="54"/>
    <n v="53"/>
  </r>
  <r>
    <x v="0"/>
    <s v="group A"/>
    <s v="some college"/>
    <s v="free/reduced"/>
    <s v="none"/>
    <n v="61"/>
    <n v="60"/>
    <n v="57"/>
  </r>
  <r>
    <x v="0"/>
    <s v="group C"/>
    <s v="bachelor's degree"/>
    <s v="free/reduced"/>
    <s v="completed"/>
    <n v="74"/>
    <n v="86"/>
    <n v="89"/>
  </r>
  <r>
    <x v="1"/>
    <s v="group A"/>
    <s v="bachelor's degree"/>
    <s v="standard"/>
    <s v="none"/>
    <n v="64"/>
    <n v="60"/>
    <n v="58"/>
  </r>
  <r>
    <x v="0"/>
    <s v="group B"/>
    <s v="high school"/>
    <s v="standard"/>
    <s v="completed"/>
    <n v="77"/>
    <n v="82"/>
    <n v="89"/>
  </r>
  <r>
    <x v="1"/>
    <s v="group B"/>
    <s v="some college"/>
    <s v="standard"/>
    <s v="none"/>
    <n v="58"/>
    <n v="50"/>
    <n v="45"/>
  </r>
  <r>
    <x v="0"/>
    <s v="group C"/>
    <s v="high school"/>
    <s v="standard"/>
    <s v="completed"/>
    <n v="60"/>
    <n v="64"/>
    <n v="74"/>
  </r>
  <r>
    <x v="1"/>
    <s v="group E"/>
    <s v="high school"/>
    <s v="standard"/>
    <s v="none"/>
    <n v="73"/>
    <n v="64"/>
    <n v="57"/>
  </r>
  <r>
    <x v="0"/>
    <s v="group A"/>
    <s v="high school"/>
    <s v="standard"/>
    <s v="completed"/>
    <n v="75"/>
    <n v="82"/>
    <n v="79"/>
  </r>
  <r>
    <x v="1"/>
    <s v="group B"/>
    <s v="associate's degree"/>
    <s v="free/reduced"/>
    <s v="completed"/>
    <n v="58"/>
    <n v="57"/>
    <n v="53"/>
  </r>
  <r>
    <x v="0"/>
    <s v="group C"/>
    <s v="associate's degree"/>
    <s v="standard"/>
    <s v="none"/>
    <n v="66"/>
    <n v="77"/>
    <n v="73"/>
  </r>
  <r>
    <x v="0"/>
    <s v="group D"/>
    <s v="high school"/>
    <s v="free/reduced"/>
    <s v="none"/>
    <n v="39"/>
    <n v="52"/>
    <n v="46"/>
  </r>
  <r>
    <x v="1"/>
    <s v="group C"/>
    <s v="some high school"/>
    <s v="standard"/>
    <s v="none"/>
    <n v="64"/>
    <n v="58"/>
    <n v="51"/>
  </r>
  <r>
    <x v="0"/>
    <s v="group B"/>
    <s v="high school"/>
    <s v="free/reduced"/>
    <s v="completed"/>
    <n v="23"/>
    <n v="44"/>
    <n v="36"/>
  </r>
  <r>
    <x v="1"/>
    <s v="group B"/>
    <s v="some college"/>
    <s v="free/reduced"/>
    <s v="completed"/>
    <n v="74"/>
    <n v="77"/>
    <n v="76"/>
  </r>
  <r>
    <x v="0"/>
    <s v="group D"/>
    <s v="some high school"/>
    <s v="free/reduced"/>
    <s v="completed"/>
    <n v="40"/>
    <n v="65"/>
    <n v="64"/>
  </r>
  <r>
    <x v="1"/>
    <s v="group E"/>
    <s v="master's degree"/>
    <s v="standard"/>
    <s v="none"/>
    <n v="90"/>
    <n v="85"/>
    <n v="84"/>
  </r>
  <r>
    <x v="1"/>
    <s v="group C"/>
    <s v="master's degree"/>
    <s v="standard"/>
    <s v="completed"/>
    <n v="91"/>
    <n v="85"/>
    <n v="85"/>
  </r>
  <r>
    <x v="1"/>
    <s v="group D"/>
    <s v="high school"/>
    <s v="standard"/>
    <s v="none"/>
    <n v="64"/>
    <n v="54"/>
    <n v="50"/>
  </r>
  <r>
    <x v="0"/>
    <s v="group C"/>
    <s v="high school"/>
    <s v="standard"/>
    <s v="none"/>
    <n v="59"/>
    <n v="72"/>
    <n v="68"/>
  </r>
  <r>
    <x v="1"/>
    <s v="group D"/>
    <s v="associate's degree"/>
    <s v="standard"/>
    <s v="none"/>
    <n v="80"/>
    <n v="75"/>
    <n v="69"/>
  </r>
  <r>
    <x v="1"/>
    <s v="group C"/>
    <s v="master's degree"/>
    <s v="standard"/>
    <s v="none"/>
    <n v="71"/>
    <n v="67"/>
    <n v="67"/>
  </r>
  <r>
    <x v="0"/>
    <s v="group A"/>
    <s v="high school"/>
    <s v="standard"/>
    <s v="none"/>
    <n v="61"/>
    <n v="68"/>
    <n v="63"/>
  </r>
  <r>
    <x v="0"/>
    <s v="group E"/>
    <s v="some college"/>
    <s v="standard"/>
    <s v="none"/>
    <n v="87"/>
    <n v="85"/>
    <n v="93"/>
  </r>
  <r>
    <x v="1"/>
    <s v="group E"/>
    <s v="some high school"/>
    <s v="standard"/>
    <s v="none"/>
    <n v="82"/>
    <n v="67"/>
    <n v="61"/>
  </r>
  <r>
    <x v="1"/>
    <s v="group C"/>
    <s v="some high school"/>
    <s v="standard"/>
    <s v="none"/>
    <n v="62"/>
    <n v="64"/>
    <n v="55"/>
  </r>
  <r>
    <x v="0"/>
    <s v="group B"/>
    <s v="bachelor's degree"/>
    <s v="standard"/>
    <s v="none"/>
    <n v="97"/>
    <n v="97"/>
    <n v="96"/>
  </r>
  <r>
    <x v="1"/>
    <s v="group B"/>
    <s v="some college"/>
    <s v="free/reduced"/>
    <s v="none"/>
    <n v="75"/>
    <n v="68"/>
    <n v="65"/>
  </r>
  <r>
    <x v="0"/>
    <s v="group C"/>
    <s v="bachelor's degree"/>
    <s v="standard"/>
    <s v="none"/>
    <n v="65"/>
    <n v="79"/>
    <n v="81"/>
  </r>
  <r>
    <x v="1"/>
    <s v="group B"/>
    <s v="high school"/>
    <s v="standard"/>
    <s v="completed"/>
    <n v="52"/>
    <n v="49"/>
    <n v="46"/>
  </r>
  <r>
    <x v="1"/>
    <s v="group C"/>
    <s v="associate's degree"/>
    <s v="free/reduced"/>
    <s v="none"/>
    <n v="87"/>
    <n v="73"/>
    <n v="72"/>
  </r>
  <r>
    <x v="0"/>
    <s v="group C"/>
    <s v="associate's degree"/>
    <s v="standard"/>
    <s v="none"/>
    <n v="53"/>
    <n v="62"/>
    <n v="53"/>
  </r>
  <r>
    <x v="0"/>
    <s v="group E"/>
    <s v="master's degree"/>
    <s v="free/reduced"/>
    <s v="none"/>
    <n v="81"/>
    <n v="86"/>
    <n v="87"/>
  </r>
  <r>
    <x v="1"/>
    <s v="group D"/>
    <s v="bachelor's degree"/>
    <s v="free/reduced"/>
    <s v="completed"/>
    <n v="39"/>
    <n v="42"/>
    <n v="38"/>
  </r>
  <r>
    <x v="0"/>
    <s v="group C"/>
    <s v="some college"/>
    <s v="standard"/>
    <s v="completed"/>
    <n v="71"/>
    <n v="71"/>
    <n v="80"/>
  </r>
  <r>
    <x v="1"/>
    <s v="group C"/>
    <s v="associate's degree"/>
    <s v="standard"/>
    <s v="none"/>
    <n v="97"/>
    <n v="93"/>
    <n v="91"/>
  </r>
  <r>
    <x v="1"/>
    <s v="group D"/>
    <s v="some college"/>
    <s v="standard"/>
    <s v="completed"/>
    <n v="82"/>
    <n v="82"/>
    <n v="88"/>
  </r>
  <r>
    <x v="1"/>
    <s v="group C"/>
    <s v="high school"/>
    <s v="free/reduced"/>
    <s v="none"/>
    <n v="59"/>
    <n v="53"/>
    <n v="52"/>
  </r>
  <r>
    <x v="1"/>
    <s v="group B"/>
    <s v="associate's degree"/>
    <s v="standard"/>
    <s v="none"/>
    <n v="61"/>
    <n v="42"/>
    <n v="41"/>
  </r>
  <r>
    <x v="1"/>
    <s v="group E"/>
    <s v="associate's degree"/>
    <s v="free/reduced"/>
    <s v="completed"/>
    <n v="78"/>
    <n v="74"/>
    <n v="72"/>
  </r>
  <r>
    <x v="1"/>
    <s v="group C"/>
    <s v="associate's degree"/>
    <s v="free/reduced"/>
    <s v="none"/>
    <n v="49"/>
    <n v="51"/>
    <n v="51"/>
  </r>
  <r>
    <x v="1"/>
    <s v="group B"/>
    <s v="high school"/>
    <s v="standard"/>
    <s v="none"/>
    <n v="59"/>
    <n v="58"/>
    <n v="47"/>
  </r>
  <r>
    <x v="0"/>
    <s v="group C"/>
    <s v="some college"/>
    <s v="standard"/>
    <s v="completed"/>
    <n v="70"/>
    <n v="72"/>
    <n v="76"/>
  </r>
  <r>
    <x v="1"/>
    <s v="group B"/>
    <s v="associate's degree"/>
    <s v="standard"/>
    <s v="completed"/>
    <n v="82"/>
    <n v="84"/>
    <n v="78"/>
  </r>
  <r>
    <x v="1"/>
    <s v="group E"/>
    <s v="associate's degree"/>
    <s v="free/reduced"/>
    <s v="none"/>
    <n v="90"/>
    <n v="90"/>
    <n v="82"/>
  </r>
  <r>
    <x v="0"/>
    <s v="group C"/>
    <s v="bachelor's degree"/>
    <s v="free/reduced"/>
    <s v="none"/>
    <n v="43"/>
    <n v="62"/>
    <n v="61"/>
  </r>
  <r>
    <x v="1"/>
    <s v="group C"/>
    <s v="some college"/>
    <s v="free/reduced"/>
    <s v="none"/>
    <n v="80"/>
    <n v="64"/>
    <n v="66"/>
  </r>
  <r>
    <x v="1"/>
    <s v="group D"/>
    <s v="some college"/>
    <s v="standard"/>
    <s v="none"/>
    <n v="81"/>
    <n v="82"/>
    <n v="84"/>
  </r>
  <r>
    <x v="1"/>
    <s v="group C"/>
    <s v="some high school"/>
    <s v="standard"/>
    <s v="none"/>
    <n v="57"/>
    <n v="61"/>
    <n v="54"/>
  </r>
  <r>
    <x v="0"/>
    <s v="group D"/>
    <s v="some high school"/>
    <s v="standard"/>
    <s v="none"/>
    <n v="59"/>
    <n v="72"/>
    <n v="80"/>
  </r>
  <r>
    <x v="0"/>
    <s v="group D"/>
    <s v="associate's degree"/>
    <s v="standard"/>
    <s v="none"/>
    <n v="64"/>
    <n v="76"/>
    <n v="74"/>
  </r>
  <r>
    <x v="1"/>
    <s v="group C"/>
    <s v="bachelor's degree"/>
    <s v="standard"/>
    <s v="completed"/>
    <n v="63"/>
    <n v="64"/>
    <n v="66"/>
  </r>
  <r>
    <x v="0"/>
    <s v="group E"/>
    <s v="bachelor's degree"/>
    <s v="standard"/>
    <s v="completed"/>
    <n v="71"/>
    <n v="70"/>
    <n v="70"/>
  </r>
  <r>
    <x v="0"/>
    <s v="group B"/>
    <s v="high school"/>
    <s v="free/reduced"/>
    <s v="none"/>
    <n v="64"/>
    <n v="73"/>
    <n v="71"/>
  </r>
  <r>
    <x v="1"/>
    <s v="group D"/>
    <s v="bachelor's degree"/>
    <s v="free/reduced"/>
    <s v="none"/>
    <n v="55"/>
    <n v="46"/>
    <n v="44"/>
  </r>
  <r>
    <x v="0"/>
    <s v="group E"/>
    <s v="associate's degree"/>
    <s v="standard"/>
    <s v="none"/>
    <n v="51"/>
    <n v="51"/>
    <n v="54"/>
  </r>
  <r>
    <x v="0"/>
    <s v="group C"/>
    <s v="associate's degree"/>
    <s v="standard"/>
    <s v="completed"/>
    <n v="62"/>
    <n v="76"/>
    <n v="80"/>
  </r>
  <r>
    <x v="0"/>
    <s v="group E"/>
    <s v="associate's degree"/>
    <s v="standard"/>
    <s v="completed"/>
    <n v="93"/>
    <n v="100"/>
    <n v="95"/>
  </r>
  <r>
    <x v="1"/>
    <s v="group C"/>
    <s v="high school"/>
    <s v="free/reduced"/>
    <s v="none"/>
    <n v="54"/>
    <n v="72"/>
    <n v="59"/>
  </r>
  <r>
    <x v="0"/>
    <s v="group D"/>
    <s v="some college"/>
    <s v="free/reduced"/>
    <s v="none"/>
    <n v="69"/>
    <n v="65"/>
    <n v="74"/>
  </r>
  <r>
    <x v="1"/>
    <s v="group D"/>
    <s v="high school"/>
    <s v="free/reduced"/>
    <s v="none"/>
    <n v="44"/>
    <n v="51"/>
    <n v="48"/>
  </r>
  <r>
    <x v="0"/>
    <s v="group E"/>
    <s v="some college"/>
    <s v="standard"/>
    <s v="completed"/>
    <n v="86"/>
    <n v="85"/>
    <n v="91"/>
  </r>
  <r>
    <x v="0"/>
    <s v="group E"/>
    <s v="associate's degree"/>
    <s v="standard"/>
    <s v="none"/>
    <n v="85"/>
    <n v="92"/>
    <n v="85"/>
  </r>
  <r>
    <x v="0"/>
    <s v="group A"/>
    <s v="master's degree"/>
    <s v="free/reduced"/>
    <s v="none"/>
    <n v="50"/>
    <n v="67"/>
    <n v="73"/>
  </r>
  <r>
    <x v="1"/>
    <s v="group D"/>
    <s v="some high school"/>
    <s v="standard"/>
    <s v="completed"/>
    <n v="88"/>
    <n v="74"/>
    <n v="75"/>
  </r>
  <r>
    <x v="0"/>
    <s v="group E"/>
    <s v="associate's degree"/>
    <s v="standard"/>
    <s v="none"/>
    <n v="59"/>
    <n v="62"/>
    <n v="69"/>
  </r>
  <r>
    <x v="0"/>
    <s v="group E"/>
    <s v="some high school"/>
    <s v="free/reduced"/>
    <s v="none"/>
    <n v="32"/>
    <n v="34"/>
    <n v="38"/>
  </r>
  <r>
    <x v="1"/>
    <s v="group B"/>
    <s v="high school"/>
    <s v="free/reduced"/>
    <s v="none"/>
    <n v="36"/>
    <n v="29"/>
    <n v="27"/>
  </r>
  <r>
    <x v="0"/>
    <s v="group B"/>
    <s v="some high school"/>
    <s v="free/reduced"/>
    <s v="completed"/>
    <n v="63"/>
    <n v="78"/>
    <n v="79"/>
  </r>
  <r>
    <x v="1"/>
    <s v="group D"/>
    <s v="associate's degree"/>
    <s v="standard"/>
    <s v="completed"/>
    <n v="67"/>
    <n v="54"/>
    <n v="63"/>
  </r>
  <r>
    <x v="0"/>
    <s v="group D"/>
    <s v="some high school"/>
    <s v="standard"/>
    <s v="completed"/>
    <n v="65"/>
    <n v="78"/>
    <n v="82"/>
  </r>
  <r>
    <x v="1"/>
    <s v="group D"/>
    <s v="master's degree"/>
    <s v="standard"/>
    <s v="none"/>
    <n v="85"/>
    <n v="84"/>
    <n v="89"/>
  </r>
  <r>
    <x v="0"/>
    <s v="group C"/>
    <s v="master's degree"/>
    <s v="standard"/>
    <s v="none"/>
    <n v="73"/>
    <n v="78"/>
    <n v="74"/>
  </r>
  <r>
    <x v="0"/>
    <s v="group A"/>
    <s v="high school"/>
    <s v="free/reduced"/>
    <s v="completed"/>
    <n v="34"/>
    <n v="48"/>
    <n v="41"/>
  </r>
  <r>
    <x v="0"/>
    <s v="group D"/>
    <s v="bachelor's degree"/>
    <s v="free/reduced"/>
    <s v="completed"/>
    <n v="93"/>
    <n v="100"/>
    <n v="100"/>
  </r>
  <r>
    <x v="0"/>
    <s v="group D"/>
    <s v="some high school"/>
    <s v="free/reduced"/>
    <s v="none"/>
    <n v="67"/>
    <n v="84"/>
    <n v="84"/>
  </r>
  <r>
    <x v="1"/>
    <s v="group D"/>
    <s v="some college"/>
    <s v="standard"/>
    <s v="none"/>
    <n v="88"/>
    <n v="77"/>
    <n v="77"/>
  </r>
  <r>
    <x v="1"/>
    <s v="group B"/>
    <s v="high school"/>
    <s v="standard"/>
    <s v="none"/>
    <n v="57"/>
    <n v="48"/>
    <n v="51"/>
  </r>
  <r>
    <x v="0"/>
    <s v="group D"/>
    <s v="some college"/>
    <s v="standard"/>
    <s v="completed"/>
    <n v="79"/>
    <n v="84"/>
    <n v="91"/>
  </r>
  <r>
    <x v="0"/>
    <s v="group C"/>
    <s v="bachelor's degree"/>
    <s v="free/reduced"/>
    <s v="none"/>
    <n v="67"/>
    <n v="75"/>
    <n v="72"/>
  </r>
  <r>
    <x v="1"/>
    <s v="group E"/>
    <s v="bachelor's degree"/>
    <s v="standard"/>
    <s v="completed"/>
    <n v="70"/>
    <n v="64"/>
    <n v="70"/>
  </r>
  <r>
    <x v="1"/>
    <s v="group D"/>
    <s v="bachelor's degree"/>
    <s v="free/reduced"/>
    <s v="none"/>
    <n v="50"/>
    <n v="42"/>
    <n v="48"/>
  </r>
  <r>
    <x v="0"/>
    <s v="group A"/>
    <s v="some college"/>
    <s v="standard"/>
    <s v="none"/>
    <n v="69"/>
    <n v="84"/>
    <n v="82"/>
  </r>
  <r>
    <x v="0"/>
    <s v="group C"/>
    <s v="bachelor's degree"/>
    <s v="standard"/>
    <s v="completed"/>
    <n v="52"/>
    <n v="61"/>
    <n v="66"/>
  </r>
  <r>
    <x v="0"/>
    <s v="group C"/>
    <s v="bachelor's degree"/>
    <s v="free/reduced"/>
    <s v="completed"/>
    <n v="47"/>
    <n v="62"/>
    <n v="66"/>
  </r>
  <r>
    <x v="0"/>
    <s v="group B"/>
    <s v="associate's degree"/>
    <s v="free/reduced"/>
    <s v="none"/>
    <n v="46"/>
    <n v="61"/>
    <n v="55"/>
  </r>
  <r>
    <x v="0"/>
    <s v="group E"/>
    <s v="some college"/>
    <s v="standard"/>
    <s v="none"/>
    <n v="68"/>
    <n v="70"/>
    <n v="66"/>
  </r>
  <r>
    <x v="1"/>
    <s v="group E"/>
    <s v="bachelor's degree"/>
    <s v="standard"/>
    <s v="completed"/>
    <n v="100"/>
    <n v="100"/>
    <n v="100"/>
  </r>
  <r>
    <x v="0"/>
    <s v="group C"/>
    <s v="high school"/>
    <s v="standard"/>
    <s v="none"/>
    <n v="44"/>
    <n v="61"/>
    <n v="52"/>
  </r>
  <r>
    <x v="0"/>
    <s v="group C"/>
    <s v="associate's degree"/>
    <s v="standard"/>
    <s v="completed"/>
    <n v="57"/>
    <n v="77"/>
    <n v="80"/>
  </r>
  <r>
    <x v="1"/>
    <s v="group B"/>
    <s v="some college"/>
    <s v="standard"/>
    <s v="completed"/>
    <n v="91"/>
    <n v="96"/>
    <n v="91"/>
  </r>
  <r>
    <x v="1"/>
    <s v="group D"/>
    <s v="high school"/>
    <s v="free/reduced"/>
    <s v="none"/>
    <n v="69"/>
    <n v="70"/>
    <n v="67"/>
  </r>
  <r>
    <x v="0"/>
    <s v="group C"/>
    <s v="high school"/>
    <s v="free/reduced"/>
    <s v="none"/>
    <n v="35"/>
    <n v="53"/>
    <n v="46"/>
  </r>
  <r>
    <x v="1"/>
    <s v="group D"/>
    <s v="high school"/>
    <s v="standard"/>
    <s v="none"/>
    <n v="72"/>
    <n v="66"/>
    <n v="66"/>
  </r>
  <r>
    <x v="0"/>
    <s v="group B"/>
    <s v="associate's degree"/>
    <s v="free/reduced"/>
    <s v="none"/>
    <n v="54"/>
    <n v="65"/>
    <n v="65"/>
  </r>
  <r>
    <x v="1"/>
    <s v="group D"/>
    <s v="high school"/>
    <s v="free/reduced"/>
    <s v="none"/>
    <n v="74"/>
    <n v="70"/>
    <n v="69"/>
  </r>
  <r>
    <x v="1"/>
    <s v="group E"/>
    <s v="some high school"/>
    <s v="standard"/>
    <s v="completed"/>
    <n v="74"/>
    <n v="64"/>
    <n v="60"/>
  </r>
  <r>
    <x v="1"/>
    <s v="group E"/>
    <s v="associate's degree"/>
    <s v="free/reduced"/>
    <s v="none"/>
    <n v="64"/>
    <n v="56"/>
    <n v="52"/>
  </r>
  <r>
    <x v="0"/>
    <s v="group D"/>
    <s v="high school"/>
    <s v="free/reduced"/>
    <s v="completed"/>
    <n v="65"/>
    <n v="61"/>
    <n v="71"/>
  </r>
  <r>
    <x v="1"/>
    <s v="group E"/>
    <s v="associate's degree"/>
    <s v="free/reduced"/>
    <s v="completed"/>
    <n v="46"/>
    <n v="43"/>
    <n v="44"/>
  </r>
  <r>
    <x v="0"/>
    <s v="group C"/>
    <s v="some high school"/>
    <s v="free/reduced"/>
    <s v="none"/>
    <n v="48"/>
    <n v="56"/>
    <n v="51"/>
  </r>
  <r>
    <x v="1"/>
    <s v="group C"/>
    <s v="some college"/>
    <s v="free/reduced"/>
    <s v="completed"/>
    <n v="67"/>
    <n v="74"/>
    <n v="70"/>
  </r>
  <r>
    <x v="1"/>
    <s v="group D"/>
    <s v="some college"/>
    <s v="free/reduced"/>
    <s v="none"/>
    <n v="62"/>
    <n v="57"/>
    <n v="62"/>
  </r>
  <r>
    <x v="1"/>
    <s v="group D"/>
    <s v="associate's degree"/>
    <s v="free/reduced"/>
    <s v="completed"/>
    <n v="61"/>
    <n v="71"/>
    <n v="73"/>
  </r>
  <r>
    <x v="1"/>
    <s v="group C"/>
    <s v="bachelor's degree"/>
    <s v="free/reduced"/>
    <s v="completed"/>
    <n v="70"/>
    <n v="75"/>
    <n v="74"/>
  </r>
  <r>
    <x v="1"/>
    <s v="group C"/>
    <s v="associate's degree"/>
    <s v="standard"/>
    <s v="completed"/>
    <n v="98"/>
    <n v="87"/>
    <n v="90"/>
  </r>
  <r>
    <x v="1"/>
    <s v="group D"/>
    <s v="some college"/>
    <s v="free/reduced"/>
    <s v="none"/>
    <n v="70"/>
    <n v="63"/>
    <n v="58"/>
  </r>
  <r>
    <x v="1"/>
    <s v="group A"/>
    <s v="associate's degree"/>
    <s v="standard"/>
    <s v="none"/>
    <n v="67"/>
    <n v="57"/>
    <n v="53"/>
  </r>
  <r>
    <x v="0"/>
    <s v="group E"/>
    <s v="high school"/>
    <s v="free/reduced"/>
    <s v="none"/>
    <n v="57"/>
    <n v="58"/>
    <n v="57"/>
  </r>
  <r>
    <x v="1"/>
    <s v="group D"/>
    <s v="some college"/>
    <s v="standard"/>
    <s v="completed"/>
    <n v="85"/>
    <n v="81"/>
    <n v="85"/>
  </r>
  <r>
    <x v="1"/>
    <s v="group D"/>
    <s v="some high school"/>
    <s v="standard"/>
    <s v="completed"/>
    <n v="77"/>
    <n v="68"/>
    <n v="69"/>
  </r>
  <r>
    <x v="1"/>
    <s v="group C"/>
    <s v="master's degree"/>
    <s v="free/reduced"/>
    <s v="completed"/>
    <n v="72"/>
    <n v="66"/>
    <n v="72"/>
  </r>
  <r>
    <x v="0"/>
    <s v="group D"/>
    <s v="master's degree"/>
    <s v="standard"/>
    <s v="none"/>
    <n v="78"/>
    <n v="91"/>
    <n v="96"/>
  </r>
  <r>
    <x v="1"/>
    <s v="group C"/>
    <s v="high school"/>
    <s v="standard"/>
    <s v="none"/>
    <n v="81"/>
    <n v="66"/>
    <n v="64"/>
  </r>
  <r>
    <x v="1"/>
    <s v="group A"/>
    <s v="some high school"/>
    <s v="free/reduced"/>
    <s v="completed"/>
    <n v="61"/>
    <n v="62"/>
    <n v="61"/>
  </r>
  <r>
    <x v="0"/>
    <s v="group B"/>
    <s v="high school"/>
    <s v="standard"/>
    <s v="none"/>
    <n v="58"/>
    <n v="68"/>
    <n v="61"/>
  </r>
  <r>
    <x v="0"/>
    <s v="group C"/>
    <s v="associate's degree"/>
    <s v="standard"/>
    <s v="none"/>
    <n v="54"/>
    <n v="61"/>
    <n v="58"/>
  </r>
  <r>
    <x v="1"/>
    <s v="group B"/>
    <s v="high school"/>
    <s v="standard"/>
    <s v="none"/>
    <n v="82"/>
    <n v="82"/>
    <n v="80"/>
  </r>
  <r>
    <x v="0"/>
    <s v="group D"/>
    <s v="some college"/>
    <s v="free/reduced"/>
    <s v="none"/>
    <n v="49"/>
    <n v="58"/>
    <n v="60"/>
  </r>
  <r>
    <x v="1"/>
    <s v="group B"/>
    <s v="some high school"/>
    <s v="free/reduced"/>
    <s v="completed"/>
    <n v="49"/>
    <n v="50"/>
    <n v="52"/>
  </r>
  <r>
    <x v="0"/>
    <s v="group E"/>
    <s v="high school"/>
    <s v="free/reduced"/>
    <s v="completed"/>
    <n v="57"/>
    <n v="75"/>
    <n v="73"/>
  </r>
  <r>
    <x v="1"/>
    <s v="group E"/>
    <s v="high school"/>
    <s v="standard"/>
    <s v="none"/>
    <n v="94"/>
    <n v="73"/>
    <n v="71"/>
  </r>
  <r>
    <x v="0"/>
    <s v="group D"/>
    <s v="some college"/>
    <s v="standard"/>
    <s v="completed"/>
    <n v="75"/>
    <n v="77"/>
    <n v="83"/>
  </r>
  <r>
    <x v="0"/>
    <s v="group E"/>
    <s v="some high school"/>
    <s v="free/reduced"/>
    <s v="none"/>
    <n v="74"/>
    <n v="74"/>
    <n v="72"/>
  </r>
  <r>
    <x v="1"/>
    <s v="group C"/>
    <s v="high school"/>
    <s v="standard"/>
    <s v="completed"/>
    <n v="58"/>
    <n v="52"/>
    <n v="54"/>
  </r>
  <r>
    <x v="0"/>
    <s v="group C"/>
    <s v="some college"/>
    <s v="standard"/>
    <s v="none"/>
    <n v="62"/>
    <n v="69"/>
    <n v="69"/>
  </r>
  <r>
    <x v="1"/>
    <s v="group E"/>
    <s v="associate's degree"/>
    <s v="standard"/>
    <s v="none"/>
    <n v="72"/>
    <n v="57"/>
    <n v="62"/>
  </r>
  <r>
    <x v="1"/>
    <s v="group C"/>
    <s v="some college"/>
    <s v="standard"/>
    <s v="none"/>
    <n v="84"/>
    <n v="87"/>
    <n v="81"/>
  </r>
  <r>
    <x v="0"/>
    <s v="group D"/>
    <s v="master's degree"/>
    <s v="standard"/>
    <s v="none"/>
    <n v="92"/>
    <n v="100"/>
    <n v="100"/>
  </r>
  <r>
    <x v="0"/>
    <s v="group D"/>
    <s v="high school"/>
    <s v="standard"/>
    <s v="none"/>
    <n v="45"/>
    <n v="63"/>
    <n v="59"/>
  </r>
  <r>
    <x v="1"/>
    <s v="group C"/>
    <s v="high school"/>
    <s v="standard"/>
    <s v="none"/>
    <n v="75"/>
    <n v="81"/>
    <n v="71"/>
  </r>
  <r>
    <x v="0"/>
    <s v="group A"/>
    <s v="some college"/>
    <s v="standard"/>
    <s v="none"/>
    <n v="56"/>
    <n v="58"/>
    <n v="64"/>
  </r>
  <r>
    <x v="0"/>
    <s v="group D"/>
    <s v="some high school"/>
    <s v="free/reduced"/>
    <s v="none"/>
    <n v="48"/>
    <n v="54"/>
    <n v="53"/>
  </r>
  <r>
    <x v="0"/>
    <s v="group E"/>
    <s v="associate's degree"/>
    <s v="standard"/>
    <s v="none"/>
    <n v="100"/>
    <n v="100"/>
    <n v="100"/>
  </r>
  <r>
    <x v="0"/>
    <s v="group C"/>
    <s v="some high school"/>
    <s v="free/reduced"/>
    <s v="completed"/>
    <n v="65"/>
    <n v="76"/>
    <n v="75"/>
  </r>
  <r>
    <x v="1"/>
    <s v="group D"/>
    <s v="some college"/>
    <s v="standard"/>
    <s v="none"/>
    <n v="72"/>
    <n v="57"/>
    <n v="58"/>
  </r>
  <r>
    <x v="0"/>
    <s v="group D"/>
    <s v="some college"/>
    <s v="standard"/>
    <s v="none"/>
    <n v="62"/>
    <n v="70"/>
    <n v="72"/>
  </r>
  <r>
    <x v="1"/>
    <s v="group A"/>
    <s v="some high school"/>
    <s v="standard"/>
    <s v="completed"/>
    <n v="66"/>
    <n v="68"/>
    <n v="64"/>
  </r>
  <r>
    <x v="1"/>
    <s v="group C"/>
    <s v="some college"/>
    <s v="standard"/>
    <s v="none"/>
    <n v="63"/>
    <n v="63"/>
    <n v="60"/>
  </r>
  <r>
    <x v="0"/>
    <s v="group E"/>
    <s v="associate's degree"/>
    <s v="standard"/>
    <s v="none"/>
    <n v="68"/>
    <n v="76"/>
    <n v="67"/>
  </r>
  <r>
    <x v="0"/>
    <s v="group B"/>
    <s v="bachelor's degree"/>
    <s v="standard"/>
    <s v="none"/>
    <n v="75"/>
    <n v="84"/>
    <n v="80"/>
  </r>
  <r>
    <x v="0"/>
    <s v="group D"/>
    <s v="bachelor's degree"/>
    <s v="standard"/>
    <s v="none"/>
    <n v="89"/>
    <n v="100"/>
    <n v="100"/>
  </r>
  <r>
    <x v="1"/>
    <s v="group C"/>
    <s v="some high school"/>
    <s v="standard"/>
    <s v="completed"/>
    <n v="78"/>
    <n v="72"/>
    <n v="69"/>
  </r>
  <r>
    <x v="0"/>
    <s v="group A"/>
    <s v="high school"/>
    <s v="free/reduced"/>
    <s v="completed"/>
    <n v="53"/>
    <n v="50"/>
    <n v="60"/>
  </r>
  <r>
    <x v="0"/>
    <s v="group D"/>
    <s v="some college"/>
    <s v="free/reduced"/>
    <s v="none"/>
    <n v="49"/>
    <n v="65"/>
    <n v="61"/>
  </r>
  <r>
    <x v="0"/>
    <s v="group A"/>
    <s v="some college"/>
    <s v="standard"/>
    <s v="none"/>
    <n v="54"/>
    <n v="63"/>
    <n v="67"/>
  </r>
  <r>
    <x v="0"/>
    <s v="group C"/>
    <s v="some college"/>
    <s v="standard"/>
    <s v="completed"/>
    <n v="64"/>
    <n v="82"/>
    <n v="77"/>
  </r>
  <r>
    <x v="1"/>
    <s v="group B"/>
    <s v="some college"/>
    <s v="free/reduced"/>
    <s v="completed"/>
    <n v="60"/>
    <n v="62"/>
    <n v="60"/>
  </r>
  <r>
    <x v="1"/>
    <s v="group C"/>
    <s v="associate's degree"/>
    <s v="standard"/>
    <s v="none"/>
    <n v="62"/>
    <n v="65"/>
    <n v="58"/>
  </r>
  <r>
    <x v="1"/>
    <s v="group D"/>
    <s v="high school"/>
    <s v="standard"/>
    <s v="completed"/>
    <n v="55"/>
    <n v="41"/>
    <n v="48"/>
  </r>
  <r>
    <x v="0"/>
    <s v="group C"/>
    <s v="associate's degree"/>
    <s v="standard"/>
    <s v="none"/>
    <n v="91"/>
    <n v="95"/>
    <n v="94"/>
  </r>
  <r>
    <x v="0"/>
    <s v="group B"/>
    <s v="high school"/>
    <s v="free/reduced"/>
    <s v="none"/>
    <n v="8"/>
    <n v="24"/>
    <n v="23"/>
  </r>
  <r>
    <x v="1"/>
    <s v="group D"/>
    <s v="some high school"/>
    <s v="standard"/>
    <s v="none"/>
    <n v="81"/>
    <n v="78"/>
    <n v="78"/>
  </r>
  <r>
    <x v="1"/>
    <s v="group B"/>
    <s v="some high school"/>
    <s v="standard"/>
    <s v="completed"/>
    <n v="79"/>
    <n v="85"/>
    <n v="86"/>
  </r>
  <r>
    <x v="0"/>
    <s v="group A"/>
    <s v="some college"/>
    <s v="standard"/>
    <s v="completed"/>
    <n v="78"/>
    <n v="87"/>
    <n v="91"/>
  </r>
  <r>
    <x v="0"/>
    <s v="group C"/>
    <s v="some high school"/>
    <s v="standard"/>
    <s v="none"/>
    <n v="74"/>
    <n v="75"/>
    <n v="82"/>
  </r>
  <r>
    <x v="1"/>
    <s v="group A"/>
    <s v="high school"/>
    <s v="standard"/>
    <s v="none"/>
    <n v="57"/>
    <n v="51"/>
    <n v="54"/>
  </r>
  <r>
    <x v="0"/>
    <s v="group C"/>
    <s v="associate's degree"/>
    <s v="standard"/>
    <s v="none"/>
    <n v="40"/>
    <n v="59"/>
    <n v="51"/>
  </r>
  <r>
    <x v="1"/>
    <s v="group E"/>
    <s v="some high school"/>
    <s v="standard"/>
    <s v="completed"/>
    <n v="81"/>
    <n v="75"/>
    <n v="76"/>
  </r>
  <r>
    <x v="0"/>
    <s v="group A"/>
    <s v="some high school"/>
    <s v="free/reduced"/>
    <s v="none"/>
    <n v="44"/>
    <n v="45"/>
    <n v="45"/>
  </r>
  <r>
    <x v="0"/>
    <s v="group D"/>
    <s v="some college"/>
    <s v="free/reduced"/>
    <s v="completed"/>
    <n v="67"/>
    <n v="86"/>
    <n v="83"/>
  </r>
  <r>
    <x v="1"/>
    <s v="group E"/>
    <s v="high school"/>
    <s v="free/reduced"/>
    <s v="completed"/>
    <n v="86"/>
    <n v="81"/>
    <n v="75"/>
  </r>
  <r>
    <x v="0"/>
    <s v="group B"/>
    <s v="some high school"/>
    <s v="standard"/>
    <s v="completed"/>
    <n v="65"/>
    <n v="82"/>
    <n v="78"/>
  </r>
  <r>
    <x v="0"/>
    <s v="group D"/>
    <s v="associate's degree"/>
    <s v="free/reduced"/>
    <s v="none"/>
    <n v="55"/>
    <n v="76"/>
    <n v="76"/>
  </r>
  <r>
    <x v="0"/>
    <s v="group D"/>
    <s v="bachelor's degree"/>
    <s v="free/reduced"/>
    <s v="none"/>
    <n v="62"/>
    <n v="72"/>
    <n v="74"/>
  </r>
  <r>
    <x v="1"/>
    <s v="group A"/>
    <s v="high school"/>
    <s v="standard"/>
    <s v="none"/>
    <n v="63"/>
    <n v="63"/>
    <n v="62"/>
  </r>
  <r>
    <x v="0"/>
    <s v="group E"/>
    <s v="master's degree"/>
    <s v="standard"/>
    <s v="completed"/>
    <n v="88"/>
    <n v="99"/>
    <n v="95"/>
  </r>
  <r>
    <x v="1"/>
    <s v="group C"/>
    <s v="high school"/>
    <s v="free/reduced"/>
    <s v="none"/>
    <n v="62"/>
    <n v="55"/>
    <n v="55"/>
  </r>
  <r>
    <x v="0"/>
    <s v="group C"/>
    <s v="high school"/>
    <s v="free/reduced"/>
    <s v="completed"/>
    <n v="59"/>
    <n v="71"/>
    <n v="65"/>
  </r>
  <r>
    <x v="0"/>
    <s v="group D"/>
    <s v="some college"/>
    <s v="standard"/>
    <s v="completed"/>
    <n v="68"/>
    <n v="78"/>
    <n v="77"/>
  </r>
  <r>
    <x v="0"/>
    <s v="group D"/>
    <s v="some college"/>
    <s v="free/reduced"/>
    <s v="none"/>
    <n v="77"/>
    <n v="86"/>
    <n v="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s v="none"/>
    <x v="0"/>
    <n v="72"/>
    <n v="74"/>
  </r>
  <r>
    <x v="0"/>
    <x v="1"/>
    <x v="1"/>
    <s v="standard"/>
    <s v="completed"/>
    <x v="1"/>
    <n v="90"/>
    <n v="88"/>
  </r>
  <r>
    <x v="0"/>
    <x v="0"/>
    <x v="2"/>
    <s v="standard"/>
    <s v="none"/>
    <x v="2"/>
    <n v="95"/>
    <n v="93"/>
  </r>
  <r>
    <x v="1"/>
    <x v="2"/>
    <x v="3"/>
    <s v="free/reduced"/>
    <s v="none"/>
    <x v="3"/>
    <n v="57"/>
    <n v="44"/>
  </r>
  <r>
    <x v="1"/>
    <x v="1"/>
    <x v="1"/>
    <s v="standard"/>
    <s v="none"/>
    <x v="4"/>
    <n v="78"/>
    <n v="75"/>
  </r>
  <r>
    <x v="0"/>
    <x v="0"/>
    <x v="3"/>
    <s v="standard"/>
    <s v="none"/>
    <x v="5"/>
    <n v="83"/>
    <n v="78"/>
  </r>
  <r>
    <x v="0"/>
    <x v="0"/>
    <x v="1"/>
    <s v="standard"/>
    <s v="completed"/>
    <x v="6"/>
    <n v="95"/>
    <n v="92"/>
  </r>
  <r>
    <x v="1"/>
    <x v="0"/>
    <x v="1"/>
    <s v="free/reduced"/>
    <s v="none"/>
    <x v="7"/>
    <n v="43"/>
    <n v="39"/>
  </r>
  <r>
    <x v="1"/>
    <x v="3"/>
    <x v="4"/>
    <s v="free/reduced"/>
    <s v="completed"/>
    <x v="8"/>
    <n v="64"/>
    <n v="67"/>
  </r>
  <r>
    <x v="0"/>
    <x v="0"/>
    <x v="4"/>
    <s v="free/reduced"/>
    <s v="none"/>
    <x v="9"/>
    <n v="60"/>
    <n v="50"/>
  </r>
  <r>
    <x v="1"/>
    <x v="1"/>
    <x v="3"/>
    <s v="standard"/>
    <s v="none"/>
    <x v="10"/>
    <n v="54"/>
    <n v="52"/>
  </r>
  <r>
    <x v="1"/>
    <x v="3"/>
    <x v="3"/>
    <s v="standard"/>
    <s v="none"/>
    <x v="7"/>
    <n v="52"/>
    <n v="43"/>
  </r>
  <r>
    <x v="0"/>
    <x v="0"/>
    <x v="4"/>
    <s v="standard"/>
    <s v="none"/>
    <x v="11"/>
    <n v="81"/>
    <n v="73"/>
  </r>
  <r>
    <x v="1"/>
    <x v="2"/>
    <x v="1"/>
    <s v="standard"/>
    <s v="completed"/>
    <x v="12"/>
    <n v="72"/>
    <n v="70"/>
  </r>
  <r>
    <x v="0"/>
    <x v="2"/>
    <x v="2"/>
    <s v="standard"/>
    <s v="none"/>
    <x v="13"/>
    <n v="53"/>
    <n v="58"/>
  </r>
  <r>
    <x v="0"/>
    <x v="1"/>
    <x v="5"/>
    <s v="standard"/>
    <s v="none"/>
    <x v="1"/>
    <n v="75"/>
    <n v="78"/>
  </r>
  <r>
    <x v="1"/>
    <x v="1"/>
    <x v="4"/>
    <s v="standard"/>
    <s v="none"/>
    <x v="6"/>
    <n v="89"/>
    <n v="86"/>
  </r>
  <r>
    <x v="0"/>
    <x v="0"/>
    <x v="5"/>
    <s v="free/reduced"/>
    <s v="none"/>
    <x v="14"/>
    <n v="32"/>
    <n v="28"/>
  </r>
  <r>
    <x v="1"/>
    <x v="1"/>
    <x v="2"/>
    <s v="free/reduced"/>
    <s v="completed"/>
    <x v="15"/>
    <n v="42"/>
    <n v="46"/>
  </r>
  <r>
    <x v="0"/>
    <x v="1"/>
    <x v="3"/>
    <s v="free/reduced"/>
    <s v="none"/>
    <x v="16"/>
    <n v="58"/>
    <n v="61"/>
  </r>
  <r>
    <x v="1"/>
    <x v="3"/>
    <x v="4"/>
    <s v="standard"/>
    <s v="none"/>
    <x v="17"/>
    <n v="69"/>
    <n v="63"/>
  </r>
  <r>
    <x v="0"/>
    <x v="0"/>
    <x v="1"/>
    <s v="free/reduced"/>
    <s v="completed"/>
    <x v="11"/>
    <n v="75"/>
    <n v="70"/>
  </r>
  <r>
    <x v="1"/>
    <x v="3"/>
    <x v="1"/>
    <s v="standard"/>
    <s v="none"/>
    <x v="18"/>
    <n v="54"/>
    <n v="53"/>
  </r>
  <r>
    <x v="0"/>
    <x v="1"/>
    <x v="5"/>
    <s v="standard"/>
    <s v="none"/>
    <x v="1"/>
    <n v="73"/>
    <n v="73"/>
  </r>
  <r>
    <x v="1"/>
    <x v="3"/>
    <x v="0"/>
    <s v="free/reduced"/>
    <s v="completed"/>
    <x v="19"/>
    <n v="71"/>
    <n v="80"/>
  </r>
  <r>
    <x v="1"/>
    <x v="2"/>
    <x v="2"/>
    <s v="free/reduced"/>
    <s v="none"/>
    <x v="20"/>
    <n v="74"/>
    <n v="72"/>
  </r>
  <r>
    <x v="1"/>
    <x v="0"/>
    <x v="1"/>
    <s v="standard"/>
    <s v="none"/>
    <x v="1"/>
    <n v="54"/>
    <n v="55"/>
  </r>
  <r>
    <x v="0"/>
    <x v="1"/>
    <x v="0"/>
    <s v="standard"/>
    <s v="none"/>
    <x v="21"/>
    <n v="69"/>
    <n v="75"/>
  </r>
  <r>
    <x v="1"/>
    <x v="1"/>
    <x v="4"/>
    <s v="standard"/>
    <s v="none"/>
    <x v="22"/>
    <n v="70"/>
    <n v="65"/>
  </r>
  <r>
    <x v="0"/>
    <x v="3"/>
    <x v="2"/>
    <s v="standard"/>
    <s v="none"/>
    <x v="23"/>
    <n v="70"/>
    <n v="75"/>
  </r>
  <r>
    <x v="0"/>
    <x v="3"/>
    <x v="1"/>
    <s v="standard"/>
    <s v="none"/>
    <x v="1"/>
    <n v="74"/>
    <n v="74"/>
  </r>
  <r>
    <x v="0"/>
    <x v="0"/>
    <x v="1"/>
    <s v="standard"/>
    <s v="none"/>
    <x v="24"/>
    <n v="65"/>
    <n v="61"/>
  </r>
  <r>
    <x v="0"/>
    <x v="4"/>
    <x v="2"/>
    <s v="free/reduced"/>
    <s v="none"/>
    <x v="25"/>
    <n v="72"/>
    <n v="65"/>
  </r>
  <r>
    <x v="1"/>
    <x v="3"/>
    <x v="1"/>
    <s v="standard"/>
    <s v="none"/>
    <x v="7"/>
    <n v="42"/>
    <n v="38"/>
  </r>
  <r>
    <x v="1"/>
    <x v="4"/>
    <x v="1"/>
    <s v="standard"/>
    <s v="none"/>
    <x v="26"/>
    <n v="87"/>
    <n v="82"/>
  </r>
  <r>
    <x v="1"/>
    <x v="4"/>
    <x v="3"/>
    <s v="standard"/>
    <s v="completed"/>
    <x v="27"/>
    <n v="81"/>
    <n v="79"/>
  </r>
  <r>
    <x v="0"/>
    <x v="3"/>
    <x v="3"/>
    <s v="standard"/>
    <s v="none"/>
    <x v="19"/>
    <n v="81"/>
    <n v="83"/>
  </r>
  <r>
    <x v="0"/>
    <x v="3"/>
    <x v="5"/>
    <s v="free/reduced"/>
    <s v="none"/>
    <x v="13"/>
    <n v="64"/>
    <n v="59"/>
  </r>
  <r>
    <x v="0"/>
    <x v="3"/>
    <x v="3"/>
    <s v="free/reduced"/>
    <s v="completed"/>
    <x v="28"/>
    <n v="90"/>
    <n v="88"/>
  </r>
  <r>
    <x v="1"/>
    <x v="0"/>
    <x v="3"/>
    <s v="free/reduced"/>
    <s v="none"/>
    <x v="29"/>
    <n v="56"/>
    <n v="57"/>
  </r>
  <r>
    <x v="1"/>
    <x v="1"/>
    <x v="3"/>
    <s v="free/reduced"/>
    <s v="none"/>
    <x v="30"/>
    <n v="61"/>
    <n v="54"/>
  </r>
  <r>
    <x v="0"/>
    <x v="1"/>
    <x v="3"/>
    <s v="standard"/>
    <s v="none"/>
    <x v="10"/>
    <n v="73"/>
    <n v="68"/>
  </r>
  <r>
    <x v="0"/>
    <x v="0"/>
    <x v="3"/>
    <s v="standard"/>
    <s v="none"/>
    <x v="31"/>
    <n v="58"/>
    <n v="65"/>
  </r>
  <r>
    <x v="1"/>
    <x v="0"/>
    <x v="1"/>
    <s v="free/reduced"/>
    <s v="completed"/>
    <x v="32"/>
    <n v="65"/>
    <n v="66"/>
  </r>
  <r>
    <x v="0"/>
    <x v="4"/>
    <x v="3"/>
    <s v="free/reduced"/>
    <s v="none"/>
    <x v="13"/>
    <n v="56"/>
    <n v="54"/>
  </r>
  <r>
    <x v="1"/>
    <x v="0"/>
    <x v="3"/>
    <s v="standard"/>
    <s v="none"/>
    <x v="11"/>
    <n v="54"/>
    <n v="57"/>
  </r>
  <r>
    <x v="0"/>
    <x v="2"/>
    <x v="3"/>
    <s v="standard"/>
    <s v="completed"/>
    <x v="30"/>
    <n v="65"/>
    <n v="62"/>
  </r>
  <r>
    <x v="0"/>
    <x v="1"/>
    <x v="4"/>
    <s v="standard"/>
    <s v="none"/>
    <x v="17"/>
    <n v="71"/>
    <n v="76"/>
  </r>
  <r>
    <x v="0"/>
    <x v="3"/>
    <x v="3"/>
    <s v="free/reduced"/>
    <s v="completed"/>
    <x v="29"/>
    <n v="74"/>
    <n v="76"/>
  </r>
  <r>
    <x v="1"/>
    <x v="1"/>
    <x v="4"/>
    <s v="standard"/>
    <s v="completed"/>
    <x v="33"/>
    <n v="84"/>
    <n v="82"/>
  </r>
  <r>
    <x v="1"/>
    <x v="4"/>
    <x v="1"/>
    <s v="standard"/>
    <s v="none"/>
    <x v="31"/>
    <n v="55"/>
    <n v="48"/>
  </r>
  <r>
    <x v="1"/>
    <x v="4"/>
    <x v="3"/>
    <s v="free/reduced"/>
    <s v="completed"/>
    <x v="34"/>
    <n v="69"/>
    <n v="68"/>
  </r>
  <r>
    <x v="1"/>
    <x v="1"/>
    <x v="1"/>
    <s v="standard"/>
    <s v="none"/>
    <x v="31"/>
    <n v="44"/>
    <n v="42"/>
  </r>
  <r>
    <x v="1"/>
    <x v="3"/>
    <x v="4"/>
    <s v="standard"/>
    <s v="none"/>
    <x v="6"/>
    <n v="78"/>
    <n v="75"/>
  </r>
  <r>
    <x v="0"/>
    <x v="1"/>
    <x v="5"/>
    <s v="free/reduced"/>
    <s v="completed"/>
    <x v="5"/>
    <n v="84"/>
    <n v="87"/>
  </r>
  <r>
    <x v="0"/>
    <x v="1"/>
    <x v="4"/>
    <s v="free/reduced"/>
    <s v="none"/>
    <x v="35"/>
    <n v="41"/>
    <n v="43"/>
  </r>
  <r>
    <x v="0"/>
    <x v="4"/>
    <x v="3"/>
    <s v="standard"/>
    <s v="completed"/>
    <x v="33"/>
    <n v="85"/>
    <n v="86"/>
  </r>
  <r>
    <x v="1"/>
    <x v="3"/>
    <x v="3"/>
    <s v="standard"/>
    <s v="none"/>
    <x v="36"/>
    <n v="55"/>
    <n v="49"/>
  </r>
  <r>
    <x v="1"/>
    <x v="3"/>
    <x v="1"/>
    <s v="standard"/>
    <s v="completed"/>
    <x v="10"/>
    <n v="59"/>
    <n v="58"/>
  </r>
  <r>
    <x v="0"/>
    <x v="1"/>
    <x v="5"/>
    <s v="free/reduced"/>
    <s v="none"/>
    <x v="37"/>
    <n v="17"/>
    <n v="10"/>
  </r>
  <r>
    <x v="1"/>
    <x v="4"/>
    <x v="0"/>
    <s v="free/reduced"/>
    <s v="completed"/>
    <x v="38"/>
    <n v="74"/>
    <n v="72"/>
  </r>
  <r>
    <x v="1"/>
    <x v="2"/>
    <x v="5"/>
    <s v="free/reduced"/>
    <s v="none"/>
    <x v="39"/>
    <n v="39"/>
    <n v="34"/>
  </r>
  <r>
    <x v="1"/>
    <x v="2"/>
    <x v="3"/>
    <s v="free/reduced"/>
    <s v="none"/>
    <x v="23"/>
    <n v="61"/>
    <n v="55"/>
  </r>
  <r>
    <x v="0"/>
    <x v="1"/>
    <x v="3"/>
    <s v="standard"/>
    <s v="none"/>
    <x v="1"/>
    <n v="80"/>
    <n v="71"/>
  </r>
  <r>
    <x v="0"/>
    <x v="3"/>
    <x v="5"/>
    <s v="standard"/>
    <s v="none"/>
    <x v="32"/>
    <n v="58"/>
    <n v="59"/>
  </r>
  <r>
    <x v="1"/>
    <x v="0"/>
    <x v="5"/>
    <s v="standard"/>
    <s v="none"/>
    <x v="21"/>
    <n v="64"/>
    <n v="61"/>
  </r>
  <r>
    <x v="1"/>
    <x v="3"/>
    <x v="5"/>
    <s v="free/reduced"/>
    <s v="none"/>
    <x v="40"/>
    <n v="37"/>
    <n v="37"/>
  </r>
  <r>
    <x v="0"/>
    <x v="1"/>
    <x v="1"/>
    <s v="standard"/>
    <s v="none"/>
    <x v="41"/>
    <n v="72"/>
    <n v="74"/>
  </r>
  <r>
    <x v="1"/>
    <x v="0"/>
    <x v="3"/>
    <s v="free/reduced"/>
    <s v="none"/>
    <x v="42"/>
    <n v="58"/>
    <n v="56"/>
  </r>
  <r>
    <x v="0"/>
    <x v="1"/>
    <x v="3"/>
    <s v="standard"/>
    <s v="none"/>
    <x v="39"/>
    <n v="64"/>
    <n v="57"/>
  </r>
  <r>
    <x v="0"/>
    <x v="3"/>
    <x v="1"/>
    <s v="free/reduced"/>
    <s v="completed"/>
    <x v="10"/>
    <n v="63"/>
    <n v="73"/>
  </r>
  <r>
    <x v="1"/>
    <x v="3"/>
    <x v="1"/>
    <s v="standard"/>
    <s v="completed"/>
    <x v="24"/>
    <n v="55"/>
    <n v="63"/>
  </r>
  <r>
    <x v="0"/>
    <x v="2"/>
    <x v="3"/>
    <s v="free/reduced"/>
    <s v="none"/>
    <x v="43"/>
    <n v="51"/>
    <n v="48"/>
  </r>
  <r>
    <x v="1"/>
    <x v="1"/>
    <x v="5"/>
    <s v="free/reduced"/>
    <s v="none"/>
    <x v="42"/>
    <n v="57"/>
    <n v="56"/>
  </r>
  <r>
    <x v="1"/>
    <x v="1"/>
    <x v="5"/>
    <s v="standard"/>
    <s v="none"/>
    <x v="44"/>
    <n v="49"/>
    <n v="41"/>
  </r>
  <r>
    <x v="1"/>
    <x v="0"/>
    <x v="3"/>
    <s v="free/reduced"/>
    <s v="none"/>
    <x v="18"/>
    <n v="41"/>
    <n v="38"/>
  </r>
  <r>
    <x v="1"/>
    <x v="4"/>
    <x v="5"/>
    <s v="standard"/>
    <s v="none"/>
    <x v="45"/>
    <n v="26"/>
    <n v="22"/>
  </r>
  <r>
    <x v="1"/>
    <x v="2"/>
    <x v="0"/>
    <s v="standard"/>
    <s v="completed"/>
    <x v="46"/>
    <n v="78"/>
    <n v="81"/>
  </r>
  <r>
    <x v="0"/>
    <x v="3"/>
    <x v="5"/>
    <s v="standard"/>
    <s v="completed"/>
    <x v="42"/>
    <n v="74"/>
    <n v="72"/>
  </r>
  <r>
    <x v="0"/>
    <x v="4"/>
    <x v="2"/>
    <s v="standard"/>
    <s v="none"/>
    <x v="23"/>
    <n v="68"/>
    <n v="68"/>
  </r>
  <r>
    <x v="0"/>
    <x v="0"/>
    <x v="3"/>
    <s v="standard"/>
    <s v="none"/>
    <x v="3"/>
    <n v="49"/>
    <n v="50"/>
  </r>
  <r>
    <x v="1"/>
    <x v="0"/>
    <x v="4"/>
    <s v="free/reduced"/>
    <s v="none"/>
    <x v="44"/>
    <n v="45"/>
    <n v="45"/>
  </r>
  <r>
    <x v="1"/>
    <x v="2"/>
    <x v="1"/>
    <s v="free/reduced"/>
    <s v="completed"/>
    <x v="13"/>
    <n v="47"/>
    <n v="54"/>
  </r>
  <r>
    <x v="1"/>
    <x v="4"/>
    <x v="3"/>
    <s v="standard"/>
    <s v="none"/>
    <x v="0"/>
    <n v="64"/>
    <n v="63"/>
  </r>
  <r>
    <x v="1"/>
    <x v="3"/>
    <x v="4"/>
    <s v="free/reduced"/>
    <s v="none"/>
    <x v="47"/>
    <n v="39"/>
    <n v="34"/>
  </r>
  <r>
    <x v="0"/>
    <x v="1"/>
    <x v="1"/>
    <s v="standard"/>
    <s v="none"/>
    <x v="20"/>
    <n v="80"/>
    <n v="82"/>
  </r>
  <r>
    <x v="0"/>
    <x v="1"/>
    <x v="1"/>
    <s v="free/reduced"/>
    <s v="none"/>
    <x v="4"/>
    <n v="83"/>
    <n v="88"/>
  </r>
  <r>
    <x v="0"/>
    <x v="3"/>
    <x v="3"/>
    <s v="standard"/>
    <s v="none"/>
    <x v="5"/>
    <n v="71"/>
    <n v="74"/>
  </r>
  <r>
    <x v="0"/>
    <x v="2"/>
    <x v="1"/>
    <s v="standard"/>
    <s v="none"/>
    <x v="10"/>
    <n v="70"/>
    <n v="67"/>
  </r>
  <r>
    <x v="0"/>
    <x v="3"/>
    <x v="5"/>
    <s v="standard"/>
    <s v="none"/>
    <x v="20"/>
    <n v="86"/>
    <n v="82"/>
  </r>
  <r>
    <x v="0"/>
    <x v="1"/>
    <x v="0"/>
    <s v="standard"/>
    <s v="none"/>
    <x v="11"/>
    <n v="72"/>
    <n v="74"/>
  </r>
  <r>
    <x v="1"/>
    <x v="1"/>
    <x v="4"/>
    <s v="free/reduced"/>
    <s v="none"/>
    <x v="48"/>
    <n v="34"/>
    <n v="36"/>
  </r>
  <r>
    <x v="1"/>
    <x v="1"/>
    <x v="4"/>
    <s v="standard"/>
    <s v="none"/>
    <x v="5"/>
    <n v="79"/>
    <n v="71"/>
  </r>
  <r>
    <x v="1"/>
    <x v="1"/>
    <x v="3"/>
    <s v="free/reduced"/>
    <s v="completed"/>
    <x v="49"/>
    <n v="45"/>
    <n v="50"/>
  </r>
  <r>
    <x v="0"/>
    <x v="0"/>
    <x v="1"/>
    <s v="standard"/>
    <s v="none"/>
    <x v="38"/>
    <n v="86"/>
    <n v="92"/>
  </r>
  <r>
    <x v="1"/>
    <x v="1"/>
    <x v="3"/>
    <s v="free/reduced"/>
    <s v="completed"/>
    <x v="12"/>
    <n v="81"/>
    <n v="82"/>
  </r>
  <r>
    <x v="1"/>
    <x v="0"/>
    <x v="5"/>
    <s v="standard"/>
    <s v="completed"/>
    <x v="11"/>
    <n v="66"/>
    <n v="62"/>
  </r>
  <r>
    <x v="0"/>
    <x v="4"/>
    <x v="1"/>
    <s v="standard"/>
    <s v="completed"/>
    <x v="24"/>
    <n v="72"/>
    <n v="70"/>
  </r>
  <r>
    <x v="0"/>
    <x v="3"/>
    <x v="1"/>
    <s v="free/reduced"/>
    <s v="none"/>
    <x v="10"/>
    <n v="67"/>
    <n v="62"/>
  </r>
  <r>
    <x v="0"/>
    <x v="3"/>
    <x v="0"/>
    <s v="standard"/>
    <s v="none"/>
    <x v="11"/>
    <n v="67"/>
    <n v="62"/>
  </r>
  <r>
    <x v="1"/>
    <x v="0"/>
    <x v="1"/>
    <s v="standard"/>
    <s v="none"/>
    <x v="38"/>
    <n v="67"/>
    <n v="67"/>
  </r>
  <r>
    <x v="1"/>
    <x v="3"/>
    <x v="0"/>
    <s v="standard"/>
    <s v="completed"/>
    <x v="50"/>
    <n v="74"/>
    <n v="74"/>
  </r>
  <r>
    <x v="0"/>
    <x v="3"/>
    <x v="3"/>
    <s v="standard"/>
    <s v="none"/>
    <x v="51"/>
    <n v="91"/>
    <n v="89"/>
  </r>
  <r>
    <x v="1"/>
    <x v="0"/>
    <x v="4"/>
    <s v="standard"/>
    <s v="completed"/>
    <x v="41"/>
    <n v="44"/>
    <n v="47"/>
  </r>
  <r>
    <x v="1"/>
    <x v="1"/>
    <x v="1"/>
    <s v="standard"/>
    <s v="completed"/>
    <x v="52"/>
    <n v="86"/>
    <n v="90"/>
  </r>
  <r>
    <x v="0"/>
    <x v="1"/>
    <x v="1"/>
    <s v="standard"/>
    <s v="none"/>
    <x v="10"/>
    <n v="67"/>
    <n v="72"/>
  </r>
  <r>
    <x v="0"/>
    <x v="3"/>
    <x v="2"/>
    <s v="standard"/>
    <s v="none"/>
    <x v="53"/>
    <n v="100"/>
    <n v="100"/>
  </r>
  <r>
    <x v="1"/>
    <x v="4"/>
    <x v="3"/>
    <s v="standard"/>
    <s v="completed"/>
    <x v="17"/>
    <n v="63"/>
    <n v="64"/>
  </r>
  <r>
    <x v="0"/>
    <x v="0"/>
    <x v="3"/>
    <s v="free/reduced"/>
    <s v="none"/>
    <x v="36"/>
    <n v="76"/>
    <n v="70"/>
  </r>
  <r>
    <x v="0"/>
    <x v="0"/>
    <x v="5"/>
    <s v="standard"/>
    <s v="none"/>
    <x v="22"/>
    <n v="64"/>
    <n v="72"/>
  </r>
  <r>
    <x v="0"/>
    <x v="3"/>
    <x v="3"/>
    <s v="free/reduced"/>
    <s v="completed"/>
    <x v="34"/>
    <n v="89"/>
    <n v="98"/>
  </r>
  <r>
    <x v="1"/>
    <x v="1"/>
    <x v="4"/>
    <s v="standard"/>
    <s v="none"/>
    <x v="23"/>
    <n v="55"/>
    <n v="49"/>
  </r>
  <r>
    <x v="1"/>
    <x v="2"/>
    <x v="3"/>
    <s v="standard"/>
    <s v="none"/>
    <x v="16"/>
    <n v="53"/>
    <n v="47"/>
  </r>
  <r>
    <x v="0"/>
    <x v="3"/>
    <x v="1"/>
    <s v="standard"/>
    <s v="none"/>
    <x v="54"/>
    <n v="58"/>
    <n v="54"/>
  </r>
  <r>
    <x v="0"/>
    <x v="4"/>
    <x v="0"/>
    <s v="standard"/>
    <s v="completed"/>
    <x v="55"/>
    <n v="100"/>
    <n v="100"/>
  </r>
  <r>
    <x v="1"/>
    <x v="1"/>
    <x v="4"/>
    <s v="standard"/>
    <s v="none"/>
    <x v="56"/>
    <n v="77"/>
    <n v="74"/>
  </r>
  <r>
    <x v="0"/>
    <x v="0"/>
    <x v="0"/>
    <s v="free/reduced"/>
    <s v="none"/>
    <x v="28"/>
    <n v="85"/>
    <n v="82"/>
  </r>
  <r>
    <x v="0"/>
    <x v="3"/>
    <x v="0"/>
    <s v="standard"/>
    <s v="none"/>
    <x v="12"/>
    <n v="82"/>
    <n v="79"/>
  </r>
  <r>
    <x v="0"/>
    <x v="3"/>
    <x v="5"/>
    <s v="standard"/>
    <s v="none"/>
    <x v="54"/>
    <n v="63"/>
    <n v="61"/>
  </r>
  <r>
    <x v="0"/>
    <x v="1"/>
    <x v="1"/>
    <s v="standard"/>
    <s v="none"/>
    <x v="30"/>
    <n v="69"/>
    <n v="65"/>
  </r>
  <r>
    <x v="0"/>
    <x v="1"/>
    <x v="0"/>
    <s v="standard"/>
    <s v="completed"/>
    <x v="38"/>
    <n v="92"/>
    <n v="89"/>
  </r>
  <r>
    <x v="1"/>
    <x v="0"/>
    <x v="3"/>
    <s v="standard"/>
    <s v="completed"/>
    <x v="57"/>
    <n v="89"/>
    <n v="92"/>
  </r>
  <r>
    <x v="0"/>
    <x v="1"/>
    <x v="1"/>
    <s v="standard"/>
    <s v="completed"/>
    <x v="6"/>
    <n v="93"/>
    <n v="93"/>
  </r>
  <r>
    <x v="1"/>
    <x v="3"/>
    <x v="4"/>
    <s v="free/reduced"/>
    <s v="none"/>
    <x v="24"/>
    <n v="57"/>
    <n v="56"/>
  </r>
  <r>
    <x v="1"/>
    <x v="4"/>
    <x v="1"/>
    <s v="standard"/>
    <s v="none"/>
    <x v="58"/>
    <n v="80"/>
    <n v="73"/>
  </r>
  <r>
    <x v="0"/>
    <x v="0"/>
    <x v="4"/>
    <s v="standard"/>
    <s v="none"/>
    <x v="53"/>
    <n v="95"/>
    <n v="86"/>
  </r>
  <r>
    <x v="1"/>
    <x v="0"/>
    <x v="5"/>
    <s v="standard"/>
    <s v="none"/>
    <x v="0"/>
    <n v="68"/>
    <n v="67"/>
  </r>
  <r>
    <x v="1"/>
    <x v="3"/>
    <x v="1"/>
    <s v="standard"/>
    <s v="completed"/>
    <x v="11"/>
    <n v="77"/>
    <n v="74"/>
  </r>
  <r>
    <x v="1"/>
    <x v="3"/>
    <x v="2"/>
    <s v="standard"/>
    <s v="none"/>
    <x v="33"/>
    <n v="82"/>
    <n v="74"/>
  </r>
  <r>
    <x v="0"/>
    <x v="2"/>
    <x v="0"/>
    <s v="standard"/>
    <s v="none"/>
    <x v="54"/>
    <n v="49"/>
    <n v="51"/>
  </r>
  <r>
    <x v="1"/>
    <x v="3"/>
    <x v="2"/>
    <s v="standard"/>
    <s v="none"/>
    <x v="59"/>
    <n v="84"/>
    <n v="82"/>
  </r>
  <r>
    <x v="1"/>
    <x v="1"/>
    <x v="5"/>
    <s v="free/reduced"/>
    <s v="completed"/>
    <x v="31"/>
    <n v="37"/>
    <n v="40"/>
  </r>
  <r>
    <x v="1"/>
    <x v="4"/>
    <x v="1"/>
    <s v="free/reduced"/>
    <s v="completed"/>
    <x v="53"/>
    <n v="74"/>
    <n v="70"/>
  </r>
  <r>
    <x v="0"/>
    <x v="1"/>
    <x v="1"/>
    <s v="standard"/>
    <s v="completed"/>
    <x v="28"/>
    <n v="81"/>
    <n v="84"/>
  </r>
  <r>
    <x v="1"/>
    <x v="3"/>
    <x v="0"/>
    <s v="free/reduced"/>
    <s v="completed"/>
    <x v="19"/>
    <n v="79"/>
    <n v="75"/>
  </r>
  <r>
    <x v="1"/>
    <x v="1"/>
    <x v="0"/>
    <s v="standard"/>
    <s v="none"/>
    <x v="10"/>
    <n v="55"/>
    <n v="48"/>
  </r>
  <r>
    <x v="1"/>
    <x v="0"/>
    <x v="5"/>
    <s v="standard"/>
    <s v="completed"/>
    <x v="54"/>
    <n v="54"/>
    <n v="41"/>
  </r>
  <r>
    <x v="1"/>
    <x v="4"/>
    <x v="4"/>
    <s v="standard"/>
    <s v="none"/>
    <x v="22"/>
    <n v="55"/>
    <n v="56"/>
  </r>
  <r>
    <x v="0"/>
    <x v="1"/>
    <x v="3"/>
    <s v="standard"/>
    <s v="none"/>
    <x v="32"/>
    <n v="66"/>
    <n v="67"/>
  </r>
  <r>
    <x v="1"/>
    <x v="3"/>
    <x v="1"/>
    <s v="standard"/>
    <s v="completed"/>
    <x v="5"/>
    <n v="61"/>
    <n v="69"/>
  </r>
  <r>
    <x v="0"/>
    <x v="3"/>
    <x v="5"/>
    <s v="standard"/>
    <s v="none"/>
    <x v="4"/>
    <n v="72"/>
    <n v="71"/>
  </r>
  <r>
    <x v="0"/>
    <x v="1"/>
    <x v="1"/>
    <s v="free/reduced"/>
    <s v="none"/>
    <x v="32"/>
    <n v="62"/>
    <n v="64"/>
  </r>
  <r>
    <x v="0"/>
    <x v="4"/>
    <x v="1"/>
    <s v="free/reduced"/>
    <s v="completed"/>
    <x v="47"/>
    <n v="55"/>
    <n v="54"/>
  </r>
  <r>
    <x v="1"/>
    <x v="2"/>
    <x v="4"/>
    <s v="standard"/>
    <s v="none"/>
    <x v="29"/>
    <n v="43"/>
    <n v="47"/>
  </r>
  <r>
    <x v="1"/>
    <x v="3"/>
    <x v="1"/>
    <s v="standard"/>
    <s v="none"/>
    <x v="6"/>
    <n v="73"/>
    <n v="78"/>
  </r>
  <r>
    <x v="0"/>
    <x v="1"/>
    <x v="1"/>
    <s v="free/reduced"/>
    <s v="none"/>
    <x v="60"/>
    <n v="39"/>
    <n v="33"/>
  </r>
  <r>
    <x v="1"/>
    <x v="0"/>
    <x v="5"/>
    <s v="standard"/>
    <s v="none"/>
    <x v="6"/>
    <n v="84"/>
    <n v="75"/>
  </r>
  <r>
    <x v="1"/>
    <x v="1"/>
    <x v="3"/>
    <s v="free/reduced"/>
    <s v="none"/>
    <x v="20"/>
    <n v="68"/>
    <n v="66"/>
  </r>
  <r>
    <x v="0"/>
    <x v="3"/>
    <x v="0"/>
    <s v="standard"/>
    <s v="completed"/>
    <x v="50"/>
    <n v="75"/>
    <n v="81"/>
  </r>
  <r>
    <x v="1"/>
    <x v="4"/>
    <x v="3"/>
    <s v="free/reduced"/>
    <s v="completed"/>
    <x v="61"/>
    <n v="100"/>
    <n v="93"/>
  </r>
  <r>
    <x v="1"/>
    <x v="2"/>
    <x v="5"/>
    <s v="standard"/>
    <s v="completed"/>
    <x v="23"/>
    <n v="67"/>
    <n v="69"/>
  </r>
  <r>
    <x v="1"/>
    <x v="2"/>
    <x v="0"/>
    <s v="standard"/>
    <s v="none"/>
    <x v="34"/>
    <n v="67"/>
    <n v="68"/>
  </r>
  <r>
    <x v="0"/>
    <x v="0"/>
    <x v="3"/>
    <s v="standard"/>
    <s v="completed"/>
    <x v="32"/>
    <n v="70"/>
    <n v="66"/>
  </r>
  <r>
    <x v="1"/>
    <x v="3"/>
    <x v="0"/>
    <s v="standard"/>
    <s v="none"/>
    <x v="16"/>
    <n v="49"/>
    <n v="47"/>
  </r>
  <r>
    <x v="1"/>
    <x v="3"/>
    <x v="5"/>
    <s v="standard"/>
    <s v="none"/>
    <x v="23"/>
    <n v="67"/>
    <n v="61"/>
  </r>
  <r>
    <x v="0"/>
    <x v="1"/>
    <x v="1"/>
    <s v="standard"/>
    <s v="completed"/>
    <x v="22"/>
    <n v="89"/>
    <n v="88"/>
  </r>
  <r>
    <x v="0"/>
    <x v="4"/>
    <x v="4"/>
    <s v="free/reduced"/>
    <s v="completed"/>
    <x v="17"/>
    <n v="74"/>
    <n v="78"/>
  </r>
  <r>
    <x v="1"/>
    <x v="0"/>
    <x v="1"/>
    <s v="free/reduced"/>
    <s v="none"/>
    <x v="41"/>
    <n v="60"/>
    <n v="60"/>
  </r>
  <r>
    <x v="0"/>
    <x v="0"/>
    <x v="3"/>
    <s v="standard"/>
    <s v="completed"/>
    <x v="42"/>
    <n v="86"/>
    <n v="87"/>
  </r>
  <r>
    <x v="1"/>
    <x v="3"/>
    <x v="3"/>
    <s v="free/reduced"/>
    <s v="none"/>
    <x v="17"/>
    <n v="62"/>
    <n v="64"/>
  </r>
  <r>
    <x v="1"/>
    <x v="0"/>
    <x v="3"/>
    <s v="free/reduced"/>
    <s v="completed"/>
    <x v="33"/>
    <n v="78"/>
    <n v="74"/>
  </r>
  <r>
    <x v="0"/>
    <x v="4"/>
    <x v="1"/>
    <s v="free/reduced"/>
    <s v="completed"/>
    <x v="28"/>
    <n v="88"/>
    <n v="85"/>
  </r>
  <r>
    <x v="1"/>
    <x v="0"/>
    <x v="2"/>
    <s v="free/reduced"/>
    <s v="none"/>
    <x v="44"/>
    <n v="53"/>
    <n v="52"/>
  </r>
  <r>
    <x v="1"/>
    <x v="1"/>
    <x v="4"/>
    <s v="standard"/>
    <s v="none"/>
    <x v="36"/>
    <n v="53"/>
    <n v="49"/>
  </r>
  <r>
    <x v="0"/>
    <x v="4"/>
    <x v="2"/>
    <s v="standard"/>
    <s v="none"/>
    <x v="27"/>
    <n v="92"/>
    <n v="91"/>
  </r>
  <r>
    <x v="0"/>
    <x v="1"/>
    <x v="0"/>
    <s v="standard"/>
    <s v="completed"/>
    <x v="62"/>
    <n v="100"/>
    <n v="100"/>
  </r>
  <r>
    <x v="1"/>
    <x v="1"/>
    <x v="4"/>
    <s v="free/reduced"/>
    <s v="completed"/>
    <x v="31"/>
    <n v="51"/>
    <n v="51"/>
  </r>
  <r>
    <x v="0"/>
    <x v="0"/>
    <x v="2"/>
    <s v="free/reduced"/>
    <s v="completed"/>
    <x v="10"/>
    <n v="76"/>
    <n v="78"/>
  </r>
  <r>
    <x v="0"/>
    <x v="0"/>
    <x v="4"/>
    <s v="standard"/>
    <s v="completed"/>
    <x v="50"/>
    <n v="83"/>
    <n v="78"/>
  </r>
  <r>
    <x v="0"/>
    <x v="1"/>
    <x v="1"/>
    <s v="free/reduced"/>
    <s v="completed"/>
    <x v="21"/>
    <n v="75"/>
    <n v="70"/>
  </r>
  <r>
    <x v="1"/>
    <x v="2"/>
    <x v="4"/>
    <s v="standard"/>
    <s v="completed"/>
    <x v="0"/>
    <n v="73"/>
    <n v="74"/>
  </r>
  <r>
    <x v="1"/>
    <x v="4"/>
    <x v="5"/>
    <s v="standard"/>
    <s v="none"/>
    <x v="63"/>
    <n v="88"/>
    <n v="78"/>
  </r>
  <r>
    <x v="0"/>
    <x v="3"/>
    <x v="1"/>
    <s v="standard"/>
    <s v="none"/>
    <x v="38"/>
    <n v="86"/>
    <n v="81"/>
  </r>
  <r>
    <x v="0"/>
    <x v="1"/>
    <x v="3"/>
    <s v="standard"/>
    <s v="none"/>
    <x v="24"/>
    <n v="67"/>
    <n v="70"/>
  </r>
  <r>
    <x v="0"/>
    <x v="1"/>
    <x v="0"/>
    <s v="free/reduced"/>
    <s v="completed"/>
    <x v="49"/>
    <n v="51"/>
    <n v="54"/>
  </r>
  <r>
    <x v="0"/>
    <x v="1"/>
    <x v="2"/>
    <s v="standard"/>
    <s v="completed"/>
    <x v="27"/>
    <n v="91"/>
    <n v="87"/>
  </r>
  <r>
    <x v="0"/>
    <x v="0"/>
    <x v="4"/>
    <s v="free/reduced"/>
    <s v="completed"/>
    <x v="15"/>
    <n v="54"/>
    <n v="58"/>
  </r>
  <r>
    <x v="0"/>
    <x v="1"/>
    <x v="3"/>
    <s v="standard"/>
    <s v="completed"/>
    <x v="5"/>
    <n v="77"/>
    <n v="77"/>
  </r>
  <r>
    <x v="0"/>
    <x v="0"/>
    <x v="2"/>
    <s v="free/reduced"/>
    <s v="completed"/>
    <x v="36"/>
    <n v="70"/>
    <n v="62"/>
  </r>
  <r>
    <x v="0"/>
    <x v="3"/>
    <x v="5"/>
    <s v="standard"/>
    <s v="completed"/>
    <x v="26"/>
    <n v="100"/>
    <n v="100"/>
  </r>
  <r>
    <x v="1"/>
    <x v="1"/>
    <x v="2"/>
    <s v="free/reduced"/>
    <s v="completed"/>
    <x v="23"/>
    <n v="68"/>
    <n v="75"/>
  </r>
  <r>
    <x v="0"/>
    <x v="1"/>
    <x v="1"/>
    <s v="free/reduced"/>
    <s v="none"/>
    <x v="15"/>
    <n v="64"/>
    <n v="66"/>
  </r>
  <r>
    <x v="0"/>
    <x v="4"/>
    <x v="4"/>
    <s v="standard"/>
    <s v="none"/>
    <x v="13"/>
    <n v="50"/>
    <n v="47"/>
  </r>
  <r>
    <x v="0"/>
    <x v="3"/>
    <x v="3"/>
    <s v="standard"/>
    <s v="none"/>
    <x v="11"/>
    <n v="69"/>
    <n v="70"/>
  </r>
  <r>
    <x v="1"/>
    <x v="1"/>
    <x v="5"/>
    <s v="free/reduced"/>
    <s v="completed"/>
    <x v="40"/>
    <n v="52"/>
    <n v="49"/>
  </r>
  <r>
    <x v="1"/>
    <x v="1"/>
    <x v="3"/>
    <s v="free/reduced"/>
    <s v="completed"/>
    <x v="11"/>
    <n v="67"/>
    <n v="65"/>
  </r>
  <r>
    <x v="1"/>
    <x v="4"/>
    <x v="4"/>
    <s v="standard"/>
    <s v="none"/>
    <x v="46"/>
    <n v="76"/>
    <n v="65"/>
  </r>
  <r>
    <x v="1"/>
    <x v="3"/>
    <x v="5"/>
    <s v="standard"/>
    <s v="completed"/>
    <x v="23"/>
    <n v="66"/>
    <n v="68"/>
  </r>
  <r>
    <x v="1"/>
    <x v="0"/>
    <x v="5"/>
    <s v="free/reduced"/>
    <s v="none"/>
    <x v="64"/>
    <n v="52"/>
    <n v="45"/>
  </r>
  <r>
    <x v="0"/>
    <x v="1"/>
    <x v="0"/>
    <s v="standard"/>
    <s v="none"/>
    <x v="34"/>
    <n v="88"/>
    <n v="87"/>
  </r>
  <r>
    <x v="0"/>
    <x v="4"/>
    <x v="3"/>
    <s v="standard"/>
    <s v="none"/>
    <x v="17"/>
    <n v="65"/>
    <n v="69"/>
  </r>
  <r>
    <x v="1"/>
    <x v="3"/>
    <x v="1"/>
    <s v="standard"/>
    <s v="completed"/>
    <x v="4"/>
    <n v="83"/>
    <n v="79"/>
  </r>
  <r>
    <x v="0"/>
    <x v="0"/>
    <x v="5"/>
    <s v="standard"/>
    <s v="none"/>
    <x v="23"/>
    <n v="64"/>
    <n v="66"/>
  </r>
  <r>
    <x v="1"/>
    <x v="3"/>
    <x v="1"/>
    <s v="standard"/>
    <s v="completed"/>
    <x v="34"/>
    <n v="62"/>
    <n v="62"/>
  </r>
  <r>
    <x v="0"/>
    <x v="1"/>
    <x v="2"/>
    <s v="standard"/>
    <s v="completed"/>
    <x v="1"/>
    <n v="84"/>
    <n v="85"/>
  </r>
  <r>
    <x v="1"/>
    <x v="3"/>
    <x v="3"/>
    <s v="standard"/>
    <s v="none"/>
    <x v="42"/>
    <n v="55"/>
    <n v="52"/>
  </r>
  <r>
    <x v="1"/>
    <x v="1"/>
    <x v="5"/>
    <s v="free/reduced"/>
    <s v="completed"/>
    <x v="32"/>
    <n v="69"/>
    <n v="65"/>
  </r>
  <r>
    <x v="1"/>
    <x v="4"/>
    <x v="4"/>
    <s v="free/reduced"/>
    <s v="none"/>
    <x v="30"/>
    <n v="56"/>
    <n v="51"/>
  </r>
  <r>
    <x v="0"/>
    <x v="0"/>
    <x v="1"/>
    <s v="free/reduced"/>
    <s v="none"/>
    <x v="40"/>
    <n v="53"/>
    <n v="55"/>
  </r>
  <r>
    <x v="0"/>
    <x v="0"/>
    <x v="0"/>
    <s v="free/reduced"/>
    <s v="none"/>
    <x v="12"/>
    <n v="79"/>
    <n v="76"/>
  </r>
  <r>
    <x v="0"/>
    <x v="1"/>
    <x v="3"/>
    <s v="standard"/>
    <s v="completed"/>
    <x v="21"/>
    <n v="84"/>
    <n v="86"/>
  </r>
  <r>
    <x v="0"/>
    <x v="3"/>
    <x v="1"/>
    <s v="free/reduced"/>
    <s v="none"/>
    <x v="11"/>
    <n v="81"/>
    <n v="77"/>
  </r>
  <r>
    <x v="1"/>
    <x v="1"/>
    <x v="3"/>
    <s v="standard"/>
    <s v="none"/>
    <x v="1"/>
    <n v="77"/>
    <n v="69"/>
  </r>
  <r>
    <x v="0"/>
    <x v="0"/>
    <x v="3"/>
    <s v="standard"/>
    <s v="none"/>
    <x v="29"/>
    <n v="69"/>
    <n v="68"/>
  </r>
  <r>
    <x v="1"/>
    <x v="1"/>
    <x v="1"/>
    <s v="standard"/>
    <s v="none"/>
    <x v="32"/>
    <n v="41"/>
    <n v="42"/>
  </r>
  <r>
    <x v="1"/>
    <x v="3"/>
    <x v="5"/>
    <s v="standard"/>
    <s v="completed"/>
    <x v="19"/>
    <n v="71"/>
    <n v="78"/>
  </r>
  <r>
    <x v="1"/>
    <x v="4"/>
    <x v="0"/>
    <s v="standard"/>
    <s v="none"/>
    <x v="33"/>
    <n v="62"/>
    <n v="62"/>
  </r>
  <r>
    <x v="1"/>
    <x v="4"/>
    <x v="4"/>
    <s v="standard"/>
    <s v="completed"/>
    <x v="27"/>
    <n v="80"/>
    <n v="76"/>
  </r>
  <r>
    <x v="0"/>
    <x v="0"/>
    <x v="1"/>
    <s v="free/reduced"/>
    <s v="none"/>
    <x v="19"/>
    <n v="81"/>
    <n v="76"/>
  </r>
  <r>
    <x v="0"/>
    <x v="0"/>
    <x v="1"/>
    <s v="free/reduced"/>
    <s v="none"/>
    <x v="10"/>
    <n v="61"/>
    <n v="66"/>
  </r>
  <r>
    <x v="1"/>
    <x v="3"/>
    <x v="5"/>
    <s v="free/reduced"/>
    <s v="completed"/>
    <x v="46"/>
    <n v="79"/>
    <n v="79"/>
  </r>
  <r>
    <x v="1"/>
    <x v="1"/>
    <x v="1"/>
    <s v="free/reduced"/>
    <s v="none"/>
    <x v="65"/>
    <n v="28"/>
    <n v="27"/>
  </r>
  <r>
    <x v="0"/>
    <x v="1"/>
    <x v="4"/>
    <s v="free/reduced"/>
    <s v="none"/>
    <x v="47"/>
    <n v="62"/>
    <n v="60"/>
  </r>
  <r>
    <x v="1"/>
    <x v="1"/>
    <x v="3"/>
    <s v="free/reduced"/>
    <s v="completed"/>
    <x v="41"/>
    <n v="51"/>
    <n v="56"/>
  </r>
  <r>
    <x v="1"/>
    <x v="4"/>
    <x v="4"/>
    <s v="standard"/>
    <s v="completed"/>
    <x v="53"/>
    <n v="91"/>
    <n v="81"/>
  </r>
  <r>
    <x v="1"/>
    <x v="0"/>
    <x v="5"/>
    <s v="standard"/>
    <s v="completed"/>
    <x v="56"/>
    <n v="83"/>
    <n v="75"/>
  </r>
  <r>
    <x v="0"/>
    <x v="4"/>
    <x v="3"/>
    <s v="free/reduced"/>
    <s v="completed"/>
    <x v="58"/>
    <n v="86"/>
    <n v="88"/>
  </r>
  <r>
    <x v="0"/>
    <x v="1"/>
    <x v="4"/>
    <s v="free/reduced"/>
    <s v="none"/>
    <x v="66"/>
    <n v="42"/>
    <n v="39"/>
  </r>
  <r>
    <x v="1"/>
    <x v="0"/>
    <x v="4"/>
    <s v="free/reduced"/>
    <s v="none"/>
    <x v="17"/>
    <n v="77"/>
    <n v="70"/>
  </r>
  <r>
    <x v="1"/>
    <x v="0"/>
    <x v="5"/>
    <s v="standard"/>
    <s v="completed"/>
    <x v="42"/>
    <n v="56"/>
    <n v="56"/>
  </r>
  <r>
    <x v="0"/>
    <x v="3"/>
    <x v="4"/>
    <s v="standard"/>
    <s v="completed"/>
    <x v="25"/>
    <n v="68"/>
    <n v="74"/>
  </r>
  <r>
    <x v="1"/>
    <x v="0"/>
    <x v="3"/>
    <s v="standard"/>
    <s v="none"/>
    <x v="53"/>
    <n v="85"/>
    <n v="73"/>
  </r>
  <r>
    <x v="0"/>
    <x v="1"/>
    <x v="5"/>
    <s v="free/reduced"/>
    <s v="none"/>
    <x v="30"/>
    <n v="65"/>
    <n v="62"/>
  </r>
  <r>
    <x v="1"/>
    <x v="3"/>
    <x v="5"/>
    <s v="standard"/>
    <s v="none"/>
    <x v="67"/>
    <n v="80"/>
    <n v="75"/>
  </r>
  <r>
    <x v="0"/>
    <x v="0"/>
    <x v="3"/>
    <s v="standard"/>
    <s v="completed"/>
    <x v="36"/>
    <n v="66"/>
    <n v="73"/>
  </r>
  <r>
    <x v="0"/>
    <x v="4"/>
    <x v="2"/>
    <s v="free/reduced"/>
    <s v="none"/>
    <x v="40"/>
    <n v="56"/>
    <n v="54"/>
  </r>
  <r>
    <x v="0"/>
    <x v="1"/>
    <x v="1"/>
    <s v="standard"/>
    <s v="none"/>
    <x v="0"/>
    <n v="72"/>
    <n v="71"/>
  </r>
  <r>
    <x v="1"/>
    <x v="3"/>
    <x v="4"/>
    <s v="standard"/>
    <s v="none"/>
    <x v="29"/>
    <n v="50"/>
    <n v="54"/>
  </r>
  <r>
    <x v="1"/>
    <x v="2"/>
    <x v="5"/>
    <s v="free/reduced"/>
    <s v="none"/>
    <x v="50"/>
    <n v="72"/>
    <n v="64"/>
  </r>
  <r>
    <x v="0"/>
    <x v="1"/>
    <x v="1"/>
    <s v="standard"/>
    <s v="completed"/>
    <x v="6"/>
    <n v="95"/>
    <n v="94"/>
  </r>
  <r>
    <x v="1"/>
    <x v="3"/>
    <x v="1"/>
    <s v="standard"/>
    <s v="none"/>
    <x v="4"/>
    <n v="64"/>
    <n v="66"/>
  </r>
  <r>
    <x v="1"/>
    <x v="1"/>
    <x v="3"/>
    <s v="standard"/>
    <s v="none"/>
    <x v="15"/>
    <n v="43"/>
    <n v="42"/>
  </r>
  <r>
    <x v="0"/>
    <x v="0"/>
    <x v="0"/>
    <s v="standard"/>
    <s v="none"/>
    <x v="21"/>
    <n v="86"/>
    <n v="83"/>
  </r>
  <r>
    <x v="1"/>
    <x v="4"/>
    <x v="5"/>
    <s v="standard"/>
    <s v="none"/>
    <x v="68"/>
    <n v="87"/>
    <n v="78"/>
  </r>
  <r>
    <x v="1"/>
    <x v="1"/>
    <x v="0"/>
    <s v="standard"/>
    <s v="completed"/>
    <x v="58"/>
    <n v="82"/>
    <n v="84"/>
  </r>
  <r>
    <x v="1"/>
    <x v="3"/>
    <x v="3"/>
    <s v="standard"/>
    <s v="none"/>
    <x v="46"/>
    <n v="75"/>
    <n v="77"/>
  </r>
  <r>
    <x v="1"/>
    <x v="3"/>
    <x v="0"/>
    <s v="free/reduced"/>
    <s v="none"/>
    <x v="24"/>
    <n v="66"/>
    <n v="67"/>
  </r>
  <r>
    <x v="0"/>
    <x v="3"/>
    <x v="5"/>
    <s v="standard"/>
    <s v="completed"/>
    <x v="8"/>
    <n v="60"/>
    <n v="74"/>
  </r>
  <r>
    <x v="1"/>
    <x v="0"/>
    <x v="1"/>
    <s v="standard"/>
    <s v="none"/>
    <x v="16"/>
    <n v="52"/>
    <n v="51"/>
  </r>
  <r>
    <x v="1"/>
    <x v="1"/>
    <x v="3"/>
    <s v="standard"/>
    <s v="none"/>
    <x v="56"/>
    <n v="80"/>
    <n v="80"/>
  </r>
  <r>
    <x v="1"/>
    <x v="3"/>
    <x v="4"/>
    <s v="free/reduced"/>
    <s v="completed"/>
    <x v="20"/>
    <n v="68"/>
    <n v="66"/>
  </r>
  <r>
    <x v="0"/>
    <x v="4"/>
    <x v="0"/>
    <s v="standard"/>
    <s v="none"/>
    <x v="46"/>
    <n v="83"/>
    <n v="83"/>
  </r>
  <r>
    <x v="0"/>
    <x v="3"/>
    <x v="4"/>
    <s v="standard"/>
    <s v="none"/>
    <x v="25"/>
    <n v="52"/>
    <n v="55"/>
  </r>
  <r>
    <x v="1"/>
    <x v="4"/>
    <x v="1"/>
    <s v="standard"/>
    <s v="none"/>
    <x v="32"/>
    <n v="51"/>
    <n v="43"/>
  </r>
  <r>
    <x v="1"/>
    <x v="3"/>
    <x v="5"/>
    <s v="standard"/>
    <s v="none"/>
    <x v="28"/>
    <n v="74"/>
    <n v="69"/>
  </r>
  <r>
    <x v="1"/>
    <x v="1"/>
    <x v="3"/>
    <s v="standard"/>
    <s v="none"/>
    <x v="51"/>
    <n v="76"/>
    <n v="71"/>
  </r>
  <r>
    <x v="1"/>
    <x v="4"/>
    <x v="3"/>
    <s v="standard"/>
    <s v="none"/>
    <x v="59"/>
    <n v="76"/>
    <n v="74"/>
  </r>
  <r>
    <x v="0"/>
    <x v="0"/>
    <x v="4"/>
    <s v="standard"/>
    <s v="completed"/>
    <x v="10"/>
    <n v="70"/>
    <n v="68"/>
  </r>
  <r>
    <x v="0"/>
    <x v="0"/>
    <x v="4"/>
    <s v="standard"/>
    <s v="none"/>
    <x v="11"/>
    <n v="64"/>
    <n v="62"/>
  </r>
  <r>
    <x v="1"/>
    <x v="1"/>
    <x v="4"/>
    <s v="standard"/>
    <s v="none"/>
    <x v="50"/>
    <n v="60"/>
    <n v="53"/>
  </r>
  <r>
    <x v="1"/>
    <x v="2"/>
    <x v="5"/>
    <s v="standard"/>
    <s v="completed"/>
    <x v="3"/>
    <n v="49"/>
    <n v="49"/>
  </r>
  <r>
    <x v="0"/>
    <x v="3"/>
    <x v="1"/>
    <s v="free/reduced"/>
    <s v="none"/>
    <x v="5"/>
    <n v="83"/>
    <n v="83"/>
  </r>
  <r>
    <x v="0"/>
    <x v="0"/>
    <x v="5"/>
    <s v="standard"/>
    <s v="completed"/>
    <x v="41"/>
    <n v="70"/>
    <n v="70"/>
  </r>
  <r>
    <x v="1"/>
    <x v="3"/>
    <x v="2"/>
    <s v="standard"/>
    <s v="none"/>
    <x v="46"/>
    <n v="80"/>
    <n v="72"/>
  </r>
  <r>
    <x v="1"/>
    <x v="3"/>
    <x v="4"/>
    <s v="standard"/>
    <s v="none"/>
    <x v="16"/>
    <n v="52"/>
    <n v="52"/>
  </r>
  <r>
    <x v="0"/>
    <x v="4"/>
    <x v="1"/>
    <s v="standard"/>
    <s v="none"/>
    <x v="23"/>
    <n v="73"/>
    <n v="70"/>
  </r>
  <r>
    <x v="0"/>
    <x v="1"/>
    <x v="3"/>
    <s v="free/reduced"/>
    <s v="none"/>
    <x v="8"/>
    <n v="73"/>
    <n v="68"/>
  </r>
  <r>
    <x v="1"/>
    <x v="1"/>
    <x v="3"/>
    <s v="standard"/>
    <s v="completed"/>
    <x v="12"/>
    <n v="77"/>
    <n v="77"/>
  </r>
  <r>
    <x v="0"/>
    <x v="0"/>
    <x v="1"/>
    <s v="standard"/>
    <s v="none"/>
    <x v="22"/>
    <n v="75"/>
    <n v="78"/>
  </r>
  <r>
    <x v="0"/>
    <x v="1"/>
    <x v="2"/>
    <s v="free/reduced"/>
    <s v="completed"/>
    <x v="11"/>
    <n v="81"/>
    <n v="81"/>
  </r>
  <r>
    <x v="0"/>
    <x v="1"/>
    <x v="5"/>
    <s v="free/reduced"/>
    <s v="completed"/>
    <x v="8"/>
    <n v="79"/>
    <n v="77"/>
  </r>
  <r>
    <x v="1"/>
    <x v="1"/>
    <x v="1"/>
    <s v="standard"/>
    <s v="completed"/>
    <x v="38"/>
    <n v="79"/>
    <n v="78"/>
  </r>
  <r>
    <x v="0"/>
    <x v="1"/>
    <x v="5"/>
    <s v="free/reduced"/>
    <s v="none"/>
    <x v="18"/>
    <n v="50"/>
    <n v="51"/>
  </r>
  <r>
    <x v="0"/>
    <x v="4"/>
    <x v="4"/>
    <s v="standard"/>
    <s v="none"/>
    <x v="55"/>
    <n v="93"/>
    <n v="90"/>
  </r>
  <r>
    <x v="1"/>
    <x v="3"/>
    <x v="4"/>
    <s v="standard"/>
    <s v="none"/>
    <x v="4"/>
    <n v="73"/>
    <n v="68"/>
  </r>
  <r>
    <x v="1"/>
    <x v="3"/>
    <x v="5"/>
    <s v="free/reduced"/>
    <s v="none"/>
    <x v="32"/>
    <n v="42"/>
    <n v="41"/>
  </r>
  <r>
    <x v="0"/>
    <x v="1"/>
    <x v="0"/>
    <s v="standard"/>
    <s v="none"/>
    <x v="24"/>
    <n v="75"/>
    <n v="81"/>
  </r>
  <r>
    <x v="0"/>
    <x v="3"/>
    <x v="4"/>
    <s v="standard"/>
    <s v="none"/>
    <x v="1"/>
    <n v="72"/>
    <n v="77"/>
  </r>
  <r>
    <x v="0"/>
    <x v="3"/>
    <x v="3"/>
    <s v="standard"/>
    <s v="completed"/>
    <x v="6"/>
    <n v="92"/>
    <n v="95"/>
  </r>
  <r>
    <x v="0"/>
    <x v="4"/>
    <x v="1"/>
    <s v="free/reduced"/>
    <s v="none"/>
    <x v="5"/>
    <n v="76"/>
    <n v="70"/>
  </r>
  <r>
    <x v="1"/>
    <x v="1"/>
    <x v="0"/>
    <s v="standard"/>
    <s v="none"/>
    <x v="1"/>
    <n v="63"/>
    <n v="61"/>
  </r>
  <r>
    <x v="1"/>
    <x v="1"/>
    <x v="1"/>
    <s v="standard"/>
    <s v="none"/>
    <x v="10"/>
    <n v="49"/>
    <n v="42"/>
  </r>
  <r>
    <x v="0"/>
    <x v="3"/>
    <x v="3"/>
    <s v="free/reduced"/>
    <s v="none"/>
    <x v="3"/>
    <n v="53"/>
    <n v="58"/>
  </r>
  <r>
    <x v="0"/>
    <x v="3"/>
    <x v="1"/>
    <s v="standard"/>
    <s v="none"/>
    <x v="11"/>
    <n v="70"/>
    <n v="71"/>
  </r>
  <r>
    <x v="1"/>
    <x v="0"/>
    <x v="1"/>
    <s v="standard"/>
    <s v="completed"/>
    <x v="6"/>
    <n v="85"/>
    <n v="76"/>
  </r>
  <r>
    <x v="1"/>
    <x v="1"/>
    <x v="0"/>
    <s v="standard"/>
    <s v="none"/>
    <x v="58"/>
    <n v="78"/>
    <n v="73"/>
  </r>
  <r>
    <x v="0"/>
    <x v="1"/>
    <x v="5"/>
    <s v="standard"/>
    <s v="completed"/>
    <x v="51"/>
    <n v="92"/>
    <n v="93"/>
  </r>
  <r>
    <x v="0"/>
    <x v="4"/>
    <x v="4"/>
    <s v="standard"/>
    <s v="completed"/>
    <x v="32"/>
    <n v="63"/>
    <n v="75"/>
  </r>
  <r>
    <x v="0"/>
    <x v="1"/>
    <x v="5"/>
    <s v="free/reduced"/>
    <s v="none"/>
    <x v="11"/>
    <n v="86"/>
    <n v="80"/>
  </r>
  <r>
    <x v="1"/>
    <x v="0"/>
    <x v="0"/>
    <s v="free/reduced"/>
    <s v="none"/>
    <x v="20"/>
    <n v="56"/>
    <n v="57"/>
  </r>
  <r>
    <x v="1"/>
    <x v="3"/>
    <x v="4"/>
    <s v="standard"/>
    <s v="none"/>
    <x v="31"/>
    <n v="52"/>
    <n v="42"/>
  </r>
  <r>
    <x v="1"/>
    <x v="3"/>
    <x v="4"/>
    <s v="standard"/>
    <s v="none"/>
    <x v="40"/>
    <n v="48"/>
    <n v="46"/>
  </r>
  <r>
    <x v="0"/>
    <x v="3"/>
    <x v="0"/>
    <s v="free/reduced"/>
    <s v="none"/>
    <x v="20"/>
    <n v="79"/>
    <n v="84"/>
  </r>
  <r>
    <x v="0"/>
    <x v="3"/>
    <x v="1"/>
    <s v="free/reduced"/>
    <s v="completed"/>
    <x v="22"/>
    <n v="78"/>
    <n v="78"/>
  </r>
  <r>
    <x v="0"/>
    <x v="0"/>
    <x v="5"/>
    <s v="standard"/>
    <s v="none"/>
    <x v="69"/>
    <n v="46"/>
    <n v="46"/>
  </r>
  <r>
    <x v="1"/>
    <x v="0"/>
    <x v="3"/>
    <s v="standard"/>
    <s v="completed"/>
    <x v="27"/>
    <n v="82"/>
    <n v="82"/>
  </r>
  <r>
    <x v="1"/>
    <x v="4"/>
    <x v="3"/>
    <s v="standard"/>
    <s v="completed"/>
    <x v="26"/>
    <n v="82"/>
    <n v="88"/>
  </r>
  <r>
    <x v="0"/>
    <x v="0"/>
    <x v="5"/>
    <s v="standard"/>
    <s v="none"/>
    <x v="21"/>
    <n v="89"/>
    <n v="82"/>
  </r>
  <r>
    <x v="1"/>
    <x v="0"/>
    <x v="0"/>
    <s v="free/reduced"/>
    <s v="none"/>
    <x v="6"/>
    <n v="75"/>
    <n v="76"/>
  </r>
  <r>
    <x v="1"/>
    <x v="4"/>
    <x v="5"/>
    <s v="standard"/>
    <s v="completed"/>
    <x v="34"/>
    <n v="76"/>
    <n v="77"/>
  </r>
  <r>
    <x v="1"/>
    <x v="1"/>
    <x v="3"/>
    <s v="standard"/>
    <s v="none"/>
    <x v="4"/>
    <n v="70"/>
    <n v="68"/>
  </r>
  <r>
    <x v="1"/>
    <x v="3"/>
    <x v="5"/>
    <s v="standard"/>
    <s v="none"/>
    <x v="67"/>
    <n v="73"/>
    <n v="70"/>
  </r>
  <r>
    <x v="1"/>
    <x v="1"/>
    <x v="5"/>
    <s v="standard"/>
    <s v="completed"/>
    <x v="24"/>
    <n v="60"/>
    <n v="57"/>
  </r>
  <r>
    <x v="0"/>
    <x v="4"/>
    <x v="0"/>
    <s v="standard"/>
    <s v="none"/>
    <x v="11"/>
    <n v="73"/>
    <n v="75"/>
  </r>
  <r>
    <x v="1"/>
    <x v="3"/>
    <x v="4"/>
    <s v="free/reduced"/>
    <s v="completed"/>
    <x v="12"/>
    <n v="77"/>
    <n v="80"/>
  </r>
  <r>
    <x v="1"/>
    <x v="0"/>
    <x v="3"/>
    <s v="free/reduced"/>
    <s v="none"/>
    <x v="21"/>
    <n v="62"/>
    <n v="60"/>
  </r>
  <r>
    <x v="1"/>
    <x v="2"/>
    <x v="5"/>
    <s v="standard"/>
    <s v="completed"/>
    <x v="15"/>
    <n v="41"/>
    <n v="43"/>
  </r>
  <r>
    <x v="1"/>
    <x v="4"/>
    <x v="3"/>
    <s v="standard"/>
    <s v="completed"/>
    <x v="5"/>
    <n v="74"/>
    <n v="68"/>
  </r>
  <r>
    <x v="1"/>
    <x v="1"/>
    <x v="4"/>
    <s v="free/reduced"/>
    <s v="completed"/>
    <x v="7"/>
    <n v="46"/>
    <n v="50"/>
  </r>
  <r>
    <x v="1"/>
    <x v="3"/>
    <x v="3"/>
    <s v="free/reduced"/>
    <s v="none"/>
    <x v="2"/>
    <n v="87"/>
    <n v="75"/>
  </r>
  <r>
    <x v="1"/>
    <x v="2"/>
    <x v="1"/>
    <s v="free/reduced"/>
    <s v="completed"/>
    <x v="27"/>
    <n v="78"/>
    <n v="81"/>
  </r>
  <r>
    <x v="1"/>
    <x v="3"/>
    <x v="5"/>
    <s v="free/reduced"/>
    <s v="none"/>
    <x v="25"/>
    <n v="54"/>
    <n v="52"/>
  </r>
  <r>
    <x v="0"/>
    <x v="1"/>
    <x v="3"/>
    <s v="standard"/>
    <s v="completed"/>
    <x v="21"/>
    <n v="84"/>
    <n v="81"/>
  </r>
  <r>
    <x v="1"/>
    <x v="0"/>
    <x v="3"/>
    <s v="standard"/>
    <s v="none"/>
    <x v="46"/>
    <n v="76"/>
    <n v="64"/>
  </r>
  <r>
    <x v="0"/>
    <x v="1"/>
    <x v="3"/>
    <s v="standard"/>
    <s v="completed"/>
    <x v="19"/>
    <n v="75"/>
    <n v="83"/>
  </r>
  <r>
    <x v="1"/>
    <x v="2"/>
    <x v="1"/>
    <s v="standard"/>
    <s v="none"/>
    <x v="1"/>
    <n v="67"/>
    <n v="69"/>
  </r>
  <r>
    <x v="1"/>
    <x v="4"/>
    <x v="1"/>
    <s v="standard"/>
    <s v="completed"/>
    <x v="55"/>
    <n v="87"/>
    <n v="81"/>
  </r>
  <r>
    <x v="1"/>
    <x v="1"/>
    <x v="5"/>
    <s v="standard"/>
    <s v="none"/>
    <x v="54"/>
    <n v="52"/>
    <n v="44"/>
  </r>
  <r>
    <x v="0"/>
    <x v="0"/>
    <x v="3"/>
    <s v="free/reduced"/>
    <s v="none"/>
    <x v="31"/>
    <n v="71"/>
    <n v="67"/>
  </r>
  <r>
    <x v="0"/>
    <x v="3"/>
    <x v="4"/>
    <s v="free/reduced"/>
    <s v="none"/>
    <x v="44"/>
    <n v="57"/>
    <n v="52"/>
  </r>
  <r>
    <x v="0"/>
    <x v="0"/>
    <x v="3"/>
    <s v="standard"/>
    <s v="none"/>
    <x v="20"/>
    <n v="76"/>
    <n v="80"/>
  </r>
  <r>
    <x v="1"/>
    <x v="0"/>
    <x v="0"/>
    <s v="standard"/>
    <s v="none"/>
    <x v="17"/>
    <n v="60"/>
    <n v="57"/>
  </r>
  <r>
    <x v="1"/>
    <x v="3"/>
    <x v="0"/>
    <s v="standard"/>
    <s v="completed"/>
    <x v="21"/>
    <n v="61"/>
    <n v="68"/>
  </r>
  <r>
    <x v="0"/>
    <x v="1"/>
    <x v="3"/>
    <s v="free/reduced"/>
    <s v="completed"/>
    <x v="50"/>
    <n v="67"/>
    <n v="69"/>
  </r>
  <r>
    <x v="0"/>
    <x v="1"/>
    <x v="0"/>
    <s v="standard"/>
    <s v="completed"/>
    <x v="32"/>
    <n v="64"/>
    <n v="75"/>
  </r>
  <r>
    <x v="1"/>
    <x v="1"/>
    <x v="4"/>
    <s v="standard"/>
    <s v="none"/>
    <x v="5"/>
    <n v="66"/>
    <n v="65"/>
  </r>
  <r>
    <x v="0"/>
    <x v="3"/>
    <x v="2"/>
    <s v="standard"/>
    <s v="completed"/>
    <x v="34"/>
    <n v="82"/>
    <n v="91"/>
  </r>
  <r>
    <x v="1"/>
    <x v="1"/>
    <x v="3"/>
    <s v="standard"/>
    <s v="none"/>
    <x v="58"/>
    <n v="72"/>
    <n v="78"/>
  </r>
  <r>
    <x v="1"/>
    <x v="0"/>
    <x v="0"/>
    <s v="standard"/>
    <s v="none"/>
    <x v="24"/>
    <n v="71"/>
    <n v="69"/>
  </r>
  <r>
    <x v="0"/>
    <x v="3"/>
    <x v="3"/>
    <s v="free/reduced"/>
    <s v="none"/>
    <x v="25"/>
    <n v="65"/>
    <n v="63"/>
  </r>
  <r>
    <x v="0"/>
    <x v="1"/>
    <x v="4"/>
    <s v="free/reduced"/>
    <s v="completed"/>
    <x v="21"/>
    <n v="79"/>
    <n v="84"/>
  </r>
  <r>
    <x v="0"/>
    <x v="4"/>
    <x v="4"/>
    <s v="standard"/>
    <s v="none"/>
    <x v="28"/>
    <n v="86"/>
    <n v="79"/>
  </r>
  <r>
    <x v="0"/>
    <x v="1"/>
    <x v="1"/>
    <s v="standard"/>
    <s v="none"/>
    <x v="5"/>
    <n v="81"/>
    <n v="80"/>
  </r>
  <r>
    <x v="0"/>
    <x v="1"/>
    <x v="5"/>
    <s v="free/reduced"/>
    <s v="none"/>
    <x v="49"/>
    <n v="53"/>
    <n v="53"/>
  </r>
  <r>
    <x v="0"/>
    <x v="1"/>
    <x v="4"/>
    <s v="free/reduced"/>
    <s v="none"/>
    <x v="43"/>
    <n v="46"/>
    <n v="43"/>
  </r>
  <r>
    <x v="0"/>
    <x v="1"/>
    <x v="1"/>
    <s v="standard"/>
    <s v="none"/>
    <x v="33"/>
    <n v="90"/>
    <n v="94"/>
  </r>
  <r>
    <x v="1"/>
    <x v="1"/>
    <x v="1"/>
    <s v="standard"/>
    <s v="none"/>
    <x v="42"/>
    <n v="61"/>
    <n v="62"/>
  </r>
  <r>
    <x v="1"/>
    <x v="2"/>
    <x v="1"/>
    <s v="free/reduced"/>
    <s v="none"/>
    <x v="70"/>
    <n v="23"/>
    <n v="19"/>
  </r>
  <r>
    <x v="1"/>
    <x v="1"/>
    <x v="3"/>
    <s v="standard"/>
    <s v="completed"/>
    <x v="33"/>
    <n v="75"/>
    <n v="77"/>
  </r>
  <r>
    <x v="0"/>
    <x v="0"/>
    <x v="5"/>
    <s v="standard"/>
    <s v="none"/>
    <x v="43"/>
    <n v="55"/>
    <n v="51"/>
  </r>
  <r>
    <x v="1"/>
    <x v="1"/>
    <x v="4"/>
    <s v="standard"/>
    <s v="none"/>
    <x v="5"/>
    <n v="60"/>
    <n v="61"/>
  </r>
  <r>
    <x v="1"/>
    <x v="1"/>
    <x v="3"/>
    <s v="standard"/>
    <s v="none"/>
    <x v="3"/>
    <n v="37"/>
    <n v="35"/>
  </r>
  <r>
    <x v="1"/>
    <x v="4"/>
    <x v="3"/>
    <s v="standard"/>
    <s v="completed"/>
    <x v="23"/>
    <n v="56"/>
    <n v="53"/>
  </r>
  <r>
    <x v="1"/>
    <x v="0"/>
    <x v="3"/>
    <s v="standard"/>
    <s v="none"/>
    <x v="2"/>
    <n v="78"/>
    <n v="81"/>
  </r>
  <r>
    <x v="0"/>
    <x v="1"/>
    <x v="0"/>
    <s v="standard"/>
    <s v="none"/>
    <x v="58"/>
    <n v="93"/>
    <n v="95"/>
  </r>
  <r>
    <x v="0"/>
    <x v="0"/>
    <x v="1"/>
    <s v="free/reduced"/>
    <s v="none"/>
    <x v="42"/>
    <n v="68"/>
    <n v="66"/>
  </r>
  <r>
    <x v="1"/>
    <x v="3"/>
    <x v="5"/>
    <s v="standard"/>
    <s v="completed"/>
    <x v="4"/>
    <n v="70"/>
    <n v="69"/>
  </r>
  <r>
    <x v="1"/>
    <x v="1"/>
    <x v="3"/>
    <s v="standard"/>
    <s v="none"/>
    <x v="44"/>
    <n v="51"/>
    <n v="43"/>
  </r>
  <r>
    <x v="0"/>
    <x v="0"/>
    <x v="5"/>
    <s v="free/reduced"/>
    <s v="none"/>
    <x v="71"/>
    <n v="38"/>
    <n v="27"/>
  </r>
  <r>
    <x v="0"/>
    <x v="3"/>
    <x v="5"/>
    <s v="free/reduced"/>
    <s v="completed"/>
    <x v="65"/>
    <n v="55"/>
    <n v="60"/>
  </r>
  <r>
    <x v="1"/>
    <x v="1"/>
    <x v="4"/>
    <s v="free/reduced"/>
    <s v="none"/>
    <x v="10"/>
    <n v="61"/>
    <n v="52"/>
  </r>
  <r>
    <x v="0"/>
    <x v="1"/>
    <x v="4"/>
    <s v="standard"/>
    <s v="none"/>
    <x v="42"/>
    <n v="73"/>
    <n v="63"/>
  </r>
  <r>
    <x v="0"/>
    <x v="0"/>
    <x v="4"/>
    <s v="standard"/>
    <s v="completed"/>
    <x v="1"/>
    <n v="76"/>
    <n v="74"/>
  </r>
  <r>
    <x v="1"/>
    <x v="3"/>
    <x v="3"/>
    <s v="standard"/>
    <s v="completed"/>
    <x v="21"/>
    <n v="72"/>
    <n v="67"/>
  </r>
  <r>
    <x v="1"/>
    <x v="3"/>
    <x v="1"/>
    <s v="standard"/>
    <s v="none"/>
    <x v="38"/>
    <n v="73"/>
    <n v="67"/>
  </r>
  <r>
    <x v="0"/>
    <x v="1"/>
    <x v="4"/>
    <s v="standard"/>
    <s v="none"/>
    <x v="0"/>
    <n v="80"/>
    <n v="75"/>
  </r>
  <r>
    <x v="1"/>
    <x v="0"/>
    <x v="1"/>
    <s v="standard"/>
    <s v="none"/>
    <x v="23"/>
    <n v="61"/>
    <n v="57"/>
  </r>
  <r>
    <x v="0"/>
    <x v="1"/>
    <x v="0"/>
    <s v="standard"/>
    <s v="completed"/>
    <x v="34"/>
    <n v="94"/>
    <n v="95"/>
  </r>
  <r>
    <x v="1"/>
    <x v="3"/>
    <x v="4"/>
    <s v="free/reduced"/>
    <s v="none"/>
    <x v="28"/>
    <n v="74"/>
    <n v="66"/>
  </r>
  <r>
    <x v="1"/>
    <x v="4"/>
    <x v="3"/>
    <s v="standard"/>
    <s v="none"/>
    <x v="53"/>
    <n v="74"/>
    <n v="76"/>
  </r>
  <r>
    <x v="0"/>
    <x v="0"/>
    <x v="0"/>
    <s v="standard"/>
    <s v="none"/>
    <x v="36"/>
    <n v="65"/>
    <n v="69"/>
  </r>
  <r>
    <x v="1"/>
    <x v="4"/>
    <x v="1"/>
    <s v="standard"/>
    <s v="none"/>
    <x v="17"/>
    <n v="57"/>
    <n v="52"/>
  </r>
  <r>
    <x v="0"/>
    <x v="1"/>
    <x v="1"/>
    <s v="standard"/>
    <s v="completed"/>
    <x v="24"/>
    <n v="78"/>
    <n v="80"/>
  </r>
  <r>
    <x v="0"/>
    <x v="1"/>
    <x v="3"/>
    <s v="standard"/>
    <s v="none"/>
    <x v="15"/>
    <n v="58"/>
    <n v="57"/>
  </r>
  <r>
    <x v="0"/>
    <x v="1"/>
    <x v="1"/>
    <s v="standard"/>
    <s v="none"/>
    <x v="32"/>
    <n v="71"/>
    <n v="70"/>
  </r>
  <r>
    <x v="0"/>
    <x v="0"/>
    <x v="0"/>
    <s v="standard"/>
    <s v="none"/>
    <x v="42"/>
    <n v="72"/>
    <n v="70"/>
  </r>
  <r>
    <x v="1"/>
    <x v="2"/>
    <x v="3"/>
    <s v="standard"/>
    <s v="none"/>
    <x v="24"/>
    <n v="61"/>
    <n v="61"/>
  </r>
  <r>
    <x v="0"/>
    <x v="1"/>
    <x v="1"/>
    <s v="free/reduced"/>
    <s v="completed"/>
    <x v="47"/>
    <n v="66"/>
    <n v="69"/>
  </r>
  <r>
    <x v="1"/>
    <x v="3"/>
    <x v="1"/>
    <s v="free/reduced"/>
    <s v="none"/>
    <x v="32"/>
    <n v="62"/>
    <n v="61"/>
  </r>
  <r>
    <x v="0"/>
    <x v="3"/>
    <x v="1"/>
    <s v="standard"/>
    <s v="none"/>
    <x v="46"/>
    <n v="90"/>
    <n v="89"/>
  </r>
  <r>
    <x v="0"/>
    <x v="0"/>
    <x v="4"/>
    <s v="standard"/>
    <s v="none"/>
    <x v="10"/>
    <n v="62"/>
    <n v="59"/>
  </r>
  <r>
    <x v="1"/>
    <x v="0"/>
    <x v="5"/>
    <s v="standard"/>
    <s v="completed"/>
    <x v="51"/>
    <n v="84"/>
    <n v="78"/>
  </r>
  <r>
    <x v="0"/>
    <x v="1"/>
    <x v="1"/>
    <s v="standard"/>
    <s v="none"/>
    <x v="36"/>
    <n v="58"/>
    <n v="58"/>
  </r>
  <r>
    <x v="0"/>
    <x v="3"/>
    <x v="5"/>
    <s v="free/reduced"/>
    <s v="none"/>
    <x v="48"/>
    <n v="34"/>
    <n v="32"/>
  </r>
  <r>
    <x v="1"/>
    <x v="1"/>
    <x v="1"/>
    <s v="standard"/>
    <s v="none"/>
    <x v="32"/>
    <n v="60"/>
    <n v="58"/>
  </r>
  <r>
    <x v="1"/>
    <x v="2"/>
    <x v="0"/>
    <s v="free/reduced"/>
    <s v="completed"/>
    <x v="44"/>
    <n v="58"/>
    <n v="60"/>
  </r>
  <r>
    <x v="1"/>
    <x v="1"/>
    <x v="4"/>
    <s v="standard"/>
    <s v="completed"/>
    <x v="1"/>
    <n v="58"/>
    <n v="53"/>
  </r>
  <r>
    <x v="1"/>
    <x v="1"/>
    <x v="0"/>
    <s v="free/reduced"/>
    <s v="none"/>
    <x v="42"/>
    <n v="66"/>
    <n v="61"/>
  </r>
  <r>
    <x v="0"/>
    <x v="2"/>
    <x v="5"/>
    <s v="free/reduced"/>
    <s v="none"/>
    <x v="18"/>
    <n v="64"/>
    <n v="58"/>
  </r>
  <r>
    <x v="0"/>
    <x v="3"/>
    <x v="5"/>
    <s v="standard"/>
    <s v="none"/>
    <x v="20"/>
    <n v="84"/>
    <n v="85"/>
  </r>
  <r>
    <x v="1"/>
    <x v="4"/>
    <x v="1"/>
    <s v="standard"/>
    <s v="none"/>
    <x v="56"/>
    <n v="77"/>
    <n v="71"/>
  </r>
  <r>
    <x v="0"/>
    <x v="1"/>
    <x v="1"/>
    <s v="free/reduced"/>
    <s v="completed"/>
    <x v="40"/>
    <n v="73"/>
    <n v="70"/>
  </r>
  <r>
    <x v="1"/>
    <x v="3"/>
    <x v="5"/>
    <s v="standard"/>
    <s v="none"/>
    <x v="19"/>
    <n v="74"/>
    <n v="72"/>
  </r>
  <r>
    <x v="0"/>
    <x v="3"/>
    <x v="1"/>
    <s v="standard"/>
    <s v="completed"/>
    <x v="33"/>
    <n v="97"/>
    <n v="96"/>
  </r>
  <r>
    <x v="0"/>
    <x v="3"/>
    <x v="0"/>
    <s v="standard"/>
    <s v="none"/>
    <x v="32"/>
    <n v="70"/>
    <n v="73"/>
  </r>
  <r>
    <x v="1"/>
    <x v="4"/>
    <x v="3"/>
    <s v="free/reduced"/>
    <s v="none"/>
    <x v="15"/>
    <n v="43"/>
    <n v="41"/>
  </r>
  <r>
    <x v="0"/>
    <x v="3"/>
    <x v="5"/>
    <s v="standard"/>
    <s v="none"/>
    <x v="46"/>
    <n v="90"/>
    <n v="82"/>
  </r>
  <r>
    <x v="0"/>
    <x v="3"/>
    <x v="2"/>
    <s v="free/reduced"/>
    <s v="completed"/>
    <x v="51"/>
    <n v="95"/>
    <n v="100"/>
  </r>
  <r>
    <x v="0"/>
    <x v="2"/>
    <x v="5"/>
    <s v="standard"/>
    <s v="none"/>
    <x v="5"/>
    <n v="83"/>
    <n v="77"/>
  </r>
  <r>
    <x v="1"/>
    <x v="2"/>
    <x v="0"/>
    <s v="standard"/>
    <s v="none"/>
    <x v="17"/>
    <n v="64"/>
    <n v="62"/>
  </r>
  <r>
    <x v="0"/>
    <x v="0"/>
    <x v="3"/>
    <s v="standard"/>
    <s v="none"/>
    <x v="46"/>
    <n v="86"/>
    <n v="83"/>
  </r>
  <r>
    <x v="1"/>
    <x v="1"/>
    <x v="3"/>
    <s v="standard"/>
    <s v="completed"/>
    <x v="53"/>
    <n v="100"/>
    <n v="95"/>
  </r>
  <r>
    <x v="1"/>
    <x v="1"/>
    <x v="2"/>
    <s v="free/reduced"/>
    <s v="none"/>
    <x v="38"/>
    <n v="81"/>
    <n v="71"/>
  </r>
  <r>
    <x v="0"/>
    <x v="4"/>
    <x v="5"/>
    <s v="free/reduced"/>
    <s v="none"/>
    <x v="9"/>
    <n v="49"/>
    <n v="45"/>
  </r>
  <r>
    <x v="0"/>
    <x v="2"/>
    <x v="5"/>
    <s v="free/reduced"/>
    <s v="none"/>
    <x v="9"/>
    <n v="43"/>
    <n v="43"/>
  </r>
  <r>
    <x v="0"/>
    <x v="4"/>
    <x v="1"/>
    <s v="standard"/>
    <s v="none"/>
    <x v="21"/>
    <n v="76"/>
    <n v="75"/>
  </r>
  <r>
    <x v="0"/>
    <x v="4"/>
    <x v="0"/>
    <s v="standard"/>
    <s v="none"/>
    <x v="8"/>
    <n v="73"/>
    <n v="70"/>
  </r>
  <r>
    <x v="0"/>
    <x v="1"/>
    <x v="3"/>
    <s v="free/reduced"/>
    <s v="none"/>
    <x v="29"/>
    <n v="78"/>
    <n v="67"/>
  </r>
  <r>
    <x v="0"/>
    <x v="3"/>
    <x v="4"/>
    <s v="standard"/>
    <s v="none"/>
    <x v="23"/>
    <n v="64"/>
    <n v="64"/>
  </r>
  <r>
    <x v="1"/>
    <x v="3"/>
    <x v="2"/>
    <s v="standard"/>
    <s v="none"/>
    <x v="20"/>
    <n v="70"/>
    <n v="75"/>
  </r>
  <r>
    <x v="1"/>
    <x v="4"/>
    <x v="5"/>
    <s v="free/reduced"/>
    <s v="completed"/>
    <x v="20"/>
    <n v="67"/>
    <n v="59"/>
  </r>
  <r>
    <x v="0"/>
    <x v="3"/>
    <x v="1"/>
    <s v="standard"/>
    <s v="none"/>
    <x v="34"/>
    <n v="68"/>
    <n v="77"/>
  </r>
  <r>
    <x v="1"/>
    <x v="4"/>
    <x v="1"/>
    <s v="standard"/>
    <s v="none"/>
    <x v="4"/>
    <n v="67"/>
    <n v="67"/>
  </r>
  <r>
    <x v="1"/>
    <x v="1"/>
    <x v="3"/>
    <s v="standard"/>
    <s v="completed"/>
    <x v="29"/>
    <n v="54"/>
    <n v="56"/>
  </r>
  <r>
    <x v="0"/>
    <x v="1"/>
    <x v="5"/>
    <s v="standard"/>
    <s v="completed"/>
    <x v="11"/>
    <n v="74"/>
    <n v="77"/>
  </r>
  <r>
    <x v="1"/>
    <x v="2"/>
    <x v="4"/>
    <s v="free/reduced"/>
    <s v="none"/>
    <x v="64"/>
    <n v="45"/>
    <n v="41"/>
  </r>
  <r>
    <x v="0"/>
    <x v="0"/>
    <x v="4"/>
    <s v="free/reduced"/>
    <s v="none"/>
    <x v="13"/>
    <n v="67"/>
    <n v="63"/>
  </r>
  <r>
    <x v="0"/>
    <x v="1"/>
    <x v="3"/>
    <s v="standard"/>
    <s v="none"/>
    <x v="51"/>
    <n v="89"/>
    <n v="95"/>
  </r>
  <r>
    <x v="1"/>
    <x v="0"/>
    <x v="5"/>
    <s v="standard"/>
    <s v="none"/>
    <x v="19"/>
    <n v="63"/>
    <n v="57"/>
  </r>
  <r>
    <x v="1"/>
    <x v="3"/>
    <x v="5"/>
    <s v="standard"/>
    <s v="none"/>
    <x v="41"/>
    <n v="59"/>
    <n v="54"/>
  </r>
  <r>
    <x v="0"/>
    <x v="1"/>
    <x v="5"/>
    <s v="standard"/>
    <s v="completed"/>
    <x v="32"/>
    <n v="54"/>
    <n v="67"/>
  </r>
  <r>
    <x v="1"/>
    <x v="2"/>
    <x v="1"/>
    <s v="standard"/>
    <s v="none"/>
    <x v="31"/>
    <n v="43"/>
    <n v="43"/>
  </r>
  <r>
    <x v="0"/>
    <x v="2"/>
    <x v="1"/>
    <s v="free/reduced"/>
    <s v="none"/>
    <x v="44"/>
    <n v="65"/>
    <n v="55"/>
  </r>
  <r>
    <x v="0"/>
    <x v="3"/>
    <x v="4"/>
    <s v="standard"/>
    <s v="completed"/>
    <x v="6"/>
    <n v="99"/>
    <n v="100"/>
  </r>
  <r>
    <x v="0"/>
    <x v="1"/>
    <x v="4"/>
    <s v="standard"/>
    <s v="none"/>
    <x v="16"/>
    <n v="59"/>
    <n v="62"/>
  </r>
  <r>
    <x v="0"/>
    <x v="1"/>
    <x v="5"/>
    <s v="standard"/>
    <s v="none"/>
    <x v="24"/>
    <n v="73"/>
    <n v="68"/>
  </r>
  <r>
    <x v="1"/>
    <x v="0"/>
    <x v="3"/>
    <s v="standard"/>
    <s v="completed"/>
    <x v="11"/>
    <n v="65"/>
    <n v="63"/>
  </r>
  <r>
    <x v="0"/>
    <x v="0"/>
    <x v="3"/>
    <s v="standard"/>
    <s v="none"/>
    <x v="33"/>
    <n v="80"/>
    <n v="77"/>
  </r>
  <r>
    <x v="0"/>
    <x v="3"/>
    <x v="4"/>
    <s v="free/reduced"/>
    <s v="completed"/>
    <x v="36"/>
    <n v="57"/>
    <n v="56"/>
  </r>
  <r>
    <x v="1"/>
    <x v="3"/>
    <x v="3"/>
    <s v="standard"/>
    <s v="completed"/>
    <x v="53"/>
    <n v="84"/>
    <n v="85"/>
  </r>
  <r>
    <x v="0"/>
    <x v="3"/>
    <x v="2"/>
    <s v="standard"/>
    <s v="completed"/>
    <x v="22"/>
    <n v="71"/>
    <n v="74"/>
  </r>
  <r>
    <x v="1"/>
    <x v="4"/>
    <x v="1"/>
    <s v="standard"/>
    <s v="completed"/>
    <x v="56"/>
    <n v="83"/>
    <n v="78"/>
  </r>
  <r>
    <x v="1"/>
    <x v="3"/>
    <x v="3"/>
    <s v="standard"/>
    <s v="none"/>
    <x v="5"/>
    <n v="66"/>
    <n v="60"/>
  </r>
  <r>
    <x v="1"/>
    <x v="0"/>
    <x v="5"/>
    <s v="standard"/>
    <s v="completed"/>
    <x v="24"/>
    <n v="67"/>
    <n v="67"/>
  </r>
  <r>
    <x v="0"/>
    <x v="1"/>
    <x v="0"/>
    <s v="free/reduced"/>
    <s v="completed"/>
    <x v="54"/>
    <n v="72"/>
    <n v="79"/>
  </r>
  <r>
    <x v="1"/>
    <x v="4"/>
    <x v="4"/>
    <s v="standard"/>
    <s v="none"/>
    <x v="56"/>
    <n v="73"/>
    <n v="69"/>
  </r>
  <r>
    <x v="1"/>
    <x v="1"/>
    <x v="0"/>
    <s v="standard"/>
    <s v="completed"/>
    <x v="5"/>
    <n v="74"/>
    <n v="68"/>
  </r>
  <r>
    <x v="1"/>
    <x v="1"/>
    <x v="3"/>
    <s v="standard"/>
    <s v="none"/>
    <x v="19"/>
    <n v="73"/>
    <n v="67"/>
  </r>
  <r>
    <x v="1"/>
    <x v="3"/>
    <x v="1"/>
    <s v="standard"/>
    <s v="none"/>
    <x v="50"/>
    <n v="59"/>
    <n v="62"/>
  </r>
  <r>
    <x v="1"/>
    <x v="4"/>
    <x v="4"/>
    <s v="free/reduced"/>
    <s v="completed"/>
    <x v="29"/>
    <n v="56"/>
    <n v="54"/>
  </r>
  <r>
    <x v="0"/>
    <x v="1"/>
    <x v="3"/>
    <s v="free/reduced"/>
    <s v="completed"/>
    <x v="33"/>
    <n v="93"/>
    <n v="93"/>
  </r>
  <r>
    <x v="0"/>
    <x v="3"/>
    <x v="4"/>
    <s v="standard"/>
    <s v="completed"/>
    <x v="29"/>
    <n v="58"/>
    <n v="64"/>
  </r>
  <r>
    <x v="0"/>
    <x v="3"/>
    <x v="2"/>
    <s v="free/reduced"/>
    <s v="completed"/>
    <x v="3"/>
    <n v="58"/>
    <n v="67"/>
  </r>
  <r>
    <x v="0"/>
    <x v="2"/>
    <x v="5"/>
    <s v="standard"/>
    <s v="completed"/>
    <x v="32"/>
    <n v="85"/>
    <n v="80"/>
  </r>
  <r>
    <x v="1"/>
    <x v="0"/>
    <x v="1"/>
    <s v="free/reduced"/>
    <s v="none"/>
    <x v="43"/>
    <n v="39"/>
    <n v="34"/>
  </r>
  <r>
    <x v="0"/>
    <x v="1"/>
    <x v="1"/>
    <s v="free/reduced"/>
    <s v="none"/>
    <x v="23"/>
    <n v="67"/>
    <n v="62"/>
  </r>
  <r>
    <x v="1"/>
    <x v="1"/>
    <x v="0"/>
    <s v="standard"/>
    <s v="none"/>
    <x v="67"/>
    <n v="83"/>
    <n v="86"/>
  </r>
  <r>
    <x v="1"/>
    <x v="1"/>
    <x v="5"/>
    <s v="free/reduced"/>
    <s v="none"/>
    <x v="1"/>
    <n v="71"/>
    <n v="65"/>
  </r>
  <r>
    <x v="1"/>
    <x v="2"/>
    <x v="5"/>
    <s v="free/reduced"/>
    <s v="none"/>
    <x v="11"/>
    <n v="59"/>
    <n v="53"/>
  </r>
  <r>
    <x v="1"/>
    <x v="1"/>
    <x v="5"/>
    <s v="free/reduced"/>
    <s v="none"/>
    <x v="50"/>
    <n v="63"/>
    <n v="54"/>
  </r>
  <r>
    <x v="1"/>
    <x v="1"/>
    <x v="3"/>
    <s v="free/reduced"/>
    <s v="none"/>
    <x v="8"/>
    <n v="66"/>
    <n v="59"/>
  </r>
  <r>
    <x v="0"/>
    <x v="1"/>
    <x v="4"/>
    <s v="standard"/>
    <s v="none"/>
    <x v="42"/>
    <n v="72"/>
    <n v="70"/>
  </r>
  <r>
    <x v="1"/>
    <x v="1"/>
    <x v="4"/>
    <s v="standard"/>
    <s v="none"/>
    <x v="42"/>
    <n v="56"/>
    <n v="55"/>
  </r>
  <r>
    <x v="0"/>
    <x v="2"/>
    <x v="5"/>
    <s v="free/reduced"/>
    <s v="none"/>
    <x v="3"/>
    <n v="59"/>
    <n v="50"/>
  </r>
  <r>
    <x v="1"/>
    <x v="1"/>
    <x v="5"/>
    <s v="standard"/>
    <s v="none"/>
    <x v="20"/>
    <n v="66"/>
    <n v="66"/>
  </r>
  <r>
    <x v="1"/>
    <x v="1"/>
    <x v="1"/>
    <s v="free/reduced"/>
    <s v="completed"/>
    <x v="13"/>
    <n v="48"/>
    <n v="53"/>
  </r>
  <r>
    <x v="1"/>
    <x v="3"/>
    <x v="3"/>
    <s v="standard"/>
    <s v="none"/>
    <x v="28"/>
    <n v="68"/>
    <n v="64"/>
  </r>
  <r>
    <x v="1"/>
    <x v="3"/>
    <x v="3"/>
    <s v="free/reduced"/>
    <s v="none"/>
    <x v="28"/>
    <n v="66"/>
    <n v="73"/>
  </r>
  <r>
    <x v="1"/>
    <x v="1"/>
    <x v="4"/>
    <s v="standard"/>
    <s v="none"/>
    <x v="22"/>
    <n v="56"/>
    <n v="51"/>
  </r>
  <r>
    <x v="1"/>
    <x v="3"/>
    <x v="5"/>
    <s v="standard"/>
    <s v="completed"/>
    <x v="59"/>
    <n v="88"/>
    <n v="82"/>
  </r>
  <r>
    <x v="0"/>
    <x v="1"/>
    <x v="1"/>
    <s v="standard"/>
    <s v="completed"/>
    <x v="21"/>
    <n v="81"/>
    <n v="79"/>
  </r>
  <r>
    <x v="0"/>
    <x v="3"/>
    <x v="4"/>
    <s v="standard"/>
    <s v="none"/>
    <x v="12"/>
    <n v="81"/>
    <n v="80"/>
  </r>
  <r>
    <x v="0"/>
    <x v="2"/>
    <x v="5"/>
    <s v="free/reduced"/>
    <s v="none"/>
    <x v="32"/>
    <n v="73"/>
    <n v="69"/>
  </r>
  <r>
    <x v="0"/>
    <x v="0"/>
    <x v="3"/>
    <s v="standard"/>
    <s v="none"/>
    <x v="20"/>
    <n v="83"/>
    <n v="76"/>
  </r>
  <r>
    <x v="1"/>
    <x v="2"/>
    <x v="5"/>
    <s v="free/reduced"/>
    <s v="none"/>
    <x v="38"/>
    <n v="82"/>
    <n v="73"/>
  </r>
  <r>
    <x v="0"/>
    <x v="1"/>
    <x v="5"/>
    <s v="standard"/>
    <s v="completed"/>
    <x v="21"/>
    <n v="74"/>
    <n v="77"/>
  </r>
  <r>
    <x v="1"/>
    <x v="3"/>
    <x v="1"/>
    <s v="free/reduced"/>
    <s v="none"/>
    <x v="1"/>
    <n v="66"/>
    <n v="60"/>
  </r>
  <r>
    <x v="1"/>
    <x v="1"/>
    <x v="4"/>
    <s v="standard"/>
    <s v="completed"/>
    <x v="67"/>
    <n v="81"/>
    <n v="80"/>
  </r>
  <r>
    <x v="1"/>
    <x v="0"/>
    <x v="4"/>
    <s v="standard"/>
    <s v="none"/>
    <x v="3"/>
    <n v="46"/>
    <n v="42"/>
  </r>
  <r>
    <x v="1"/>
    <x v="0"/>
    <x v="3"/>
    <s v="standard"/>
    <s v="none"/>
    <x v="27"/>
    <n v="73"/>
    <n v="72"/>
  </r>
  <r>
    <x v="0"/>
    <x v="1"/>
    <x v="1"/>
    <s v="free/reduced"/>
    <s v="completed"/>
    <x v="8"/>
    <n v="85"/>
    <n v="85"/>
  </r>
  <r>
    <x v="0"/>
    <x v="4"/>
    <x v="1"/>
    <s v="standard"/>
    <s v="none"/>
    <x v="61"/>
    <n v="92"/>
    <n v="97"/>
  </r>
  <r>
    <x v="0"/>
    <x v="1"/>
    <x v="3"/>
    <s v="free/reduced"/>
    <s v="none"/>
    <x v="11"/>
    <n v="77"/>
    <n v="74"/>
  </r>
  <r>
    <x v="1"/>
    <x v="1"/>
    <x v="1"/>
    <s v="free/reduced"/>
    <s v="none"/>
    <x v="11"/>
    <n v="58"/>
    <n v="49"/>
  </r>
  <r>
    <x v="0"/>
    <x v="1"/>
    <x v="3"/>
    <s v="free/reduced"/>
    <s v="none"/>
    <x v="31"/>
    <n v="61"/>
    <n v="62"/>
  </r>
  <r>
    <x v="1"/>
    <x v="1"/>
    <x v="0"/>
    <s v="free/reduced"/>
    <s v="none"/>
    <x v="69"/>
    <n v="56"/>
    <n v="47"/>
  </r>
  <r>
    <x v="0"/>
    <x v="3"/>
    <x v="0"/>
    <s v="standard"/>
    <s v="none"/>
    <x v="38"/>
    <n v="89"/>
    <n v="89"/>
  </r>
  <r>
    <x v="1"/>
    <x v="3"/>
    <x v="3"/>
    <s v="free/reduced"/>
    <s v="none"/>
    <x v="31"/>
    <n v="54"/>
    <n v="48"/>
  </r>
  <r>
    <x v="0"/>
    <x v="4"/>
    <x v="0"/>
    <s v="standard"/>
    <s v="none"/>
    <x v="61"/>
    <n v="100"/>
    <n v="100"/>
  </r>
  <r>
    <x v="1"/>
    <x v="0"/>
    <x v="4"/>
    <s v="standard"/>
    <s v="completed"/>
    <x v="0"/>
    <n v="65"/>
    <n v="68"/>
  </r>
  <r>
    <x v="1"/>
    <x v="1"/>
    <x v="0"/>
    <s v="free/reduced"/>
    <s v="none"/>
    <x v="31"/>
    <n v="58"/>
    <n v="55"/>
  </r>
  <r>
    <x v="1"/>
    <x v="0"/>
    <x v="1"/>
    <s v="free/reduced"/>
    <s v="none"/>
    <x v="16"/>
    <n v="54"/>
    <n v="45"/>
  </r>
  <r>
    <x v="0"/>
    <x v="4"/>
    <x v="1"/>
    <s v="standard"/>
    <s v="none"/>
    <x v="5"/>
    <n v="70"/>
    <n v="76"/>
  </r>
  <r>
    <x v="0"/>
    <x v="1"/>
    <x v="1"/>
    <s v="free/reduced"/>
    <s v="none"/>
    <x v="34"/>
    <n v="90"/>
    <n v="91"/>
  </r>
  <r>
    <x v="1"/>
    <x v="2"/>
    <x v="0"/>
    <s v="standard"/>
    <s v="completed"/>
    <x v="28"/>
    <n v="58"/>
    <n v="62"/>
  </r>
  <r>
    <x v="0"/>
    <x v="1"/>
    <x v="1"/>
    <s v="standard"/>
    <s v="none"/>
    <x v="56"/>
    <n v="87"/>
    <n v="91"/>
  </r>
  <r>
    <x v="0"/>
    <x v="3"/>
    <x v="3"/>
    <s v="free/reduced"/>
    <s v="none"/>
    <x v="72"/>
    <n v="31"/>
    <n v="38"/>
  </r>
  <r>
    <x v="1"/>
    <x v="2"/>
    <x v="4"/>
    <s v="free/reduced"/>
    <s v="completed"/>
    <x v="0"/>
    <n v="67"/>
    <n v="65"/>
  </r>
  <r>
    <x v="0"/>
    <x v="2"/>
    <x v="4"/>
    <s v="free/reduced"/>
    <s v="completed"/>
    <x v="34"/>
    <n v="88"/>
    <n v="85"/>
  </r>
  <r>
    <x v="1"/>
    <x v="1"/>
    <x v="1"/>
    <s v="standard"/>
    <s v="none"/>
    <x v="57"/>
    <n v="74"/>
    <n v="76"/>
  </r>
  <r>
    <x v="0"/>
    <x v="1"/>
    <x v="3"/>
    <s v="standard"/>
    <s v="completed"/>
    <x v="58"/>
    <n v="85"/>
    <n v="90"/>
  </r>
  <r>
    <x v="0"/>
    <x v="1"/>
    <x v="4"/>
    <s v="standard"/>
    <s v="none"/>
    <x v="24"/>
    <n v="69"/>
    <n v="74"/>
  </r>
  <r>
    <x v="0"/>
    <x v="1"/>
    <x v="3"/>
    <s v="standard"/>
    <s v="completed"/>
    <x v="50"/>
    <n v="86"/>
    <n v="84"/>
  </r>
  <r>
    <x v="0"/>
    <x v="3"/>
    <x v="5"/>
    <s v="standard"/>
    <s v="none"/>
    <x v="32"/>
    <n v="67"/>
    <n v="61"/>
  </r>
  <r>
    <x v="0"/>
    <x v="0"/>
    <x v="3"/>
    <s v="standard"/>
    <s v="completed"/>
    <x v="2"/>
    <n v="90"/>
    <n v="91"/>
  </r>
  <r>
    <x v="0"/>
    <x v="3"/>
    <x v="0"/>
    <s v="standard"/>
    <s v="completed"/>
    <x v="5"/>
    <n v="76"/>
    <n v="83"/>
  </r>
  <r>
    <x v="1"/>
    <x v="4"/>
    <x v="0"/>
    <s v="standard"/>
    <s v="completed"/>
    <x v="4"/>
    <n v="62"/>
    <n v="66"/>
  </r>
  <r>
    <x v="1"/>
    <x v="3"/>
    <x v="3"/>
    <s v="standard"/>
    <s v="none"/>
    <x v="46"/>
    <n v="68"/>
    <n v="72"/>
  </r>
  <r>
    <x v="0"/>
    <x v="3"/>
    <x v="2"/>
    <s v="standard"/>
    <s v="none"/>
    <x v="30"/>
    <n v="64"/>
    <n v="70"/>
  </r>
  <r>
    <x v="1"/>
    <x v="4"/>
    <x v="3"/>
    <s v="standard"/>
    <s v="none"/>
    <x v="4"/>
    <n v="71"/>
    <n v="67"/>
  </r>
  <r>
    <x v="1"/>
    <x v="0"/>
    <x v="4"/>
    <s v="standard"/>
    <s v="completed"/>
    <x v="20"/>
    <n v="71"/>
    <n v="68"/>
  </r>
  <r>
    <x v="0"/>
    <x v="3"/>
    <x v="3"/>
    <s v="free/reduced"/>
    <s v="none"/>
    <x v="36"/>
    <n v="59"/>
    <n v="56"/>
  </r>
  <r>
    <x v="1"/>
    <x v="1"/>
    <x v="1"/>
    <s v="free/reduced"/>
    <s v="none"/>
    <x v="50"/>
    <n v="68"/>
    <n v="61"/>
  </r>
  <r>
    <x v="1"/>
    <x v="2"/>
    <x v="4"/>
    <s v="standard"/>
    <s v="none"/>
    <x v="32"/>
    <n v="52"/>
    <n v="46"/>
  </r>
  <r>
    <x v="0"/>
    <x v="0"/>
    <x v="3"/>
    <s v="standard"/>
    <s v="none"/>
    <x v="44"/>
    <n v="52"/>
    <n v="54"/>
  </r>
  <r>
    <x v="1"/>
    <x v="1"/>
    <x v="4"/>
    <s v="standard"/>
    <s v="none"/>
    <x v="22"/>
    <n v="74"/>
    <n v="71"/>
  </r>
  <r>
    <x v="1"/>
    <x v="3"/>
    <x v="1"/>
    <s v="free/reduced"/>
    <s v="none"/>
    <x v="42"/>
    <n v="47"/>
    <n v="56"/>
  </r>
  <r>
    <x v="0"/>
    <x v="1"/>
    <x v="3"/>
    <s v="free/reduced"/>
    <s v="none"/>
    <x v="41"/>
    <n v="75"/>
    <n v="74"/>
  </r>
  <r>
    <x v="1"/>
    <x v="0"/>
    <x v="5"/>
    <s v="standard"/>
    <s v="completed"/>
    <x v="8"/>
    <n v="53"/>
    <n v="57"/>
  </r>
  <r>
    <x v="1"/>
    <x v="2"/>
    <x v="3"/>
    <s v="free/reduced"/>
    <s v="completed"/>
    <x v="38"/>
    <n v="82"/>
    <n v="82"/>
  </r>
  <r>
    <x v="0"/>
    <x v="2"/>
    <x v="3"/>
    <s v="free/reduced"/>
    <s v="none"/>
    <x v="11"/>
    <n v="85"/>
    <n v="76"/>
  </r>
  <r>
    <x v="0"/>
    <x v="1"/>
    <x v="3"/>
    <s v="standard"/>
    <s v="none"/>
    <x v="8"/>
    <n v="64"/>
    <n v="70"/>
  </r>
  <r>
    <x v="0"/>
    <x v="1"/>
    <x v="1"/>
    <s v="standard"/>
    <s v="none"/>
    <x v="58"/>
    <n v="83"/>
    <n v="90"/>
  </r>
  <r>
    <x v="0"/>
    <x v="1"/>
    <x v="0"/>
    <s v="standard"/>
    <s v="none"/>
    <x v="27"/>
    <n v="88"/>
    <n v="90"/>
  </r>
  <r>
    <x v="0"/>
    <x v="0"/>
    <x v="4"/>
    <s v="standard"/>
    <s v="none"/>
    <x v="16"/>
    <n v="64"/>
    <n v="68"/>
  </r>
  <r>
    <x v="1"/>
    <x v="3"/>
    <x v="4"/>
    <s v="standard"/>
    <s v="completed"/>
    <x v="50"/>
    <n v="64"/>
    <n v="66"/>
  </r>
  <r>
    <x v="0"/>
    <x v="1"/>
    <x v="1"/>
    <s v="standard"/>
    <s v="none"/>
    <x v="16"/>
    <n v="48"/>
    <n v="52"/>
  </r>
  <r>
    <x v="0"/>
    <x v="3"/>
    <x v="1"/>
    <s v="free/reduced"/>
    <s v="completed"/>
    <x v="32"/>
    <n v="78"/>
    <n v="76"/>
  </r>
  <r>
    <x v="0"/>
    <x v="0"/>
    <x v="5"/>
    <s v="standard"/>
    <s v="none"/>
    <x v="17"/>
    <n v="69"/>
    <n v="68"/>
  </r>
  <r>
    <x v="1"/>
    <x v="4"/>
    <x v="1"/>
    <s v="standard"/>
    <s v="none"/>
    <x v="4"/>
    <n v="71"/>
    <n v="72"/>
  </r>
  <r>
    <x v="0"/>
    <x v="3"/>
    <x v="2"/>
    <s v="standard"/>
    <s v="none"/>
    <x v="19"/>
    <n v="79"/>
    <n v="82"/>
  </r>
  <r>
    <x v="0"/>
    <x v="0"/>
    <x v="3"/>
    <s v="standard"/>
    <s v="completed"/>
    <x v="63"/>
    <n v="87"/>
    <n v="92"/>
  </r>
  <r>
    <x v="1"/>
    <x v="1"/>
    <x v="1"/>
    <s v="free/reduced"/>
    <s v="none"/>
    <x v="24"/>
    <n v="61"/>
    <n v="54"/>
  </r>
  <r>
    <x v="0"/>
    <x v="4"/>
    <x v="3"/>
    <s v="standard"/>
    <s v="completed"/>
    <x v="73"/>
    <n v="89"/>
    <n v="92"/>
  </r>
  <r>
    <x v="0"/>
    <x v="3"/>
    <x v="2"/>
    <s v="free/reduced"/>
    <s v="none"/>
    <x v="7"/>
    <n v="59"/>
    <n v="54"/>
  </r>
  <r>
    <x v="0"/>
    <x v="0"/>
    <x v="5"/>
    <s v="standard"/>
    <s v="none"/>
    <x v="33"/>
    <n v="82"/>
    <n v="80"/>
  </r>
  <r>
    <x v="1"/>
    <x v="2"/>
    <x v="4"/>
    <s v="standard"/>
    <s v="none"/>
    <x v="50"/>
    <n v="70"/>
    <n v="66"/>
  </r>
  <r>
    <x v="1"/>
    <x v="0"/>
    <x v="0"/>
    <s v="free/reduced"/>
    <s v="none"/>
    <x v="30"/>
    <n v="59"/>
    <n v="54"/>
  </r>
  <r>
    <x v="1"/>
    <x v="1"/>
    <x v="2"/>
    <s v="standard"/>
    <s v="none"/>
    <x v="38"/>
    <n v="78"/>
    <n v="77"/>
  </r>
  <r>
    <x v="0"/>
    <x v="1"/>
    <x v="0"/>
    <s v="standard"/>
    <s v="none"/>
    <x v="67"/>
    <n v="92"/>
    <n v="87"/>
  </r>
  <r>
    <x v="1"/>
    <x v="3"/>
    <x v="1"/>
    <s v="standard"/>
    <s v="none"/>
    <x v="4"/>
    <n v="71"/>
    <n v="73"/>
  </r>
  <r>
    <x v="1"/>
    <x v="2"/>
    <x v="5"/>
    <s v="standard"/>
    <s v="none"/>
    <x v="8"/>
    <n v="50"/>
    <n v="43"/>
  </r>
  <r>
    <x v="1"/>
    <x v="3"/>
    <x v="5"/>
    <s v="free/reduced"/>
    <s v="none"/>
    <x v="23"/>
    <n v="49"/>
    <n v="52"/>
  </r>
  <r>
    <x v="0"/>
    <x v="0"/>
    <x v="5"/>
    <s v="standard"/>
    <s v="completed"/>
    <x v="16"/>
    <n v="61"/>
    <n v="62"/>
  </r>
  <r>
    <x v="0"/>
    <x v="0"/>
    <x v="2"/>
    <s v="free/reduced"/>
    <s v="completed"/>
    <x v="34"/>
    <n v="97"/>
    <n v="94"/>
  </r>
  <r>
    <x v="0"/>
    <x v="1"/>
    <x v="5"/>
    <s v="standard"/>
    <s v="completed"/>
    <x v="4"/>
    <n v="87"/>
    <n v="85"/>
  </r>
  <r>
    <x v="0"/>
    <x v="3"/>
    <x v="1"/>
    <s v="standard"/>
    <s v="none"/>
    <x v="19"/>
    <n v="89"/>
    <n v="84"/>
  </r>
  <r>
    <x v="0"/>
    <x v="4"/>
    <x v="1"/>
    <s v="standard"/>
    <s v="completed"/>
    <x v="17"/>
    <n v="74"/>
    <n v="73"/>
  </r>
  <r>
    <x v="0"/>
    <x v="3"/>
    <x v="5"/>
    <s v="standard"/>
    <s v="completed"/>
    <x v="17"/>
    <n v="78"/>
    <n v="78"/>
  </r>
  <r>
    <x v="0"/>
    <x v="0"/>
    <x v="4"/>
    <s v="free/reduced"/>
    <s v="completed"/>
    <x v="21"/>
    <n v="78"/>
    <n v="79"/>
  </r>
  <r>
    <x v="1"/>
    <x v="3"/>
    <x v="1"/>
    <s v="standard"/>
    <s v="none"/>
    <x v="5"/>
    <n v="49"/>
    <n v="52"/>
  </r>
  <r>
    <x v="0"/>
    <x v="1"/>
    <x v="3"/>
    <s v="standard"/>
    <s v="none"/>
    <x v="57"/>
    <n v="86"/>
    <n v="84"/>
  </r>
  <r>
    <x v="1"/>
    <x v="3"/>
    <x v="0"/>
    <s v="standard"/>
    <s v="none"/>
    <x v="1"/>
    <n v="58"/>
    <n v="57"/>
  </r>
  <r>
    <x v="1"/>
    <x v="1"/>
    <x v="2"/>
    <s v="free/reduced"/>
    <s v="none"/>
    <x v="16"/>
    <n v="59"/>
    <n v="50"/>
  </r>
  <r>
    <x v="1"/>
    <x v="1"/>
    <x v="4"/>
    <s v="standard"/>
    <s v="completed"/>
    <x v="31"/>
    <n v="52"/>
    <n v="49"/>
  </r>
  <r>
    <x v="1"/>
    <x v="4"/>
    <x v="1"/>
    <s v="standard"/>
    <s v="none"/>
    <x v="50"/>
    <n v="60"/>
    <n v="59"/>
  </r>
  <r>
    <x v="1"/>
    <x v="1"/>
    <x v="5"/>
    <s v="free/reduced"/>
    <s v="completed"/>
    <x v="25"/>
    <n v="61"/>
    <n v="60"/>
  </r>
  <r>
    <x v="0"/>
    <x v="1"/>
    <x v="4"/>
    <s v="free/reduced"/>
    <s v="none"/>
    <x v="74"/>
    <n v="53"/>
    <n v="43"/>
  </r>
  <r>
    <x v="0"/>
    <x v="3"/>
    <x v="0"/>
    <s v="free/reduced"/>
    <s v="none"/>
    <x v="75"/>
    <n v="41"/>
    <n v="47"/>
  </r>
  <r>
    <x v="0"/>
    <x v="1"/>
    <x v="3"/>
    <s v="standard"/>
    <s v="none"/>
    <x v="23"/>
    <n v="74"/>
    <n v="70"/>
  </r>
  <r>
    <x v="0"/>
    <x v="1"/>
    <x v="3"/>
    <s v="standard"/>
    <s v="completed"/>
    <x v="50"/>
    <n v="67"/>
    <n v="73"/>
  </r>
  <r>
    <x v="0"/>
    <x v="1"/>
    <x v="5"/>
    <s v="standard"/>
    <s v="none"/>
    <x v="3"/>
    <n v="54"/>
    <n v="53"/>
  </r>
  <r>
    <x v="1"/>
    <x v="4"/>
    <x v="3"/>
    <s v="standard"/>
    <s v="completed"/>
    <x v="23"/>
    <n v="61"/>
    <n v="58"/>
  </r>
  <r>
    <x v="0"/>
    <x v="4"/>
    <x v="3"/>
    <s v="standard"/>
    <s v="completed"/>
    <x v="38"/>
    <n v="88"/>
    <n v="94"/>
  </r>
  <r>
    <x v="1"/>
    <x v="0"/>
    <x v="4"/>
    <s v="standard"/>
    <s v="completed"/>
    <x v="20"/>
    <n v="69"/>
    <n v="68"/>
  </r>
  <r>
    <x v="0"/>
    <x v="1"/>
    <x v="0"/>
    <s v="free/reduced"/>
    <s v="completed"/>
    <x v="17"/>
    <n v="83"/>
    <n v="83"/>
  </r>
  <r>
    <x v="1"/>
    <x v="1"/>
    <x v="3"/>
    <s v="standard"/>
    <s v="completed"/>
    <x v="54"/>
    <n v="60"/>
    <n v="58"/>
  </r>
  <r>
    <x v="0"/>
    <x v="3"/>
    <x v="4"/>
    <s v="standard"/>
    <s v="none"/>
    <x v="54"/>
    <n v="66"/>
    <n v="62"/>
  </r>
  <r>
    <x v="1"/>
    <x v="4"/>
    <x v="0"/>
    <s v="standard"/>
    <s v="completed"/>
    <x v="51"/>
    <n v="66"/>
    <n v="71"/>
  </r>
  <r>
    <x v="1"/>
    <x v="2"/>
    <x v="3"/>
    <s v="standard"/>
    <s v="completed"/>
    <x v="26"/>
    <n v="92"/>
    <n v="86"/>
  </r>
  <r>
    <x v="1"/>
    <x v="1"/>
    <x v="4"/>
    <s v="standard"/>
    <s v="completed"/>
    <x v="28"/>
    <n v="69"/>
    <n v="68"/>
  </r>
  <r>
    <x v="1"/>
    <x v="3"/>
    <x v="3"/>
    <s v="free/reduced"/>
    <s v="completed"/>
    <x v="38"/>
    <n v="82"/>
    <n v="80"/>
  </r>
  <r>
    <x v="0"/>
    <x v="1"/>
    <x v="3"/>
    <s v="standard"/>
    <s v="none"/>
    <x v="27"/>
    <n v="77"/>
    <n v="79"/>
  </r>
  <r>
    <x v="0"/>
    <x v="3"/>
    <x v="3"/>
    <s v="standard"/>
    <s v="none"/>
    <x v="33"/>
    <n v="95"/>
    <n v="89"/>
  </r>
  <r>
    <x v="0"/>
    <x v="3"/>
    <x v="2"/>
    <s v="standard"/>
    <s v="none"/>
    <x v="8"/>
    <n v="63"/>
    <n v="66"/>
  </r>
  <r>
    <x v="1"/>
    <x v="4"/>
    <x v="5"/>
    <s v="free/reduced"/>
    <s v="completed"/>
    <x v="12"/>
    <n v="83"/>
    <n v="80"/>
  </r>
  <r>
    <x v="0"/>
    <x v="2"/>
    <x v="5"/>
    <s v="standard"/>
    <s v="completed"/>
    <x v="68"/>
    <n v="100"/>
    <n v="97"/>
  </r>
  <r>
    <x v="1"/>
    <x v="1"/>
    <x v="4"/>
    <s v="standard"/>
    <s v="completed"/>
    <x v="0"/>
    <n v="67"/>
    <n v="64"/>
  </r>
  <r>
    <x v="0"/>
    <x v="1"/>
    <x v="4"/>
    <s v="free/reduced"/>
    <s v="none"/>
    <x v="23"/>
    <n v="67"/>
    <n v="64"/>
  </r>
  <r>
    <x v="1"/>
    <x v="1"/>
    <x v="2"/>
    <s v="standard"/>
    <s v="none"/>
    <x v="38"/>
    <n v="72"/>
    <n v="69"/>
  </r>
  <r>
    <x v="1"/>
    <x v="1"/>
    <x v="5"/>
    <s v="free/reduced"/>
    <s v="none"/>
    <x v="38"/>
    <n v="76"/>
    <n v="65"/>
  </r>
  <r>
    <x v="1"/>
    <x v="0"/>
    <x v="0"/>
    <s v="free/reduced"/>
    <s v="completed"/>
    <x v="53"/>
    <n v="90"/>
    <n v="88"/>
  </r>
  <r>
    <x v="0"/>
    <x v="0"/>
    <x v="3"/>
    <s v="standard"/>
    <s v="none"/>
    <x v="7"/>
    <n v="48"/>
    <n v="50"/>
  </r>
  <r>
    <x v="1"/>
    <x v="3"/>
    <x v="1"/>
    <s v="free/reduced"/>
    <s v="none"/>
    <x v="34"/>
    <n v="62"/>
    <n v="64"/>
  </r>
  <r>
    <x v="1"/>
    <x v="4"/>
    <x v="3"/>
    <s v="standard"/>
    <s v="none"/>
    <x v="31"/>
    <n v="45"/>
    <n v="40"/>
  </r>
  <r>
    <x v="0"/>
    <x v="1"/>
    <x v="1"/>
    <s v="free/reduced"/>
    <s v="none"/>
    <x v="76"/>
    <n v="39"/>
    <n v="33"/>
  </r>
  <r>
    <x v="0"/>
    <x v="1"/>
    <x v="3"/>
    <s v="standard"/>
    <s v="completed"/>
    <x v="30"/>
    <n v="72"/>
    <n v="79"/>
  </r>
  <r>
    <x v="1"/>
    <x v="1"/>
    <x v="2"/>
    <s v="free/reduced"/>
    <s v="none"/>
    <x v="42"/>
    <n v="67"/>
    <n v="66"/>
  </r>
  <r>
    <x v="0"/>
    <x v="0"/>
    <x v="3"/>
    <s v="free/reduced"/>
    <s v="none"/>
    <x v="31"/>
    <n v="70"/>
    <n v="70"/>
  </r>
  <r>
    <x v="1"/>
    <x v="3"/>
    <x v="5"/>
    <s v="standard"/>
    <s v="none"/>
    <x v="20"/>
    <n v="66"/>
    <n v="62"/>
  </r>
  <r>
    <x v="0"/>
    <x v="3"/>
    <x v="1"/>
    <s v="standard"/>
    <s v="completed"/>
    <x v="19"/>
    <n v="75"/>
    <n v="79"/>
  </r>
  <r>
    <x v="0"/>
    <x v="1"/>
    <x v="1"/>
    <s v="standard"/>
    <s v="none"/>
    <x v="24"/>
    <n v="74"/>
    <n v="74"/>
  </r>
  <r>
    <x v="1"/>
    <x v="1"/>
    <x v="0"/>
    <s v="standard"/>
    <s v="completed"/>
    <x v="62"/>
    <n v="90"/>
    <n v="92"/>
  </r>
  <r>
    <x v="0"/>
    <x v="3"/>
    <x v="1"/>
    <s v="free/reduced"/>
    <s v="completed"/>
    <x v="24"/>
    <n v="80"/>
    <n v="80"/>
  </r>
  <r>
    <x v="1"/>
    <x v="0"/>
    <x v="0"/>
    <s v="free/reduced"/>
    <s v="none"/>
    <x v="64"/>
    <n v="51"/>
    <n v="46"/>
  </r>
  <r>
    <x v="1"/>
    <x v="0"/>
    <x v="3"/>
    <s v="standard"/>
    <s v="none"/>
    <x v="64"/>
    <n v="43"/>
    <n v="45"/>
  </r>
  <r>
    <x v="0"/>
    <x v="4"/>
    <x v="0"/>
    <s v="free/reduced"/>
    <s v="completed"/>
    <x v="68"/>
    <n v="100"/>
    <n v="100"/>
  </r>
  <r>
    <x v="0"/>
    <x v="3"/>
    <x v="2"/>
    <s v="free/reduced"/>
    <s v="completed"/>
    <x v="42"/>
    <n v="71"/>
    <n v="78"/>
  </r>
  <r>
    <x v="1"/>
    <x v="0"/>
    <x v="4"/>
    <s v="free/reduced"/>
    <s v="none"/>
    <x v="24"/>
    <n v="48"/>
    <n v="47"/>
  </r>
  <r>
    <x v="1"/>
    <x v="3"/>
    <x v="0"/>
    <s v="free/reduced"/>
    <s v="none"/>
    <x v="50"/>
    <n v="68"/>
    <n v="67"/>
  </r>
  <r>
    <x v="1"/>
    <x v="0"/>
    <x v="1"/>
    <s v="standard"/>
    <s v="completed"/>
    <x v="5"/>
    <n v="75"/>
    <n v="70"/>
  </r>
  <r>
    <x v="1"/>
    <x v="2"/>
    <x v="0"/>
    <s v="standard"/>
    <s v="none"/>
    <x v="57"/>
    <n v="96"/>
    <n v="92"/>
  </r>
  <r>
    <x v="0"/>
    <x v="1"/>
    <x v="1"/>
    <s v="standard"/>
    <s v="none"/>
    <x v="31"/>
    <n v="62"/>
    <n v="56"/>
  </r>
  <r>
    <x v="0"/>
    <x v="1"/>
    <x v="4"/>
    <s v="free/reduced"/>
    <s v="completed"/>
    <x v="13"/>
    <n v="66"/>
    <n v="64"/>
  </r>
  <r>
    <x v="0"/>
    <x v="4"/>
    <x v="4"/>
    <s v="standard"/>
    <s v="none"/>
    <x v="19"/>
    <n v="81"/>
    <n v="71"/>
  </r>
  <r>
    <x v="1"/>
    <x v="2"/>
    <x v="3"/>
    <s v="free/reduced"/>
    <s v="completed"/>
    <x v="7"/>
    <n v="55"/>
    <n v="53"/>
  </r>
  <r>
    <x v="1"/>
    <x v="2"/>
    <x v="1"/>
    <s v="standard"/>
    <s v="completed"/>
    <x v="42"/>
    <n v="51"/>
    <n v="52"/>
  </r>
  <r>
    <x v="0"/>
    <x v="0"/>
    <x v="4"/>
    <s v="standard"/>
    <s v="none"/>
    <x v="27"/>
    <n v="91"/>
    <n v="89"/>
  </r>
  <r>
    <x v="0"/>
    <x v="0"/>
    <x v="1"/>
    <s v="free/reduced"/>
    <s v="completed"/>
    <x v="64"/>
    <n v="56"/>
    <n v="58"/>
  </r>
  <r>
    <x v="0"/>
    <x v="3"/>
    <x v="2"/>
    <s v="standard"/>
    <s v="none"/>
    <x v="31"/>
    <n v="61"/>
    <n v="68"/>
  </r>
  <r>
    <x v="0"/>
    <x v="3"/>
    <x v="5"/>
    <s v="standard"/>
    <s v="none"/>
    <x v="27"/>
    <n v="97"/>
    <n v="96"/>
  </r>
  <r>
    <x v="0"/>
    <x v="4"/>
    <x v="5"/>
    <s v="standard"/>
    <s v="none"/>
    <x v="34"/>
    <n v="79"/>
    <n v="80"/>
  </r>
  <r>
    <x v="0"/>
    <x v="3"/>
    <x v="0"/>
    <s v="free/reduced"/>
    <s v="none"/>
    <x v="24"/>
    <n v="73"/>
    <n v="78"/>
  </r>
  <r>
    <x v="0"/>
    <x v="3"/>
    <x v="3"/>
    <s v="standard"/>
    <s v="completed"/>
    <x v="20"/>
    <n v="75"/>
    <n v="80"/>
  </r>
  <r>
    <x v="0"/>
    <x v="3"/>
    <x v="1"/>
    <s v="standard"/>
    <s v="none"/>
    <x v="1"/>
    <n v="77"/>
    <n v="77"/>
  </r>
  <r>
    <x v="0"/>
    <x v="1"/>
    <x v="3"/>
    <s v="standard"/>
    <s v="none"/>
    <x v="11"/>
    <n v="76"/>
    <n v="76"/>
  </r>
  <r>
    <x v="0"/>
    <x v="2"/>
    <x v="4"/>
    <s v="standard"/>
    <s v="none"/>
    <x v="30"/>
    <n v="73"/>
    <n v="73"/>
  </r>
  <r>
    <x v="0"/>
    <x v="1"/>
    <x v="0"/>
    <s v="free/reduced"/>
    <s v="none"/>
    <x v="18"/>
    <n v="63"/>
    <n v="62"/>
  </r>
  <r>
    <x v="0"/>
    <x v="1"/>
    <x v="1"/>
    <s v="standard"/>
    <s v="none"/>
    <x v="16"/>
    <n v="64"/>
    <n v="65"/>
  </r>
  <r>
    <x v="0"/>
    <x v="2"/>
    <x v="5"/>
    <s v="standard"/>
    <s v="none"/>
    <x v="64"/>
    <n v="66"/>
    <n v="65"/>
  </r>
  <r>
    <x v="1"/>
    <x v="1"/>
    <x v="1"/>
    <s v="free/reduced"/>
    <s v="none"/>
    <x v="10"/>
    <n v="57"/>
    <n v="54"/>
  </r>
  <r>
    <x v="1"/>
    <x v="2"/>
    <x v="5"/>
    <s v="standard"/>
    <s v="none"/>
    <x v="5"/>
    <n v="62"/>
    <n v="50"/>
  </r>
  <r>
    <x v="1"/>
    <x v="4"/>
    <x v="0"/>
    <s v="standard"/>
    <s v="none"/>
    <x v="50"/>
    <n v="68"/>
    <n v="64"/>
  </r>
  <r>
    <x v="0"/>
    <x v="4"/>
    <x v="4"/>
    <s v="standard"/>
    <s v="none"/>
    <x v="19"/>
    <n v="76"/>
    <n v="73"/>
  </r>
  <r>
    <x v="0"/>
    <x v="1"/>
    <x v="0"/>
    <s v="standard"/>
    <s v="completed"/>
    <x v="68"/>
    <n v="100"/>
    <n v="99"/>
  </r>
  <r>
    <x v="0"/>
    <x v="1"/>
    <x v="0"/>
    <s v="standard"/>
    <s v="completed"/>
    <x v="25"/>
    <n v="79"/>
    <n v="72"/>
  </r>
  <r>
    <x v="1"/>
    <x v="0"/>
    <x v="4"/>
    <s v="free/reduced"/>
    <s v="none"/>
    <x v="45"/>
    <n v="24"/>
    <n v="15"/>
  </r>
  <r>
    <x v="1"/>
    <x v="2"/>
    <x v="5"/>
    <s v="standard"/>
    <s v="none"/>
    <x v="31"/>
    <n v="54"/>
    <n v="48"/>
  </r>
  <r>
    <x v="0"/>
    <x v="3"/>
    <x v="4"/>
    <s v="standard"/>
    <s v="none"/>
    <x v="1"/>
    <n v="77"/>
    <n v="73"/>
  </r>
  <r>
    <x v="0"/>
    <x v="3"/>
    <x v="5"/>
    <s v="standard"/>
    <s v="none"/>
    <x v="11"/>
    <n v="82"/>
    <n v="81"/>
  </r>
  <r>
    <x v="0"/>
    <x v="3"/>
    <x v="2"/>
    <s v="standard"/>
    <s v="none"/>
    <x v="16"/>
    <n v="60"/>
    <n v="63"/>
  </r>
  <r>
    <x v="0"/>
    <x v="1"/>
    <x v="4"/>
    <s v="standard"/>
    <s v="none"/>
    <x v="75"/>
    <n v="29"/>
    <n v="30"/>
  </r>
  <r>
    <x v="0"/>
    <x v="4"/>
    <x v="1"/>
    <s v="standard"/>
    <s v="none"/>
    <x v="4"/>
    <n v="78"/>
    <n v="80"/>
  </r>
  <r>
    <x v="1"/>
    <x v="3"/>
    <x v="4"/>
    <s v="free/reduced"/>
    <s v="none"/>
    <x v="41"/>
    <n v="57"/>
    <n v="51"/>
  </r>
  <r>
    <x v="1"/>
    <x v="3"/>
    <x v="2"/>
    <s v="free/reduced"/>
    <s v="completed"/>
    <x v="56"/>
    <n v="89"/>
    <n v="90"/>
  </r>
  <r>
    <x v="1"/>
    <x v="1"/>
    <x v="5"/>
    <s v="standard"/>
    <s v="none"/>
    <x v="28"/>
    <n v="72"/>
    <n v="62"/>
  </r>
  <r>
    <x v="0"/>
    <x v="1"/>
    <x v="3"/>
    <s v="standard"/>
    <s v="none"/>
    <x v="51"/>
    <n v="84"/>
    <n v="82"/>
  </r>
  <r>
    <x v="0"/>
    <x v="1"/>
    <x v="2"/>
    <s v="free/reduced"/>
    <s v="none"/>
    <x v="7"/>
    <n v="58"/>
    <n v="54"/>
  </r>
  <r>
    <x v="0"/>
    <x v="4"/>
    <x v="1"/>
    <s v="standard"/>
    <s v="none"/>
    <x v="42"/>
    <n v="64"/>
    <n v="62"/>
  </r>
  <r>
    <x v="0"/>
    <x v="0"/>
    <x v="3"/>
    <s v="standard"/>
    <s v="none"/>
    <x v="10"/>
    <n v="63"/>
    <n v="65"/>
  </r>
  <r>
    <x v="1"/>
    <x v="3"/>
    <x v="1"/>
    <s v="free/reduced"/>
    <s v="completed"/>
    <x v="1"/>
    <n v="60"/>
    <n v="63"/>
  </r>
  <r>
    <x v="0"/>
    <x v="1"/>
    <x v="1"/>
    <s v="standard"/>
    <s v="none"/>
    <x v="10"/>
    <n v="59"/>
    <n v="66"/>
  </r>
  <r>
    <x v="1"/>
    <x v="1"/>
    <x v="0"/>
    <s v="standard"/>
    <s v="completed"/>
    <x v="63"/>
    <n v="90"/>
    <n v="91"/>
  </r>
  <r>
    <x v="0"/>
    <x v="1"/>
    <x v="3"/>
    <s v="standard"/>
    <s v="none"/>
    <x v="11"/>
    <n v="77"/>
    <n v="74"/>
  </r>
  <r>
    <x v="0"/>
    <x v="2"/>
    <x v="3"/>
    <s v="standard"/>
    <s v="none"/>
    <x v="33"/>
    <n v="93"/>
    <n v="93"/>
  </r>
  <r>
    <x v="0"/>
    <x v="1"/>
    <x v="4"/>
    <s v="standard"/>
    <s v="none"/>
    <x v="41"/>
    <n v="68"/>
    <n v="72"/>
  </r>
  <r>
    <x v="0"/>
    <x v="4"/>
    <x v="0"/>
    <s v="standard"/>
    <s v="none"/>
    <x v="69"/>
    <n v="45"/>
    <n v="38"/>
  </r>
  <r>
    <x v="1"/>
    <x v="3"/>
    <x v="0"/>
    <s v="standard"/>
    <s v="none"/>
    <x v="6"/>
    <n v="78"/>
    <n v="83"/>
  </r>
  <r>
    <x v="1"/>
    <x v="3"/>
    <x v="2"/>
    <s v="standard"/>
    <s v="none"/>
    <x v="73"/>
    <n v="81"/>
    <n v="84"/>
  </r>
  <r>
    <x v="1"/>
    <x v="1"/>
    <x v="3"/>
    <s v="free/reduced"/>
    <s v="completed"/>
    <x v="11"/>
    <n v="73"/>
    <n v="68"/>
  </r>
  <r>
    <x v="0"/>
    <x v="1"/>
    <x v="4"/>
    <s v="free/reduced"/>
    <s v="none"/>
    <x v="65"/>
    <n v="61"/>
    <n v="54"/>
  </r>
  <r>
    <x v="1"/>
    <x v="0"/>
    <x v="0"/>
    <s v="free/reduced"/>
    <s v="none"/>
    <x v="23"/>
    <n v="63"/>
    <n v="56"/>
  </r>
  <r>
    <x v="1"/>
    <x v="1"/>
    <x v="4"/>
    <s v="free/reduced"/>
    <s v="completed"/>
    <x v="10"/>
    <n v="51"/>
    <n v="52"/>
  </r>
  <r>
    <x v="1"/>
    <x v="2"/>
    <x v="1"/>
    <s v="standard"/>
    <s v="completed"/>
    <x v="61"/>
    <n v="96"/>
    <n v="86"/>
  </r>
  <r>
    <x v="0"/>
    <x v="4"/>
    <x v="0"/>
    <s v="free/reduced"/>
    <s v="none"/>
    <x v="42"/>
    <n v="58"/>
    <n v="62"/>
  </r>
  <r>
    <x v="1"/>
    <x v="3"/>
    <x v="1"/>
    <s v="standard"/>
    <s v="completed"/>
    <x v="61"/>
    <n v="97"/>
    <n v="99"/>
  </r>
  <r>
    <x v="1"/>
    <x v="0"/>
    <x v="3"/>
    <s v="free/reduced"/>
    <s v="completed"/>
    <x v="1"/>
    <n v="70"/>
    <n v="63"/>
  </r>
  <r>
    <x v="1"/>
    <x v="3"/>
    <x v="3"/>
    <s v="standard"/>
    <s v="none"/>
    <x v="42"/>
    <n v="48"/>
    <n v="46"/>
  </r>
  <r>
    <x v="1"/>
    <x v="3"/>
    <x v="1"/>
    <s v="free/reduced"/>
    <s v="none"/>
    <x v="44"/>
    <n v="57"/>
    <n v="46"/>
  </r>
  <r>
    <x v="0"/>
    <x v="1"/>
    <x v="5"/>
    <s v="standard"/>
    <s v="completed"/>
    <x v="18"/>
    <n v="51"/>
    <n v="55"/>
  </r>
  <r>
    <x v="1"/>
    <x v="3"/>
    <x v="1"/>
    <s v="standard"/>
    <s v="none"/>
    <x v="21"/>
    <n v="64"/>
    <n v="70"/>
  </r>
  <r>
    <x v="1"/>
    <x v="0"/>
    <x v="4"/>
    <s v="standard"/>
    <s v="none"/>
    <x v="38"/>
    <n v="60"/>
    <n v="65"/>
  </r>
  <r>
    <x v="0"/>
    <x v="0"/>
    <x v="0"/>
    <s v="standard"/>
    <s v="completed"/>
    <x v="17"/>
    <n v="74"/>
    <n v="81"/>
  </r>
  <r>
    <x v="0"/>
    <x v="1"/>
    <x v="4"/>
    <s v="standard"/>
    <s v="none"/>
    <x v="28"/>
    <n v="88"/>
    <n v="85"/>
  </r>
  <r>
    <x v="1"/>
    <x v="3"/>
    <x v="5"/>
    <s v="standard"/>
    <s v="none"/>
    <x v="56"/>
    <n v="84"/>
    <n v="80"/>
  </r>
  <r>
    <x v="1"/>
    <x v="2"/>
    <x v="4"/>
    <s v="standard"/>
    <s v="none"/>
    <x v="5"/>
    <n v="74"/>
    <n v="64"/>
  </r>
  <r>
    <x v="0"/>
    <x v="0"/>
    <x v="4"/>
    <s v="free/reduced"/>
    <s v="completed"/>
    <x v="21"/>
    <n v="80"/>
    <n v="81"/>
  </r>
  <r>
    <x v="0"/>
    <x v="3"/>
    <x v="5"/>
    <s v="standard"/>
    <s v="completed"/>
    <x v="46"/>
    <n v="92"/>
    <n v="88"/>
  </r>
  <r>
    <x v="1"/>
    <x v="4"/>
    <x v="1"/>
    <s v="standard"/>
    <s v="none"/>
    <x v="67"/>
    <n v="76"/>
    <n v="74"/>
  </r>
  <r>
    <x v="0"/>
    <x v="3"/>
    <x v="3"/>
    <s v="standard"/>
    <s v="none"/>
    <x v="4"/>
    <n v="74"/>
    <n v="73"/>
  </r>
  <r>
    <x v="1"/>
    <x v="3"/>
    <x v="4"/>
    <s v="standard"/>
    <s v="none"/>
    <x v="43"/>
    <n v="52"/>
    <n v="51"/>
  </r>
  <r>
    <x v="0"/>
    <x v="3"/>
    <x v="3"/>
    <s v="free/reduced"/>
    <s v="completed"/>
    <x v="19"/>
    <n v="88"/>
    <n v="90"/>
  </r>
  <r>
    <x v="0"/>
    <x v="0"/>
    <x v="5"/>
    <s v="free/reduced"/>
    <s v="none"/>
    <x v="0"/>
    <n v="81"/>
    <n v="79"/>
  </r>
  <r>
    <x v="0"/>
    <x v="4"/>
    <x v="4"/>
    <s v="standard"/>
    <s v="completed"/>
    <x v="19"/>
    <n v="79"/>
    <n v="80"/>
  </r>
  <r>
    <x v="1"/>
    <x v="0"/>
    <x v="4"/>
    <s v="standard"/>
    <s v="none"/>
    <x v="22"/>
    <n v="65"/>
    <n v="60"/>
  </r>
  <r>
    <x v="0"/>
    <x v="0"/>
    <x v="0"/>
    <s v="standard"/>
    <s v="completed"/>
    <x v="11"/>
    <n v="81"/>
    <n v="81"/>
  </r>
  <r>
    <x v="0"/>
    <x v="3"/>
    <x v="3"/>
    <s v="standard"/>
    <s v="none"/>
    <x v="32"/>
    <n v="70"/>
    <n v="65"/>
  </r>
  <r>
    <x v="0"/>
    <x v="4"/>
    <x v="4"/>
    <s v="free/reduced"/>
    <s v="none"/>
    <x v="8"/>
    <n v="62"/>
    <n v="68"/>
  </r>
  <r>
    <x v="0"/>
    <x v="0"/>
    <x v="4"/>
    <s v="standard"/>
    <s v="none"/>
    <x v="13"/>
    <n v="53"/>
    <n v="55"/>
  </r>
  <r>
    <x v="0"/>
    <x v="3"/>
    <x v="1"/>
    <s v="standard"/>
    <s v="completed"/>
    <x v="1"/>
    <n v="79"/>
    <n v="81"/>
  </r>
  <r>
    <x v="1"/>
    <x v="1"/>
    <x v="5"/>
    <s v="free/reduced"/>
    <s v="completed"/>
    <x v="54"/>
    <n v="56"/>
    <n v="53"/>
  </r>
  <r>
    <x v="0"/>
    <x v="2"/>
    <x v="4"/>
    <s v="standard"/>
    <s v="completed"/>
    <x v="50"/>
    <n v="80"/>
    <n v="76"/>
  </r>
  <r>
    <x v="0"/>
    <x v="3"/>
    <x v="1"/>
    <s v="standard"/>
    <s v="completed"/>
    <x v="51"/>
    <n v="86"/>
    <n v="98"/>
  </r>
  <r>
    <x v="0"/>
    <x v="2"/>
    <x v="3"/>
    <s v="standard"/>
    <s v="completed"/>
    <x v="11"/>
    <n v="70"/>
    <n v="74"/>
  </r>
  <r>
    <x v="0"/>
    <x v="0"/>
    <x v="5"/>
    <s v="standard"/>
    <s v="none"/>
    <x v="20"/>
    <n v="79"/>
    <n v="79"/>
  </r>
  <r>
    <x v="0"/>
    <x v="0"/>
    <x v="1"/>
    <s v="standard"/>
    <s v="none"/>
    <x v="23"/>
    <n v="67"/>
    <n v="67"/>
  </r>
  <r>
    <x v="1"/>
    <x v="1"/>
    <x v="3"/>
    <s v="free/reduced"/>
    <s v="none"/>
    <x v="34"/>
    <n v="67"/>
    <n v="64"/>
  </r>
  <r>
    <x v="1"/>
    <x v="3"/>
    <x v="5"/>
    <s v="standard"/>
    <s v="none"/>
    <x v="1"/>
    <n v="66"/>
    <n v="61"/>
  </r>
  <r>
    <x v="0"/>
    <x v="3"/>
    <x v="3"/>
    <s v="free/reduced"/>
    <s v="none"/>
    <x v="49"/>
    <n v="60"/>
    <n v="58"/>
  </r>
  <r>
    <x v="1"/>
    <x v="3"/>
    <x v="3"/>
    <s v="standard"/>
    <s v="none"/>
    <x v="2"/>
    <n v="87"/>
    <n v="85"/>
  </r>
  <r>
    <x v="1"/>
    <x v="1"/>
    <x v="1"/>
    <s v="free/reduced"/>
    <s v="none"/>
    <x v="19"/>
    <n v="77"/>
    <n v="73"/>
  </r>
  <r>
    <x v="1"/>
    <x v="1"/>
    <x v="5"/>
    <s v="standard"/>
    <s v="none"/>
    <x v="20"/>
    <n v="66"/>
    <n v="63"/>
  </r>
  <r>
    <x v="0"/>
    <x v="3"/>
    <x v="1"/>
    <s v="free/reduced"/>
    <s v="none"/>
    <x v="30"/>
    <n v="71"/>
    <n v="69"/>
  </r>
  <r>
    <x v="0"/>
    <x v="1"/>
    <x v="4"/>
    <s v="standard"/>
    <s v="none"/>
    <x v="11"/>
    <n v="69"/>
    <n v="67"/>
  </r>
  <r>
    <x v="1"/>
    <x v="3"/>
    <x v="3"/>
    <s v="standard"/>
    <s v="none"/>
    <x v="46"/>
    <n v="63"/>
    <n v="63"/>
  </r>
  <r>
    <x v="0"/>
    <x v="1"/>
    <x v="5"/>
    <s v="free/reduced"/>
    <s v="completed"/>
    <x v="13"/>
    <n v="60"/>
    <n v="60"/>
  </r>
  <r>
    <x v="0"/>
    <x v="1"/>
    <x v="1"/>
    <s v="free/reduced"/>
    <s v="completed"/>
    <x v="24"/>
    <n v="73"/>
    <n v="71"/>
  </r>
  <r>
    <x v="0"/>
    <x v="0"/>
    <x v="0"/>
    <s v="free/reduced"/>
    <s v="none"/>
    <x v="34"/>
    <n v="85"/>
    <n v="87"/>
  </r>
  <r>
    <x v="1"/>
    <x v="1"/>
    <x v="1"/>
    <s v="standard"/>
    <s v="none"/>
    <x v="20"/>
    <n v="74"/>
    <n v="61"/>
  </r>
  <r>
    <x v="1"/>
    <x v="3"/>
    <x v="3"/>
    <s v="standard"/>
    <s v="completed"/>
    <x v="27"/>
    <n v="72"/>
    <n v="77"/>
  </r>
  <r>
    <x v="0"/>
    <x v="1"/>
    <x v="4"/>
    <s v="free/reduced"/>
    <s v="none"/>
    <x v="17"/>
    <n v="76"/>
    <n v="68"/>
  </r>
  <r>
    <x v="1"/>
    <x v="3"/>
    <x v="3"/>
    <s v="free/reduced"/>
    <s v="none"/>
    <x v="36"/>
    <n v="57"/>
    <n v="50"/>
  </r>
  <r>
    <x v="0"/>
    <x v="1"/>
    <x v="1"/>
    <s v="standard"/>
    <s v="none"/>
    <x v="1"/>
    <n v="78"/>
    <n v="76"/>
  </r>
  <r>
    <x v="0"/>
    <x v="1"/>
    <x v="3"/>
    <s v="standard"/>
    <s v="completed"/>
    <x v="11"/>
    <n v="84"/>
    <n v="84"/>
  </r>
  <r>
    <x v="0"/>
    <x v="3"/>
    <x v="4"/>
    <s v="standard"/>
    <s v="completed"/>
    <x v="1"/>
    <n v="77"/>
    <n v="78"/>
  </r>
  <r>
    <x v="0"/>
    <x v="0"/>
    <x v="1"/>
    <s v="standard"/>
    <s v="completed"/>
    <x v="13"/>
    <n v="64"/>
    <n v="66"/>
  </r>
  <r>
    <x v="0"/>
    <x v="4"/>
    <x v="1"/>
    <s v="standard"/>
    <s v="completed"/>
    <x v="20"/>
    <n v="78"/>
    <n v="76"/>
  </r>
  <r>
    <x v="0"/>
    <x v="1"/>
    <x v="5"/>
    <s v="standard"/>
    <s v="completed"/>
    <x v="22"/>
    <n v="82"/>
    <n v="76"/>
  </r>
  <r>
    <x v="1"/>
    <x v="3"/>
    <x v="3"/>
    <s v="free/reduced"/>
    <s v="none"/>
    <x v="27"/>
    <n v="75"/>
    <n v="78"/>
  </r>
  <r>
    <x v="1"/>
    <x v="3"/>
    <x v="1"/>
    <s v="free/reduced"/>
    <s v="none"/>
    <x v="24"/>
    <n v="61"/>
    <n v="60"/>
  </r>
  <r>
    <x v="0"/>
    <x v="3"/>
    <x v="4"/>
    <s v="standard"/>
    <s v="none"/>
    <x v="21"/>
    <n v="72"/>
    <n v="74"/>
  </r>
  <r>
    <x v="1"/>
    <x v="0"/>
    <x v="4"/>
    <s v="standard"/>
    <s v="none"/>
    <x v="41"/>
    <n v="68"/>
    <n v="60"/>
  </r>
  <r>
    <x v="1"/>
    <x v="0"/>
    <x v="4"/>
    <s v="standard"/>
    <s v="none"/>
    <x v="23"/>
    <n v="55"/>
    <n v="54"/>
  </r>
  <r>
    <x v="0"/>
    <x v="1"/>
    <x v="5"/>
    <s v="free/reduced"/>
    <s v="completed"/>
    <x v="75"/>
    <n v="40"/>
    <n v="44"/>
  </r>
  <r>
    <x v="1"/>
    <x v="0"/>
    <x v="1"/>
    <s v="standard"/>
    <s v="completed"/>
    <x v="23"/>
    <n v="66"/>
    <n v="68"/>
  </r>
  <r>
    <x v="0"/>
    <x v="4"/>
    <x v="2"/>
    <s v="standard"/>
    <s v="completed"/>
    <x v="63"/>
    <n v="99"/>
    <n v="100"/>
  </r>
  <r>
    <x v="1"/>
    <x v="4"/>
    <x v="1"/>
    <s v="standard"/>
    <s v="completed"/>
    <x v="51"/>
    <n v="75"/>
    <n v="68"/>
  </r>
  <r>
    <x v="1"/>
    <x v="3"/>
    <x v="3"/>
    <s v="free/reduced"/>
    <s v="none"/>
    <x v="34"/>
    <n v="78"/>
    <n v="73"/>
  </r>
  <r>
    <x v="1"/>
    <x v="2"/>
    <x v="4"/>
    <s v="free/reduced"/>
    <s v="none"/>
    <x v="31"/>
    <n v="58"/>
    <n v="44"/>
  </r>
  <r>
    <x v="1"/>
    <x v="4"/>
    <x v="1"/>
    <s v="free/reduced"/>
    <s v="none"/>
    <x v="77"/>
    <n v="90"/>
    <n v="83"/>
  </r>
  <r>
    <x v="0"/>
    <x v="1"/>
    <x v="3"/>
    <s v="standard"/>
    <s v="none"/>
    <x v="44"/>
    <n v="53"/>
    <n v="53"/>
  </r>
  <r>
    <x v="0"/>
    <x v="4"/>
    <x v="3"/>
    <s v="free/reduced"/>
    <s v="none"/>
    <x v="20"/>
    <n v="76"/>
    <n v="78"/>
  </r>
  <r>
    <x v="0"/>
    <x v="1"/>
    <x v="0"/>
    <s v="free/reduced"/>
    <s v="completed"/>
    <x v="17"/>
    <n v="74"/>
    <n v="81"/>
  </r>
  <r>
    <x v="0"/>
    <x v="3"/>
    <x v="3"/>
    <s v="standard"/>
    <s v="none"/>
    <x v="34"/>
    <n v="77"/>
    <n v="73"/>
  </r>
  <r>
    <x v="0"/>
    <x v="1"/>
    <x v="5"/>
    <s v="standard"/>
    <s v="none"/>
    <x v="44"/>
    <n v="63"/>
    <n v="56"/>
  </r>
  <r>
    <x v="0"/>
    <x v="3"/>
    <x v="1"/>
    <s v="free/reduced"/>
    <s v="none"/>
    <x v="38"/>
    <n v="89"/>
    <n v="86"/>
  </r>
  <r>
    <x v="0"/>
    <x v="1"/>
    <x v="3"/>
    <s v="standard"/>
    <s v="completed"/>
    <x v="28"/>
    <n v="82"/>
    <n v="90"/>
  </r>
  <r>
    <x v="0"/>
    <x v="2"/>
    <x v="0"/>
    <s v="standard"/>
    <s v="none"/>
    <x v="32"/>
    <n v="72"/>
    <n v="70"/>
  </r>
  <r>
    <x v="0"/>
    <x v="3"/>
    <x v="3"/>
    <s v="standard"/>
    <s v="completed"/>
    <x v="29"/>
    <n v="78"/>
    <n v="79"/>
  </r>
  <r>
    <x v="1"/>
    <x v="1"/>
    <x v="4"/>
    <s v="free/reduced"/>
    <s v="none"/>
    <x v="17"/>
    <n v="66"/>
    <n v="59"/>
  </r>
  <r>
    <x v="0"/>
    <x v="4"/>
    <x v="0"/>
    <s v="standard"/>
    <s v="completed"/>
    <x v="38"/>
    <n v="81"/>
    <n v="82"/>
  </r>
  <r>
    <x v="0"/>
    <x v="0"/>
    <x v="5"/>
    <s v="standard"/>
    <s v="none"/>
    <x v="29"/>
    <n v="67"/>
    <n v="72"/>
  </r>
  <r>
    <x v="1"/>
    <x v="2"/>
    <x v="0"/>
    <s v="standard"/>
    <s v="completed"/>
    <x v="53"/>
    <n v="84"/>
    <n v="87"/>
  </r>
  <r>
    <x v="0"/>
    <x v="3"/>
    <x v="1"/>
    <s v="standard"/>
    <s v="none"/>
    <x v="24"/>
    <n v="64"/>
    <n v="67"/>
  </r>
  <r>
    <x v="0"/>
    <x v="0"/>
    <x v="5"/>
    <s v="free/reduced"/>
    <s v="completed"/>
    <x v="32"/>
    <n v="63"/>
    <n v="64"/>
  </r>
  <r>
    <x v="1"/>
    <x v="2"/>
    <x v="0"/>
    <s v="free/reduced"/>
    <s v="none"/>
    <x v="23"/>
    <n v="72"/>
    <n v="65"/>
  </r>
  <r>
    <x v="1"/>
    <x v="3"/>
    <x v="4"/>
    <s v="standard"/>
    <s v="none"/>
    <x v="15"/>
    <n v="34"/>
    <n v="36"/>
  </r>
  <r>
    <x v="1"/>
    <x v="1"/>
    <x v="1"/>
    <s v="standard"/>
    <s v="none"/>
    <x v="17"/>
    <n v="59"/>
    <n v="52"/>
  </r>
  <r>
    <x v="1"/>
    <x v="3"/>
    <x v="4"/>
    <s v="standard"/>
    <s v="none"/>
    <x v="59"/>
    <n v="87"/>
    <n v="79"/>
  </r>
  <r>
    <x v="0"/>
    <x v="3"/>
    <x v="3"/>
    <s v="free/reduced"/>
    <s v="completed"/>
    <x v="47"/>
    <n v="61"/>
    <n v="58"/>
  </r>
  <r>
    <x v="1"/>
    <x v="1"/>
    <x v="1"/>
    <s v="standard"/>
    <s v="completed"/>
    <x v="77"/>
    <n v="84"/>
    <n v="90"/>
  </r>
  <r>
    <x v="0"/>
    <x v="4"/>
    <x v="5"/>
    <s v="standard"/>
    <s v="completed"/>
    <x v="46"/>
    <n v="85"/>
    <n v="85"/>
  </r>
  <r>
    <x v="0"/>
    <x v="3"/>
    <x v="1"/>
    <s v="standard"/>
    <s v="none"/>
    <x v="52"/>
    <n v="100"/>
    <n v="99"/>
  </r>
  <r>
    <x v="1"/>
    <x v="3"/>
    <x v="2"/>
    <s v="standard"/>
    <s v="none"/>
    <x v="27"/>
    <n v="81"/>
    <n v="84"/>
  </r>
  <r>
    <x v="0"/>
    <x v="0"/>
    <x v="5"/>
    <s v="standard"/>
    <s v="completed"/>
    <x v="41"/>
    <n v="70"/>
    <n v="74"/>
  </r>
  <r>
    <x v="0"/>
    <x v="0"/>
    <x v="3"/>
    <s v="free/reduced"/>
    <s v="completed"/>
    <x v="4"/>
    <n v="94"/>
    <n v="87"/>
  </r>
  <r>
    <x v="1"/>
    <x v="1"/>
    <x v="3"/>
    <s v="standard"/>
    <s v="completed"/>
    <x v="20"/>
    <n v="78"/>
    <n v="72"/>
  </r>
  <r>
    <x v="0"/>
    <x v="1"/>
    <x v="3"/>
    <s v="standard"/>
    <s v="completed"/>
    <x v="62"/>
    <n v="96"/>
    <n v="99"/>
  </r>
  <r>
    <x v="0"/>
    <x v="1"/>
    <x v="4"/>
    <s v="standard"/>
    <s v="none"/>
    <x v="4"/>
    <n v="76"/>
    <n v="74"/>
  </r>
  <r>
    <x v="1"/>
    <x v="4"/>
    <x v="3"/>
    <s v="free/reduced"/>
    <s v="completed"/>
    <x v="57"/>
    <n v="73"/>
    <n v="80"/>
  </r>
  <r>
    <x v="0"/>
    <x v="1"/>
    <x v="1"/>
    <s v="free/reduced"/>
    <s v="none"/>
    <x v="23"/>
    <n v="72"/>
    <n v="70"/>
  </r>
  <r>
    <x v="1"/>
    <x v="3"/>
    <x v="5"/>
    <s v="free/reduced"/>
    <s v="completed"/>
    <x v="30"/>
    <n v="59"/>
    <n v="59"/>
  </r>
  <r>
    <x v="0"/>
    <x v="0"/>
    <x v="5"/>
    <s v="free/reduced"/>
    <s v="completed"/>
    <x v="19"/>
    <n v="90"/>
    <n v="88"/>
  </r>
  <r>
    <x v="1"/>
    <x v="1"/>
    <x v="4"/>
    <s v="standard"/>
    <s v="none"/>
    <x v="13"/>
    <n v="48"/>
    <n v="42"/>
  </r>
  <r>
    <x v="1"/>
    <x v="0"/>
    <x v="1"/>
    <s v="standard"/>
    <s v="none"/>
    <x v="3"/>
    <n v="43"/>
    <n v="41"/>
  </r>
  <r>
    <x v="1"/>
    <x v="4"/>
    <x v="1"/>
    <s v="standard"/>
    <s v="completed"/>
    <x v="27"/>
    <n v="74"/>
    <n v="71"/>
  </r>
  <r>
    <x v="0"/>
    <x v="4"/>
    <x v="3"/>
    <s v="standard"/>
    <s v="completed"/>
    <x v="11"/>
    <n v="75"/>
    <n v="77"/>
  </r>
  <r>
    <x v="1"/>
    <x v="4"/>
    <x v="5"/>
    <s v="standard"/>
    <s v="completed"/>
    <x v="50"/>
    <n v="51"/>
    <n v="57"/>
  </r>
  <r>
    <x v="0"/>
    <x v="3"/>
    <x v="4"/>
    <s v="free/reduced"/>
    <s v="none"/>
    <x v="20"/>
    <n v="92"/>
    <n v="84"/>
  </r>
  <r>
    <x v="1"/>
    <x v="1"/>
    <x v="1"/>
    <s v="standard"/>
    <s v="none"/>
    <x v="31"/>
    <n v="39"/>
    <n v="37"/>
  </r>
  <r>
    <x v="0"/>
    <x v="0"/>
    <x v="3"/>
    <s v="free/reduced"/>
    <s v="completed"/>
    <x v="50"/>
    <n v="77"/>
    <n v="80"/>
  </r>
  <r>
    <x v="1"/>
    <x v="2"/>
    <x v="5"/>
    <s v="free/reduced"/>
    <s v="none"/>
    <x v="30"/>
    <n v="46"/>
    <n v="43"/>
  </r>
  <r>
    <x v="0"/>
    <x v="1"/>
    <x v="1"/>
    <s v="standard"/>
    <s v="completed"/>
    <x v="53"/>
    <n v="89"/>
    <n v="94"/>
  </r>
  <r>
    <x v="1"/>
    <x v="3"/>
    <x v="5"/>
    <s v="standard"/>
    <s v="none"/>
    <x v="30"/>
    <n v="47"/>
    <n v="44"/>
  </r>
  <r>
    <x v="0"/>
    <x v="4"/>
    <x v="1"/>
    <s v="free/reduced"/>
    <s v="none"/>
    <x v="31"/>
    <n v="58"/>
    <n v="57"/>
  </r>
  <r>
    <x v="1"/>
    <x v="1"/>
    <x v="2"/>
    <s v="standard"/>
    <s v="none"/>
    <x v="21"/>
    <n v="57"/>
    <n v="59"/>
  </r>
  <r>
    <x v="1"/>
    <x v="1"/>
    <x v="3"/>
    <s v="standard"/>
    <s v="none"/>
    <x v="68"/>
    <n v="79"/>
    <n v="84"/>
  </r>
  <r>
    <x v="0"/>
    <x v="0"/>
    <x v="1"/>
    <s v="free/reduced"/>
    <s v="completed"/>
    <x v="31"/>
    <n v="66"/>
    <n v="73"/>
  </r>
  <r>
    <x v="1"/>
    <x v="3"/>
    <x v="3"/>
    <s v="standard"/>
    <s v="none"/>
    <x v="27"/>
    <n v="71"/>
    <n v="73"/>
  </r>
  <r>
    <x v="1"/>
    <x v="1"/>
    <x v="4"/>
    <s v="free/reduced"/>
    <s v="none"/>
    <x v="42"/>
    <n v="60"/>
    <n v="55"/>
  </r>
  <r>
    <x v="1"/>
    <x v="3"/>
    <x v="0"/>
    <s v="standard"/>
    <s v="none"/>
    <x v="46"/>
    <n v="73"/>
    <n v="72"/>
  </r>
  <r>
    <x v="0"/>
    <x v="2"/>
    <x v="3"/>
    <s v="free/reduced"/>
    <s v="none"/>
    <x v="69"/>
    <n v="57"/>
    <n v="56"/>
  </r>
  <r>
    <x v="0"/>
    <x v="1"/>
    <x v="4"/>
    <s v="standard"/>
    <s v="none"/>
    <x v="27"/>
    <n v="84"/>
    <n v="82"/>
  </r>
  <r>
    <x v="0"/>
    <x v="1"/>
    <x v="3"/>
    <s v="standard"/>
    <s v="completed"/>
    <x v="32"/>
    <n v="73"/>
    <n v="72"/>
  </r>
  <r>
    <x v="1"/>
    <x v="0"/>
    <x v="1"/>
    <s v="free/reduced"/>
    <s v="none"/>
    <x v="30"/>
    <n v="55"/>
    <n v="47"/>
  </r>
  <r>
    <x v="1"/>
    <x v="3"/>
    <x v="3"/>
    <s v="standard"/>
    <s v="none"/>
    <x v="0"/>
    <n v="79"/>
    <n v="74"/>
  </r>
  <r>
    <x v="1"/>
    <x v="3"/>
    <x v="4"/>
    <s v="standard"/>
    <s v="none"/>
    <x v="1"/>
    <n v="75"/>
    <n v="71"/>
  </r>
  <r>
    <x v="1"/>
    <x v="1"/>
    <x v="1"/>
    <s v="standard"/>
    <s v="none"/>
    <x v="1"/>
    <n v="64"/>
    <n v="68"/>
  </r>
  <r>
    <x v="0"/>
    <x v="1"/>
    <x v="0"/>
    <s v="free/reduced"/>
    <s v="none"/>
    <x v="13"/>
    <n v="60"/>
    <n v="59"/>
  </r>
  <r>
    <x v="1"/>
    <x v="0"/>
    <x v="1"/>
    <s v="standard"/>
    <s v="completed"/>
    <x v="53"/>
    <n v="84"/>
    <n v="86"/>
  </r>
  <r>
    <x v="1"/>
    <x v="3"/>
    <x v="5"/>
    <s v="standard"/>
    <s v="completed"/>
    <x v="5"/>
    <n v="69"/>
    <n v="68"/>
  </r>
  <r>
    <x v="1"/>
    <x v="4"/>
    <x v="1"/>
    <s v="standard"/>
    <s v="none"/>
    <x v="50"/>
    <n v="72"/>
    <n v="65"/>
  </r>
  <r>
    <x v="1"/>
    <x v="1"/>
    <x v="2"/>
    <s v="free/reduced"/>
    <s v="completed"/>
    <x v="38"/>
    <n v="77"/>
    <n v="75"/>
  </r>
  <r>
    <x v="0"/>
    <x v="1"/>
    <x v="5"/>
    <s v="standard"/>
    <s v="completed"/>
    <x v="34"/>
    <n v="90"/>
    <n v="85"/>
  </r>
  <r>
    <x v="1"/>
    <x v="1"/>
    <x v="3"/>
    <s v="free/reduced"/>
    <s v="none"/>
    <x v="10"/>
    <n v="55"/>
    <n v="53"/>
  </r>
  <r>
    <x v="0"/>
    <x v="4"/>
    <x v="3"/>
    <s v="standard"/>
    <s v="none"/>
    <x v="56"/>
    <n v="95"/>
    <n v="92"/>
  </r>
  <r>
    <x v="1"/>
    <x v="3"/>
    <x v="1"/>
    <s v="standard"/>
    <s v="none"/>
    <x v="30"/>
    <n v="58"/>
    <n v="52"/>
  </r>
  <r>
    <x v="1"/>
    <x v="4"/>
    <x v="0"/>
    <s v="free/reduced"/>
    <s v="completed"/>
    <x v="22"/>
    <n v="68"/>
    <n v="72"/>
  </r>
  <r>
    <x v="0"/>
    <x v="3"/>
    <x v="1"/>
    <s v="free/reduced"/>
    <s v="completed"/>
    <x v="36"/>
    <n v="59"/>
    <n v="65"/>
  </r>
  <r>
    <x v="1"/>
    <x v="0"/>
    <x v="1"/>
    <s v="standard"/>
    <s v="completed"/>
    <x v="1"/>
    <n v="77"/>
    <n v="77"/>
  </r>
  <r>
    <x v="0"/>
    <x v="1"/>
    <x v="4"/>
    <s v="free/reduced"/>
    <s v="none"/>
    <x v="31"/>
    <n v="72"/>
    <n v="64"/>
  </r>
  <r>
    <x v="0"/>
    <x v="3"/>
    <x v="5"/>
    <s v="standard"/>
    <s v="none"/>
    <x v="64"/>
    <n v="58"/>
    <n v="54"/>
  </r>
  <r>
    <x v="1"/>
    <x v="3"/>
    <x v="5"/>
    <s v="standard"/>
    <s v="completed"/>
    <x v="12"/>
    <n v="81"/>
    <n v="86"/>
  </r>
  <r>
    <x v="0"/>
    <x v="0"/>
    <x v="4"/>
    <s v="standard"/>
    <s v="none"/>
    <x v="23"/>
    <n v="62"/>
    <n v="63"/>
  </r>
  <r>
    <x v="1"/>
    <x v="3"/>
    <x v="1"/>
    <s v="standard"/>
    <s v="none"/>
    <x v="41"/>
    <n v="63"/>
    <n v="59"/>
  </r>
  <r>
    <x v="0"/>
    <x v="0"/>
    <x v="4"/>
    <s v="standard"/>
    <s v="none"/>
    <x v="19"/>
    <n v="72"/>
    <n v="72"/>
  </r>
  <r>
    <x v="0"/>
    <x v="1"/>
    <x v="4"/>
    <s v="standard"/>
    <s v="completed"/>
    <x v="10"/>
    <n v="75"/>
    <n v="77"/>
  </r>
  <r>
    <x v="1"/>
    <x v="0"/>
    <x v="4"/>
    <s v="standard"/>
    <s v="completed"/>
    <x v="4"/>
    <n v="62"/>
    <n v="60"/>
  </r>
  <r>
    <x v="0"/>
    <x v="3"/>
    <x v="5"/>
    <s v="standard"/>
    <s v="none"/>
    <x v="50"/>
    <n v="71"/>
    <n v="75"/>
  </r>
  <r>
    <x v="1"/>
    <x v="2"/>
    <x v="1"/>
    <s v="free/reduced"/>
    <s v="none"/>
    <x v="10"/>
    <n v="60"/>
    <n v="57"/>
  </r>
  <r>
    <x v="1"/>
    <x v="0"/>
    <x v="4"/>
    <s v="standard"/>
    <s v="none"/>
    <x v="36"/>
    <n v="48"/>
    <n v="49"/>
  </r>
  <r>
    <x v="1"/>
    <x v="3"/>
    <x v="0"/>
    <s v="standard"/>
    <s v="none"/>
    <x v="28"/>
    <n v="73"/>
    <n v="74"/>
  </r>
  <r>
    <x v="0"/>
    <x v="0"/>
    <x v="5"/>
    <s v="free/reduced"/>
    <s v="completed"/>
    <x v="36"/>
    <n v="67"/>
    <n v="72"/>
  </r>
  <r>
    <x v="0"/>
    <x v="1"/>
    <x v="0"/>
    <s v="free/reduced"/>
    <s v="none"/>
    <x v="23"/>
    <n v="78"/>
    <n v="79"/>
  </r>
  <r>
    <x v="1"/>
    <x v="0"/>
    <x v="1"/>
    <s v="standard"/>
    <s v="none"/>
    <x v="17"/>
    <n v="65"/>
    <n v="60"/>
  </r>
  <r>
    <x v="0"/>
    <x v="0"/>
    <x v="5"/>
    <s v="free/reduced"/>
    <s v="none"/>
    <x v="44"/>
    <n v="58"/>
    <n v="55"/>
  </r>
  <r>
    <x v="0"/>
    <x v="0"/>
    <x v="4"/>
    <s v="standard"/>
    <s v="none"/>
    <x v="17"/>
    <n v="72"/>
    <n v="70"/>
  </r>
  <r>
    <x v="0"/>
    <x v="1"/>
    <x v="1"/>
    <s v="free/reduced"/>
    <s v="none"/>
    <x v="65"/>
    <n v="44"/>
    <n v="43"/>
  </r>
  <r>
    <x v="0"/>
    <x v="2"/>
    <x v="1"/>
    <s v="standard"/>
    <s v="completed"/>
    <x v="0"/>
    <n v="79"/>
    <n v="82"/>
  </r>
  <r>
    <x v="1"/>
    <x v="4"/>
    <x v="3"/>
    <s v="standard"/>
    <s v="completed"/>
    <x v="63"/>
    <n v="85"/>
    <n v="82"/>
  </r>
  <r>
    <x v="0"/>
    <x v="3"/>
    <x v="3"/>
    <s v="free/reduced"/>
    <s v="none"/>
    <x v="15"/>
    <n v="56"/>
    <n v="57"/>
  </r>
  <r>
    <x v="0"/>
    <x v="0"/>
    <x v="2"/>
    <s v="standard"/>
    <s v="none"/>
    <x v="34"/>
    <n v="90"/>
    <n v="84"/>
  </r>
  <r>
    <x v="0"/>
    <x v="0"/>
    <x v="4"/>
    <s v="free/reduced"/>
    <s v="completed"/>
    <x v="4"/>
    <n v="85"/>
    <n v="82"/>
  </r>
  <r>
    <x v="0"/>
    <x v="1"/>
    <x v="3"/>
    <s v="standard"/>
    <s v="completed"/>
    <x v="36"/>
    <n v="59"/>
    <n v="62"/>
  </r>
  <r>
    <x v="1"/>
    <x v="1"/>
    <x v="0"/>
    <s v="standard"/>
    <s v="completed"/>
    <x v="57"/>
    <n v="81"/>
    <n v="79"/>
  </r>
  <r>
    <x v="0"/>
    <x v="0"/>
    <x v="5"/>
    <s v="standard"/>
    <s v="completed"/>
    <x v="76"/>
    <n v="51"/>
    <n v="44"/>
  </r>
  <r>
    <x v="0"/>
    <x v="4"/>
    <x v="5"/>
    <s v="free/reduced"/>
    <s v="none"/>
    <x v="0"/>
    <n v="79"/>
    <n v="77"/>
  </r>
  <r>
    <x v="0"/>
    <x v="0"/>
    <x v="1"/>
    <s v="standard"/>
    <s v="none"/>
    <x v="78"/>
    <n v="38"/>
    <n v="32"/>
  </r>
  <r>
    <x v="1"/>
    <x v="1"/>
    <x v="3"/>
    <s v="free/reduced"/>
    <s v="none"/>
    <x v="50"/>
    <n v="65"/>
    <n v="61"/>
  </r>
  <r>
    <x v="0"/>
    <x v="1"/>
    <x v="2"/>
    <s v="free/reduced"/>
    <s v="none"/>
    <x v="36"/>
    <n v="65"/>
    <n v="61"/>
  </r>
  <r>
    <x v="0"/>
    <x v="0"/>
    <x v="4"/>
    <s v="standard"/>
    <s v="none"/>
    <x v="64"/>
    <n v="62"/>
    <n v="60"/>
  </r>
  <r>
    <x v="0"/>
    <x v="3"/>
    <x v="1"/>
    <s v="free/reduced"/>
    <s v="none"/>
    <x v="41"/>
    <n v="66"/>
    <n v="70"/>
  </r>
  <r>
    <x v="1"/>
    <x v="3"/>
    <x v="4"/>
    <s v="free/reduced"/>
    <s v="none"/>
    <x v="17"/>
    <n v="74"/>
    <n v="69"/>
  </r>
  <r>
    <x v="1"/>
    <x v="4"/>
    <x v="5"/>
    <s v="standard"/>
    <s v="completed"/>
    <x v="59"/>
    <n v="84"/>
    <n v="77"/>
  </r>
  <r>
    <x v="0"/>
    <x v="0"/>
    <x v="4"/>
    <s v="standard"/>
    <s v="none"/>
    <x v="47"/>
    <n v="52"/>
    <n v="51"/>
  </r>
  <r>
    <x v="0"/>
    <x v="4"/>
    <x v="3"/>
    <s v="free/reduced"/>
    <s v="completed"/>
    <x v="29"/>
    <n v="68"/>
    <n v="73"/>
  </r>
  <r>
    <x v="1"/>
    <x v="3"/>
    <x v="4"/>
    <s v="standard"/>
    <s v="none"/>
    <x v="22"/>
    <n v="70"/>
    <n v="70"/>
  </r>
  <r>
    <x v="0"/>
    <x v="4"/>
    <x v="3"/>
    <s v="free/reduced"/>
    <s v="none"/>
    <x v="22"/>
    <n v="84"/>
    <n v="81"/>
  </r>
  <r>
    <x v="1"/>
    <x v="4"/>
    <x v="1"/>
    <s v="standard"/>
    <s v="none"/>
    <x v="1"/>
    <n v="60"/>
    <n v="54"/>
  </r>
  <r>
    <x v="0"/>
    <x v="1"/>
    <x v="3"/>
    <s v="standard"/>
    <s v="none"/>
    <x v="36"/>
    <n v="55"/>
    <n v="57"/>
  </r>
  <r>
    <x v="1"/>
    <x v="1"/>
    <x v="5"/>
    <s v="standard"/>
    <s v="completed"/>
    <x v="21"/>
    <n v="73"/>
    <n v="68"/>
  </r>
  <r>
    <x v="1"/>
    <x v="1"/>
    <x v="5"/>
    <s v="standard"/>
    <s v="completed"/>
    <x v="4"/>
    <n v="80"/>
    <n v="73"/>
  </r>
  <r>
    <x v="0"/>
    <x v="4"/>
    <x v="3"/>
    <s v="standard"/>
    <s v="none"/>
    <x v="53"/>
    <n v="94"/>
    <n v="95"/>
  </r>
  <r>
    <x v="0"/>
    <x v="0"/>
    <x v="1"/>
    <s v="standard"/>
    <s v="none"/>
    <x v="33"/>
    <n v="85"/>
    <n v="87"/>
  </r>
  <r>
    <x v="0"/>
    <x v="1"/>
    <x v="1"/>
    <s v="standard"/>
    <s v="none"/>
    <x v="20"/>
    <n v="76"/>
    <n v="78"/>
  </r>
  <r>
    <x v="1"/>
    <x v="2"/>
    <x v="1"/>
    <s v="free/reduced"/>
    <s v="none"/>
    <x v="28"/>
    <n v="81"/>
    <n v="74"/>
  </r>
  <r>
    <x v="0"/>
    <x v="3"/>
    <x v="1"/>
    <s v="free/reduced"/>
    <s v="none"/>
    <x v="8"/>
    <n v="74"/>
    <n v="75"/>
  </r>
  <r>
    <x v="0"/>
    <x v="4"/>
    <x v="4"/>
    <s v="free/reduced"/>
    <s v="none"/>
    <x v="43"/>
    <n v="45"/>
    <n v="40"/>
  </r>
  <r>
    <x v="1"/>
    <x v="1"/>
    <x v="4"/>
    <s v="standard"/>
    <s v="none"/>
    <x v="2"/>
    <n v="75"/>
    <n v="69"/>
  </r>
  <r>
    <x v="1"/>
    <x v="0"/>
    <x v="0"/>
    <s v="standard"/>
    <s v="none"/>
    <x v="32"/>
    <n v="54"/>
    <n v="51"/>
  </r>
  <r>
    <x v="1"/>
    <x v="2"/>
    <x v="5"/>
    <s v="standard"/>
    <s v="none"/>
    <x v="54"/>
    <n v="31"/>
    <n v="36"/>
  </r>
  <r>
    <x v="1"/>
    <x v="2"/>
    <x v="4"/>
    <s v="free/reduced"/>
    <s v="none"/>
    <x v="40"/>
    <n v="47"/>
    <n v="49"/>
  </r>
  <r>
    <x v="0"/>
    <x v="1"/>
    <x v="2"/>
    <s v="standard"/>
    <s v="completed"/>
    <x v="16"/>
    <n v="64"/>
    <n v="67"/>
  </r>
  <r>
    <x v="1"/>
    <x v="4"/>
    <x v="5"/>
    <s v="standard"/>
    <s v="completed"/>
    <x v="53"/>
    <n v="84"/>
    <n v="76"/>
  </r>
  <r>
    <x v="0"/>
    <x v="1"/>
    <x v="4"/>
    <s v="standard"/>
    <s v="none"/>
    <x v="0"/>
    <n v="80"/>
    <n v="83"/>
  </r>
  <r>
    <x v="1"/>
    <x v="0"/>
    <x v="5"/>
    <s v="standard"/>
    <s v="completed"/>
    <x v="63"/>
    <n v="86"/>
    <n v="87"/>
  </r>
  <r>
    <x v="0"/>
    <x v="2"/>
    <x v="0"/>
    <s v="standard"/>
    <s v="none"/>
    <x v="40"/>
    <n v="59"/>
    <n v="64"/>
  </r>
  <r>
    <x v="1"/>
    <x v="3"/>
    <x v="0"/>
    <s v="free/reduced"/>
    <s v="completed"/>
    <x v="42"/>
    <n v="70"/>
    <n v="76"/>
  </r>
  <r>
    <x v="0"/>
    <x v="0"/>
    <x v="4"/>
    <s v="free/reduced"/>
    <s v="none"/>
    <x v="41"/>
    <n v="72"/>
    <n v="68"/>
  </r>
  <r>
    <x v="0"/>
    <x v="1"/>
    <x v="5"/>
    <s v="standard"/>
    <s v="none"/>
    <x v="34"/>
    <n v="91"/>
    <n v="88"/>
  </r>
  <r>
    <x v="0"/>
    <x v="2"/>
    <x v="5"/>
    <s v="standard"/>
    <s v="completed"/>
    <x v="51"/>
    <n v="90"/>
    <n v="92"/>
  </r>
  <r>
    <x v="0"/>
    <x v="3"/>
    <x v="0"/>
    <s v="free/reduced"/>
    <s v="none"/>
    <x v="12"/>
    <n v="90"/>
    <n v="93"/>
  </r>
  <r>
    <x v="1"/>
    <x v="4"/>
    <x v="1"/>
    <s v="free/reduced"/>
    <s v="completed"/>
    <x v="44"/>
    <n v="52"/>
    <n v="51"/>
  </r>
  <r>
    <x v="0"/>
    <x v="0"/>
    <x v="4"/>
    <s v="free/reduced"/>
    <s v="none"/>
    <x v="5"/>
    <n v="87"/>
    <n v="82"/>
  </r>
  <r>
    <x v="0"/>
    <x v="1"/>
    <x v="5"/>
    <s v="free/reduced"/>
    <s v="none"/>
    <x v="64"/>
    <n v="58"/>
    <n v="52"/>
  </r>
  <r>
    <x v="1"/>
    <x v="1"/>
    <x v="4"/>
    <s v="standard"/>
    <s v="none"/>
    <x v="23"/>
    <n v="67"/>
    <n v="58"/>
  </r>
  <r>
    <x v="0"/>
    <x v="1"/>
    <x v="3"/>
    <s v="free/reduced"/>
    <s v="completed"/>
    <x v="25"/>
    <n v="68"/>
    <n v="70"/>
  </r>
  <r>
    <x v="0"/>
    <x v="1"/>
    <x v="5"/>
    <s v="standard"/>
    <s v="none"/>
    <x v="11"/>
    <n v="69"/>
    <n v="76"/>
  </r>
  <r>
    <x v="0"/>
    <x v="3"/>
    <x v="5"/>
    <s v="free/reduced"/>
    <s v="completed"/>
    <x v="1"/>
    <n v="86"/>
    <n v="81"/>
  </r>
  <r>
    <x v="1"/>
    <x v="0"/>
    <x v="5"/>
    <s v="standard"/>
    <s v="none"/>
    <x v="50"/>
    <n v="54"/>
    <n v="53"/>
  </r>
  <r>
    <x v="0"/>
    <x v="2"/>
    <x v="1"/>
    <s v="free/reduced"/>
    <s v="none"/>
    <x v="42"/>
    <n v="60"/>
    <n v="57"/>
  </r>
  <r>
    <x v="0"/>
    <x v="1"/>
    <x v="0"/>
    <s v="free/reduced"/>
    <s v="completed"/>
    <x v="19"/>
    <n v="86"/>
    <n v="89"/>
  </r>
  <r>
    <x v="1"/>
    <x v="2"/>
    <x v="0"/>
    <s v="standard"/>
    <s v="none"/>
    <x v="8"/>
    <n v="60"/>
    <n v="58"/>
  </r>
  <r>
    <x v="0"/>
    <x v="0"/>
    <x v="4"/>
    <s v="standard"/>
    <s v="completed"/>
    <x v="34"/>
    <n v="82"/>
    <n v="89"/>
  </r>
  <r>
    <x v="1"/>
    <x v="0"/>
    <x v="1"/>
    <s v="standard"/>
    <s v="none"/>
    <x v="10"/>
    <n v="50"/>
    <n v="45"/>
  </r>
  <r>
    <x v="0"/>
    <x v="1"/>
    <x v="4"/>
    <s v="standard"/>
    <s v="completed"/>
    <x v="41"/>
    <n v="64"/>
    <n v="74"/>
  </r>
  <r>
    <x v="1"/>
    <x v="4"/>
    <x v="4"/>
    <s v="standard"/>
    <s v="none"/>
    <x v="20"/>
    <n v="64"/>
    <n v="57"/>
  </r>
  <r>
    <x v="0"/>
    <x v="2"/>
    <x v="4"/>
    <s v="standard"/>
    <s v="completed"/>
    <x v="28"/>
    <n v="82"/>
    <n v="79"/>
  </r>
  <r>
    <x v="1"/>
    <x v="0"/>
    <x v="3"/>
    <s v="free/reduced"/>
    <s v="completed"/>
    <x v="10"/>
    <n v="57"/>
    <n v="53"/>
  </r>
  <r>
    <x v="0"/>
    <x v="1"/>
    <x v="3"/>
    <s v="standard"/>
    <s v="none"/>
    <x v="17"/>
    <n v="77"/>
    <n v="73"/>
  </r>
  <r>
    <x v="0"/>
    <x v="3"/>
    <x v="4"/>
    <s v="free/reduced"/>
    <s v="none"/>
    <x v="39"/>
    <n v="52"/>
    <n v="46"/>
  </r>
  <r>
    <x v="1"/>
    <x v="1"/>
    <x v="5"/>
    <s v="standard"/>
    <s v="none"/>
    <x v="8"/>
    <n v="58"/>
    <n v="51"/>
  </r>
  <r>
    <x v="0"/>
    <x v="0"/>
    <x v="4"/>
    <s v="free/reduced"/>
    <s v="completed"/>
    <x v="79"/>
    <n v="44"/>
    <n v="36"/>
  </r>
  <r>
    <x v="1"/>
    <x v="0"/>
    <x v="1"/>
    <s v="free/reduced"/>
    <s v="completed"/>
    <x v="19"/>
    <n v="77"/>
    <n v="76"/>
  </r>
  <r>
    <x v="0"/>
    <x v="3"/>
    <x v="5"/>
    <s v="free/reduced"/>
    <s v="completed"/>
    <x v="7"/>
    <n v="65"/>
    <n v="64"/>
  </r>
  <r>
    <x v="1"/>
    <x v="4"/>
    <x v="2"/>
    <s v="standard"/>
    <s v="none"/>
    <x v="2"/>
    <n v="85"/>
    <n v="84"/>
  </r>
  <r>
    <x v="1"/>
    <x v="1"/>
    <x v="2"/>
    <s v="standard"/>
    <s v="completed"/>
    <x v="57"/>
    <n v="85"/>
    <n v="85"/>
  </r>
  <r>
    <x v="1"/>
    <x v="3"/>
    <x v="4"/>
    <s v="standard"/>
    <s v="none"/>
    <x v="8"/>
    <n v="54"/>
    <n v="50"/>
  </r>
  <r>
    <x v="0"/>
    <x v="1"/>
    <x v="4"/>
    <s v="standard"/>
    <s v="none"/>
    <x v="32"/>
    <n v="72"/>
    <n v="68"/>
  </r>
  <r>
    <x v="1"/>
    <x v="3"/>
    <x v="3"/>
    <s v="standard"/>
    <s v="none"/>
    <x v="46"/>
    <n v="75"/>
    <n v="69"/>
  </r>
  <r>
    <x v="1"/>
    <x v="1"/>
    <x v="2"/>
    <s v="standard"/>
    <s v="none"/>
    <x v="5"/>
    <n v="67"/>
    <n v="67"/>
  </r>
  <r>
    <x v="0"/>
    <x v="2"/>
    <x v="4"/>
    <s v="standard"/>
    <s v="none"/>
    <x v="42"/>
    <n v="68"/>
    <n v="63"/>
  </r>
  <r>
    <x v="0"/>
    <x v="4"/>
    <x v="1"/>
    <s v="standard"/>
    <s v="none"/>
    <x v="53"/>
    <n v="85"/>
    <n v="93"/>
  </r>
  <r>
    <x v="1"/>
    <x v="4"/>
    <x v="5"/>
    <s v="standard"/>
    <s v="none"/>
    <x v="33"/>
    <n v="67"/>
    <n v="61"/>
  </r>
  <r>
    <x v="1"/>
    <x v="1"/>
    <x v="5"/>
    <s v="standard"/>
    <s v="none"/>
    <x v="23"/>
    <n v="64"/>
    <n v="55"/>
  </r>
  <r>
    <x v="0"/>
    <x v="0"/>
    <x v="0"/>
    <s v="standard"/>
    <s v="none"/>
    <x v="26"/>
    <n v="97"/>
    <n v="96"/>
  </r>
  <r>
    <x v="1"/>
    <x v="0"/>
    <x v="1"/>
    <s v="free/reduced"/>
    <s v="none"/>
    <x v="28"/>
    <n v="68"/>
    <n v="65"/>
  </r>
  <r>
    <x v="0"/>
    <x v="1"/>
    <x v="0"/>
    <s v="standard"/>
    <s v="none"/>
    <x v="11"/>
    <n v="79"/>
    <n v="81"/>
  </r>
  <r>
    <x v="1"/>
    <x v="0"/>
    <x v="4"/>
    <s v="standard"/>
    <s v="completed"/>
    <x v="36"/>
    <n v="49"/>
    <n v="46"/>
  </r>
  <r>
    <x v="1"/>
    <x v="1"/>
    <x v="3"/>
    <s v="free/reduced"/>
    <s v="none"/>
    <x v="53"/>
    <n v="73"/>
    <n v="72"/>
  </r>
  <r>
    <x v="0"/>
    <x v="1"/>
    <x v="3"/>
    <s v="standard"/>
    <s v="none"/>
    <x v="31"/>
    <n v="62"/>
    <n v="53"/>
  </r>
  <r>
    <x v="0"/>
    <x v="4"/>
    <x v="2"/>
    <s v="free/reduced"/>
    <s v="none"/>
    <x v="27"/>
    <n v="86"/>
    <n v="87"/>
  </r>
  <r>
    <x v="1"/>
    <x v="3"/>
    <x v="0"/>
    <s v="free/reduced"/>
    <s v="completed"/>
    <x v="39"/>
    <n v="42"/>
    <n v="38"/>
  </r>
  <r>
    <x v="0"/>
    <x v="1"/>
    <x v="1"/>
    <s v="standard"/>
    <s v="completed"/>
    <x v="5"/>
    <n v="71"/>
    <n v="80"/>
  </r>
  <r>
    <x v="1"/>
    <x v="1"/>
    <x v="3"/>
    <s v="standard"/>
    <s v="none"/>
    <x v="26"/>
    <n v="93"/>
    <n v="91"/>
  </r>
  <r>
    <x v="1"/>
    <x v="3"/>
    <x v="1"/>
    <s v="standard"/>
    <s v="completed"/>
    <x v="33"/>
    <n v="82"/>
    <n v="88"/>
  </r>
  <r>
    <x v="1"/>
    <x v="1"/>
    <x v="4"/>
    <s v="free/reduced"/>
    <s v="none"/>
    <x v="32"/>
    <n v="53"/>
    <n v="52"/>
  </r>
  <r>
    <x v="1"/>
    <x v="0"/>
    <x v="3"/>
    <s v="standard"/>
    <s v="none"/>
    <x v="42"/>
    <n v="42"/>
    <n v="41"/>
  </r>
  <r>
    <x v="1"/>
    <x v="4"/>
    <x v="3"/>
    <s v="free/reduced"/>
    <s v="completed"/>
    <x v="12"/>
    <n v="74"/>
    <n v="72"/>
  </r>
  <r>
    <x v="1"/>
    <x v="1"/>
    <x v="3"/>
    <s v="free/reduced"/>
    <s v="none"/>
    <x v="44"/>
    <n v="51"/>
    <n v="51"/>
  </r>
  <r>
    <x v="1"/>
    <x v="0"/>
    <x v="4"/>
    <s v="standard"/>
    <s v="none"/>
    <x v="32"/>
    <n v="58"/>
    <n v="47"/>
  </r>
  <r>
    <x v="0"/>
    <x v="1"/>
    <x v="1"/>
    <s v="standard"/>
    <s v="completed"/>
    <x v="22"/>
    <n v="72"/>
    <n v="76"/>
  </r>
  <r>
    <x v="1"/>
    <x v="0"/>
    <x v="3"/>
    <s v="standard"/>
    <s v="completed"/>
    <x v="33"/>
    <n v="84"/>
    <n v="78"/>
  </r>
  <r>
    <x v="1"/>
    <x v="4"/>
    <x v="3"/>
    <s v="free/reduced"/>
    <s v="none"/>
    <x v="2"/>
    <n v="90"/>
    <n v="82"/>
  </r>
  <r>
    <x v="0"/>
    <x v="1"/>
    <x v="0"/>
    <s v="free/reduced"/>
    <s v="none"/>
    <x v="49"/>
    <n v="62"/>
    <n v="61"/>
  </r>
  <r>
    <x v="1"/>
    <x v="1"/>
    <x v="1"/>
    <s v="free/reduced"/>
    <s v="none"/>
    <x v="46"/>
    <n v="64"/>
    <n v="66"/>
  </r>
  <r>
    <x v="1"/>
    <x v="3"/>
    <x v="1"/>
    <s v="standard"/>
    <s v="none"/>
    <x v="27"/>
    <n v="82"/>
    <n v="84"/>
  </r>
  <r>
    <x v="1"/>
    <x v="1"/>
    <x v="5"/>
    <s v="standard"/>
    <s v="none"/>
    <x v="29"/>
    <n v="61"/>
    <n v="54"/>
  </r>
  <r>
    <x v="0"/>
    <x v="3"/>
    <x v="5"/>
    <s v="standard"/>
    <s v="none"/>
    <x v="32"/>
    <n v="72"/>
    <n v="80"/>
  </r>
  <r>
    <x v="0"/>
    <x v="3"/>
    <x v="3"/>
    <s v="standard"/>
    <s v="none"/>
    <x v="8"/>
    <n v="76"/>
    <n v="74"/>
  </r>
  <r>
    <x v="1"/>
    <x v="1"/>
    <x v="0"/>
    <s v="standard"/>
    <s v="completed"/>
    <x v="24"/>
    <n v="64"/>
    <n v="66"/>
  </r>
  <r>
    <x v="0"/>
    <x v="4"/>
    <x v="0"/>
    <s v="standard"/>
    <s v="completed"/>
    <x v="5"/>
    <n v="70"/>
    <n v="70"/>
  </r>
  <r>
    <x v="0"/>
    <x v="0"/>
    <x v="4"/>
    <s v="free/reduced"/>
    <s v="none"/>
    <x v="8"/>
    <n v="73"/>
    <n v="71"/>
  </r>
  <r>
    <x v="1"/>
    <x v="3"/>
    <x v="0"/>
    <s v="free/reduced"/>
    <s v="none"/>
    <x v="30"/>
    <n v="46"/>
    <n v="44"/>
  </r>
  <r>
    <x v="0"/>
    <x v="4"/>
    <x v="3"/>
    <s v="standard"/>
    <s v="none"/>
    <x v="54"/>
    <n v="51"/>
    <n v="54"/>
  </r>
  <r>
    <x v="0"/>
    <x v="1"/>
    <x v="3"/>
    <s v="standard"/>
    <s v="completed"/>
    <x v="23"/>
    <n v="76"/>
    <n v="80"/>
  </r>
  <r>
    <x v="0"/>
    <x v="4"/>
    <x v="3"/>
    <s v="standard"/>
    <s v="completed"/>
    <x v="77"/>
    <n v="100"/>
    <n v="95"/>
  </r>
  <r>
    <x v="1"/>
    <x v="1"/>
    <x v="4"/>
    <s v="free/reduced"/>
    <s v="none"/>
    <x v="16"/>
    <n v="72"/>
    <n v="59"/>
  </r>
  <r>
    <x v="0"/>
    <x v="3"/>
    <x v="1"/>
    <s v="free/reduced"/>
    <s v="none"/>
    <x v="1"/>
    <n v="65"/>
    <n v="74"/>
  </r>
  <r>
    <x v="1"/>
    <x v="3"/>
    <x v="4"/>
    <s v="free/reduced"/>
    <s v="none"/>
    <x v="18"/>
    <n v="51"/>
    <n v="48"/>
  </r>
  <r>
    <x v="0"/>
    <x v="4"/>
    <x v="1"/>
    <s v="standard"/>
    <s v="completed"/>
    <x v="67"/>
    <n v="85"/>
    <n v="91"/>
  </r>
  <r>
    <x v="0"/>
    <x v="4"/>
    <x v="3"/>
    <s v="standard"/>
    <s v="none"/>
    <x v="51"/>
    <n v="92"/>
    <n v="85"/>
  </r>
  <r>
    <x v="0"/>
    <x v="2"/>
    <x v="2"/>
    <s v="free/reduced"/>
    <s v="none"/>
    <x v="13"/>
    <n v="67"/>
    <n v="73"/>
  </r>
  <r>
    <x v="1"/>
    <x v="3"/>
    <x v="5"/>
    <s v="standard"/>
    <s v="completed"/>
    <x v="6"/>
    <n v="74"/>
    <n v="75"/>
  </r>
  <r>
    <x v="0"/>
    <x v="4"/>
    <x v="3"/>
    <s v="standard"/>
    <s v="none"/>
    <x v="32"/>
    <n v="62"/>
    <n v="69"/>
  </r>
  <r>
    <x v="0"/>
    <x v="4"/>
    <x v="5"/>
    <s v="free/reduced"/>
    <s v="none"/>
    <x v="76"/>
    <n v="34"/>
    <n v="38"/>
  </r>
  <r>
    <x v="1"/>
    <x v="0"/>
    <x v="4"/>
    <s v="free/reduced"/>
    <s v="none"/>
    <x v="74"/>
    <n v="29"/>
    <n v="27"/>
  </r>
  <r>
    <x v="0"/>
    <x v="0"/>
    <x v="5"/>
    <s v="free/reduced"/>
    <s v="completed"/>
    <x v="24"/>
    <n v="78"/>
    <n v="79"/>
  </r>
  <r>
    <x v="1"/>
    <x v="3"/>
    <x v="3"/>
    <s v="standard"/>
    <s v="completed"/>
    <x v="21"/>
    <n v="54"/>
    <n v="63"/>
  </r>
  <r>
    <x v="0"/>
    <x v="3"/>
    <x v="5"/>
    <s v="standard"/>
    <s v="completed"/>
    <x v="11"/>
    <n v="78"/>
    <n v="82"/>
  </r>
  <r>
    <x v="1"/>
    <x v="3"/>
    <x v="2"/>
    <s v="standard"/>
    <s v="none"/>
    <x v="51"/>
    <n v="84"/>
    <n v="89"/>
  </r>
  <r>
    <x v="0"/>
    <x v="1"/>
    <x v="2"/>
    <s v="standard"/>
    <s v="none"/>
    <x v="20"/>
    <n v="78"/>
    <n v="74"/>
  </r>
  <r>
    <x v="0"/>
    <x v="2"/>
    <x v="4"/>
    <s v="free/reduced"/>
    <s v="completed"/>
    <x v="66"/>
    <n v="48"/>
    <n v="41"/>
  </r>
  <r>
    <x v="0"/>
    <x v="3"/>
    <x v="0"/>
    <s v="free/reduced"/>
    <s v="completed"/>
    <x v="77"/>
    <n v="100"/>
    <n v="100"/>
  </r>
  <r>
    <x v="0"/>
    <x v="3"/>
    <x v="5"/>
    <s v="free/reduced"/>
    <s v="none"/>
    <x v="21"/>
    <n v="84"/>
    <n v="84"/>
  </r>
  <r>
    <x v="1"/>
    <x v="3"/>
    <x v="1"/>
    <s v="standard"/>
    <s v="none"/>
    <x v="6"/>
    <n v="77"/>
    <n v="77"/>
  </r>
  <r>
    <x v="1"/>
    <x v="0"/>
    <x v="4"/>
    <s v="standard"/>
    <s v="none"/>
    <x v="29"/>
    <n v="48"/>
    <n v="51"/>
  </r>
  <r>
    <x v="0"/>
    <x v="3"/>
    <x v="1"/>
    <s v="standard"/>
    <s v="completed"/>
    <x v="38"/>
    <n v="84"/>
    <n v="91"/>
  </r>
  <r>
    <x v="0"/>
    <x v="1"/>
    <x v="0"/>
    <s v="free/reduced"/>
    <s v="none"/>
    <x v="21"/>
    <n v="75"/>
    <n v="72"/>
  </r>
  <r>
    <x v="1"/>
    <x v="4"/>
    <x v="0"/>
    <s v="standard"/>
    <s v="completed"/>
    <x v="22"/>
    <n v="64"/>
    <n v="70"/>
  </r>
  <r>
    <x v="1"/>
    <x v="3"/>
    <x v="0"/>
    <s v="free/reduced"/>
    <s v="none"/>
    <x v="13"/>
    <n v="42"/>
    <n v="48"/>
  </r>
  <r>
    <x v="0"/>
    <x v="2"/>
    <x v="1"/>
    <s v="standard"/>
    <s v="none"/>
    <x v="1"/>
    <n v="84"/>
    <n v="82"/>
  </r>
  <r>
    <x v="0"/>
    <x v="1"/>
    <x v="0"/>
    <s v="standard"/>
    <s v="completed"/>
    <x v="36"/>
    <n v="61"/>
    <n v="66"/>
  </r>
  <r>
    <x v="0"/>
    <x v="1"/>
    <x v="0"/>
    <s v="free/reduced"/>
    <s v="completed"/>
    <x v="3"/>
    <n v="62"/>
    <n v="66"/>
  </r>
  <r>
    <x v="0"/>
    <x v="0"/>
    <x v="3"/>
    <s v="free/reduced"/>
    <s v="none"/>
    <x v="15"/>
    <n v="61"/>
    <n v="55"/>
  </r>
  <r>
    <x v="0"/>
    <x v="4"/>
    <x v="1"/>
    <s v="standard"/>
    <s v="none"/>
    <x v="50"/>
    <n v="70"/>
    <n v="66"/>
  </r>
  <r>
    <x v="1"/>
    <x v="4"/>
    <x v="0"/>
    <s v="standard"/>
    <s v="completed"/>
    <x v="61"/>
    <n v="100"/>
    <n v="100"/>
  </r>
  <r>
    <x v="0"/>
    <x v="1"/>
    <x v="4"/>
    <s v="standard"/>
    <s v="none"/>
    <x v="18"/>
    <n v="61"/>
    <n v="52"/>
  </r>
  <r>
    <x v="0"/>
    <x v="1"/>
    <x v="3"/>
    <s v="standard"/>
    <s v="completed"/>
    <x v="29"/>
    <n v="77"/>
    <n v="80"/>
  </r>
  <r>
    <x v="1"/>
    <x v="0"/>
    <x v="1"/>
    <s v="standard"/>
    <s v="completed"/>
    <x v="57"/>
    <n v="96"/>
    <n v="91"/>
  </r>
  <r>
    <x v="1"/>
    <x v="3"/>
    <x v="4"/>
    <s v="free/reduced"/>
    <s v="none"/>
    <x v="1"/>
    <n v="70"/>
    <n v="67"/>
  </r>
  <r>
    <x v="0"/>
    <x v="1"/>
    <x v="4"/>
    <s v="free/reduced"/>
    <s v="none"/>
    <x v="65"/>
    <n v="53"/>
    <n v="46"/>
  </r>
  <r>
    <x v="1"/>
    <x v="3"/>
    <x v="4"/>
    <s v="standard"/>
    <s v="none"/>
    <x v="0"/>
    <n v="66"/>
    <n v="66"/>
  </r>
  <r>
    <x v="0"/>
    <x v="0"/>
    <x v="3"/>
    <s v="free/reduced"/>
    <s v="none"/>
    <x v="16"/>
    <n v="65"/>
    <n v="65"/>
  </r>
  <r>
    <x v="1"/>
    <x v="3"/>
    <x v="4"/>
    <s v="free/reduced"/>
    <s v="none"/>
    <x v="19"/>
    <n v="70"/>
    <n v="69"/>
  </r>
  <r>
    <x v="1"/>
    <x v="4"/>
    <x v="5"/>
    <s v="standard"/>
    <s v="completed"/>
    <x v="19"/>
    <n v="64"/>
    <n v="60"/>
  </r>
  <r>
    <x v="1"/>
    <x v="4"/>
    <x v="3"/>
    <s v="free/reduced"/>
    <s v="none"/>
    <x v="8"/>
    <n v="56"/>
    <n v="52"/>
  </r>
  <r>
    <x v="0"/>
    <x v="3"/>
    <x v="4"/>
    <s v="free/reduced"/>
    <s v="completed"/>
    <x v="11"/>
    <n v="61"/>
    <n v="71"/>
  </r>
  <r>
    <x v="1"/>
    <x v="4"/>
    <x v="3"/>
    <s v="free/reduced"/>
    <s v="completed"/>
    <x v="15"/>
    <n v="43"/>
    <n v="44"/>
  </r>
  <r>
    <x v="0"/>
    <x v="1"/>
    <x v="5"/>
    <s v="free/reduced"/>
    <s v="none"/>
    <x v="64"/>
    <n v="56"/>
    <n v="51"/>
  </r>
  <r>
    <x v="1"/>
    <x v="1"/>
    <x v="1"/>
    <s v="free/reduced"/>
    <s v="completed"/>
    <x v="21"/>
    <n v="74"/>
    <n v="70"/>
  </r>
  <r>
    <x v="1"/>
    <x v="3"/>
    <x v="1"/>
    <s v="free/reduced"/>
    <s v="none"/>
    <x v="23"/>
    <n v="57"/>
    <n v="62"/>
  </r>
  <r>
    <x v="1"/>
    <x v="3"/>
    <x v="3"/>
    <s v="free/reduced"/>
    <s v="completed"/>
    <x v="42"/>
    <n v="71"/>
    <n v="73"/>
  </r>
  <r>
    <x v="1"/>
    <x v="1"/>
    <x v="0"/>
    <s v="free/reduced"/>
    <s v="completed"/>
    <x v="22"/>
    <n v="75"/>
    <n v="74"/>
  </r>
  <r>
    <x v="1"/>
    <x v="1"/>
    <x v="3"/>
    <s v="standard"/>
    <s v="completed"/>
    <x v="52"/>
    <n v="87"/>
    <n v="90"/>
  </r>
  <r>
    <x v="1"/>
    <x v="3"/>
    <x v="1"/>
    <s v="free/reduced"/>
    <s v="none"/>
    <x v="22"/>
    <n v="63"/>
    <n v="58"/>
  </r>
  <r>
    <x v="1"/>
    <x v="2"/>
    <x v="3"/>
    <s v="standard"/>
    <s v="none"/>
    <x v="21"/>
    <n v="57"/>
    <n v="53"/>
  </r>
  <r>
    <x v="0"/>
    <x v="4"/>
    <x v="4"/>
    <s v="free/reduced"/>
    <s v="none"/>
    <x v="29"/>
    <n v="58"/>
    <n v="57"/>
  </r>
  <r>
    <x v="1"/>
    <x v="3"/>
    <x v="1"/>
    <s v="standard"/>
    <s v="completed"/>
    <x v="51"/>
    <n v="81"/>
    <n v="85"/>
  </r>
  <r>
    <x v="1"/>
    <x v="3"/>
    <x v="5"/>
    <s v="standard"/>
    <s v="completed"/>
    <x v="34"/>
    <n v="68"/>
    <n v="69"/>
  </r>
  <r>
    <x v="1"/>
    <x v="1"/>
    <x v="2"/>
    <s v="free/reduced"/>
    <s v="completed"/>
    <x v="0"/>
    <n v="66"/>
    <n v="72"/>
  </r>
  <r>
    <x v="0"/>
    <x v="3"/>
    <x v="2"/>
    <s v="standard"/>
    <s v="none"/>
    <x v="12"/>
    <n v="91"/>
    <n v="96"/>
  </r>
  <r>
    <x v="1"/>
    <x v="1"/>
    <x v="4"/>
    <s v="standard"/>
    <s v="none"/>
    <x v="27"/>
    <n v="66"/>
    <n v="64"/>
  </r>
  <r>
    <x v="1"/>
    <x v="2"/>
    <x v="5"/>
    <s v="free/reduced"/>
    <s v="completed"/>
    <x v="42"/>
    <n v="62"/>
    <n v="61"/>
  </r>
  <r>
    <x v="0"/>
    <x v="0"/>
    <x v="4"/>
    <s v="standard"/>
    <s v="none"/>
    <x v="10"/>
    <n v="68"/>
    <n v="61"/>
  </r>
  <r>
    <x v="0"/>
    <x v="1"/>
    <x v="3"/>
    <s v="standard"/>
    <s v="none"/>
    <x v="16"/>
    <n v="61"/>
    <n v="58"/>
  </r>
  <r>
    <x v="1"/>
    <x v="0"/>
    <x v="4"/>
    <s v="standard"/>
    <s v="none"/>
    <x v="33"/>
    <n v="82"/>
    <n v="80"/>
  </r>
  <r>
    <x v="0"/>
    <x v="3"/>
    <x v="1"/>
    <s v="free/reduced"/>
    <s v="none"/>
    <x v="44"/>
    <n v="58"/>
    <n v="60"/>
  </r>
  <r>
    <x v="1"/>
    <x v="0"/>
    <x v="5"/>
    <s v="free/reduced"/>
    <s v="completed"/>
    <x v="44"/>
    <n v="50"/>
    <n v="52"/>
  </r>
  <r>
    <x v="0"/>
    <x v="4"/>
    <x v="4"/>
    <s v="free/reduced"/>
    <s v="completed"/>
    <x v="29"/>
    <n v="75"/>
    <n v="73"/>
  </r>
  <r>
    <x v="1"/>
    <x v="4"/>
    <x v="4"/>
    <s v="standard"/>
    <s v="none"/>
    <x v="63"/>
    <n v="73"/>
    <n v="71"/>
  </r>
  <r>
    <x v="0"/>
    <x v="3"/>
    <x v="1"/>
    <s v="standard"/>
    <s v="completed"/>
    <x v="28"/>
    <n v="77"/>
    <n v="83"/>
  </r>
  <r>
    <x v="0"/>
    <x v="4"/>
    <x v="5"/>
    <s v="free/reduced"/>
    <s v="none"/>
    <x v="19"/>
    <n v="74"/>
    <n v="72"/>
  </r>
  <r>
    <x v="1"/>
    <x v="1"/>
    <x v="4"/>
    <s v="standard"/>
    <s v="completed"/>
    <x v="10"/>
    <n v="52"/>
    <n v="54"/>
  </r>
  <r>
    <x v="0"/>
    <x v="1"/>
    <x v="1"/>
    <s v="standard"/>
    <s v="none"/>
    <x v="23"/>
    <n v="69"/>
    <n v="69"/>
  </r>
  <r>
    <x v="1"/>
    <x v="4"/>
    <x v="3"/>
    <s v="standard"/>
    <s v="none"/>
    <x v="0"/>
    <n v="57"/>
    <n v="62"/>
  </r>
  <r>
    <x v="1"/>
    <x v="1"/>
    <x v="1"/>
    <s v="standard"/>
    <s v="none"/>
    <x v="56"/>
    <n v="87"/>
    <n v="81"/>
  </r>
  <r>
    <x v="0"/>
    <x v="3"/>
    <x v="2"/>
    <s v="standard"/>
    <s v="none"/>
    <x v="68"/>
    <n v="100"/>
    <n v="100"/>
  </r>
  <r>
    <x v="0"/>
    <x v="3"/>
    <x v="4"/>
    <s v="standard"/>
    <s v="none"/>
    <x v="40"/>
    <n v="63"/>
    <n v="59"/>
  </r>
  <r>
    <x v="1"/>
    <x v="1"/>
    <x v="4"/>
    <s v="standard"/>
    <s v="none"/>
    <x v="28"/>
    <n v="81"/>
    <n v="71"/>
  </r>
  <r>
    <x v="0"/>
    <x v="2"/>
    <x v="1"/>
    <s v="standard"/>
    <s v="none"/>
    <x v="25"/>
    <n v="58"/>
    <n v="64"/>
  </r>
  <r>
    <x v="0"/>
    <x v="3"/>
    <x v="5"/>
    <s v="free/reduced"/>
    <s v="none"/>
    <x v="64"/>
    <n v="54"/>
    <n v="53"/>
  </r>
  <r>
    <x v="0"/>
    <x v="4"/>
    <x v="3"/>
    <s v="standard"/>
    <s v="none"/>
    <x v="61"/>
    <n v="100"/>
    <n v="100"/>
  </r>
  <r>
    <x v="0"/>
    <x v="1"/>
    <x v="5"/>
    <s v="free/reduced"/>
    <s v="completed"/>
    <x v="11"/>
    <n v="76"/>
    <n v="75"/>
  </r>
  <r>
    <x v="1"/>
    <x v="3"/>
    <x v="1"/>
    <s v="standard"/>
    <s v="none"/>
    <x v="0"/>
    <n v="57"/>
    <n v="58"/>
  </r>
  <r>
    <x v="0"/>
    <x v="3"/>
    <x v="1"/>
    <s v="standard"/>
    <s v="none"/>
    <x v="23"/>
    <n v="70"/>
    <n v="72"/>
  </r>
  <r>
    <x v="1"/>
    <x v="2"/>
    <x v="5"/>
    <s v="standard"/>
    <s v="completed"/>
    <x v="17"/>
    <n v="68"/>
    <n v="64"/>
  </r>
  <r>
    <x v="1"/>
    <x v="1"/>
    <x v="1"/>
    <s v="standard"/>
    <s v="none"/>
    <x v="24"/>
    <n v="63"/>
    <n v="60"/>
  </r>
  <r>
    <x v="0"/>
    <x v="4"/>
    <x v="3"/>
    <s v="standard"/>
    <s v="none"/>
    <x v="50"/>
    <n v="76"/>
    <n v="67"/>
  </r>
  <r>
    <x v="0"/>
    <x v="0"/>
    <x v="0"/>
    <s v="standard"/>
    <s v="none"/>
    <x v="28"/>
    <n v="84"/>
    <n v="80"/>
  </r>
  <r>
    <x v="0"/>
    <x v="3"/>
    <x v="0"/>
    <s v="standard"/>
    <s v="none"/>
    <x v="59"/>
    <n v="100"/>
    <n v="100"/>
  </r>
  <r>
    <x v="1"/>
    <x v="1"/>
    <x v="5"/>
    <s v="standard"/>
    <s v="completed"/>
    <x v="12"/>
    <n v="72"/>
    <n v="69"/>
  </r>
  <r>
    <x v="0"/>
    <x v="2"/>
    <x v="4"/>
    <s v="free/reduced"/>
    <s v="completed"/>
    <x v="31"/>
    <n v="50"/>
    <n v="60"/>
  </r>
  <r>
    <x v="0"/>
    <x v="3"/>
    <x v="1"/>
    <s v="free/reduced"/>
    <s v="none"/>
    <x v="44"/>
    <n v="65"/>
    <n v="61"/>
  </r>
  <r>
    <x v="0"/>
    <x v="2"/>
    <x v="1"/>
    <s v="standard"/>
    <s v="none"/>
    <x v="16"/>
    <n v="63"/>
    <n v="67"/>
  </r>
  <r>
    <x v="0"/>
    <x v="1"/>
    <x v="1"/>
    <s v="standard"/>
    <s v="completed"/>
    <x v="8"/>
    <n v="82"/>
    <n v="77"/>
  </r>
  <r>
    <x v="1"/>
    <x v="0"/>
    <x v="1"/>
    <s v="free/reduced"/>
    <s v="completed"/>
    <x v="41"/>
    <n v="62"/>
    <n v="60"/>
  </r>
  <r>
    <x v="1"/>
    <x v="1"/>
    <x v="3"/>
    <s v="standard"/>
    <s v="none"/>
    <x v="23"/>
    <n v="65"/>
    <n v="58"/>
  </r>
  <r>
    <x v="1"/>
    <x v="3"/>
    <x v="4"/>
    <s v="standard"/>
    <s v="completed"/>
    <x v="30"/>
    <n v="41"/>
    <n v="48"/>
  </r>
  <r>
    <x v="0"/>
    <x v="1"/>
    <x v="3"/>
    <s v="standard"/>
    <s v="none"/>
    <x v="57"/>
    <n v="95"/>
    <n v="94"/>
  </r>
  <r>
    <x v="0"/>
    <x v="0"/>
    <x v="4"/>
    <s v="free/reduced"/>
    <s v="none"/>
    <x v="80"/>
    <n v="24"/>
    <n v="23"/>
  </r>
  <r>
    <x v="1"/>
    <x v="3"/>
    <x v="5"/>
    <s v="standard"/>
    <s v="none"/>
    <x v="27"/>
    <n v="78"/>
    <n v="78"/>
  </r>
  <r>
    <x v="1"/>
    <x v="0"/>
    <x v="5"/>
    <s v="standard"/>
    <s v="completed"/>
    <x v="38"/>
    <n v="85"/>
    <n v="86"/>
  </r>
  <r>
    <x v="0"/>
    <x v="2"/>
    <x v="1"/>
    <s v="standard"/>
    <s v="completed"/>
    <x v="12"/>
    <n v="87"/>
    <n v="91"/>
  </r>
  <r>
    <x v="0"/>
    <x v="1"/>
    <x v="5"/>
    <s v="standard"/>
    <s v="none"/>
    <x v="19"/>
    <n v="75"/>
    <n v="82"/>
  </r>
  <r>
    <x v="1"/>
    <x v="2"/>
    <x v="4"/>
    <s v="standard"/>
    <s v="none"/>
    <x v="29"/>
    <n v="51"/>
    <n v="54"/>
  </r>
  <r>
    <x v="0"/>
    <x v="1"/>
    <x v="3"/>
    <s v="standard"/>
    <s v="none"/>
    <x v="7"/>
    <n v="59"/>
    <n v="51"/>
  </r>
  <r>
    <x v="1"/>
    <x v="4"/>
    <x v="5"/>
    <s v="standard"/>
    <s v="completed"/>
    <x v="27"/>
    <n v="75"/>
    <n v="76"/>
  </r>
  <r>
    <x v="0"/>
    <x v="2"/>
    <x v="5"/>
    <s v="free/reduced"/>
    <s v="none"/>
    <x v="18"/>
    <n v="45"/>
    <n v="45"/>
  </r>
  <r>
    <x v="0"/>
    <x v="3"/>
    <x v="1"/>
    <s v="free/reduced"/>
    <s v="completed"/>
    <x v="21"/>
    <n v="86"/>
    <n v="83"/>
  </r>
  <r>
    <x v="1"/>
    <x v="4"/>
    <x v="4"/>
    <s v="free/reduced"/>
    <s v="completed"/>
    <x v="67"/>
    <n v="81"/>
    <n v="75"/>
  </r>
  <r>
    <x v="0"/>
    <x v="0"/>
    <x v="5"/>
    <s v="standard"/>
    <s v="completed"/>
    <x v="11"/>
    <n v="82"/>
    <n v="78"/>
  </r>
  <r>
    <x v="0"/>
    <x v="3"/>
    <x v="3"/>
    <s v="free/reduced"/>
    <s v="none"/>
    <x v="30"/>
    <n v="76"/>
    <n v="76"/>
  </r>
  <r>
    <x v="0"/>
    <x v="3"/>
    <x v="0"/>
    <s v="free/reduced"/>
    <s v="none"/>
    <x v="23"/>
    <n v="72"/>
    <n v="74"/>
  </r>
  <r>
    <x v="1"/>
    <x v="2"/>
    <x v="4"/>
    <s v="standard"/>
    <s v="none"/>
    <x v="24"/>
    <n v="63"/>
    <n v="62"/>
  </r>
  <r>
    <x v="0"/>
    <x v="4"/>
    <x v="2"/>
    <s v="standard"/>
    <s v="completed"/>
    <x v="6"/>
    <n v="99"/>
    <n v="95"/>
  </r>
  <r>
    <x v="1"/>
    <x v="1"/>
    <x v="4"/>
    <s v="free/reduced"/>
    <s v="none"/>
    <x v="23"/>
    <n v="55"/>
    <n v="55"/>
  </r>
  <r>
    <x v="0"/>
    <x v="1"/>
    <x v="4"/>
    <s v="free/reduced"/>
    <s v="completed"/>
    <x v="32"/>
    <n v="71"/>
    <n v="65"/>
  </r>
  <r>
    <x v="0"/>
    <x v="3"/>
    <x v="1"/>
    <s v="standard"/>
    <s v="completed"/>
    <x v="50"/>
    <n v="78"/>
    <n v="77"/>
  </r>
  <r>
    <x v="0"/>
    <x v="3"/>
    <x v="1"/>
    <s v="free/reduced"/>
    <s v="none"/>
    <x v="34"/>
    <n v="86"/>
    <n v="8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s v="standard"/>
    <s v="none"/>
    <n v="72"/>
    <n v="72"/>
    <n v="74"/>
  </r>
  <r>
    <x v="0"/>
    <s v="group C"/>
    <x v="1"/>
    <s v="standard"/>
    <s v="completed"/>
    <n v="69"/>
    <n v="90"/>
    <n v="88"/>
  </r>
  <r>
    <x v="0"/>
    <s v="group B"/>
    <x v="2"/>
    <s v="standard"/>
    <s v="none"/>
    <n v="90"/>
    <n v="95"/>
    <n v="93"/>
  </r>
  <r>
    <x v="1"/>
    <s v="group A"/>
    <x v="3"/>
    <s v="free/reduced"/>
    <s v="none"/>
    <n v="47"/>
    <n v="57"/>
    <n v="44"/>
  </r>
  <r>
    <x v="1"/>
    <s v="group C"/>
    <x v="1"/>
    <s v="standard"/>
    <s v="none"/>
    <n v="76"/>
    <n v="78"/>
    <n v="75"/>
  </r>
  <r>
    <x v="0"/>
    <s v="group B"/>
    <x v="3"/>
    <s v="standard"/>
    <s v="none"/>
    <n v="71"/>
    <n v="83"/>
    <n v="78"/>
  </r>
  <r>
    <x v="0"/>
    <s v="group B"/>
    <x v="1"/>
    <s v="standard"/>
    <s v="completed"/>
    <n v="88"/>
    <n v="95"/>
    <n v="92"/>
  </r>
  <r>
    <x v="1"/>
    <s v="group B"/>
    <x v="1"/>
    <s v="free/reduced"/>
    <s v="none"/>
    <n v="40"/>
    <n v="43"/>
    <n v="39"/>
  </r>
  <r>
    <x v="1"/>
    <s v="group D"/>
    <x v="4"/>
    <s v="free/reduced"/>
    <s v="completed"/>
    <n v="64"/>
    <n v="64"/>
    <n v="67"/>
  </r>
  <r>
    <x v="0"/>
    <s v="group B"/>
    <x v="4"/>
    <s v="free/reduced"/>
    <s v="none"/>
    <n v="38"/>
    <n v="60"/>
    <n v="50"/>
  </r>
  <r>
    <x v="1"/>
    <s v="group C"/>
    <x v="3"/>
    <s v="standard"/>
    <s v="none"/>
    <n v="58"/>
    <n v="54"/>
    <n v="52"/>
  </r>
  <r>
    <x v="1"/>
    <s v="group D"/>
    <x v="3"/>
    <s v="standard"/>
    <s v="none"/>
    <n v="40"/>
    <n v="52"/>
    <n v="43"/>
  </r>
  <r>
    <x v="0"/>
    <s v="group B"/>
    <x v="4"/>
    <s v="standard"/>
    <s v="none"/>
    <n v="65"/>
    <n v="81"/>
    <n v="73"/>
  </r>
  <r>
    <x v="1"/>
    <s v="group A"/>
    <x v="1"/>
    <s v="standard"/>
    <s v="completed"/>
    <n v="78"/>
    <n v="72"/>
    <n v="70"/>
  </r>
  <r>
    <x v="0"/>
    <s v="group A"/>
    <x v="2"/>
    <s v="standard"/>
    <s v="none"/>
    <n v="50"/>
    <n v="53"/>
    <n v="58"/>
  </r>
  <r>
    <x v="0"/>
    <s v="group C"/>
    <x v="5"/>
    <s v="standard"/>
    <s v="none"/>
    <n v="69"/>
    <n v="75"/>
    <n v="78"/>
  </r>
  <r>
    <x v="1"/>
    <s v="group C"/>
    <x v="4"/>
    <s v="standard"/>
    <s v="none"/>
    <n v="88"/>
    <n v="89"/>
    <n v="86"/>
  </r>
  <r>
    <x v="0"/>
    <s v="group B"/>
    <x v="5"/>
    <s v="free/reduced"/>
    <s v="none"/>
    <n v="18"/>
    <n v="32"/>
    <n v="28"/>
  </r>
  <r>
    <x v="1"/>
    <s v="group C"/>
    <x v="2"/>
    <s v="free/reduced"/>
    <s v="completed"/>
    <n v="46"/>
    <n v="42"/>
    <n v="46"/>
  </r>
  <r>
    <x v="0"/>
    <s v="group C"/>
    <x v="3"/>
    <s v="free/reduced"/>
    <s v="none"/>
    <n v="54"/>
    <n v="58"/>
    <n v="61"/>
  </r>
  <r>
    <x v="1"/>
    <s v="group D"/>
    <x v="4"/>
    <s v="standard"/>
    <s v="none"/>
    <n v="66"/>
    <n v="69"/>
    <n v="63"/>
  </r>
  <r>
    <x v="0"/>
    <s v="group B"/>
    <x v="1"/>
    <s v="free/reduced"/>
    <s v="completed"/>
    <n v="65"/>
    <n v="75"/>
    <n v="70"/>
  </r>
  <r>
    <x v="1"/>
    <s v="group D"/>
    <x v="1"/>
    <s v="standard"/>
    <s v="none"/>
    <n v="44"/>
    <n v="54"/>
    <n v="53"/>
  </r>
  <r>
    <x v="0"/>
    <s v="group C"/>
    <x v="5"/>
    <s v="standard"/>
    <s v="none"/>
    <n v="69"/>
    <n v="73"/>
    <n v="73"/>
  </r>
  <r>
    <x v="1"/>
    <s v="group D"/>
    <x v="0"/>
    <s v="free/reduced"/>
    <s v="completed"/>
    <n v="74"/>
    <n v="71"/>
    <n v="80"/>
  </r>
  <r>
    <x v="1"/>
    <s v="group A"/>
    <x v="2"/>
    <s v="free/reduced"/>
    <s v="none"/>
    <n v="73"/>
    <n v="74"/>
    <n v="72"/>
  </r>
  <r>
    <x v="1"/>
    <s v="group B"/>
    <x v="1"/>
    <s v="standard"/>
    <s v="none"/>
    <n v="69"/>
    <n v="54"/>
    <n v="55"/>
  </r>
  <r>
    <x v="0"/>
    <s v="group C"/>
    <x v="0"/>
    <s v="standard"/>
    <s v="none"/>
    <n v="67"/>
    <n v="69"/>
    <n v="75"/>
  </r>
  <r>
    <x v="1"/>
    <s v="group C"/>
    <x v="4"/>
    <s v="standard"/>
    <s v="none"/>
    <n v="70"/>
    <n v="70"/>
    <n v="65"/>
  </r>
  <r>
    <x v="0"/>
    <s v="group D"/>
    <x v="2"/>
    <s v="standard"/>
    <s v="none"/>
    <n v="62"/>
    <n v="70"/>
    <n v="75"/>
  </r>
  <r>
    <x v="0"/>
    <s v="group D"/>
    <x v="1"/>
    <s v="standard"/>
    <s v="none"/>
    <n v="69"/>
    <n v="74"/>
    <n v="74"/>
  </r>
  <r>
    <x v="0"/>
    <s v="group B"/>
    <x v="1"/>
    <s v="standard"/>
    <s v="none"/>
    <n v="63"/>
    <n v="65"/>
    <n v="61"/>
  </r>
  <r>
    <x v="0"/>
    <s v="group E"/>
    <x v="2"/>
    <s v="free/reduced"/>
    <s v="none"/>
    <n v="56"/>
    <n v="72"/>
    <n v="65"/>
  </r>
  <r>
    <x v="1"/>
    <s v="group D"/>
    <x v="1"/>
    <s v="standard"/>
    <s v="none"/>
    <n v="40"/>
    <n v="42"/>
    <n v="38"/>
  </r>
  <r>
    <x v="1"/>
    <s v="group E"/>
    <x v="1"/>
    <s v="standard"/>
    <s v="none"/>
    <n v="97"/>
    <n v="87"/>
    <n v="82"/>
  </r>
  <r>
    <x v="1"/>
    <s v="group E"/>
    <x v="3"/>
    <s v="standard"/>
    <s v="completed"/>
    <n v="81"/>
    <n v="81"/>
    <n v="79"/>
  </r>
  <r>
    <x v="0"/>
    <s v="group D"/>
    <x v="3"/>
    <s v="standard"/>
    <s v="none"/>
    <n v="74"/>
    <n v="81"/>
    <n v="83"/>
  </r>
  <r>
    <x v="0"/>
    <s v="group D"/>
    <x v="5"/>
    <s v="free/reduced"/>
    <s v="none"/>
    <n v="50"/>
    <n v="64"/>
    <n v="59"/>
  </r>
  <r>
    <x v="0"/>
    <s v="group D"/>
    <x v="3"/>
    <s v="free/reduced"/>
    <s v="completed"/>
    <n v="75"/>
    <n v="90"/>
    <n v="88"/>
  </r>
  <r>
    <x v="1"/>
    <s v="group B"/>
    <x v="3"/>
    <s v="free/reduced"/>
    <s v="none"/>
    <n v="57"/>
    <n v="56"/>
    <n v="57"/>
  </r>
  <r>
    <x v="1"/>
    <s v="group C"/>
    <x v="3"/>
    <s v="free/reduced"/>
    <s v="none"/>
    <n v="55"/>
    <n v="61"/>
    <n v="54"/>
  </r>
  <r>
    <x v="0"/>
    <s v="group C"/>
    <x v="3"/>
    <s v="standard"/>
    <s v="none"/>
    <n v="58"/>
    <n v="73"/>
    <n v="68"/>
  </r>
  <r>
    <x v="0"/>
    <s v="group B"/>
    <x v="3"/>
    <s v="standard"/>
    <s v="none"/>
    <n v="53"/>
    <n v="58"/>
    <n v="65"/>
  </r>
  <r>
    <x v="1"/>
    <s v="group B"/>
    <x v="1"/>
    <s v="free/reduced"/>
    <s v="completed"/>
    <n v="59"/>
    <n v="65"/>
    <n v="66"/>
  </r>
  <r>
    <x v="0"/>
    <s v="group E"/>
    <x v="3"/>
    <s v="free/reduced"/>
    <s v="none"/>
    <n v="50"/>
    <n v="56"/>
    <n v="54"/>
  </r>
  <r>
    <x v="1"/>
    <s v="group B"/>
    <x v="3"/>
    <s v="standard"/>
    <s v="none"/>
    <n v="65"/>
    <n v="54"/>
    <n v="57"/>
  </r>
  <r>
    <x v="0"/>
    <s v="group A"/>
    <x v="3"/>
    <s v="standard"/>
    <s v="completed"/>
    <n v="55"/>
    <n v="65"/>
    <n v="62"/>
  </r>
  <r>
    <x v="0"/>
    <s v="group C"/>
    <x v="4"/>
    <s v="standard"/>
    <s v="none"/>
    <n v="66"/>
    <n v="71"/>
    <n v="76"/>
  </r>
  <r>
    <x v="0"/>
    <s v="group D"/>
    <x v="3"/>
    <s v="free/reduced"/>
    <s v="completed"/>
    <n v="57"/>
    <n v="74"/>
    <n v="76"/>
  </r>
  <r>
    <x v="1"/>
    <s v="group C"/>
    <x v="4"/>
    <s v="standard"/>
    <s v="completed"/>
    <n v="82"/>
    <n v="84"/>
    <n v="82"/>
  </r>
  <r>
    <x v="1"/>
    <s v="group E"/>
    <x v="1"/>
    <s v="standard"/>
    <s v="none"/>
    <n v="53"/>
    <n v="55"/>
    <n v="48"/>
  </r>
  <r>
    <x v="1"/>
    <s v="group E"/>
    <x v="3"/>
    <s v="free/reduced"/>
    <s v="completed"/>
    <n v="77"/>
    <n v="69"/>
    <n v="68"/>
  </r>
  <r>
    <x v="1"/>
    <s v="group C"/>
    <x v="1"/>
    <s v="standard"/>
    <s v="none"/>
    <n v="53"/>
    <n v="44"/>
    <n v="42"/>
  </r>
  <r>
    <x v="1"/>
    <s v="group D"/>
    <x v="4"/>
    <s v="standard"/>
    <s v="none"/>
    <n v="88"/>
    <n v="78"/>
    <n v="75"/>
  </r>
  <r>
    <x v="0"/>
    <s v="group C"/>
    <x v="5"/>
    <s v="free/reduced"/>
    <s v="completed"/>
    <n v="71"/>
    <n v="84"/>
    <n v="87"/>
  </r>
  <r>
    <x v="0"/>
    <s v="group C"/>
    <x v="4"/>
    <s v="free/reduced"/>
    <s v="none"/>
    <n v="33"/>
    <n v="41"/>
    <n v="43"/>
  </r>
  <r>
    <x v="0"/>
    <s v="group E"/>
    <x v="3"/>
    <s v="standard"/>
    <s v="completed"/>
    <n v="82"/>
    <n v="85"/>
    <n v="86"/>
  </r>
  <r>
    <x v="1"/>
    <s v="group D"/>
    <x v="3"/>
    <s v="standard"/>
    <s v="none"/>
    <n v="52"/>
    <n v="55"/>
    <n v="49"/>
  </r>
  <r>
    <x v="1"/>
    <s v="group D"/>
    <x v="1"/>
    <s v="standard"/>
    <s v="completed"/>
    <n v="58"/>
    <n v="59"/>
    <n v="58"/>
  </r>
  <r>
    <x v="0"/>
    <s v="group C"/>
    <x v="5"/>
    <s v="free/reduced"/>
    <s v="none"/>
    <n v="0"/>
    <n v="17"/>
    <n v="10"/>
  </r>
  <r>
    <x v="1"/>
    <s v="group E"/>
    <x v="0"/>
    <s v="free/reduced"/>
    <s v="completed"/>
    <n v="79"/>
    <n v="74"/>
    <n v="72"/>
  </r>
  <r>
    <x v="1"/>
    <s v="group A"/>
    <x v="5"/>
    <s v="free/reduced"/>
    <s v="none"/>
    <n v="39"/>
    <n v="39"/>
    <n v="34"/>
  </r>
  <r>
    <x v="1"/>
    <s v="group A"/>
    <x v="3"/>
    <s v="free/reduced"/>
    <s v="none"/>
    <n v="62"/>
    <n v="61"/>
    <n v="55"/>
  </r>
  <r>
    <x v="0"/>
    <s v="group C"/>
    <x v="3"/>
    <s v="standard"/>
    <s v="none"/>
    <n v="69"/>
    <n v="80"/>
    <n v="71"/>
  </r>
  <r>
    <x v="0"/>
    <s v="group D"/>
    <x v="5"/>
    <s v="standard"/>
    <s v="none"/>
    <n v="59"/>
    <n v="58"/>
    <n v="59"/>
  </r>
  <r>
    <x v="1"/>
    <s v="group B"/>
    <x v="5"/>
    <s v="standard"/>
    <s v="none"/>
    <n v="67"/>
    <n v="64"/>
    <n v="61"/>
  </r>
  <r>
    <x v="1"/>
    <s v="group D"/>
    <x v="5"/>
    <s v="free/reduced"/>
    <s v="none"/>
    <n v="45"/>
    <n v="37"/>
    <n v="37"/>
  </r>
  <r>
    <x v="0"/>
    <s v="group C"/>
    <x v="1"/>
    <s v="standard"/>
    <s v="none"/>
    <n v="60"/>
    <n v="72"/>
    <n v="74"/>
  </r>
  <r>
    <x v="1"/>
    <s v="group B"/>
    <x v="3"/>
    <s v="free/reduced"/>
    <s v="none"/>
    <n v="61"/>
    <n v="58"/>
    <n v="56"/>
  </r>
  <r>
    <x v="0"/>
    <s v="group C"/>
    <x v="3"/>
    <s v="standard"/>
    <s v="none"/>
    <n v="39"/>
    <n v="64"/>
    <n v="57"/>
  </r>
  <r>
    <x v="0"/>
    <s v="group D"/>
    <x v="1"/>
    <s v="free/reduced"/>
    <s v="completed"/>
    <n v="58"/>
    <n v="63"/>
    <n v="73"/>
  </r>
  <r>
    <x v="1"/>
    <s v="group D"/>
    <x v="1"/>
    <s v="standard"/>
    <s v="completed"/>
    <n v="63"/>
    <n v="55"/>
    <n v="63"/>
  </r>
  <r>
    <x v="0"/>
    <s v="group A"/>
    <x v="3"/>
    <s v="free/reduced"/>
    <s v="none"/>
    <n v="41"/>
    <n v="51"/>
    <n v="48"/>
  </r>
  <r>
    <x v="1"/>
    <s v="group C"/>
    <x v="5"/>
    <s v="free/reduced"/>
    <s v="none"/>
    <n v="61"/>
    <n v="57"/>
    <n v="56"/>
  </r>
  <r>
    <x v="1"/>
    <s v="group C"/>
    <x v="5"/>
    <s v="standard"/>
    <s v="none"/>
    <n v="49"/>
    <n v="49"/>
    <n v="41"/>
  </r>
  <r>
    <x v="1"/>
    <s v="group B"/>
    <x v="3"/>
    <s v="free/reduced"/>
    <s v="none"/>
    <n v="44"/>
    <n v="41"/>
    <n v="38"/>
  </r>
  <r>
    <x v="1"/>
    <s v="group E"/>
    <x v="5"/>
    <s v="standard"/>
    <s v="none"/>
    <n v="30"/>
    <n v="26"/>
    <n v="22"/>
  </r>
  <r>
    <x v="1"/>
    <s v="group A"/>
    <x v="0"/>
    <s v="standard"/>
    <s v="completed"/>
    <n v="80"/>
    <n v="78"/>
    <n v="81"/>
  </r>
  <r>
    <x v="0"/>
    <s v="group D"/>
    <x v="5"/>
    <s v="standard"/>
    <s v="completed"/>
    <n v="61"/>
    <n v="74"/>
    <n v="72"/>
  </r>
  <r>
    <x v="0"/>
    <s v="group E"/>
    <x v="2"/>
    <s v="standard"/>
    <s v="none"/>
    <n v="62"/>
    <n v="68"/>
    <n v="68"/>
  </r>
  <r>
    <x v="0"/>
    <s v="group B"/>
    <x v="3"/>
    <s v="standard"/>
    <s v="none"/>
    <n v="47"/>
    <n v="49"/>
    <n v="50"/>
  </r>
  <r>
    <x v="1"/>
    <s v="group B"/>
    <x v="4"/>
    <s v="free/reduced"/>
    <s v="none"/>
    <n v="49"/>
    <n v="45"/>
    <n v="45"/>
  </r>
  <r>
    <x v="1"/>
    <s v="group A"/>
    <x v="1"/>
    <s v="free/reduced"/>
    <s v="completed"/>
    <n v="50"/>
    <n v="47"/>
    <n v="54"/>
  </r>
  <r>
    <x v="1"/>
    <s v="group E"/>
    <x v="3"/>
    <s v="standard"/>
    <s v="none"/>
    <n v="72"/>
    <n v="64"/>
    <n v="63"/>
  </r>
  <r>
    <x v="1"/>
    <s v="group D"/>
    <x v="4"/>
    <s v="free/reduced"/>
    <s v="none"/>
    <n v="42"/>
    <n v="39"/>
    <n v="34"/>
  </r>
  <r>
    <x v="0"/>
    <s v="group C"/>
    <x v="1"/>
    <s v="standard"/>
    <s v="none"/>
    <n v="73"/>
    <n v="80"/>
    <n v="82"/>
  </r>
  <r>
    <x v="0"/>
    <s v="group C"/>
    <x v="1"/>
    <s v="free/reduced"/>
    <s v="none"/>
    <n v="76"/>
    <n v="83"/>
    <n v="88"/>
  </r>
  <r>
    <x v="0"/>
    <s v="group D"/>
    <x v="3"/>
    <s v="standard"/>
    <s v="none"/>
    <n v="71"/>
    <n v="71"/>
    <n v="74"/>
  </r>
  <r>
    <x v="0"/>
    <s v="group A"/>
    <x v="1"/>
    <s v="standard"/>
    <s v="none"/>
    <n v="58"/>
    <n v="70"/>
    <n v="67"/>
  </r>
  <r>
    <x v="0"/>
    <s v="group D"/>
    <x v="5"/>
    <s v="standard"/>
    <s v="none"/>
    <n v="73"/>
    <n v="86"/>
    <n v="82"/>
  </r>
  <r>
    <x v="0"/>
    <s v="group C"/>
    <x v="0"/>
    <s v="standard"/>
    <s v="none"/>
    <n v="65"/>
    <n v="72"/>
    <n v="74"/>
  </r>
  <r>
    <x v="1"/>
    <s v="group C"/>
    <x v="4"/>
    <s v="free/reduced"/>
    <s v="none"/>
    <n v="27"/>
    <n v="34"/>
    <n v="36"/>
  </r>
  <r>
    <x v="1"/>
    <s v="group C"/>
    <x v="4"/>
    <s v="standard"/>
    <s v="none"/>
    <n v="71"/>
    <n v="79"/>
    <n v="71"/>
  </r>
  <r>
    <x v="1"/>
    <s v="group C"/>
    <x v="3"/>
    <s v="free/reduced"/>
    <s v="completed"/>
    <n v="43"/>
    <n v="45"/>
    <n v="50"/>
  </r>
  <r>
    <x v="0"/>
    <s v="group B"/>
    <x v="1"/>
    <s v="standard"/>
    <s v="none"/>
    <n v="79"/>
    <n v="86"/>
    <n v="92"/>
  </r>
  <r>
    <x v="1"/>
    <s v="group C"/>
    <x v="3"/>
    <s v="free/reduced"/>
    <s v="completed"/>
    <n v="78"/>
    <n v="81"/>
    <n v="82"/>
  </r>
  <r>
    <x v="1"/>
    <s v="group B"/>
    <x v="5"/>
    <s v="standard"/>
    <s v="completed"/>
    <n v="65"/>
    <n v="66"/>
    <n v="62"/>
  </r>
  <r>
    <x v="0"/>
    <s v="group E"/>
    <x v="1"/>
    <s v="standard"/>
    <s v="completed"/>
    <n v="63"/>
    <n v="72"/>
    <n v="70"/>
  </r>
  <r>
    <x v="0"/>
    <s v="group D"/>
    <x v="1"/>
    <s v="free/reduced"/>
    <s v="none"/>
    <n v="58"/>
    <n v="67"/>
    <n v="62"/>
  </r>
  <r>
    <x v="0"/>
    <s v="group D"/>
    <x v="0"/>
    <s v="standard"/>
    <s v="none"/>
    <n v="65"/>
    <n v="67"/>
    <n v="62"/>
  </r>
  <r>
    <x v="1"/>
    <s v="group B"/>
    <x v="1"/>
    <s v="standard"/>
    <s v="none"/>
    <n v="79"/>
    <n v="67"/>
    <n v="67"/>
  </r>
  <r>
    <x v="1"/>
    <s v="group D"/>
    <x v="0"/>
    <s v="standard"/>
    <s v="completed"/>
    <n v="68"/>
    <n v="74"/>
    <n v="74"/>
  </r>
  <r>
    <x v="0"/>
    <s v="group D"/>
    <x v="3"/>
    <s v="standard"/>
    <s v="none"/>
    <n v="85"/>
    <n v="91"/>
    <n v="89"/>
  </r>
  <r>
    <x v="1"/>
    <s v="group B"/>
    <x v="4"/>
    <s v="standard"/>
    <s v="completed"/>
    <n v="60"/>
    <n v="44"/>
    <n v="47"/>
  </r>
  <r>
    <x v="1"/>
    <s v="group C"/>
    <x v="1"/>
    <s v="standard"/>
    <s v="completed"/>
    <n v="98"/>
    <n v="86"/>
    <n v="90"/>
  </r>
  <r>
    <x v="0"/>
    <s v="group C"/>
    <x v="1"/>
    <s v="standard"/>
    <s v="none"/>
    <n v="58"/>
    <n v="67"/>
    <n v="72"/>
  </r>
  <r>
    <x v="0"/>
    <s v="group D"/>
    <x v="2"/>
    <s v="standard"/>
    <s v="none"/>
    <n v="87"/>
    <n v="100"/>
    <n v="100"/>
  </r>
  <r>
    <x v="1"/>
    <s v="group E"/>
    <x v="3"/>
    <s v="standard"/>
    <s v="completed"/>
    <n v="66"/>
    <n v="63"/>
    <n v="64"/>
  </r>
  <r>
    <x v="0"/>
    <s v="group B"/>
    <x v="3"/>
    <s v="free/reduced"/>
    <s v="none"/>
    <n v="52"/>
    <n v="76"/>
    <n v="70"/>
  </r>
  <r>
    <x v="0"/>
    <s v="group B"/>
    <x v="5"/>
    <s v="standard"/>
    <s v="none"/>
    <n v="70"/>
    <n v="64"/>
    <n v="72"/>
  </r>
  <r>
    <x v="0"/>
    <s v="group D"/>
    <x v="3"/>
    <s v="free/reduced"/>
    <s v="completed"/>
    <n v="77"/>
    <n v="89"/>
    <n v="98"/>
  </r>
  <r>
    <x v="1"/>
    <s v="group C"/>
    <x v="4"/>
    <s v="standard"/>
    <s v="none"/>
    <n v="62"/>
    <n v="55"/>
    <n v="49"/>
  </r>
  <r>
    <x v="1"/>
    <s v="group A"/>
    <x v="3"/>
    <s v="standard"/>
    <s v="none"/>
    <n v="54"/>
    <n v="53"/>
    <n v="47"/>
  </r>
  <r>
    <x v="0"/>
    <s v="group D"/>
    <x v="1"/>
    <s v="standard"/>
    <s v="none"/>
    <n v="51"/>
    <n v="58"/>
    <n v="54"/>
  </r>
  <r>
    <x v="0"/>
    <s v="group E"/>
    <x v="0"/>
    <s v="standard"/>
    <s v="completed"/>
    <n v="99"/>
    <n v="100"/>
    <n v="100"/>
  </r>
  <r>
    <x v="1"/>
    <s v="group C"/>
    <x v="4"/>
    <s v="standard"/>
    <s v="none"/>
    <n v="84"/>
    <n v="77"/>
    <n v="74"/>
  </r>
  <r>
    <x v="0"/>
    <s v="group B"/>
    <x v="0"/>
    <s v="free/reduced"/>
    <s v="none"/>
    <n v="75"/>
    <n v="85"/>
    <n v="82"/>
  </r>
  <r>
    <x v="0"/>
    <s v="group D"/>
    <x v="0"/>
    <s v="standard"/>
    <s v="none"/>
    <n v="78"/>
    <n v="82"/>
    <n v="79"/>
  </r>
  <r>
    <x v="0"/>
    <s v="group D"/>
    <x v="5"/>
    <s v="standard"/>
    <s v="none"/>
    <n v="51"/>
    <n v="63"/>
    <n v="61"/>
  </r>
  <r>
    <x v="0"/>
    <s v="group C"/>
    <x v="1"/>
    <s v="standard"/>
    <s v="none"/>
    <n v="55"/>
    <n v="69"/>
    <n v="65"/>
  </r>
  <r>
    <x v="0"/>
    <s v="group C"/>
    <x v="0"/>
    <s v="standard"/>
    <s v="completed"/>
    <n v="79"/>
    <n v="92"/>
    <n v="89"/>
  </r>
  <r>
    <x v="1"/>
    <s v="group B"/>
    <x v="3"/>
    <s v="standard"/>
    <s v="completed"/>
    <n v="91"/>
    <n v="89"/>
    <n v="92"/>
  </r>
  <r>
    <x v="0"/>
    <s v="group C"/>
    <x v="1"/>
    <s v="standard"/>
    <s v="completed"/>
    <n v="88"/>
    <n v="93"/>
    <n v="93"/>
  </r>
  <r>
    <x v="1"/>
    <s v="group D"/>
    <x v="4"/>
    <s v="free/reduced"/>
    <s v="none"/>
    <n v="63"/>
    <n v="57"/>
    <n v="56"/>
  </r>
  <r>
    <x v="1"/>
    <s v="group E"/>
    <x v="1"/>
    <s v="standard"/>
    <s v="none"/>
    <n v="83"/>
    <n v="80"/>
    <n v="73"/>
  </r>
  <r>
    <x v="0"/>
    <s v="group B"/>
    <x v="4"/>
    <s v="standard"/>
    <s v="none"/>
    <n v="87"/>
    <n v="95"/>
    <n v="86"/>
  </r>
  <r>
    <x v="1"/>
    <s v="group B"/>
    <x v="5"/>
    <s v="standard"/>
    <s v="none"/>
    <n v="72"/>
    <n v="68"/>
    <n v="67"/>
  </r>
  <r>
    <x v="1"/>
    <s v="group D"/>
    <x v="1"/>
    <s v="standard"/>
    <s v="completed"/>
    <n v="65"/>
    <n v="77"/>
    <n v="74"/>
  </r>
  <r>
    <x v="1"/>
    <s v="group D"/>
    <x v="2"/>
    <s v="standard"/>
    <s v="none"/>
    <n v="82"/>
    <n v="82"/>
    <n v="74"/>
  </r>
  <r>
    <x v="0"/>
    <s v="group A"/>
    <x v="0"/>
    <s v="standard"/>
    <s v="none"/>
    <n v="51"/>
    <n v="49"/>
    <n v="51"/>
  </r>
  <r>
    <x v="1"/>
    <s v="group D"/>
    <x v="2"/>
    <s v="standard"/>
    <s v="none"/>
    <n v="89"/>
    <n v="84"/>
    <n v="82"/>
  </r>
  <r>
    <x v="1"/>
    <s v="group C"/>
    <x v="5"/>
    <s v="free/reduced"/>
    <s v="completed"/>
    <n v="53"/>
    <n v="37"/>
    <n v="40"/>
  </r>
  <r>
    <x v="1"/>
    <s v="group E"/>
    <x v="1"/>
    <s v="free/reduced"/>
    <s v="completed"/>
    <n v="87"/>
    <n v="74"/>
    <n v="70"/>
  </r>
  <r>
    <x v="0"/>
    <s v="group C"/>
    <x v="1"/>
    <s v="standard"/>
    <s v="completed"/>
    <n v="75"/>
    <n v="81"/>
    <n v="84"/>
  </r>
  <r>
    <x v="1"/>
    <s v="group D"/>
    <x v="0"/>
    <s v="free/reduced"/>
    <s v="completed"/>
    <n v="74"/>
    <n v="79"/>
    <n v="75"/>
  </r>
  <r>
    <x v="1"/>
    <s v="group C"/>
    <x v="0"/>
    <s v="standard"/>
    <s v="none"/>
    <n v="58"/>
    <n v="55"/>
    <n v="48"/>
  </r>
  <r>
    <x v="1"/>
    <s v="group B"/>
    <x v="5"/>
    <s v="standard"/>
    <s v="completed"/>
    <n v="51"/>
    <n v="54"/>
    <n v="41"/>
  </r>
  <r>
    <x v="1"/>
    <s v="group E"/>
    <x v="4"/>
    <s v="standard"/>
    <s v="none"/>
    <n v="70"/>
    <n v="55"/>
    <n v="56"/>
  </r>
  <r>
    <x v="0"/>
    <s v="group C"/>
    <x v="3"/>
    <s v="standard"/>
    <s v="none"/>
    <n v="59"/>
    <n v="66"/>
    <n v="67"/>
  </r>
  <r>
    <x v="1"/>
    <s v="group D"/>
    <x v="1"/>
    <s v="standard"/>
    <s v="completed"/>
    <n v="71"/>
    <n v="61"/>
    <n v="69"/>
  </r>
  <r>
    <x v="0"/>
    <s v="group D"/>
    <x v="5"/>
    <s v="standard"/>
    <s v="none"/>
    <n v="76"/>
    <n v="72"/>
    <n v="71"/>
  </r>
  <r>
    <x v="0"/>
    <s v="group C"/>
    <x v="1"/>
    <s v="free/reduced"/>
    <s v="none"/>
    <n v="59"/>
    <n v="62"/>
    <n v="64"/>
  </r>
  <r>
    <x v="0"/>
    <s v="group E"/>
    <x v="1"/>
    <s v="free/reduced"/>
    <s v="completed"/>
    <n v="42"/>
    <n v="55"/>
    <n v="54"/>
  </r>
  <r>
    <x v="1"/>
    <s v="group A"/>
    <x v="4"/>
    <s v="standard"/>
    <s v="none"/>
    <n v="57"/>
    <n v="43"/>
    <n v="47"/>
  </r>
  <r>
    <x v="1"/>
    <s v="group D"/>
    <x v="1"/>
    <s v="standard"/>
    <s v="none"/>
    <n v="88"/>
    <n v="73"/>
    <n v="78"/>
  </r>
  <r>
    <x v="0"/>
    <s v="group C"/>
    <x v="1"/>
    <s v="free/reduced"/>
    <s v="none"/>
    <n v="22"/>
    <n v="39"/>
    <n v="33"/>
  </r>
  <r>
    <x v="1"/>
    <s v="group B"/>
    <x v="5"/>
    <s v="standard"/>
    <s v="none"/>
    <n v="88"/>
    <n v="84"/>
    <n v="75"/>
  </r>
  <r>
    <x v="1"/>
    <s v="group C"/>
    <x v="3"/>
    <s v="free/reduced"/>
    <s v="none"/>
    <n v="73"/>
    <n v="68"/>
    <n v="66"/>
  </r>
  <r>
    <x v="0"/>
    <s v="group D"/>
    <x v="0"/>
    <s v="standard"/>
    <s v="completed"/>
    <n v="68"/>
    <n v="75"/>
    <n v="81"/>
  </r>
  <r>
    <x v="1"/>
    <s v="group E"/>
    <x v="3"/>
    <s v="free/reduced"/>
    <s v="completed"/>
    <n v="100"/>
    <n v="100"/>
    <n v="93"/>
  </r>
  <r>
    <x v="1"/>
    <s v="group A"/>
    <x v="5"/>
    <s v="standard"/>
    <s v="completed"/>
    <n v="62"/>
    <n v="67"/>
    <n v="69"/>
  </r>
  <r>
    <x v="1"/>
    <s v="group A"/>
    <x v="0"/>
    <s v="standard"/>
    <s v="none"/>
    <n v="77"/>
    <n v="67"/>
    <n v="68"/>
  </r>
  <r>
    <x v="0"/>
    <s v="group B"/>
    <x v="3"/>
    <s v="standard"/>
    <s v="completed"/>
    <n v="59"/>
    <n v="70"/>
    <n v="66"/>
  </r>
  <r>
    <x v="1"/>
    <s v="group D"/>
    <x v="0"/>
    <s v="standard"/>
    <s v="none"/>
    <n v="54"/>
    <n v="49"/>
    <n v="47"/>
  </r>
  <r>
    <x v="1"/>
    <s v="group D"/>
    <x v="5"/>
    <s v="standard"/>
    <s v="none"/>
    <n v="62"/>
    <n v="67"/>
    <n v="61"/>
  </r>
  <r>
    <x v="0"/>
    <s v="group C"/>
    <x v="1"/>
    <s v="standard"/>
    <s v="completed"/>
    <n v="70"/>
    <n v="89"/>
    <n v="88"/>
  </r>
  <r>
    <x v="0"/>
    <s v="group E"/>
    <x v="4"/>
    <s v="free/reduced"/>
    <s v="completed"/>
    <n v="66"/>
    <n v="74"/>
    <n v="78"/>
  </r>
  <r>
    <x v="1"/>
    <s v="group B"/>
    <x v="1"/>
    <s v="free/reduced"/>
    <s v="none"/>
    <n v="60"/>
    <n v="60"/>
    <n v="60"/>
  </r>
  <r>
    <x v="0"/>
    <s v="group B"/>
    <x v="3"/>
    <s v="standard"/>
    <s v="completed"/>
    <n v="61"/>
    <n v="86"/>
    <n v="87"/>
  </r>
  <r>
    <x v="1"/>
    <s v="group D"/>
    <x v="3"/>
    <s v="free/reduced"/>
    <s v="none"/>
    <n v="66"/>
    <n v="62"/>
    <n v="64"/>
  </r>
  <r>
    <x v="1"/>
    <s v="group B"/>
    <x v="3"/>
    <s v="free/reduced"/>
    <s v="completed"/>
    <n v="82"/>
    <n v="78"/>
    <n v="74"/>
  </r>
  <r>
    <x v="0"/>
    <s v="group E"/>
    <x v="1"/>
    <s v="free/reduced"/>
    <s v="completed"/>
    <n v="75"/>
    <n v="88"/>
    <n v="85"/>
  </r>
  <r>
    <x v="1"/>
    <s v="group B"/>
    <x v="2"/>
    <s v="free/reduced"/>
    <s v="none"/>
    <n v="49"/>
    <n v="53"/>
    <n v="52"/>
  </r>
  <r>
    <x v="1"/>
    <s v="group C"/>
    <x v="4"/>
    <s v="standard"/>
    <s v="none"/>
    <n v="52"/>
    <n v="53"/>
    <n v="49"/>
  </r>
  <r>
    <x v="0"/>
    <s v="group E"/>
    <x v="2"/>
    <s v="standard"/>
    <s v="none"/>
    <n v="81"/>
    <n v="92"/>
    <n v="91"/>
  </r>
  <r>
    <x v="0"/>
    <s v="group C"/>
    <x v="0"/>
    <s v="standard"/>
    <s v="completed"/>
    <n v="96"/>
    <n v="100"/>
    <n v="100"/>
  </r>
  <r>
    <x v="1"/>
    <s v="group C"/>
    <x v="4"/>
    <s v="free/reduced"/>
    <s v="completed"/>
    <n v="53"/>
    <n v="51"/>
    <n v="51"/>
  </r>
  <r>
    <x v="0"/>
    <s v="group B"/>
    <x v="2"/>
    <s v="free/reduced"/>
    <s v="completed"/>
    <n v="58"/>
    <n v="76"/>
    <n v="78"/>
  </r>
  <r>
    <x v="0"/>
    <s v="group B"/>
    <x v="4"/>
    <s v="standard"/>
    <s v="completed"/>
    <n v="68"/>
    <n v="83"/>
    <n v="78"/>
  </r>
  <r>
    <x v="0"/>
    <s v="group C"/>
    <x v="1"/>
    <s v="free/reduced"/>
    <s v="completed"/>
    <n v="67"/>
    <n v="75"/>
    <n v="70"/>
  </r>
  <r>
    <x v="1"/>
    <s v="group A"/>
    <x v="4"/>
    <s v="standard"/>
    <s v="completed"/>
    <n v="72"/>
    <n v="73"/>
    <n v="74"/>
  </r>
  <r>
    <x v="1"/>
    <s v="group E"/>
    <x v="5"/>
    <s v="standard"/>
    <s v="none"/>
    <n v="94"/>
    <n v="88"/>
    <n v="78"/>
  </r>
  <r>
    <x v="0"/>
    <s v="group D"/>
    <x v="1"/>
    <s v="standard"/>
    <s v="none"/>
    <n v="79"/>
    <n v="86"/>
    <n v="81"/>
  </r>
  <r>
    <x v="0"/>
    <s v="group C"/>
    <x v="3"/>
    <s v="standard"/>
    <s v="none"/>
    <n v="63"/>
    <n v="67"/>
    <n v="70"/>
  </r>
  <r>
    <x v="0"/>
    <s v="group C"/>
    <x v="0"/>
    <s v="free/reduced"/>
    <s v="completed"/>
    <n v="43"/>
    <n v="51"/>
    <n v="54"/>
  </r>
  <r>
    <x v="0"/>
    <s v="group C"/>
    <x v="2"/>
    <s v="standard"/>
    <s v="completed"/>
    <n v="81"/>
    <n v="91"/>
    <n v="87"/>
  </r>
  <r>
    <x v="0"/>
    <s v="group B"/>
    <x v="4"/>
    <s v="free/reduced"/>
    <s v="completed"/>
    <n v="46"/>
    <n v="54"/>
    <n v="58"/>
  </r>
  <r>
    <x v="0"/>
    <s v="group C"/>
    <x v="3"/>
    <s v="standard"/>
    <s v="completed"/>
    <n v="71"/>
    <n v="77"/>
    <n v="77"/>
  </r>
  <r>
    <x v="0"/>
    <s v="group B"/>
    <x v="2"/>
    <s v="free/reduced"/>
    <s v="completed"/>
    <n v="52"/>
    <n v="70"/>
    <n v="62"/>
  </r>
  <r>
    <x v="0"/>
    <s v="group D"/>
    <x v="5"/>
    <s v="standard"/>
    <s v="completed"/>
    <n v="97"/>
    <n v="100"/>
    <n v="100"/>
  </r>
  <r>
    <x v="1"/>
    <s v="group C"/>
    <x v="2"/>
    <s v="free/reduced"/>
    <s v="completed"/>
    <n v="62"/>
    <n v="68"/>
    <n v="75"/>
  </r>
  <r>
    <x v="0"/>
    <s v="group C"/>
    <x v="1"/>
    <s v="free/reduced"/>
    <s v="none"/>
    <n v="46"/>
    <n v="64"/>
    <n v="66"/>
  </r>
  <r>
    <x v="0"/>
    <s v="group E"/>
    <x v="4"/>
    <s v="standard"/>
    <s v="none"/>
    <n v="50"/>
    <n v="50"/>
    <n v="47"/>
  </r>
  <r>
    <x v="0"/>
    <s v="group D"/>
    <x v="3"/>
    <s v="standard"/>
    <s v="none"/>
    <n v="65"/>
    <n v="69"/>
    <n v="70"/>
  </r>
  <r>
    <x v="1"/>
    <s v="group C"/>
    <x v="5"/>
    <s v="free/reduced"/>
    <s v="completed"/>
    <n v="45"/>
    <n v="52"/>
    <n v="49"/>
  </r>
  <r>
    <x v="1"/>
    <s v="group C"/>
    <x v="3"/>
    <s v="free/reduced"/>
    <s v="completed"/>
    <n v="65"/>
    <n v="67"/>
    <n v="65"/>
  </r>
  <r>
    <x v="1"/>
    <s v="group E"/>
    <x v="4"/>
    <s v="standard"/>
    <s v="none"/>
    <n v="80"/>
    <n v="76"/>
    <n v="65"/>
  </r>
  <r>
    <x v="1"/>
    <s v="group D"/>
    <x v="5"/>
    <s v="standard"/>
    <s v="completed"/>
    <n v="62"/>
    <n v="66"/>
    <n v="68"/>
  </r>
  <r>
    <x v="1"/>
    <s v="group B"/>
    <x v="5"/>
    <s v="free/reduced"/>
    <s v="none"/>
    <n v="48"/>
    <n v="52"/>
    <n v="45"/>
  </r>
  <r>
    <x v="0"/>
    <s v="group C"/>
    <x v="0"/>
    <s v="standard"/>
    <s v="none"/>
    <n v="77"/>
    <n v="88"/>
    <n v="87"/>
  </r>
  <r>
    <x v="0"/>
    <s v="group E"/>
    <x v="3"/>
    <s v="standard"/>
    <s v="none"/>
    <n v="66"/>
    <n v="65"/>
    <n v="69"/>
  </r>
  <r>
    <x v="1"/>
    <s v="group D"/>
    <x v="1"/>
    <s v="standard"/>
    <s v="completed"/>
    <n v="76"/>
    <n v="83"/>
    <n v="79"/>
  </r>
  <r>
    <x v="0"/>
    <s v="group B"/>
    <x v="5"/>
    <s v="standard"/>
    <s v="none"/>
    <n v="62"/>
    <n v="64"/>
    <n v="66"/>
  </r>
  <r>
    <x v="1"/>
    <s v="group D"/>
    <x v="1"/>
    <s v="standard"/>
    <s v="completed"/>
    <n v="77"/>
    <n v="62"/>
    <n v="62"/>
  </r>
  <r>
    <x v="0"/>
    <s v="group C"/>
    <x v="2"/>
    <s v="standard"/>
    <s v="completed"/>
    <n v="69"/>
    <n v="84"/>
    <n v="85"/>
  </r>
  <r>
    <x v="1"/>
    <s v="group D"/>
    <x v="3"/>
    <s v="standard"/>
    <s v="none"/>
    <n v="61"/>
    <n v="55"/>
    <n v="52"/>
  </r>
  <r>
    <x v="1"/>
    <s v="group C"/>
    <x v="5"/>
    <s v="free/reduced"/>
    <s v="completed"/>
    <n v="59"/>
    <n v="69"/>
    <n v="65"/>
  </r>
  <r>
    <x v="1"/>
    <s v="group E"/>
    <x v="4"/>
    <s v="free/reduced"/>
    <s v="none"/>
    <n v="55"/>
    <n v="56"/>
    <n v="51"/>
  </r>
  <r>
    <x v="0"/>
    <s v="group B"/>
    <x v="1"/>
    <s v="free/reduced"/>
    <s v="none"/>
    <n v="45"/>
    <n v="53"/>
    <n v="55"/>
  </r>
  <r>
    <x v="0"/>
    <s v="group B"/>
    <x v="0"/>
    <s v="free/reduced"/>
    <s v="none"/>
    <n v="78"/>
    <n v="79"/>
    <n v="76"/>
  </r>
  <r>
    <x v="0"/>
    <s v="group C"/>
    <x v="3"/>
    <s v="standard"/>
    <s v="completed"/>
    <n v="67"/>
    <n v="84"/>
    <n v="86"/>
  </r>
  <r>
    <x v="0"/>
    <s v="group D"/>
    <x v="1"/>
    <s v="free/reduced"/>
    <s v="none"/>
    <n v="65"/>
    <n v="81"/>
    <n v="77"/>
  </r>
  <r>
    <x v="1"/>
    <s v="group C"/>
    <x v="3"/>
    <s v="standard"/>
    <s v="none"/>
    <n v="69"/>
    <n v="77"/>
    <n v="69"/>
  </r>
  <r>
    <x v="0"/>
    <s v="group B"/>
    <x v="3"/>
    <s v="standard"/>
    <s v="none"/>
    <n v="57"/>
    <n v="69"/>
    <n v="68"/>
  </r>
  <r>
    <x v="1"/>
    <s v="group C"/>
    <x v="1"/>
    <s v="standard"/>
    <s v="none"/>
    <n v="59"/>
    <n v="41"/>
    <n v="42"/>
  </r>
  <r>
    <x v="1"/>
    <s v="group D"/>
    <x v="5"/>
    <s v="standard"/>
    <s v="completed"/>
    <n v="74"/>
    <n v="71"/>
    <n v="78"/>
  </r>
  <r>
    <x v="1"/>
    <s v="group E"/>
    <x v="0"/>
    <s v="standard"/>
    <s v="none"/>
    <n v="82"/>
    <n v="62"/>
    <n v="62"/>
  </r>
  <r>
    <x v="1"/>
    <s v="group E"/>
    <x v="4"/>
    <s v="standard"/>
    <s v="completed"/>
    <n v="81"/>
    <n v="80"/>
    <n v="76"/>
  </r>
  <r>
    <x v="0"/>
    <s v="group B"/>
    <x v="1"/>
    <s v="free/reduced"/>
    <s v="none"/>
    <n v="74"/>
    <n v="81"/>
    <n v="76"/>
  </r>
  <r>
    <x v="0"/>
    <s v="group B"/>
    <x v="1"/>
    <s v="free/reduced"/>
    <s v="none"/>
    <n v="58"/>
    <n v="61"/>
    <n v="66"/>
  </r>
  <r>
    <x v="1"/>
    <s v="group D"/>
    <x v="5"/>
    <s v="free/reduced"/>
    <s v="completed"/>
    <n v="80"/>
    <n v="79"/>
    <n v="79"/>
  </r>
  <r>
    <x v="1"/>
    <s v="group C"/>
    <x v="1"/>
    <s v="free/reduced"/>
    <s v="none"/>
    <n v="35"/>
    <n v="28"/>
    <n v="27"/>
  </r>
  <r>
    <x v="0"/>
    <s v="group C"/>
    <x v="4"/>
    <s v="free/reduced"/>
    <s v="none"/>
    <n v="42"/>
    <n v="62"/>
    <n v="60"/>
  </r>
  <r>
    <x v="1"/>
    <s v="group C"/>
    <x v="3"/>
    <s v="free/reduced"/>
    <s v="completed"/>
    <n v="60"/>
    <n v="51"/>
    <n v="56"/>
  </r>
  <r>
    <x v="1"/>
    <s v="group E"/>
    <x v="4"/>
    <s v="standard"/>
    <s v="completed"/>
    <n v="87"/>
    <n v="91"/>
    <n v="81"/>
  </r>
  <r>
    <x v="1"/>
    <s v="group B"/>
    <x v="5"/>
    <s v="standard"/>
    <s v="completed"/>
    <n v="84"/>
    <n v="83"/>
    <n v="75"/>
  </r>
  <r>
    <x v="0"/>
    <s v="group E"/>
    <x v="3"/>
    <s v="free/reduced"/>
    <s v="completed"/>
    <n v="83"/>
    <n v="86"/>
    <n v="88"/>
  </r>
  <r>
    <x v="0"/>
    <s v="group C"/>
    <x v="4"/>
    <s v="free/reduced"/>
    <s v="none"/>
    <n v="34"/>
    <n v="42"/>
    <n v="39"/>
  </r>
  <r>
    <x v="1"/>
    <s v="group B"/>
    <x v="4"/>
    <s v="free/reduced"/>
    <s v="none"/>
    <n v="66"/>
    <n v="77"/>
    <n v="70"/>
  </r>
  <r>
    <x v="1"/>
    <s v="group B"/>
    <x v="5"/>
    <s v="standard"/>
    <s v="completed"/>
    <n v="61"/>
    <n v="56"/>
    <n v="56"/>
  </r>
  <r>
    <x v="0"/>
    <s v="group D"/>
    <x v="4"/>
    <s v="standard"/>
    <s v="completed"/>
    <n v="56"/>
    <n v="68"/>
    <n v="74"/>
  </r>
  <r>
    <x v="1"/>
    <s v="group B"/>
    <x v="3"/>
    <s v="standard"/>
    <s v="none"/>
    <n v="87"/>
    <n v="85"/>
    <n v="73"/>
  </r>
  <r>
    <x v="0"/>
    <s v="group C"/>
    <x v="5"/>
    <s v="free/reduced"/>
    <s v="none"/>
    <n v="55"/>
    <n v="65"/>
    <n v="62"/>
  </r>
  <r>
    <x v="1"/>
    <s v="group D"/>
    <x v="5"/>
    <s v="standard"/>
    <s v="none"/>
    <n v="86"/>
    <n v="80"/>
    <n v="75"/>
  </r>
  <r>
    <x v="0"/>
    <s v="group B"/>
    <x v="3"/>
    <s v="standard"/>
    <s v="completed"/>
    <n v="52"/>
    <n v="66"/>
    <n v="73"/>
  </r>
  <r>
    <x v="0"/>
    <s v="group E"/>
    <x v="2"/>
    <s v="free/reduced"/>
    <s v="none"/>
    <n v="45"/>
    <n v="56"/>
    <n v="54"/>
  </r>
  <r>
    <x v="0"/>
    <s v="group C"/>
    <x v="1"/>
    <s v="standard"/>
    <s v="none"/>
    <n v="72"/>
    <n v="72"/>
    <n v="71"/>
  </r>
  <r>
    <x v="1"/>
    <s v="group D"/>
    <x v="4"/>
    <s v="standard"/>
    <s v="none"/>
    <n v="57"/>
    <n v="50"/>
    <n v="54"/>
  </r>
  <r>
    <x v="1"/>
    <s v="group A"/>
    <x v="5"/>
    <s v="free/reduced"/>
    <s v="none"/>
    <n v="68"/>
    <n v="72"/>
    <n v="64"/>
  </r>
  <r>
    <x v="0"/>
    <s v="group C"/>
    <x v="1"/>
    <s v="standard"/>
    <s v="completed"/>
    <n v="88"/>
    <n v="95"/>
    <n v="94"/>
  </r>
  <r>
    <x v="1"/>
    <s v="group D"/>
    <x v="1"/>
    <s v="standard"/>
    <s v="none"/>
    <n v="76"/>
    <n v="64"/>
    <n v="66"/>
  </r>
  <r>
    <x v="1"/>
    <s v="group C"/>
    <x v="3"/>
    <s v="standard"/>
    <s v="none"/>
    <n v="46"/>
    <n v="43"/>
    <n v="42"/>
  </r>
  <r>
    <x v="0"/>
    <s v="group B"/>
    <x v="0"/>
    <s v="standard"/>
    <s v="none"/>
    <n v="67"/>
    <n v="86"/>
    <n v="83"/>
  </r>
  <r>
    <x v="1"/>
    <s v="group E"/>
    <x v="5"/>
    <s v="standard"/>
    <s v="none"/>
    <n v="92"/>
    <n v="87"/>
    <n v="78"/>
  </r>
  <r>
    <x v="1"/>
    <s v="group C"/>
    <x v="0"/>
    <s v="standard"/>
    <s v="completed"/>
    <n v="83"/>
    <n v="82"/>
    <n v="84"/>
  </r>
  <r>
    <x v="1"/>
    <s v="group D"/>
    <x v="3"/>
    <s v="standard"/>
    <s v="none"/>
    <n v="80"/>
    <n v="75"/>
    <n v="77"/>
  </r>
  <r>
    <x v="1"/>
    <s v="group D"/>
    <x v="0"/>
    <s v="free/reduced"/>
    <s v="none"/>
    <n v="63"/>
    <n v="66"/>
    <n v="67"/>
  </r>
  <r>
    <x v="0"/>
    <s v="group D"/>
    <x v="5"/>
    <s v="standard"/>
    <s v="completed"/>
    <n v="64"/>
    <n v="60"/>
    <n v="74"/>
  </r>
  <r>
    <x v="1"/>
    <s v="group B"/>
    <x v="1"/>
    <s v="standard"/>
    <s v="none"/>
    <n v="54"/>
    <n v="52"/>
    <n v="51"/>
  </r>
  <r>
    <x v="1"/>
    <s v="group C"/>
    <x v="3"/>
    <s v="standard"/>
    <s v="none"/>
    <n v="84"/>
    <n v="80"/>
    <n v="80"/>
  </r>
  <r>
    <x v="1"/>
    <s v="group D"/>
    <x v="4"/>
    <s v="free/reduced"/>
    <s v="completed"/>
    <n v="73"/>
    <n v="68"/>
    <n v="66"/>
  </r>
  <r>
    <x v="0"/>
    <s v="group E"/>
    <x v="0"/>
    <s v="standard"/>
    <s v="none"/>
    <n v="80"/>
    <n v="83"/>
    <n v="83"/>
  </r>
  <r>
    <x v="0"/>
    <s v="group D"/>
    <x v="4"/>
    <s v="standard"/>
    <s v="none"/>
    <n v="56"/>
    <n v="52"/>
    <n v="55"/>
  </r>
  <r>
    <x v="1"/>
    <s v="group E"/>
    <x v="1"/>
    <s v="standard"/>
    <s v="none"/>
    <n v="59"/>
    <n v="51"/>
    <n v="43"/>
  </r>
  <r>
    <x v="1"/>
    <s v="group D"/>
    <x v="5"/>
    <s v="standard"/>
    <s v="none"/>
    <n v="75"/>
    <n v="74"/>
    <n v="69"/>
  </r>
  <r>
    <x v="1"/>
    <s v="group C"/>
    <x v="3"/>
    <s v="standard"/>
    <s v="none"/>
    <n v="85"/>
    <n v="76"/>
    <n v="71"/>
  </r>
  <r>
    <x v="1"/>
    <s v="group E"/>
    <x v="3"/>
    <s v="standard"/>
    <s v="none"/>
    <n v="89"/>
    <n v="76"/>
    <n v="74"/>
  </r>
  <r>
    <x v="0"/>
    <s v="group B"/>
    <x v="4"/>
    <s v="standard"/>
    <s v="completed"/>
    <n v="58"/>
    <n v="70"/>
    <n v="68"/>
  </r>
  <r>
    <x v="0"/>
    <s v="group B"/>
    <x v="4"/>
    <s v="standard"/>
    <s v="none"/>
    <n v="65"/>
    <n v="64"/>
    <n v="62"/>
  </r>
  <r>
    <x v="1"/>
    <s v="group C"/>
    <x v="4"/>
    <s v="standard"/>
    <s v="none"/>
    <n v="68"/>
    <n v="60"/>
    <n v="53"/>
  </r>
  <r>
    <x v="1"/>
    <s v="group A"/>
    <x v="5"/>
    <s v="standard"/>
    <s v="completed"/>
    <n v="47"/>
    <n v="49"/>
    <n v="49"/>
  </r>
  <r>
    <x v="0"/>
    <s v="group D"/>
    <x v="1"/>
    <s v="free/reduced"/>
    <s v="none"/>
    <n v="71"/>
    <n v="83"/>
    <n v="83"/>
  </r>
  <r>
    <x v="0"/>
    <s v="group B"/>
    <x v="5"/>
    <s v="standard"/>
    <s v="completed"/>
    <n v="60"/>
    <n v="70"/>
    <n v="70"/>
  </r>
  <r>
    <x v="1"/>
    <s v="group D"/>
    <x v="2"/>
    <s v="standard"/>
    <s v="none"/>
    <n v="80"/>
    <n v="80"/>
    <n v="72"/>
  </r>
  <r>
    <x v="1"/>
    <s v="group D"/>
    <x v="4"/>
    <s v="standard"/>
    <s v="none"/>
    <n v="54"/>
    <n v="52"/>
    <n v="52"/>
  </r>
  <r>
    <x v="0"/>
    <s v="group E"/>
    <x v="1"/>
    <s v="standard"/>
    <s v="none"/>
    <n v="62"/>
    <n v="73"/>
    <n v="70"/>
  </r>
  <r>
    <x v="0"/>
    <s v="group C"/>
    <x v="3"/>
    <s v="free/reduced"/>
    <s v="none"/>
    <n v="64"/>
    <n v="73"/>
    <n v="68"/>
  </r>
  <r>
    <x v="1"/>
    <s v="group C"/>
    <x v="3"/>
    <s v="standard"/>
    <s v="completed"/>
    <n v="78"/>
    <n v="77"/>
    <n v="77"/>
  </r>
  <r>
    <x v="0"/>
    <s v="group B"/>
    <x v="1"/>
    <s v="standard"/>
    <s v="none"/>
    <n v="70"/>
    <n v="75"/>
    <n v="78"/>
  </r>
  <r>
    <x v="0"/>
    <s v="group C"/>
    <x v="2"/>
    <s v="free/reduced"/>
    <s v="completed"/>
    <n v="65"/>
    <n v="81"/>
    <n v="81"/>
  </r>
  <r>
    <x v="0"/>
    <s v="group C"/>
    <x v="5"/>
    <s v="free/reduced"/>
    <s v="completed"/>
    <n v="64"/>
    <n v="79"/>
    <n v="77"/>
  </r>
  <r>
    <x v="1"/>
    <s v="group C"/>
    <x v="1"/>
    <s v="standard"/>
    <s v="completed"/>
    <n v="79"/>
    <n v="79"/>
    <n v="78"/>
  </r>
  <r>
    <x v="0"/>
    <s v="group C"/>
    <x v="5"/>
    <s v="free/reduced"/>
    <s v="none"/>
    <n v="44"/>
    <n v="50"/>
    <n v="51"/>
  </r>
  <r>
    <x v="0"/>
    <s v="group E"/>
    <x v="4"/>
    <s v="standard"/>
    <s v="none"/>
    <n v="99"/>
    <n v="93"/>
    <n v="90"/>
  </r>
  <r>
    <x v="1"/>
    <s v="group D"/>
    <x v="4"/>
    <s v="standard"/>
    <s v="none"/>
    <n v="76"/>
    <n v="73"/>
    <n v="68"/>
  </r>
  <r>
    <x v="1"/>
    <s v="group D"/>
    <x v="5"/>
    <s v="free/reduced"/>
    <s v="none"/>
    <n v="59"/>
    <n v="42"/>
    <n v="41"/>
  </r>
  <r>
    <x v="0"/>
    <s v="group C"/>
    <x v="0"/>
    <s v="standard"/>
    <s v="none"/>
    <n v="63"/>
    <n v="75"/>
    <n v="81"/>
  </r>
  <r>
    <x v="0"/>
    <s v="group D"/>
    <x v="4"/>
    <s v="standard"/>
    <s v="none"/>
    <n v="69"/>
    <n v="72"/>
    <n v="77"/>
  </r>
  <r>
    <x v="0"/>
    <s v="group D"/>
    <x v="3"/>
    <s v="standard"/>
    <s v="completed"/>
    <n v="88"/>
    <n v="92"/>
    <n v="95"/>
  </r>
  <r>
    <x v="0"/>
    <s v="group E"/>
    <x v="1"/>
    <s v="free/reduced"/>
    <s v="none"/>
    <n v="71"/>
    <n v="76"/>
    <n v="70"/>
  </r>
  <r>
    <x v="1"/>
    <s v="group C"/>
    <x v="0"/>
    <s v="standard"/>
    <s v="none"/>
    <n v="69"/>
    <n v="63"/>
    <n v="61"/>
  </r>
  <r>
    <x v="1"/>
    <s v="group C"/>
    <x v="1"/>
    <s v="standard"/>
    <s v="none"/>
    <n v="58"/>
    <n v="49"/>
    <n v="42"/>
  </r>
  <r>
    <x v="0"/>
    <s v="group D"/>
    <x v="3"/>
    <s v="free/reduced"/>
    <s v="none"/>
    <n v="47"/>
    <n v="53"/>
    <n v="58"/>
  </r>
  <r>
    <x v="0"/>
    <s v="group D"/>
    <x v="1"/>
    <s v="standard"/>
    <s v="none"/>
    <n v="65"/>
    <n v="70"/>
    <n v="71"/>
  </r>
  <r>
    <x v="1"/>
    <s v="group B"/>
    <x v="1"/>
    <s v="standard"/>
    <s v="completed"/>
    <n v="88"/>
    <n v="85"/>
    <n v="76"/>
  </r>
  <r>
    <x v="1"/>
    <s v="group C"/>
    <x v="0"/>
    <s v="standard"/>
    <s v="none"/>
    <n v="83"/>
    <n v="78"/>
    <n v="73"/>
  </r>
  <r>
    <x v="0"/>
    <s v="group C"/>
    <x v="5"/>
    <s v="standard"/>
    <s v="completed"/>
    <n v="85"/>
    <n v="92"/>
    <n v="93"/>
  </r>
  <r>
    <x v="0"/>
    <s v="group E"/>
    <x v="4"/>
    <s v="standard"/>
    <s v="completed"/>
    <n v="59"/>
    <n v="63"/>
    <n v="75"/>
  </r>
  <r>
    <x v="0"/>
    <s v="group C"/>
    <x v="5"/>
    <s v="free/reduced"/>
    <s v="none"/>
    <n v="65"/>
    <n v="86"/>
    <n v="80"/>
  </r>
  <r>
    <x v="1"/>
    <s v="group B"/>
    <x v="0"/>
    <s v="free/reduced"/>
    <s v="none"/>
    <n v="73"/>
    <n v="56"/>
    <n v="57"/>
  </r>
  <r>
    <x v="1"/>
    <s v="group D"/>
    <x v="4"/>
    <s v="standard"/>
    <s v="none"/>
    <n v="53"/>
    <n v="52"/>
    <n v="42"/>
  </r>
  <r>
    <x v="1"/>
    <s v="group D"/>
    <x v="4"/>
    <s v="standard"/>
    <s v="none"/>
    <n v="45"/>
    <n v="48"/>
    <n v="46"/>
  </r>
  <r>
    <x v="0"/>
    <s v="group D"/>
    <x v="0"/>
    <s v="free/reduced"/>
    <s v="none"/>
    <n v="73"/>
    <n v="79"/>
    <n v="84"/>
  </r>
  <r>
    <x v="0"/>
    <s v="group D"/>
    <x v="1"/>
    <s v="free/reduced"/>
    <s v="completed"/>
    <n v="70"/>
    <n v="78"/>
    <n v="78"/>
  </r>
  <r>
    <x v="0"/>
    <s v="group B"/>
    <x v="5"/>
    <s v="standard"/>
    <s v="none"/>
    <n v="37"/>
    <n v="46"/>
    <n v="46"/>
  </r>
  <r>
    <x v="1"/>
    <s v="group B"/>
    <x v="3"/>
    <s v="standard"/>
    <s v="completed"/>
    <n v="81"/>
    <n v="82"/>
    <n v="82"/>
  </r>
  <r>
    <x v="1"/>
    <s v="group E"/>
    <x v="3"/>
    <s v="standard"/>
    <s v="completed"/>
    <n v="97"/>
    <n v="82"/>
    <n v="88"/>
  </r>
  <r>
    <x v="0"/>
    <s v="group B"/>
    <x v="5"/>
    <s v="standard"/>
    <s v="none"/>
    <n v="67"/>
    <n v="89"/>
    <n v="82"/>
  </r>
  <r>
    <x v="1"/>
    <s v="group B"/>
    <x v="0"/>
    <s v="free/reduced"/>
    <s v="none"/>
    <n v="88"/>
    <n v="75"/>
    <n v="76"/>
  </r>
  <r>
    <x v="1"/>
    <s v="group E"/>
    <x v="5"/>
    <s v="standard"/>
    <s v="completed"/>
    <n v="77"/>
    <n v="76"/>
    <n v="77"/>
  </r>
  <r>
    <x v="1"/>
    <s v="group C"/>
    <x v="3"/>
    <s v="standard"/>
    <s v="none"/>
    <n v="76"/>
    <n v="70"/>
    <n v="68"/>
  </r>
  <r>
    <x v="1"/>
    <s v="group D"/>
    <x v="5"/>
    <s v="standard"/>
    <s v="none"/>
    <n v="86"/>
    <n v="73"/>
    <n v="70"/>
  </r>
  <r>
    <x v="1"/>
    <s v="group C"/>
    <x v="5"/>
    <s v="standard"/>
    <s v="completed"/>
    <n v="63"/>
    <n v="60"/>
    <n v="57"/>
  </r>
  <r>
    <x v="0"/>
    <s v="group E"/>
    <x v="0"/>
    <s v="standard"/>
    <s v="none"/>
    <n v="65"/>
    <n v="73"/>
    <n v="75"/>
  </r>
  <r>
    <x v="1"/>
    <s v="group D"/>
    <x v="4"/>
    <s v="free/reduced"/>
    <s v="completed"/>
    <n v="78"/>
    <n v="77"/>
    <n v="80"/>
  </r>
  <r>
    <x v="1"/>
    <s v="group B"/>
    <x v="3"/>
    <s v="free/reduced"/>
    <s v="none"/>
    <n v="67"/>
    <n v="62"/>
    <n v="60"/>
  </r>
  <r>
    <x v="1"/>
    <s v="group A"/>
    <x v="5"/>
    <s v="standard"/>
    <s v="completed"/>
    <n v="46"/>
    <n v="41"/>
    <n v="43"/>
  </r>
  <r>
    <x v="1"/>
    <s v="group E"/>
    <x v="3"/>
    <s v="standard"/>
    <s v="completed"/>
    <n v="71"/>
    <n v="74"/>
    <n v="68"/>
  </r>
  <r>
    <x v="1"/>
    <s v="group C"/>
    <x v="4"/>
    <s v="free/reduced"/>
    <s v="completed"/>
    <n v="40"/>
    <n v="46"/>
    <n v="50"/>
  </r>
  <r>
    <x v="1"/>
    <s v="group D"/>
    <x v="3"/>
    <s v="free/reduced"/>
    <s v="none"/>
    <n v="90"/>
    <n v="87"/>
    <n v="75"/>
  </r>
  <r>
    <x v="1"/>
    <s v="group A"/>
    <x v="1"/>
    <s v="free/reduced"/>
    <s v="completed"/>
    <n v="81"/>
    <n v="78"/>
    <n v="81"/>
  </r>
  <r>
    <x v="1"/>
    <s v="group D"/>
    <x v="5"/>
    <s v="free/reduced"/>
    <s v="none"/>
    <n v="56"/>
    <n v="54"/>
    <n v="52"/>
  </r>
  <r>
    <x v="0"/>
    <s v="group C"/>
    <x v="3"/>
    <s v="standard"/>
    <s v="completed"/>
    <n v="67"/>
    <n v="84"/>
    <n v="81"/>
  </r>
  <r>
    <x v="1"/>
    <s v="group B"/>
    <x v="3"/>
    <s v="standard"/>
    <s v="none"/>
    <n v="80"/>
    <n v="76"/>
    <n v="64"/>
  </r>
  <r>
    <x v="0"/>
    <s v="group C"/>
    <x v="3"/>
    <s v="standard"/>
    <s v="completed"/>
    <n v="74"/>
    <n v="75"/>
    <n v="83"/>
  </r>
  <r>
    <x v="1"/>
    <s v="group A"/>
    <x v="1"/>
    <s v="standard"/>
    <s v="none"/>
    <n v="69"/>
    <n v="67"/>
    <n v="69"/>
  </r>
  <r>
    <x v="1"/>
    <s v="group E"/>
    <x v="1"/>
    <s v="standard"/>
    <s v="completed"/>
    <n v="99"/>
    <n v="87"/>
    <n v="81"/>
  </r>
  <r>
    <x v="1"/>
    <s v="group C"/>
    <x v="5"/>
    <s v="standard"/>
    <s v="none"/>
    <n v="51"/>
    <n v="52"/>
    <n v="44"/>
  </r>
  <r>
    <x v="0"/>
    <s v="group B"/>
    <x v="3"/>
    <s v="free/reduced"/>
    <s v="none"/>
    <n v="53"/>
    <n v="71"/>
    <n v="67"/>
  </r>
  <r>
    <x v="0"/>
    <s v="group D"/>
    <x v="4"/>
    <s v="free/reduced"/>
    <s v="none"/>
    <n v="49"/>
    <n v="57"/>
    <n v="52"/>
  </r>
  <r>
    <x v="0"/>
    <s v="group B"/>
    <x v="3"/>
    <s v="standard"/>
    <s v="none"/>
    <n v="73"/>
    <n v="76"/>
    <n v="80"/>
  </r>
  <r>
    <x v="1"/>
    <s v="group B"/>
    <x v="0"/>
    <s v="standard"/>
    <s v="none"/>
    <n v="66"/>
    <n v="60"/>
    <n v="57"/>
  </r>
  <r>
    <x v="1"/>
    <s v="group D"/>
    <x v="0"/>
    <s v="standard"/>
    <s v="completed"/>
    <n v="67"/>
    <n v="61"/>
    <n v="68"/>
  </r>
  <r>
    <x v="0"/>
    <s v="group C"/>
    <x v="3"/>
    <s v="free/reduced"/>
    <s v="completed"/>
    <n v="68"/>
    <n v="67"/>
    <n v="69"/>
  </r>
  <r>
    <x v="0"/>
    <s v="group C"/>
    <x v="0"/>
    <s v="standard"/>
    <s v="completed"/>
    <n v="59"/>
    <n v="64"/>
    <n v="75"/>
  </r>
  <r>
    <x v="1"/>
    <s v="group C"/>
    <x v="4"/>
    <s v="standard"/>
    <s v="none"/>
    <n v="71"/>
    <n v="66"/>
    <n v="65"/>
  </r>
  <r>
    <x v="0"/>
    <s v="group D"/>
    <x v="2"/>
    <s v="standard"/>
    <s v="completed"/>
    <n v="77"/>
    <n v="82"/>
    <n v="91"/>
  </r>
  <r>
    <x v="1"/>
    <s v="group C"/>
    <x v="3"/>
    <s v="standard"/>
    <s v="none"/>
    <n v="83"/>
    <n v="72"/>
    <n v="78"/>
  </r>
  <r>
    <x v="1"/>
    <s v="group B"/>
    <x v="0"/>
    <s v="standard"/>
    <s v="none"/>
    <n v="63"/>
    <n v="71"/>
    <n v="69"/>
  </r>
  <r>
    <x v="0"/>
    <s v="group D"/>
    <x v="3"/>
    <s v="free/reduced"/>
    <s v="none"/>
    <n v="56"/>
    <n v="65"/>
    <n v="63"/>
  </r>
  <r>
    <x v="0"/>
    <s v="group C"/>
    <x v="4"/>
    <s v="free/reduced"/>
    <s v="completed"/>
    <n v="67"/>
    <n v="79"/>
    <n v="84"/>
  </r>
  <r>
    <x v="0"/>
    <s v="group E"/>
    <x v="4"/>
    <s v="standard"/>
    <s v="none"/>
    <n v="75"/>
    <n v="86"/>
    <n v="79"/>
  </r>
  <r>
    <x v="0"/>
    <s v="group C"/>
    <x v="1"/>
    <s v="standard"/>
    <s v="none"/>
    <n v="71"/>
    <n v="81"/>
    <n v="80"/>
  </r>
  <r>
    <x v="0"/>
    <s v="group C"/>
    <x v="5"/>
    <s v="free/reduced"/>
    <s v="none"/>
    <n v="43"/>
    <n v="53"/>
    <n v="53"/>
  </r>
  <r>
    <x v="0"/>
    <s v="group C"/>
    <x v="4"/>
    <s v="free/reduced"/>
    <s v="none"/>
    <n v="41"/>
    <n v="46"/>
    <n v="43"/>
  </r>
  <r>
    <x v="0"/>
    <s v="group C"/>
    <x v="1"/>
    <s v="standard"/>
    <s v="none"/>
    <n v="82"/>
    <n v="90"/>
    <n v="94"/>
  </r>
  <r>
    <x v="1"/>
    <s v="group C"/>
    <x v="1"/>
    <s v="standard"/>
    <s v="none"/>
    <n v="61"/>
    <n v="61"/>
    <n v="62"/>
  </r>
  <r>
    <x v="1"/>
    <s v="group A"/>
    <x v="1"/>
    <s v="free/reduced"/>
    <s v="none"/>
    <n v="28"/>
    <n v="23"/>
    <n v="19"/>
  </r>
  <r>
    <x v="1"/>
    <s v="group C"/>
    <x v="3"/>
    <s v="standard"/>
    <s v="completed"/>
    <n v="82"/>
    <n v="75"/>
    <n v="77"/>
  </r>
  <r>
    <x v="0"/>
    <s v="group B"/>
    <x v="5"/>
    <s v="standard"/>
    <s v="none"/>
    <n v="41"/>
    <n v="55"/>
    <n v="51"/>
  </r>
  <r>
    <x v="1"/>
    <s v="group C"/>
    <x v="4"/>
    <s v="standard"/>
    <s v="none"/>
    <n v="71"/>
    <n v="60"/>
    <n v="61"/>
  </r>
  <r>
    <x v="1"/>
    <s v="group C"/>
    <x v="3"/>
    <s v="standard"/>
    <s v="none"/>
    <n v="47"/>
    <n v="37"/>
    <n v="35"/>
  </r>
  <r>
    <x v="1"/>
    <s v="group E"/>
    <x v="3"/>
    <s v="standard"/>
    <s v="completed"/>
    <n v="62"/>
    <n v="56"/>
    <n v="53"/>
  </r>
  <r>
    <x v="1"/>
    <s v="group B"/>
    <x v="3"/>
    <s v="standard"/>
    <s v="none"/>
    <n v="90"/>
    <n v="78"/>
    <n v="81"/>
  </r>
  <r>
    <x v="0"/>
    <s v="group C"/>
    <x v="0"/>
    <s v="standard"/>
    <s v="none"/>
    <n v="83"/>
    <n v="93"/>
    <n v="95"/>
  </r>
  <r>
    <x v="0"/>
    <s v="group B"/>
    <x v="1"/>
    <s v="free/reduced"/>
    <s v="none"/>
    <n v="61"/>
    <n v="68"/>
    <n v="66"/>
  </r>
  <r>
    <x v="1"/>
    <s v="group D"/>
    <x v="5"/>
    <s v="standard"/>
    <s v="completed"/>
    <n v="76"/>
    <n v="70"/>
    <n v="69"/>
  </r>
  <r>
    <x v="1"/>
    <s v="group C"/>
    <x v="3"/>
    <s v="standard"/>
    <s v="none"/>
    <n v="49"/>
    <n v="51"/>
    <n v="43"/>
  </r>
  <r>
    <x v="0"/>
    <s v="group B"/>
    <x v="5"/>
    <s v="free/reduced"/>
    <s v="none"/>
    <n v="24"/>
    <n v="38"/>
    <n v="27"/>
  </r>
  <r>
    <x v="0"/>
    <s v="group D"/>
    <x v="5"/>
    <s v="free/reduced"/>
    <s v="completed"/>
    <n v="35"/>
    <n v="55"/>
    <n v="60"/>
  </r>
  <r>
    <x v="1"/>
    <s v="group C"/>
    <x v="4"/>
    <s v="free/reduced"/>
    <s v="none"/>
    <n v="58"/>
    <n v="61"/>
    <n v="52"/>
  </r>
  <r>
    <x v="0"/>
    <s v="group C"/>
    <x v="4"/>
    <s v="standard"/>
    <s v="none"/>
    <n v="61"/>
    <n v="73"/>
    <n v="63"/>
  </r>
  <r>
    <x v="0"/>
    <s v="group B"/>
    <x v="4"/>
    <s v="standard"/>
    <s v="completed"/>
    <n v="69"/>
    <n v="76"/>
    <n v="74"/>
  </r>
  <r>
    <x v="1"/>
    <s v="group D"/>
    <x v="3"/>
    <s v="standard"/>
    <s v="completed"/>
    <n v="67"/>
    <n v="72"/>
    <n v="67"/>
  </r>
  <r>
    <x v="1"/>
    <s v="group D"/>
    <x v="1"/>
    <s v="standard"/>
    <s v="none"/>
    <n v="79"/>
    <n v="73"/>
    <n v="67"/>
  </r>
  <r>
    <x v="0"/>
    <s v="group C"/>
    <x v="4"/>
    <s v="standard"/>
    <s v="none"/>
    <n v="72"/>
    <n v="80"/>
    <n v="75"/>
  </r>
  <r>
    <x v="1"/>
    <s v="group B"/>
    <x v="1"/>
    <s v="standard"/>
    <s v="none"/>
    <n v="62"/>
    <n v="61"/>
    <n v="57"/>
  </r>
  <r>
    <x v="0"/>
    <s v="group C"/>
    <x v="0"/>
    <s v="standard"/>
    <s v="completed"/>
    <n v="77"/>
    <n v="94"/>
    <n v="95"/>
  </r>
  <r>
    <x v="1"/>
    <s v="group D"/>
    <x v="4"/>
    <s v="free/reduced"/>
    <s v="none"/>
    <n v="75"/>
    <n v="74"/>
    <n v="66"/>
  </r>
  <r>
    <x v="1"/>
    <s v="group E"/>
    <x v="3"/>
    <s v="standard"/>
    <s v="none"/>
    <n v="87"/>
    <n v="74"/>
    <n v="76"/>
  </r>
  <r>
    <x v="0"/>
    <s v="group B"/>
    <x v="0"/>
    <s v="standard"/>
    <s v="none"/>
    <n v="52"/>
    <n v="65"/>
    <n v="69"/>
  </r>
  <r>
    <x v="1"/>
    <s v="group E"/>
    <x v="1"/>
    <s v="standard"/>
    <s v="none"/>
    <n v="66"/>
    <n v="57"/>
    <n v="52"/>
  </r>
  <r>
    <x v="0"/>
    <s v="group C"/>
    <x v="1"/>
    <s v="standard"/>
    <s v="completed"/>
    <n v="63"/>
    <n v="78"/>
    <n v="80"/>
  </r>
  <r>
    <x v="0"/>
    <s v="group C"/>
    <x v="3"/>
    <s v="standard"/>
    <s v="none"/>
    <n v="46"/>
    <n v="58"/>
    <n v="57"/>
  </r>
  <r>
    <x v="0"/>
    <s v="group C"/>
    <x v="1"/>
    <s v="standard"/>
    <s v="none"/>
    <n v="59"/>
    <n v="71"/>
    <n v="70"/>
  </r>
  <r>
    <x v="0"/>
    <s v="group B"/>
    <x v="0"/>
    <s v="standard"/>
    <s v="none"/>
    <n v="61"/>
    <n v="72"/>
    <n v="70"/>
  </r>
  <r>
    <x v="1"/>
    <s v="group A"/>
    <x v="3"/>
    <s v="standard"/>
    <s v="none"/>
    <n v="63"/>
    <n v="61"/>
    <n v="61"/>
  </r>
  <r>
    <x v="0"/>
    <s v="group C"/>
    <x v="1"/>
    <s v="free/reduced"/>
    <s v="completed"/>
    <n v="42"/>
    <n v="66"/>
    <n v="69"/>
  </r>
  <r>
    <x v="1"/>
    <s v="group D"/>
    <x v="1"/>
    <s v="free/reduced"/>
    <s v="none"/>
    <n v="59"/>
    <n v="62"/>
    <n v="61"/>
  </r>
  <r>
    <x v="0"/>
    <s v="group D"/>
    <x v="1"/>
    <s v="standard"/>
    <s v="none"/>
    <n v="80"/>
    <n v="90"/>
    <n v="89"/>
  </r>
  <r>
    <x v="0"/>
    <s v="group B"/>
    <x v="4"/>
    <s v="standard"/>
    <s v="none"/>
    <n v="58"/>
    <n v="62"/>
    <n v="59"/>
  </r>
  <r>
    <x v="1"/>
    <s v="group B"/>
    <x v="5"/>
    <s v="standard"/>
    <s v="completed"/>
    <n v="85"/>
    <n v="84"/>
    <n v="78"/>
  </r>
  <r>
    <x v="0"/>
    <s v="group C"/>
    <x v="1"/>
    <s v="standard"/>
    <s v="none"/>
    <n v="52"/>
    <n v="58"/>
    <n v="58"/>
  </r>
  <r>
    <x v="0"/>
    <s v="group D"/>
    <x v="5"/>
    <s v="free/reduced"/>
    <s v="none"/>
    <n v="27"/>
    <n v="34"/>
    <n v="32"/>
  </r>
  <r>
    <x v="1"/>
    <s v="group C"/>
    <x v="1"/>
    <s v="standard"/>
    <s v="none"/>
    <n v="59"/>
    <n v="60"/>
    <n v="58"/>
  </r>
  <r>
    <x v="1"/>
    <s v="group A"/>
    <x v="0"/>
    <s v="free/reduced"/>
    <s v="completed"/>
    <n v="49"/>
    <n v="58"/>
    <n v="60"/>
  </r>
  <r>
    <x v="1"/>
    <s v="group C"/>
    <x v="4"/>
    <s v="standard"/>
    <s v="completed"/>
    <n v="69"/>
    <n v="58"/>
    <n v="53"/>
  </r>
  <r>
    <x v="1"/>
    <s v="group C"/>
    <x v="0"/>
    <s v="free/reduced"/>
    <s v="none"/>
    <n v="61"/>
    <n v="66"/>
    <n v="61"/>
  </r>
  <r>
    <x v="0"/>
    <s v="group A"/>
    <x v="5"/>
    <s v="free/reduced"/>
    <s v="none"/>
    <n v="44"/>
    <n v="64"/>
    <n v="58"/>
  </r>
  <r>
    <x v="0"/>
    <s v="group D"/>
    <x v="5"/>
    <s v="standard"/>
    <s v="none"/>
    <n v="73"/>
    <n v="84"/>
    <n v="85"/>
  </r>
  <r>
    <x v="1"/>
    <s v="group E"/>
    <x v="1"/>
    <s v="standard"/>
    <s v="none"/>
    <n v="84"/>
    <n v="77"/>
    <n v="71"/>
  </r>
  <r>
    <x v="0"/>
    <s v="group C"/>
    <x v="1"/>
    <s v="free/reduced"/>
    <s v="completed"/>
    <n v="45"/>
    <n v="73"/>
    <n v="70"/>
  </r>
  <r>
    <x v="1"/>
    <s v="group D"/>
    <x v="5"/>
    <s v="standard"/>
    <s v="none"/>
    <n v="74"/>
    <n v="74"/>
    <n v="72"/>
  </r>
  <r>
    <x v="0"/>
    <s v="group D"/>
    <x v="1"/>
    <s v="standard"/>
    <s v="completed"/>
    <n v="82"/>
    <n v="97"/>
    <n v="96"/>
  </r>
  <r>
    <x v="0"/>
    <s v="group D"/>
    <x v="0"/>
    <s v="standard"/>
    <s v="none"/>
    <n v="59"/>
    <n v="70"/>
    <n v="73"/>
  </r>
  <r>
    <x v="1"/>
    <s v="group E"/>
    <x v="3"/>
    <s v="free/reduced"/>
    <s v="none"/>
    <n v="46"/>
    <n v="43"/>
    <n v="41"/>
  </r>
  <r>
    <x v="0"/>
    <s v="group D"/>
    <x v="5"/>
    <s v="standard"/>
    <s v="none"/>
    <n v="80"/>
    <n v="90"/>
    <n v="82"/>
  </r>
  <r>
    <x v="0"/>
    <s v="group D"/>
    <x v="2"/>
    <s v="free/reduced"/>
    <s v="completed"/>
    <n v="85"/>
    <n v="95"/>
    <n v="100"/>
  </r>
  <r>
    <x v="0"/>
    <s v="group A"/>
    <x v="5"/>
    <s v="standard"/>
    <s v="none"/>
    <n v="71"/>
    <n v="83"/>
    <n v="77"/>
  </r>
  <r>
    <x v="1"/>
    <s v="group A"/>
    <x v="0"/>
    <s v="standard"/>
    <s v="none"/>
    <n v="66"/>
    <n v="64"/>
    <n v="62"/>
  </r>
  <r>
    <x v="0"/>
    <s v="group B"/>
    <x v="3"/>
    <s v="standard"/>
    <s v="none"/>
    <n v="80"/>
    <n v="86"/>
    <n v="83"/>
  </r>
  <r>
    <x v="1"/>
    <s v="group C"/>
    <x v="3"/>
    <s v="standard"/>
    <s v="completed"/>
    <n v="87"/>
    <n v="100"/>
    <n v="95"/>
  </r>
  <r>
    <x v="1"/>
    <s v="group C"/>
    <x v="2"/>
    <s v="free/reduced"/>
    <s v="none"/>
    <n v="79"/>
    <n v="81"/>
    <n v="71"/>
  </r>
  <r>
    <x v="0"/>
    <s v="group E"/>
    <x v="5"/>
    <s v="free/reduced"/>
    <s v="none"/>
    <n v="38"/>
    <n v="49"/>
    <n v="45"/>
  </r>
  <r>
    <x v="0"/>
    <s v="group A"/>
    <x v="5"/>
    <s v="free/reduced"/>
    <s v="none"/>
    <n v="38"/>
    <n v="43"/>
    <n v="43"/>
  </r>
  <r>
    <x v="0"/>
    <s v="group E"/>
    <x v="1"/>
    <s v="standard"/>
    <s v="none"/>
    <n v="67"/>
    <n v="76"/>
    <n v="75"/>
  </r>
  <r>
    <x v="0"/>
    <s v="group E"/>
    <x v="0"/>
    <s v="standard"/>
    <s v="none"/>
    <n v="64"/>
    <n v="73"/>
    <n v="70"/>
  </r>
  <r>
    <x v="0"/>
    <s v="group C"/>
    <x v="3"/>
    <s v="free/reduced"/>
    <s v="none"/>
    <n v="57"/>
    <n v="78"/>
    <n v="67"/>
  </r>
  <r>
    <x v="0"/>
    <s v="group D"/>
    <x v="4"/>
    <s v="standard"/>
    <s v="none"/>
    <n v="62"/>
    <n v="64"/>
    <n v="64"/>
  </r>
  <r>
    <x v="1"/>
    <s v="group D"/>
    <x v="2"/>
    <s v="standard"/>
    <s v="none"/>
    <n v="73"/>
    <n v="70"/>
    <n v="75"/>
  </r>
  <r>
    <x v="1"/>
    <s v="group E"/>
    <x v="5"/>
    <s v="free/reduced"/>
    <s v="completed"/>
    <n v="73"/>
    <n v="67"/>
    <n v="59"/>
  </r>
  <r>
    <x v="0"/>
    <s v="group D"/>
    <x v="1"/>
    <s v="standard"/>
    <s v="none"/>
    <n v="77"/>
    <n v="68"/>
    <n v="77"/>
  </r>
  <r>
    <x v="1"/>
    <s v="group E"/>
    <x v="1"/>
    <s v="standard"/>
    <s v="none"/>
    <n v="76"/>
    <n v="67"/>
    <n v="67"/>
  </r>
  <r>
    <x v="1"/>
    <s v="group C"/>
    <x v="3"/>
    <s v="standard"/>
    <s v="completed"/>
    <n v="57"/>
    <n v="54"/>
    <n v="56"/>
  </r>
  <r>
    <x v="0"/>
    <s v="group C"/>
    <x v="5"/>
    <s v="standard"/>
    <s v="completed"/>
    <n v="65"/>
    <n v="74"/>
    <n v="77"/>
  </r>
  <r>
    <x v="1"/>
    <s v="group A"/>
    <x v="4"/>
    <s v="free/reduced"/>
    <s v="none"/>
    <n v="48"/>
    <n v="45"/>
    <n v="41"/>
  </r>
  <r>
    <x v="0"/>
    <s v="group B"/>
    <x v="4"/>
    <s v="free/reduced"/>
    <s v="none"/>
    <n v="50"/>
    <n v="67"/>
    <n v="63"/>
  </r>
  <r>
    <x v="0"/>
    <s v="group C"/>
    <x v="3"/>
    <s v="standard"/>
    <s v="none"/>
    <n v="85"/>
    <n v="89"/>
    <n v="95"/>
  </r>
  <r>
    <x v="1"/>
    <s v="group B"/>
    <x v="5"/>
    <s v="standard"/>
    <s v="none"/>
    <n v="74"/>
    <n v="63"/>
    <n v="57"/>
  </r>
  <r>
    <x v="1"/>
    <s v="group D"/>
    <x v="5"/>
    <s v="standard"/>
    <s v="none"/>
    <n v="60"/>
    <n v="59"/>
    <n v="54"/>
  </r>
  <r>
    <x v="0"/>
    <s v="group C"/>
    <x v="5"/>
    <s v="standard"/>
    <s v="completed"/>
    <n v="59"/>
    <n v="54"/>
    <n v="67"/>
  </r>
  <r>
    <x v="1"/>
    <s v="group A"/>
    <x v="1"/>
    <s v="standard"/>
    <s v="none"/>
    <n v="53"/>
    <n v="43"/>
    <n v="43"/>
  </r>
  <r>
    <x v="0"/>
    <s v="group A"/>
    <x v="1"/>
    <s v="free/reduced"/>
    <s v="none"/>
    <n v="49"/>
    <n v="65"/>
    <n v="55"/>
  </r>
  <r>
    <x v="0"/>
    <s v="group D"/>
    <x v="4"/>
    <s v="standard"/>
    <s v="completed"/>
    <n v="88"/>
    <n v="99"/>
    <n v="100"/>
  </r>
  <r>
    <x v="0"/>
    <s v="group C"/>
    <x v="4"/>
    <s v="standard"/>
    <s v="none"/>
    <n v="54"/>
    <n v="59"/>
    <n v="62"/>
  </r>
  <r>
    <x v="0"/>
    <s v="group C"/>
    <x v="5"/>
    <s v="standard"/>
    <s v="none"/>
    <n v="63"/>
    <n v="73"/>
    <n v="68"/>
  </r>
  <r>
    <x v="1"/>
    <s v="group B"/>
    <x v="3"/>
    <s v="standard"/>
    <s v="completed"/>
    <n v="65"/>
    <n v="65"/>
    <n v="63"/>
  </r>
  <r>
    <x v="0"/>
    <s v="group B"/>
    <x v="3"/>
    <s v="standard"/>
    <s v="none"/>
    <n v="82"/>
    <n v="80"/>
    <n v="77"/>
  </r>
  <r>
    <x v="0"/>
    <s v="group D"/>
    <x v="4"/>
    <s v="free/reduced"/>
    <s v="completed"/>
    <n v="52"/>
    <n v="57"/>
    <n v="56"/>
  </r>
  <r>
    <x v="1"/>
    <s v="group D"/>
    <x v="3"/>
    <s v="standard"/>
    <s v="completed"/>
    <n v="87"/>
    <n v="84"/>
    <n v="85"/>
  </r>
  <r>
    <x v="0"/>
    <s v="group D"/>
    <x v="2"/>
    <s v="standard"/>
    <s v="completed"/>
    <n v="70"/>
    <n v="71"/>
    <n v="74"/>
  </r>
  <r>
    <x v="1"/>
    <s v="group E"/>
    <x v="1"/>
    <s v="standard"/>
    <s v="completed"/>
    <n v="84"/>
    <n v="83"/>
    <n v="78"/>
  </r>
  <r>
    <x v="1"/>
    <s v="group D"/>
    <x v="3"/>
    <s v="standard"/>
    <s v="none"/>
    <n v="71"/>
    <n v="66"/>
    <n v="60"/>
  </r>
  <r>
    <x v="1"/>
    <s v="group B"/>
    <x v="5"/>
    <s v="standard"/>
    <s v="completed"/>
    <n v="63"/>
    <n v="67"/>
    <n v="67"/>
  </r>
  <r>
    <x v="0"/>
    <s v="group C"/>
    <x v="0"/>
    <s v="free/reduced"/>
    <s v="completed"/>
    <n v="51"/>
    <n v="72"/>
    <n v="79"/>
  </r>
  <r>
    <x v="1"/>
    <s v="group E"/>
    <x v="4"/>
    <s v="standard"/>
    <s v="none"/>
    <n v="84"/>
    <n v="73"/>
    <n v="69"/>
  </r>
  <r>
    <x v="1"/>
    <s v="group C"/>
    <x v="0"/>
    <s v="standard"/>
    <s v="completed"/>
    <n v="71"/>
    <n v="74"/>
    <n v="68"/>
  </r>
  <r>
    <x v="1"/>
    <s v="group C"/>
    <x v="3"/>
    <s v="standard"/>
    <s v="none"/>
    <n v="74"/>
    <n v="73"/>
    <n v="67"/>
  </r>
  <r>
    <x v="1"/>
    <s v="group D"/>
    <x v="1"/>
    <s v="standard"/>
    <s v="none"/>
    <n v="68"/>
    <n v="59"/>
    <n v="62"/>
  </r>
  <r>
    <x v="1"/>
    <s v="group E"/>
    <x v="4"/>
    <s v="free/reduced"/>
    <s v="completed"/>
    <n v="57"/>
    <n v="56"/>
    <n v="54"/>
  </r>
  <r>
    <x v="0"/>
    <s v="group C"/>
    <x v="3"/>
    <s v="free/reduced"/>
    <s v="completed"/>
    <n v="82"/>
    <n v="93"/>
    <n v="93"/>
  </r>
  <r>
    <x v="0"/>
    <s v="group D"/>
    <x v="4"/>
    <s v="standard"/>
    <s v="completed"/>
    <n v="57"/>
    <n v="58"/>
    <n v="64"/>
  </r>
  <r>
    <x v="0"/>
    <s v="group D"/>
    <x v="2"/>
    <s v="free/reduced"/>
    <s v="completed"/>
    <n v="47"/>
    <n v="58"/>
    <n v="67"/>
  </r>
  <r>
    <x v="0"/>
    <s v="group A"/>
    <x v="5"/>
    <s v="standard"/>
    <s v="completed"/>
    <n v="59"/>
    <n v="85"/>
    <n v="80"/>
  </r>
  <r>
    <x v="1"/>
    <s v="group B"/>
    <x v="1"/>
    <s v="free/reduced"/>
    <s v="none"/>
    <n v="41"/>
    <n v="39"/>
    <n v="34"/>
  </r>
  <r>
    <x v="0"/>
    <s v="group C"/>
    <x v="1"/>
    <s v="free/reduced"/>
    <s v="none"/>
    <n v="62"/>
    <n v="67"/>
    <n v="62"/>
  </r>
  <r>
    <x v="1"/>
    <s v="group C"/>
    <x v="0"/>
    <s v="standard"/>
    <s v="none"/>
    <n v="86"/>
    <n v="83"/>
    <n v="86"/>
  </r>
  <r>
    <x v="1"/>
    <s v="group C"/>
    <x v="5"/>
    <s v="free/reduced"/>
    <s v="none"/>
    <n v="69"/>
    <n v="71"/>
    <n v="65"/>
  </r>
  <r>
    <x v="1"/>
    <s v="group A"/>
    <x v="5"/>
    <s v="free/reduced"/>
    <s v="none"/>
    <n v="65"/>
    <n v="59"/>
    <n v="53"/>
  </r>
  <r>
    <x v="1"/>
    <s v="group C"/>
    <x v="5"/>
    <s v="free/reduced"/>
    <s v="none"/>
    <n v="68"/>
    <n v="63"/>
    <n v="54"/>
  </r>
  <r>
    <x v="1"/>
    <s v="group C"/>
    <x v="3"/>
    <s v="free/reduced"/>
    <s v="none"/>
    <n v="64"/>
    <n v="66"/>
    <n v="59"/>
  </r>
  <r>
    <x v="0"/>
    <s v="group C"/>
    <x v="4"/>
    <s v="standard"/>
    <s v="none"/>
    <n v="61"/>
    <n v="72"/>
    <n v="70"/>
  </r>
  <r>
    <x v="1"/>
    <s v="group C"/>
    <x v="4"/>
    <s v="standard"/>
    <s v="none"/>
    <n v="61"/>
    <n v="56"/>
    <n v="55"/>
  </r>
  <r>
    <x v="0"/>
    <s v="group A"/>
    <x v="5"/>
    <s v="free/reduced"/>
    <s v="none"/>
    <n v="47"/>
    <n v="59"/>
    <n v="50"/>
  </r>
  <r>
    <x v="1"/>
    <s v="group C"/>
    <x v="5"/>
    <s v="standard"/>
    <s v="none"/>
    <n v="73"/>
    <n v="66"/>
    <n v="66"/>
  </r>
  <r>
    <x v="1"/>
    <s v="group C"/>
    <x v="1"/>
    <s v="free/reduced"/>
    <s v="completed"/>
    <n v="50"/>
    <n v="48"/>
    <n v="53"/>
  </r>
  <r>
    <x v="1"/>
    <s v="group D"/>
    <x v="3"/>
    <s v="standard"/>
    <s v="none"/>
    <n v="75"/>
    <n v="68"/>
    <n v="64"/>
  </r>
  <r>
    <x v="1"/>
    <s v="group D"/>
    <x v="3"/>
    <s v="free/reduced"/>
    <s v="none"/>
    <n v="75"/>
    <n v="66"/>
    <n v="73"/>
  </r>
  <r>
    <x v="1"/>
    <s v="group C"/>
    <x v="4"/>
    <s v="standard"/>
    <s v="none"/>
    <n v="70"/>
    <n v="56"/>
    <n v="51"/>
  </r>
  <r>
    <x v="1"/>
    <s v="group D"/>
    <x v="5"/>
    <s v="standard"/>
    <s v="completed"/>
    <n v="89"/>
    <n v="88"/>
    <n v="82"/>
  </r>
  <r>
    <x v="0"/>
    <s v="group C"/>
    <x v="1"/>
    <s v="standard"/>
    <s v="completed"/>
    <n v="67"/>
    <n v="81"/>
    <n v="79"/>
  </r>
  <r>
    <x v="0"/>
    <s v="group D"/>
    <x v="4"/>
    <s v="standard"/>
    <s v="none"/>
    <n v="78"/>
    <n v="81"/>
    <n v="80"/>
  </r>
  <r>
    <x v="0"/>
    <s v="group A"/>
    <x v="5"/>
    <s v="free/reduced"/>
    <s v="none"/>
    <n v="59"/>
    <n v="73"/>
    <n v="69"/>
  </r>
  <r>
    <x v="0"/>
    <s v="group B"/>
    <x v="3"/>
    <s v="standard"/>
    <s v="none"/>
    <n v="73"/>
    <n v="83"/>
    <n v="76"/>
  </r>
  <r>
    <x v="1"/>
    <s v="group A"/>
    <x v="5"/>
    <s v="free/reduced"/>
    <s v="none"/>
    <n v="79"/>
    <n v="82"/>
    <n v="73"/>
  </r>
  <r>
    <x v="0"/>
    <s v="group C"/>
    <x v="5"/>
    <s v="standard"/>
    <s v="completed"/>
    <n v="67"/>
    <n v="74"/>
    <n v="77"/>
  </r>
  <r>
    <x v="1"/>
    <s v="group D"/>
    <x v="1"/>
    <s v="free/reduced"/>
    <s v="none"/>
    <n v="69"/>
    <n v="66"/>
    <n v="60"/>
  </r>
  <r>
    <x v="1"/>
    <s v="group C"/>
    <x v="4"/>
    <s v="standard"/>
    <s v="completed"/>
    <n v="86"/>
    <n v="81"/>
    <n v="80"/>
  </r>
  <r>
    <x v="1"/>
    <s v="group B"/>
    <x v="4"/>
    <s v="standard"/>
    <s v="none"/>
    <n v="47"/>
    <n v="46"/>
    <n v="42"/>
  </r>
  <r>
    <x v="1"/>
    <s v="group B"/>
    <x v="3"/>
    <s v="standard"/>
    <s v="none"/>
    <n v="81"/>
    <n v="73"/>
    <n v="72"/>
  </r>
  <r>
    <x v="0"/>
    <s v="group C"/>
    <x v="1"/>
    <s v="free/reduced"/>
    <s v="completed"/>
    <n v="64"/>
    <n v="85"/>
    <n v="85"/>
  </r>
  <r>
    <x v="0"/>
    <s v="group E"/>
    <x v="1"/>
    <s v="standard"/>
    <s v="none"/>
    <n v="100"/>
    <n v="92"/>
    <n v="97"/>
  </r>
  <r>
    <x v="0"/>
    <s v="group C"/>
    <x v="3"/>
    <s v="free/reduced"/>
    <s v="none"/>
    <n v="65"/>
    <n v="77"/>
    <n v="74"/>
  </r>
  <r>
    <x v="1"/>
    <s v="group C"/>
    <x v="1"/>
    <s v="free/reduced"/>
    <s v="none"/>
    <n v="65"/>
    <n v="58"/>
    <n v="49"/>
  </r>
  <r>
    <x v="0"/>
    <s v="group C"/>
    <x v="3"/>
    <s v="free/reduced"/>
    <s v="none"/>
    <n v="53"/>
    <n v="61"/>
    <n v="62"/>
  </r>
  <r>
    <x v="1"/>
    <s v="group C"/>
    <x v="0"/>
    <s v="free/reduced"/>
    <s v="none"/>
    <n v="37"/>
    <n v="56"/>
    <n v="47"/>
  </r>
  <r>
    <x v="0"/>
    <s v="group D"/>
    <x v="0"/>
    <s v="standard"/>
    <s v="none"/>
    <n v="79"/>
    <n v="89"/>
    <n v="89"/>
  </r>
  <r>
    <x v="1"/>
    <s v="group D"/>
    <x v="3"/>
    <s v="free/reduced"/>
    <s v="none"/>
    <n v="53"/>
    <n v="54"/>
    <n v="48"/>
  </r>
  <r>
    <x v="0"/>
    <s v="group E"/>
    <x v="0"/>
    <s v="standard"/>
    <s v="none"/>
    <n v="100"/>
    <n v="100"/>
    <n v="100"/>
  </r>
  <r>
    <x v="1"/>
    <s v="group B"/>
    <x v="4"/>
    <s v="standard"/>
    <s v="completed"/>
    <n v="72"/>
    <n v="65"/>
    <n v="68"/>
  </r>
  <r>
    <x v="1"/>
    <s v="group C"/>
    <x v="0"/>
    <s v="free/reduced"/>
    <s v="none"/>
    <n v="53"/>
    <n v="58"/>
    <n v="55"/>
  </r>
  <r>
    <x v="1"/>
    <s v="group B"/>
    <x v="1"/>
    <s v="free/reduced"/>
    <s v="none"/>
    <n v="54"/>
    <n v="54"/>
    <n v="45"/>
  </r>
  <r>
    <x v="0"/>
    <s v="group E"/>
    <x v="1"/>
    <s v="standard"/>
    <s v="none"/>
    <n v="71"/>
    <n v="70"/>
    <n v="76"/>
  </r>
  <r>
    <x v="0"/>
    <s v="group C"/>
    <x v="1"/>
    <s v="free/reduced"/>
    <s v="none"/>
    <n v="77"/>
    <n v="90"/>
    <n v="91"/>
  </r>
  <r>
    <x v="1"/>
    <s v="group A"/>
    <x v="0"/>
    <s v="standard"/>
    <s v="completed"/>
    <n v="75"/>
    <n v="58"/>
    <n v="62"/>
  </r>
  <r>
    <x v="0"/>
    <s v="group C"/>
    <x v="1"/>
    <s v="standard"/>
    <s v="none"/>
    <n v="84"/>
    <n v="87"/>
    <n v="91"/>
  </r>
  <r>
    <x v="0"/>
    <s v="group D"/>
    <x v="3"/>
    <s v="free/reduced"/>
    <s v="none"/>
    <n v="26"/>
    <n v="31"/>
    <n v="38"/>
  </r>
  <r>
    <x v="1"/>
    <s v="group A"/>
    <x v="4"/>
    <s v="free/reduced"/>
    <s v="completed"/>
    <n v="72"/>
    <n v="67"/>
    <n v="65"/>
  </r>
  <r>
    <x v="0"/>
    <s v="group A"/>
    <x v="4"/>
    <s v="free/reduced"/>
    <s v="completed"/>
    <n v="77"/>
    <n v="88"/>
    <n v="85"/>
  </r>
  <r>
    <x v="1"/>
    <s v="group C"/>
    <x v="1"/>
    <s v="standard"/>
    <s v="none"/>
    <n v="91"/>
    <n v="74"/>
    <n v="76"/>
  </r>
  <r>
    <x v="0"/>
    <s v="group C"/>
    <x v="3"/>
    <s v="standard"/>
    <s v="completed"/>
    <n v="83"/>
    <n v="85"/>
    <n v="90"/>
  </r>
  <r>
    <x v="0"/>
    <s v="group C"/>
    <x v="4"/>
    <s v="standard"/>
    <s v="none"/>
    <n v="63"/>
    <n v="69"/>
    <n v="74"/>
  </r>
  <r>
    <x v="0"/>
    <s v="group C"/>
    <x v="3"/>
    <s v="standard"/>
    <s v="completed"/>
    <n v="68"/>
    <n v="86"/>
    <n v="84"/>
  </r>
  <r>
    <x v="0"/>
    <s v="group D"/>
    <x v="5"/>
    <s v="standard"/>
    <s v="none"/>
    <n v="59"/>
    <n v="67"/>
    <n v="61"/>
  </r>
  <r>
    <x v="0"/>
    <s v="group B"/>
    <x v="3"/>
    <s v="standard"/>
    <s v="completed"/>
    <n v="90"/>
    <n v="90"/>
    <n v="91"/>
  </r>
  <r>
    <x v="0"/>
    <s v="group D"/>
    <x v="0"/>
    <s v="standard"/>
    <s v="completed"/>
    <n v="71"/>
    <n v="76"/>
    <n v="83"/>
  </r>
  <r>
    <x v="1"/>
    <s v="group E"/>
    <x v="0"/>
    <s v="standard"/>
    <s v="completed"/>
    <n v="76"/>
    <n v="62"/>
    <n v="66"/>
  </r>
  <r>
    <x v="1"/>
    <s v="group D"/>
    <x v="3"/>
    <s v="standard"/>
    <s v="none"/>
    <n v="80"/>
    <n v="68"/>
    <n v="72"/>
  </r>
  <r>
    <x v="0"/>
    <s v="group D"/>
    <x v="2"/>
    <s v="standard"/>
    <s v="none"/>
    <n v="55"/>
    <n v="64"/>
    <n v="70"/>
  </r>
  <r>
    <x v="1"/>
    <s v="group E"/>
    <x v="3"/>
    <s v="standard"/>
    <s v="none"/>
    <n v="76"/>
    <n v="71"/>
    <n v="67"/>
  </r>
  <r>
    <x v="1"/>
    <s v="group B"/>
    <x v="4"/>
    <s v="standard"/>
    <s v="completed"/>
    <n v="73"/>
    <n v="71"/>
    <n v="68"/>
  </r>
  <r>
    <x v="0"/>
    <s v="group D"/>
    <x v="3"/>
    <s v="free/reduced"/>
    <s v="none"/>
    <n v="52"/>
    <n v="59"/>
    <n v="56"/>
  </r>
  <r>
    <x v="1"/>
    <s v="group C"/>
    <x v="1"/>
    <s v="free/reduced"/>
    <s v="none"/>
    <n v="68"/>
    <n v="68"/>
    <n v="61"/>
  </r>
  <r>
    <x v="1"/>
    <s v="group A"/>
    <x v="4"/>
    <s v="standard"/>
    <s v="none"/>
    <n v="59"/>
    <n v="52"/>
    <n v="46"/>
  </r>
  <r>
    <x v="0"/>
    <s v="group B"/>
    <x v="3"/>
    <s v="standard"/>
    <s v="none"/>
    <n v="49"/>
    <n v="52"/>
    <n v="54"/>
  </r>
  <r>
    <x v="1"/>
    <s v="group C"/>
    <x v="4"/>
    <s v="standard"/>
    <s v="none"/>
    <n v="70"/>
    <n v="74"/>
    <n v="71"/>
  </r>
  <r>
    <x v="1"/>
    <s v="group D"/>
    <x v="1"/>
    <s v="free/reduced"/>
    <s v="none"/>
    <n v="61"/>
    <n v="47"/>
    <n v="56"/>
  </r>
  <r>
    <x v="0"/>
    <s v="group C"/>
    <x v="3"/>
    <s v="free/reduced"/>
    <s v="none"/>
    <n v="60"/>
    <n v="75"/>
    <n v="74"/>
  </r>
  <r>
    <x v="1"/>
    <s v="group B"/>
    <x v="5"/>
    <s v="standard"/>
    <s v="completed"/>
    <n v="64"/>
    <n v="53"/>
    <n v="57"/>
  </r>
  <r>
    <x v="1"/>
    <s v="group A"/>
    <x v="3"/>
    <s v="free/reduced"/>
    <s v="completed"/>
    <n v="79"/>
    <n v="82"/>
    <n v="82"/>
  </r>
  <r>
    <x v="0"/>
    <s v="group A"/>
    <x v="3"/>
    <s v="free/reduced"/>
    <s v="none"/>
    <n v="65"/>
    <n v="85"/>
    <n v="76"/>
  </r>
  <r>
    <x v="0"/>
    <s v="group C"/>
    <x v="3"/>
    <s v="standard"/>
    <s v="none"/>
    <n v="64"/>
    <n v="64"/>
    <n v="70"/>
  </r>
  <r>
    <x v="0"/>
    <s v="group C"/>
    <x v="1"/>
    <s v="standard"/>
    <s v="none"/>
    <n v="83"/>
    <n v="83"/>
    <n v="90"/>
  </r>
  <r>
    <x v="0"/>
    <s v="group C"/>
    <x v="0"/>
    <s v="standard"/>
    <s v="none"/>
    <n v="81"/>
    <n v="88"/>
    <n v="90"/>
  </r>
  <r>
    <x v="0"/>
    <s v="group B"/>
    <x v="4"/>
    <s v="standard"/>
    <s v="none"/>
    <n v="54"/>
    <n v="64"/>
    <n v="68"/>
  </r>
  <r>
    <x v="1"/>
    <s v="group D"/>
    <x v="4"/>
    <s v="standard"/>
    <s v="completed"/>
    <n v="68"/>
    <n v="64"/>
    <n v="66"/>
  </r>
  <r>
    <x v="0"/>
    <s v="group C"/>
    <x v="1"/>
    <s v="standard"/>
    <s v="none"/>
    <n v="54"/>
    <n v="48"/>
    <n v="52"/>
  </r>
  <r>
    <x v="0"/>
    <s v="group D"/>
    <x v="1"/>
    <s v="free/reduced"/>
    <s v="completed"/>
    <n v="59"/>
    <n v="78"/>
    <n v="76"/>
  </r>
  <r>
    <x v="0"/>
    <s v="group B"/>
    <x v="5"/>
    <s v="standard"/>
    <s v="none"/>
    <n v="66"/>
    <n v="69"/>
    <n v="68"/>
  </r>
  <r>
    <x v="1"/>
    <s v="group E"/>
    <x v="1"/>
    <s v="standard"/>
    <s v="none"/>
    <n v="76"/>
    <n v="71"/>
    <n v="72"/>
  </r>
  <r>
    <x v="0"/>
    <s v="group D"/>
    <x v="2"/>
    <s v="standard"/>
    <s v="none"/>
    <n v="74"/>
    <n v="79"/>
    <n v="82"/>
  </r>
  <r>
    <x v="0"/>
    <s v="group B"/>
    <x v="3"/>
    <s v="standard"/>
    <s v="completed"/>
    <n v="94"/>
    <n v="87"/>
    <n v="92"/>
  </r>
  <r>
    <x v="1"/>
    <s v="group C"/>
    <x v="1"/>
    <s v="free/reduced"/>
    <s v="none"/>
    <n v="63"/>
    <n v="61"/>
    <n v="54"/>
  </r>
  <r>
    <x v="0"/>
    <s v="group E"/>
    <x v="3"/>
    <s v="standard"/>
    <s v="completed"/>
    <n v="95"/>
    <n v="89"/>
    <n v="92"/>
  </r>
  <r>
    <x v="0"/>
    <s v="group D"/>
    <x v="2"/>
    <s v="free/reduced"/>
    <s v="none"/>
    <n v="40"/>
    <n v="59"/>
    <n v="54"/>
  </r>
  <r>
    <x v="0"/>
    <s v="group B"/>
    <x v="5"/>
    <s v="standard"/>
    <s v="none"/>
    <n v="82"/>
    <n v="82"/>
    <n v="80"/>
  </r>
  <r>
    <x v="1"/>
    <s v="group A"/>
    <x v="4"/>
    <s v="standard"/>
    <s v="none"/>
    <n v="68"/>
    <n v="70"/>
    <n v="66"/>
  </r>
  <r>
    <x v="1"/>
    <s v="group B"/>
    <x v="0"/>
    <s v="free/reduced"/>
    <s v="none"/>
    <n v="55"/>
    <n v="59"/>
    <n v="54"/>
  </r>
  <r>
    <x v="1"/>
    <s v="group C"/>
    <x v="2"/>
    <s v="standard"/>
    <s v="none"/>
    <n v="79"/>
    <n v="78"/>
    <n v="77"/>
  </r>
  <r>
    <x v="0"/>
    <s v="group C"/>
    <x v="0"/>
    <s v="standard"/>
    <s v="none"/>
    <n v="86"/>
    <n v="92"/>
    <n v="87"/>
  </r>
  <r>
    <x v="1"/>
    <s v="group D"/>
    <x v="1"/>
    <s v="standard"/>
    <s v="none"/>
    <n v="76"/>
    <n v="71"/>
    <n v="73"/>
  </r>
  <r>
    <x v="1"/>
    <s v="group A"/>
    <x v="5"/>
    <s v="standard"/>
    <s v="none"/>
    <n v="64"/>
    <n v="50"/>
    <n v="43"/>
  </r>
  <r>
    <x v="1"/>
    <s v="group D"/>
    <x v="5"/>
    <s v="free/reduced"/>
    <s v="none"/>
    <n v="62"/>
    <n v="49"/>
    <n v="52"/>
  </r>
  <r>
    <x v="0"/>
    <s v="group B"/>
    <x v="5"/>
    <s v="standard"/>
    <s v="completed"/>
    <n v="54"/>
    <n v="61"/>
    <n v="62"/>
  </r>
  <r>
    <x v="0"/>
    <s v="group B"/>
    <x v="2"/>
    <s v="free/reduced"/>
    <s v="completed"/>
    <n v="77"/>
    <n v="97"/>
    <n v="94"/>
  </r>
  <r>
    <x v="0"/>
    <s v="group C"/>
    <x v="5"/>
    <s v="standard"/>
    <s v="completed"/>
    <n v="76"/>
    <n v="87"/>
    <n v="85"/>
  </r>
  <r>
    <x v="0"/>
    <s v="group D"/>
    <x v="1"/>
    <s v="standard"/>
    <s v="none"/>
    <n v="74"/>
    <n v="89"/>
    <n v="84"/>
  </r>
  <r>
    <x v="0"/>
    <s v="group E"/>
    <x v="1"/>
    <s v="standard"/>
    <s v="completed"/>
    <n v="66"/>
    <n v="74"/>
    <n v="73"/>
  </r>
  <r>
    <x v="0"/>
    <s v="group D"/>
    <x v="5"/>
    <s v="standard"/>
    <s v="completed"/>
    <n v="66"/>
    <n v="78"/>
    <n v="78"/>
  </r>
  <r>
    <x v="0"/>
    <s v="group B"/>
    <x v="4"/>
    <s v="free/reduced"/>
    <s v="completed"/>
    <n v="67"/>
    <n v="78"/>
    <n v="79"/>
  </r>
  <r>
    <x v="1"/>
    <s v="group D"/>
    <x v="1"/>
    <s v="standard"/>
    <s v="none"/>
    <n v="71"/>
    <n v="49"/>
    <n v="52"/>
  </r>
  <r>
    <x v="0"/>
    <s v="group C"/>
    <x v="3"/>
    <s v="standard"/>
    <s v="none"/>
    <n v="91"/>
    <n v="86"/>
    <n v="84"/>
  </r>
  <r>
    <x v="1"/>
    <s v="group D"/>
    <x v="0"/>
    <s v="standard"/>
    <s v="none"/>
    <n v="69"/>
    <n v="58"/>
    <n v="57"/>
  </r>
  <r>
    <x v="1"/>
    <s v="group C"/>
    <x v="2"/>
    <s v="free/reduced"/>
    <s v="none"/>
    <n v="54"/>
    <n v="59"/>
    <n v="50"/>
  </r>
  <r>
    <x v="1"/>
    <s v="group C"/>
    <x v="4"/>
    <s v="standard"/>
    <s v="completed"/>
    <n v="53"/>
    <n v="52"/>
    <n v="49"/>
  </r>
  <r>
    <x v="1"/>
    <s v="group E"/>
    <x v="1"/>
    <s v="standard"/>
    <s v="none"/>
    <n v="68"/>
    <n v="60"/>
    <n v="59"/>
  </r>
  <r>
    <x v="1"/>
    <s v="group C"/>
    <x v="5"/>
    <s v="free/reduced"/>
    <s v="completed"/>
    <n v="56"/>
    <n v="61"/>
    <n v="60"/>
  </r>
  <r>
    <x v="0"/>
    <s v="group C"/>
    <x v="4"/>
    <s v="free/reduced"/>
    <s v="none"/>
    <n v="36"/>
    <n v="53"/>
    <n v="43"/>
  </r>
  <r>
    <x v="0"/>
    <s v="group D"/>
    <x v="0"/>
    <s v="free/reduced"/>
    <s v="none"/>
    <n v="29"/>
    <n v="41"/>
    <n v="47"/>
  </r>
  <r>
    <x v="0"/>
    <s v="group C"/>
    <x v="3"/>
    <s v="standard"/>
    <s v="none"/>
    <n v="62"/>
    <n v="74"/>
    <n v="70"/>
  </r>
  <r>
    <x v="0"/>
    <s v="group C"/>
    <x v="3"/>
    <s v="standard"/>
    <s v="completed"/>
    <n v="68"/>
    <n v="67"/>
    <n v="73"/>
  </r>
  <r>
    <x v="0"/>
    <s v="group C"/>
    <x v="5"/>
    <s v="standard"/>
    <s v="none"/>
    <n v="47"/>
    <n v="54"/>
    <n v="53"/>
  </r>
  <r>
    <x v="1"/>
    <s v="group E"/>
    <x v="3"/>
    <s v="standard"/>
    <s v="completed"/>
    <n v="62"/>
    <n v="61"/>
    <n v="58"/>
  </r>
  <r>
    <x v="0"/>
    <s v="group E"/>
    <x v="3"/>
    <s v="standard"/>
    <s v="completed"/>
    <n v="79"/>
    <n v="88"/>
    <n v="94"/>
  </r>
  <r>
    <x v="1"/>
    <s v="group B"/>
    <x v="4"/>
    <s v="standard"/>
    <s v="completed"/>
    <n v="73"/>
    <n v="69"/>
    <n v="68"/>
  </r>
  <r>
    <x v="0"/>
    <s v="group C"/>
    <x v="0"/>
    <s v="free/reduced"/>
    <s v="completed"/>
    <n v="66"/>
    <n v="83"/>
    <n v="83"/>
  </r>
  <r>
    <x v="1"/>
    <s v="group C"/>
    <x v="3"/>
    <s v="standard"/>
    <s v="completed"/>
    <n v="51"/>
    <n v="60"/>
    <n v="58"/>
  </r>
  <r>
    <x v="0"/>
    <s v="group D"/>
    <x v="4"/>
    <s v="standard"/>
    <s v="none"/>
    <n v="51"/>
    <n v="66"/>
    <n v="62"/>
  </r>
  <r>
    <x v="1"/>
    <s v="group E"/>
    <x v="0"/>
    <s v="standard"/>
    <s v="completed"/>
    <n v="85"/>
    <n v="66"/>
    <n v="71"/>
  </r>
  <r>
    <x v="1"/>
    <s v="group A"/>
    <x v="3"/>
    <s v="standard"/>
    <s v="completed"/>
    <n v="97"/>
    <n v="92"/>
    <n v="86"/>
  </r>
  <r>
    <x v="1"/>
    <s v="group C"/>
    <x v="4"/>
    <s v="standard"/>
    <s v="completed"/>
    <n v="75"/>
    <n v="69"/>
    <n v="68"/>
  </r>
  <r>
    <x v="1"/>
    <s v="group D"/>
    <x v="3"/>
    <s v="free/reduced"/>
    <s v="completed"/>
    <n v="79"/>
    <n v="82"/>
    <n v="80"/>
  </r>
  <r>
    <x v="0"/>
    <s v="group C"/>
    <x v="3"/>
    <s v="standard"/>
    <s v="none"/>
    <n v="81"/>
    <n v="77"/>
    <n v="79"/>
  </r>
  <r>
    <x v="0"/>
    <s v="group D"/>
    <x v="3"/>
    <s v="standard"/>
    <s v="none"/>
    <n v="82"/>
    <n v="95"/>
    <n v="89"/>
  </r>
  <r>
    <x v="0"/>
    <s v="group D"/>
    <x v="2"/>
    <s v="standard"/>
    <s v="none"/>
    <n v="64"/>
    <n v="63"/>
    <n v="66"/>
  </r>
  <r>
    <x v="1"/>
    <s v="group E"/>
    <x v="5"/>
    <s v="free/reduced"/>
    <s v="completed"/>
    <n v="78"/>
    <n v="83"/>
    <n v="80"/>
  </r>
  <r>
    <x v="0"/>
    <s v="group A"/>
    <x v="5"/>
    <s v="standard"/>
    <s v="completed"/>
    <n v="92"/>
    <n v="100"/>
    <n v="97"/>
  </r>
  <r>
    <x v="1"/>
    <s v="group C"/>
    <x v="4"/>
    <s v="standard"/>
    <s v="completed"/>
    <n v="72"/>
    <n v="67"/>
    <n v="64"/>
  </r>
  <r>
    <x v="0"/>
    <s v="group C"/>
    <x v="4"/>
    <s v="free/reduced"/>
    <s v="none"/>
    <n v="62"/>
    <n v="67"/>
    <n v="64"/>
  </r>
  <r>
    <x v="1"/>
    <s v="group C"/>
    <x v="2"/>
    <s v="standard"/>
    <s v="none"/>
    <n v="79"/>
    <n v="72"/>
    <n v="69"/>
  </r>
  <r>
    <x v="1"/>
    <s v="group C"/>
    <x v="5"/>
    <s v="free/reduced"/>
    <s v="none"/>
    <n v="79"/>
    <n v="76"/>
    <n v="65"/>
  </r>
  <r>
    <x v="1"/>
    <s v="group B"/>
    <x v="0"/>
    <s v="free/reduced"/>
    <s v="completed"/>
    <n v="87"/>
    <n v="90"/>
    <n v="88"/>
  </r>
  <r>
    <x v="0"/>
    <s v="group B"/>
    <x v="3"/>
    <s v="standard"/>
    <s v="none"/>
    <n v="40"/>
    <n v="48"/>
    <n v="50"/>
  </r>
  <r>
    <x v="1"/>
    <s v="group D"/>
    <x v="1"/>
    <s v="free/reduced"/>
    <s v="none"/>
    <n v="77"/>
    <n v="62"/>
    <n v="64"/>
  </r>
  <r>
    <x v="1"/>
    <s v="group E"/>
    <x v="3"/>
    <s v="standard"/>
    <s v="none"/>
    <n v="53"/>
    <n v="45"/>
    <n v="40"/>
  </r>
  <r>
    <x v="0"/>
    <s v="group C"/>
    <x v="1"/>
    <s v="free/reduced"/>
    <s v="none"/>
    <n v="32"/>
    <n v="39"/>
    <n v="33"/>
  </r>
  <r>
    <x v="0"/>
    <s v="group C"/>
    <x v="3"/>
    <s v="standard"/>
    <s v="completed"/>
    <n v="55"/>
    <n v="72"/>
    <n v="79"/>
  </r>
  <r>
    <x v="1"/>
    <s v="group C"/>
    <x v="2"/>
    <s v="free/reduced"/>
    <s v="none"/>
    <n v="61"/>
    <n v="67"/>
    <n v="66"/>
  </r>
  <r>
    <x v="0"/>
    <s v="group B"/>
    <x v="3"/>
    <s v="free/reduced"/>
    <s v="none"/>
    <n v="53"/>
    <n v="70"/>
    <n v="70"/>
  </r>
  <r>
    <x v="1"/>
    <s v="group D"/>
    <x v="5"/>
    <s v="standard"/>
    <s v="none"/>
    <n v="73"/>
    <n v="66"/>
    <n v="62"/>
  </r>
  <r>
    <x v="0"/>
    <s v="group D"/>
    <x v="1"/>
    <s v="standard"/>
    <s v="completed"/>
    <n v="74"/>
    <n v="75"/>
    <n v="79"/>
  </r>
  <r>
    <x v="0"/>
    <s v="group C"/>
    <x v="1"/>
    <s v="standard"/>
    <s v="none"/>
    <n v="63"/>
    <n v="74"/>
    <n v="74"/>
  </r>
  <r>
    <x v="1"/>
    <s v="group C"/>
    <x v="0"/>
    <s v="standard"/>
    <s v="completed"/>
    <n v="96"/>
    <n v="90"/>
    <n v="92"/>
  </r>
  <r>
    <x v="0"/>
    <s v="group D"/>
    <x v="1"/>
    <s v="free/reduced"/>
    <s v="completed"/>
    <n v="63"/>
    <n v="80"/>
    <n v="80"/>
  </r>
  <r>
    <x v="1"/>
    <s v="group B"/>
    <x v="0"/>
    <s v="free/reduced"/>
    <s v="none"/>
    <n v="48"/>
    <n v="51"/>
    <n v="46"/>
  </r>
  <r>
    <x v="1"/>
    <s v="group B"/>
    <x v="3"/>
    <s v="standard"/>
    <s v="none"/>
    <n v="48"/>
    <n v="43"/>
    <n v="45"/>
  </r>
  <r>
    <x v="0"/>
    <s v="group E"/>
    <x v="0"/>
    <s v="free/reduced"/>
    <s v="completed"/>
    <n v="92"/>
    <n v="100"/>
    <n v="100"/>
  </r>
  <r>
    <x v="0"/>
    <s v="group D"/>
    <x v="2"/>
    <s v="free/reduced"/>
    <s v="completed"/>
    <n v="61"/>
    <n v="71"/>
    <n v="78"/>
  </r>
  <r>
    <x v="1"/>
    <s v="group B"/>
    <x v="4"/>
    <s v="free/reduced"/>
    <s v="none"/>
    <n v="63"/>
    <n v="48"/>
    <n v="47"/>
  </r>
  <r>
    <x v="1"/>
    <s v="group D"/>
    <x v="0"/>
    <s v="free/reduced"/>
    <s v="none"/>
    <n v="68"/>
    <n v="68"/>
    <n v="67"/>
  </r>
  <r>
    <x v="1"/>
    <s v="group B"/>
    <x v="1"/>
    <s v="standard"/>
    <s v="completed"/>
    <n v="71"/>
    <n v="75"/>
    <n v="70"/>
  </r>
  <r>
    <x v="1"/>
    <s v="group A"/>
    <x v="0"/>
    <s v="standard"/>
    <s v="none"/>
    <n v="91"/>
    <n v="96"/>
    <n v="92"/>
  </r>
  <r>
    <x v="0"/>
    <s v="group C"/>
    <x v="1"/>
    <s v="standard"/>
    <s v="none"/>
    <n v="53"/>
    <n v="62"/>
    <n v="56"/>
  </r>
  <r>
    <x v="0"/>
    <s v="group C"/>
    <x v="4"/>
    <s v="free/reduced"/>
    <s v="completed"/>
    <n v="50"/>
    <n v="66"/>
    <n v="64"/>
  </r>
  <r>
    <x v="0"/>
    <s v="group E"/>
    <x v="4"/>
    <s v="standard"/>
    <s v="none"/>
    <n v="74"/>
    <n v="81"/>
    <n v="71"/>
  </r>
  <r>
    <x v="1"/>
    <s v="group A"/>
    <x v="3"/>
    <s v="free/reduced"/>
    <s v="completed"/>
    <n v="40"/>
    <n v="55"/>
    <n v="53"/>
  </r>
  <r>
    <x v="1"/>
    <s v="group A"/>
    <x v="1"/>
    <s v="standard"/>
    <s v="completed"/>
    <n v="61"/>
    <n v="51"/>
    <n v="52"/>
  </r>
  <r>
    <x v="0"/>
    <s v="group B"/>
    <x v="4"/>
    <s v="standard"/>
    <s v="none"/>
    <n v="81"/>
    <n v="91"/>
    <n v="89"/>
  </r>
  <r>
    <x v="0"/>
    <s v="group B"/>
    <x v="1"/>
    <s v="free/reduced"/>
    <s v="completed"/>
    <n v="48"/>
    <n v="56"/>
    <n v="58"/>
  </r>
  <r>
    <x v="0"/>
    <s v="group D"/>
    <x v="2"/>
    <s v="standard"/>
    <s v="none"/>
    <n v="53"/>
    <n v="61"/>
    <n v="68"/>
  </r>
  <r>
    <x v="0"/>
    <s v="group D"/>
    <x v="5"/>
    <s v="standard"/>
    <s v="none"/>
    <n v="81"/>
    <n v="97"/>
    <n v="96"/>
  </r>
  <r>
    <x v="0"/>
    <s v="group E"/>
    <x v="5"/>
    <s v="standard"/>
    <s v="none"/>
    <n v="77"/>
    <n v="79"/>
    <n v="80"/>
  </r>
  <r>
    <x v="0"/>
    <s v="group D"/>
    <x v="0"/>
    <s v="free/reduced"/>
    <s v="none"/>
    <n v="63"/>
    <n v="73"/>
    <n v="78"/>
  </r>
  <r>
    <x v="0"/>
    <s v="group D"/>
    <x v="3"/>
    <s v="standard"/>
    <s v="completed"/>
    <n v="73"/>
    <n v="75"/>
    <n v="80"/>
  </r>
  <r>
    <x v="0"/>
    <s v="group D"/>
    <x v="1"/>
    <s v="standard"/>
    <s v="none"/>
    <n v="69"/>
    <n v="77"/>
    <n v="77"/>
  </r>
  <r>
    <x v="0"/>
    <s v="group C"/>
    <x v="3"/>
    <s v="standard"/>
    <s v="none"/>
    <n v="65"/>
    <n v="76"/>
    <n v="76"/>
  </r>
  <r>
    <x v="0"/>
    <s v="group A"/>
    <x v="4"/>
    <s v="standard"/>
    <s v="none"/>
    <n v="55"/>
    <n v="73"/>
    <n v="73"/>
  </r>
  <r>
    <x v="0"/>
    <s v="group C"/>
    <x v="0"/>
    <s v="free/reduced"/>
    <s v="none"/>
    <n v="44"/>
    <n v="63"/>
    <n v="62"/>
  </r>
  <r>
    <x v="0"/>
    <s v="group C"/>
    <x v="1"/>
    <s v="standard"/>
    <s v="none"/>
    <n v="54"/>
    <n v="64"/>
    <n v="65"/>
  </r>
  <r>
    <x v="0"/>
    <s v="group A"/>
    <x v="5"/>
    <s v="standard"/>
    <s v="none"/>
    <n v="48"/>
    <n v="66"/>
    <n v="65"/>
  </r>
  <r>
    <x v="1"/>
    <s v="group C"/>
    <x v="1"/>
    <s v="free/reduced"/>
    <s v="none"/>
    <n v="58"/>
    <n v="57"/>
    <n v="54"/>
  </r>
  <r>
    <x v="1"/>
    <s v="group A"/>
    <x v="5"/>
    <s v="standard"/>
    <s v="none"/>
    <n v="71"/>
    <n v="62"/>
    <n v="50"/>
  </r>
  <r>
    <x v="1"/>
    <s v="group E"/>
    <x v="0"/>
    <s v="standard"/>
    <s v="none"/>
    <n v="68"/>
    <n v="68"/>
    <n v="64"/>
  </r>
  <r>
    <x v="0"/>
    <s v="group E"/>
    <x v="4"/>
    <s v="standard"/>
    <s v="none"/>
    <n v="74"/>
    <n v="76"/>
    <n v="73"/>
  </r>
  <r>
    <x v="0"/>
    <s v="group C"/>
    <x v="0"/>
    <s v="standard"/>
    <s v="completed"/>
    <n v="92"/>
    <n v="100"/>
    <n v="99"/>
  </r>
  <r>
    <x v="0"/>
    <s v="group C"/>
    <x v="0"/>
    <s v="standard"/>
    <s v="completed"/>
    <n v="56"/>
    <n v="79"/>
    <n v="72"/>
  </r>
  <r>
    <x v="1"/>
    <s v="group B"/>
    <x v="4"/>
    <s v="free/reduced"/>
    <s v="none"/>
    <n v="30"/>
    <n v="24"/>
    <n v="15"/>
  </r>
  <r>
    <x v="1"/>
    <s v="group A"/>
    <x v="5"/>
    <s v="standard"/>
    <s v="none"/>
    <n v="53"/>
    <n v="54"/>
    <n v="48"/>
  </r>
  <r>
    <x v="0"/>
    <s v="group D"/>
    <x v="4"/>
    <s v="standard"/>
    <s v="none"/>
    <n v="69"/>
    <n v="77"/>
    <n v="73"/>
  </r>
  <r>
    <x v="0"/>
    <s v="group D"/>
    <x v="5"/>
    <s v="standard"/>
    <s v="none"/>
    <n v="65"/>
    <n v="82"/>
    <n v="81"/>
  </r>
  <r>
    <x v="0"/>
    <s v="group D"/>
    <x v="2"/>
    <s v="standard"/>
    <s v="none"/>
    <n v="54"/>
    <n v="60"/>
    <n v="63"/>
  </r>
  <r>
    <x v="0"/>
    <s v="group C"/>
    <x v="4"/>
    <s v="standard"/>
    <s v="none"/>
    <n v="29"/>
    <n v="29"/>
    <n v="30"/>
  </r>
  <r>
    <x v="0"/>
    <s v="group E"/>
    <x v="1"/>
    <s v="standard"/>
    <s v="none"/>
    <n v="76"/>
    <n v="78"/>
    <n v="80"/>
  </r>
  <r>
    <x v="1"/>
    <s v="group D"/>
    <x v="4"/>
    <s v="free/reduced"/>
    <s v="none"/>
    <n v="60"/>
    <n v="57"/>
    <n v="51"/>
  </r>
  <r>
    <x v="1"/>
    <s v="group D"/>
    <x v="2"/>
    <s v="free/reduced"/>
    <s v="completed"/>
    <n v="84"/>
    <n v="89"/>
    <n v="90"/>
  </r>
  <r>
    <x v="1"/>
    <s v="group C"/>
    <x v="5"/>
    <s v="standard"/>
    <s v="none"/>
    <n v="75"/>
    <n v="72"/>
    <n v="62"/>
  </r>
  <r>
    <x v="0"/>
    <s v="group C"/>
    <x v="3"/>
    <s v="standard"/>
    <s v="none"/>
    <n v="85"/>
    <n v="84"/>
    <n v="82"/>
  </r>
  <r>
    <x v="0"/>
    <s v="group C"/>
    <x v="2"/>
    <s v="free/reduced"/>
    <s v="none"/>
    <n v="40"/>
    <n v="58"/>
    <n v="54"/>
  </r>
  <r>
    <x v="0"/>
    <s v="group E"/>
    <x v="1"/>
    <s v="standard"/>
    <s v="none"/>
    <n v="61"/>
    <n v="64"/>
    <n v="62"/>
  </r>
  <r>
    <x v="0"/>
    <s v="group B"/>
    <x v="3"/>
    <s v="standard"/>
    <s v="none"/>
    <n v="58"/>
    <n v="63"/>
    <n v="65"/>
  </r>
  <r>
    <x v="1"/>
    <s v="group D"/>
    <x v="1"/>
    <s v="free/reduced"/>
    <s v="completed"/>
    <n v="69"/>
    <n v="60"/>
    <n v="63"/>
  </r>
  <r>
    <x v="0"/>
    <s v="group C"/>
    <x v="1"/>
    <s v="standard"/>
    <s v="none"/>
    <n v="58"/>
    <n v="59"/>
    <n v="66"/>
  </r>
  <r>
    <x v="1"/>
    <s v="group C"/>
    <x v="0"/>
    <s v="standard"/>
    <s v="completed"/>
    <n v="94"/>
    <n v="90"/>
    <n v="91"/>
  </r>
  <r>
    <x v="0"/>
    <s v="group C"/>
    <x v="3"/>
    <s v="standard"/>
    <s v="none"/>
    <n v="65"/>
    <n v="77"/>
    <n v="74"/>
  </r>
  <r>
    <x v="0"/>
    <s v="group A"/>
    <x v="3"/>
    <s v="standard"/>
    <s v="none"/>
    <n v="82"/>
    <n v="93"/>
    <n v="93"/>
  </r>
  <r>
    <x v="0"/>
    <s v="group C"/>
    <x v="4"/>
    <s v="standard"/>
    <s v="none"/>
    <n v="60"/>
    <n v="68"/>
    <n v="72"/>
  </r>
  <r>
    <x v="0"/>
    <s v="group E"/>
    <x v="0"/>
    <s v="standard"/>
    <s v="none"/>
    <n v="37"/>
    <n v="45"/>
    <n v="38"/>
  </r>
  <r>
    <x v="1"/>
    <s v="group D"/>
    <x v="0"/>
    <s v="standard"/>
    <s v="none"/>
    <n v="88"/>
    <n v="78"/>
    <n v="83"/>
  </r>
  <r>
    <x v="1"/>
    <s v="group D"/>
    <x v="2"/>
    <s v="standard"/>
    <s v="none"/>
    <n v="95"/>
    <n v="81"/>
    <n v="84"/>
  </r>
  <r>
    <x v="1"/>
    <s v="group C"/>
    <x v="3"/>
    <s v="free/reduced"/>
    <s v="completed"/>
    <n v="65"/>
    <n v="73"/>
    <n v="68"/>
  </r>
  <r>
    <x v="0"/>
    <s v="group C"/>
    <x v="4"/>
    <s v="free/reduced"/>
    <s v="none"/>
    <n v="35"/>
    <n v="61"/>
    <n v="54"/>
  </r>
  <r>
    <x v="1"/>
    <s v="group B"/>
    <x v="0"/>
    <s v="free/reduced"/>
    <s v="none"/>
    <n v="62"/>
    <n v="63"/>
    <n v="56"/>
  </r>
  <r>
    <x v="1"/>
    <s v="group C"/>
    <x v="4"/>
    <s v="free/reduced"/>
    <s v="completed"/>
    <n v="58"/>
    <n v="51"/>
    <n v="52"/>
  </r>
  <r>
    <x v="1"/>
    <s v="group A"/>
    <x v="1"/>
    <s v="standard"/>
    <s v="completed"/>
    <n v="100"/>
    <n v="96"/>
    <n v="86"/>
  </r>
  <r>
    <x v="0"/>
    <s v="group E"/>
    <x v="0"/>
    <s v="free/reduced"/>
    <s v="none"/>
    <n v="61"/>
    <n v="58"/>
    <n v="62"/>
  </r>
  <r>
    <x v="1"/>
    <s v="group D"/>
    <x v="1"/>
    <s v="standard"/>
    <s v="completed"/>
    <n v="100"/>
    <n v="97"/>
    <n v="99"/>
  </r>
  <r>
    <x v="1"/>
    <s v="group B"/>
    <x v="3"/>
    <s v="free/reduced"/>
    <s v="completed"/>
    <n v="69"/>
    <n v="70"/>
    <n v="63"/>
  </r>
  <r>
    <x v="1"/>
    <s v="group D"/>
    <x v="3"/>
    <s v="standard"/>
    <s v="none"/>
    <n v="61"/>
    <n v="48"/>
    <n v="46"/>
  </r>
  <r>
    <x v="1"/>
    <s v="group D"/>
    <x v="1"/>
    <s v="free/reduced"/>
    <s v="none"/>
    <n v="49"/>
    <n v="57"/>
    <n v="46"/>
  </r>
  <r>
    <x v="0"/>
    <s v="group C"/>
    <x v="5"/>
    <s v="standard"/>
    <s v="completed"/>
    <n v="44"/>
    <n v="51"/>
    <n v="55"/>
  </r>
  <r>
    <x v="1"/>
    <s v="group D"/>
    <x v="1"/>
    <s v="standard"/>
    <s v="none"/>
    <n v="67"/>
    <n v="64"/>
    <n v="70"/>
  </r>
  <r>
    <x v="1"/>
    <s v="group B"/>
    <x v="4"/>
    <s v="standard"/>
    <s v="none"/>
    <n v="79"/>
    <n v="60"/>
    <n v="65"/>
  </r>
  <r>
    <x v="0"/>
    <s v="group B"/>
    <x v="0"/>
    <s v="standard"/>
    <s v="completed"/>
    <n v="66"/>
    <n v="74"/>
    <n v="81"/>
  </r>
  <r>
    <x v="0"/>
    <s v="group C"/>
    <x v="4"/>
    <s v="standard"/>
    <s v="none"/>
    <n v="75"/>
    <n v="88"/>
    <n v="85"/>
  </r>
  <r>
    <x v="1"/>
    <s v="group D"/>
    <x v="5"/>
    <s v="standard"/>
    <s v="none"/>
    <n v="84"/>
    <n v="84"/>
    <n v="80"/>
  </r>
  <r>
    <x v="1"/>
    <s v="group A"/>
    <x v="4"/>
    <s v="standard"/>
    <s v="none"/>
    <n v="71"/>
    <n v="74"/>
    <n v="64"/>
  </r>
  <r>
    <x v="0"/>
    <s v="group B"/>
    <x v="4"/>
    <s v="free/reduced"/>
    <s v="completed"/>
    <n v="67"/>
    <n v="80"/>
    <n v="81"/>
  </r>
  <r>
    <x v="0"/>
    <s v="group D"/>
    <x v="5"/>
    <s v="standard"/>
    <s v="completed"/>
    <n v="80"/>
    <n v="92"/>
    <n v="88"/>
  </r>
  <r>
    <x v="1"/>
    <s v="group E"/>
    <x v="1"/>
    <s v="standard"/>
    <s v="none"/>
    <n v="86"/>
    <n v="76"/>
    <n v="74"/>
  </r>
  <r>
    <x v="0"/>
    <s v="group D"/>
    <x v="3"/>
    <s v="standard"/>
    <s v="none"/>
    <n v="76"/>
    <n v="74"/>
    <n v="73"/>
  </r>
  <r>
    <x v="1"/>
    <s v="group D"/>
    <x v="4"/>
    <s v="standard"/>
    <s v="none"/>
    <n v="41"/>
    <n v="52"/>
    <n v="51"/>
  </r>
  <r>
    <x v="0"/>
    <s v="group D"/>
    <x v="3"/>
    <s v="free/reduced"/>
    <s v="completed"/>
    <n v="74"/>
    <n v="88"/>
    <n v="90"/>
  </r>
  <r>
    <x v="0"/>
    <s v="group B"/>
    <x v="5"/>
    <s v="free/reduced"/>
    <s v="none"/>
    <n v="72"/>
    <n v="81"/>
    <n v="79"/>
  </r>
  <r>
    <x v="0"/>
    <s v="group E"/>
    <x v="4"/>
    <s v="standard"/>
    <s v="completed"/>
    <n v="74"/>
    <n v="79"/>
    <n v="80"/>
  </r>
  <r>
    <x v="1"/>
    <s v="group B"/>
    <x v="4"/>
    <s v="standard"/>
    <s v="none"/>
    <n v="70"/>
    <n v="65"/>
    <n v="60"/>
  </r>
  <r>
    <x v="0"/>
    <s v="group B"/>
    <x v="0"/>
    <s v="standard"/>
    <s v="completed"/>
    <n v="65"/>
    <n v="81"/>
    <n v="81"/>
  </r>
  <r>
    <x v="0"/>
    <s v="group D"/>
    <x v="3"/>
    <s v="standard"/>
    <s v="none"/>
    <n v="59"/>
    <n v="70"/>
    <n v="65"/>
  </r>
  <r>
    <x v="0"/>
    <s v="group E"/>
    <x v="4"/>
    <s v="free/reduced"/>
    <s v="none"/>
    <n v="64"/>
    <n v="62"/>
    <n v="68"/>
  </r>
  <r>
    <x v="0"/>
    <s v="group B"/>
    <x v="4"/>
    <s v="standard"/>
    <s v="none"/>
    <n v="50"/>
    <n v="53"/>
    <n v="55"/>
  </r>
  <r>
    <x v="0"/>
    <s v="group D"/>
    <x v="1"/>
    <s v="standard"/>
    <s v="completed"/>
    <n v="69"/>
    <n v="79"/>
    <n v="81"/>
  </r>
  <r>
    <x v="1"/>
    <s v="group C"/>
    <x v="5"/>
    <s v="free/reduced"/>
    <s v="completed"/>
    <n v="51"/>
    <n v="56"/>
    <n v="53"/>
  </r>
  <r>
    <x v="0"/>
    <s v="group A"/>
    <x v="4"/>
    <s v="standard"/>
    <s v="completed"/>
    <n v="68"/>
    <n v="80"/>
    <n v="76"/>
  </r>
  <r>
    <x v="0"/>
    <s v="group D"/>
    <x v="1"/>
    <s v="standard"/>
    <s v="completed"/>
    <n v="85"/>
    <n v="86"/>
    <n v="98"/>
  </r>
  <r>
    <x v="0"/>
    <s v="group A"/>
    <x v="3"/>
    <s v="standard"/>
    <s v="completed"/>
    <n v="65"/>
    <n v="70"/>
    <n v="74"/>
  </r>
  <r>
    <x v="0"/>
    <s v="group B"/>
    <x v="5"/>
    <s v="standard"/>
    <s v="none"/>
    <n v="73"/>
    <n v="79"/>
    <n v="79"/>
  </r>
  <r>
    <x v="0"/>
    <s v="group B"/>
    <x v="1"/>
    <s v="standard"/>
    <s v="none"/>
    <n v="62"/>
    <n v="67"/>
    <n v="67"/>
  </r>
  <r>
    <x v="1"/>
    <s v="group C"/>
    <x v="3"/>
    <s v="free/reduced"/>
    <s v="none"/>
    <n v="77"/>
    <n v="67"/>
    <n v="64"/>
  </r>
  <r>
    <x v="1"/>
    <s v="group D"/>
    <x v="5"/>
    <s v="standard"/>
    <s v="none"/>
    <n v="69"/>
    <n v="66"/>
    <n v="61"/>
  </r>
  <r>
    <x v="0"/>
    <s v="group D"/>
    <x v="3"/>
    <s v="free/reduced"/>
    <s v="none"/>
    <n v="43"/>
    <n v="60"/>
    <n v="58"/>
  </r>
  <r>
    <x v="1"/>
    <s v="group D"/>
    <x v="3"/>
    <s v="standard"/>
    <s v="none"/>
    <n v="90"/>
    <n v="87"/>
    <n v="85"/>
  </r>
  <r>
    <x v="1"/>
    <s v="group C"/>
    <x v="1"/>
    <s v="free/reduced"/>
    <s v="none"/>
    <n v="74"/>
    <n v="77"/>
    <n v="73"/>
  </r>
  <r>
    <x v="1"/>
    <s v="group C"/>
    <x v="5"/>
    <s v="standard"/>
    <s v="none"/>
    <n v="73"/>
    <n v="66"/>
    <n v="63"/>
  </r>
  <r>
    <x v="0"/>
    <s v="group D"/>
    <x v="1"/>
    <s v="free/reduced"/>
    <s v="none"/>
    <n v="55"/>
    <n v="71"/>
    <n v="69"/>
  </r>
  <r>
    <x v="0"/>
    <s v="group C"/>
    <x v="4"/>
    <s v="standard"/>
    <s v="none"/>
    <n v="65"/>
    <n v="69"/>
    <n v="67"/>
  </r>
  <r>
    <x v="1"/>
    <s v="group D"/>
    <x v="3"/>
    <s v="standard"/>
    <s v="none"/>
    <n v="80"/>
    <n v="63"/>
    <n v="63"/>
  </r>
  <r>
    <x v="0"/>
    <s v="group C"/>
    <x v="5"/>
    <s v="free/reduced"/>
    <s v="completed"/>
    <n v="50"/>
    <n v="60"/>
    <n v="60"/>
  </r>
  <r>
    <x v="0"/>
    <s v="group C"/>
    <x v="1"/>
    <s v="free/reduced"/>
    <s v="completed"/>
    <n v="63"/>
    <n v="73"/>
    <n v="71"/>
  </r>
  <r>
    <x v="0"/>
    <s v="group B"/>
    <x v="0"/>
    <s v="free/reduced"/>
    <s v="none"/>
    <n v="77"/>
    <n v="85"/>
    <n v="87"/>
  </r>
  <r>
    <x v="1"/>
    <s v="group C"/>
    <x v="1"/>
    <s v="standard"/>
    <s v="none"/>
    <n v="73"/>
    <n v="74"/>
    <n v="61"/>
  </r>
  <r>
    <x v="1"/>
    <s v="group D"/>
    <x v="3"/>
    <s v="standard"/>
    <s v="completed"/>
    <n v="81"/>
    <n v="72"/>
    <n v="77"/>
  </r>
  <r>
    <x v="0"/>
    <s v="group C"/>
    <x v="4"/>
    <s v="free/reduced"/>
    <s v="none"/>
    <n v="66"/>
    <n v="76"/>
    <n v="68"/>
  </r>
  <r>
    <x v="1"/>
    <s v="group D"/>
    <x v="3"/>
    <s v="free/reduced"/>
    <s v="none"/>
    <n v="52"/>
    <n v="57"/>
    <n v="50"/>
  </r>
  <r>
    <x v="0"/>
    <s v="group C"/>
    <x v="1"/>
    <s v="standard"/>
    <s v="none"/>
    <n v="69"/>
    <n v="78"/>
    <n v="76"/>
  </r>
  <r>
    <x v="0"/>
    <s v="group C"/>
    <x v="3"/>
    <s v="standard"/>
    <s v="completed"/>
    <n v="65"/>
    <n v="84"/>
    <n v="84"/>
  </r>
  <r>
    <x v="0"/>
    <s v="group D"/>
    <x v="4"/>
    <s v="standard"/>
    <s v="completed"/>
    <n v="69"/>
    <n v="77"/>
    <n v="78"/>
  </r>
  <r>
    <x v="0"/>
    <s v="group B"/>
    <x v="1"/>
    <s v="standard"/>
    <s v="completed"/>
    <n v="50"/>
    <n v="64"/>
    <n v="66"/>
  </r>
  <r>
    <x v="0"/>
    <s v="group E"/>
    <x v="1"/>
    <s v="standard"/>
    <s v="completed"/>
    <n v="73"/>
    <n v="78"/>
    <n v="76"/>
  </r>
  <r>
    <x v="0"/>
    <s v="group C"/>
    <x v="5"/>
    <s v="standard"/>
    <s v="completed"/>
    <n v="70"/>
    <n v="82"/>
    <n v="76"/>
  </r>
  <r>
    <x v="1"/>
    <s v="group D"/>
    <x v="3"/>
    <s v="free/reduced"/>
    <s v="none"/>
    <n v="81"/>
    <n v="75"/>
    <n v="78"/>
  </r>
  <r>
    <x v="1"/>
    <s v="group D"/>
    <x v="1"/>
    <s v="free/reduced"/>
    <s v="none"/>
    <n v="63"/>
    <n v="61"/>
    <n v="60"/>
  </r>
  <r>
    <x v="0"/>
    <s v="group D"/>
    <x v="4"/>
    <s v="standard"/>
    <s v="none"/>
    <n v="67"/>
    <n v="72"/>
    <n v="74"/>
  </r>
  <r>
    <x v="1"/>
    <s v="group B"/>
    <x v="4"/>
    <s v="standard"/>
    <s v="none"/>
    <n v="60"/>
    <n v="68"/>
    <n v="60"/>
  </r>
  <r>
    <x v="1"/>
    <s v="group B"/>
    <x v="4"/>
    <s v="standard"/>
    <s v="none"/>
    <n v="62"/>
    <n v="55"/>
    <n v="54"/>
  </r>
  <r>
    <x v="0"/>
    <s v="group C"/>
    <x v="5"/>
    <s v="free/reduced"/>
    <s v="completed"/>
    <n v="29"/>
    <n v="40"/>
    <n v="44"/>
  </r>
  <r>
    <x v="1"/>
    <s v="group B"/>
    <x v="1"/>
    <s v="standard"/>
    <s v="completed"/>
    <n v="62"/>
    <n v="66"/>
    <n v="68"/>
  </r>
  <r>
    <x v="0"/>
    <s v="group E"/>
    <x v="2"/>
    <s v="standard"/>
    <s v="completed"/>
    <n v="94"/>
    <n v="99"/>
    <n v="100"/>
  </r>
  <r>
    <x v="1"/>
    <s v="group E"/>
    <x v="1"/>
    <s v="standard"/>
    <s v="completed"/>
    <n v="85"/>
    <n v="75"/>
    <n v="68"/>
  </r>
  <r>
    <x v="1"/>
    <s v="group D"/>
    <x v="3"/>
    <s v="free/reduced"/>
    <s v="none"/>
    <n v="77"/>
    <n v="78"/>
    <n v="73"/>
  </r>
  <r>
    <x v="1"/>
    <s v="group A"/>
    <x v="4"/>
    <s v="free/reduced"/>
    <s v="none"/>
    <n v="53"/>
    <n v="58"/>
    <n v="44"/>
  </r>
  <r>
    <x v="1"/>
    <s v="group E"/>
    <x v="1"/>
    <s v="free/reduced"/>
    <s v="none"/>
    <n v="93"/>
    <n v="90"/>
    <n v="83"/>
  </r>
  <r>
    <x v="0"/>
    <s v="group C"/>
    <x v="3"/>
    <s v="standard"/>
    <s v="none"/>
    <n v="49"/>
    <n v="53"/>
    <n v="53"/>
  </r>
  <r>
    <x v="0"/>
    <s v="group E"/>
    <x v="3"/>
    <s v="free/reduced"/>
    <s v="none"/>
    <n v="73"/>
    <n v="76"/>
    <n v="78"/>
  </r>
  <r>
    <x v="0"/>
    <s v="group C"/>
    <x v="0"/>
    <s v="free/reduced"/>
    <s v="completed"/>
    <n v="66"/>
    <n v="74"/>
    <n v="81"/>
  </r>
  <r>
    <x v="0"/>
    <s v="group D"/>
    <x v="3"/>
    <s v="standard"/>
    <s v="none"/>
    <n v="77"/>
    <n v="77"/>
    <n v="73"/>
  </r>
  <r>
    <x v="0"/>
    <s v="group C"/>
    <x v="5"/>
    <s v="standard"/>
    <s v="none"/>
    <n v="49"/>
    <n v="63"/>
    <n v="56"/>
  </r>
  <r>
    <x v="0"/>
    <s v="group D"/>
    <x v="1"/>
    <s v="free/reduced"/>
    <s v="none"/>
    <n v="79"/>
    <n v="89"/>
    <n v="86"/>
  </r>
  <r>
    <x v="0"/>
    <s v="group C"/>
    <x v="3"/>
    <s v="standard"/>
    <s v="completed"/>
    <n v="75"/>
    <n v="82"/>
    <n v="90"/>
  </r>
  <r>
    <x v="0"/>
    <s v="group A"/>
    <x v="0"/>
    <s v="standard"/>
    <s v="none"/>
    <n v="59"/>
    <n v="72"/>
    <n v="70"/>
  </r>
  <r>
    <x v="0"/>
    <s v="group D"/>
    <x v="3"/>
    <s v="standard"/>
    <s v="completed"/>
    <n v="57"/>
    <n v="78"/>
    <n v="79"/>
  </r>
  <r>
    <x v="1"/>
    <s v="group C"/>
    <x v="4"/>
    <s v="free/reduced"/>
    <s v="none"/>
    <n v="66"/>
    <n v="66"/>
    <n v="59"/>
  </r>
  <r>
    <x v="0"/>
    <s v="group E"/>
    <x v="0"/>
    <s v="standard"/>
    <s v="completed"/>
    <n v="79"/>
    <n v="81"/>
    <n v="82"/>
  </r>
  <r>
    <x v="0"/>
    <s v="group B"/>
    <x v="5"/>
    <s v="standard"/>
    <s v="none"/>
    <n v="57"/>
    <n v="67"/>
    <n v="72"/>
  </r>
  <r>
    <x v="1"/>
    <s v="group A"/>
    <x v="0"/>
    <s v="standard"/>
    <s v="completed"/>
    <n v="87"/>
    <n v="84"/>
    <n v="87"/>
  </r>
  <r>
    <x v="0"/>
    <s v="group D"/>
    <x v="1"/>
    <s v="standard"/>
    <s v="none"/>
    <n v="63"/>
    <n v="64"/>
    <n v="67"/>
  </r>
  <r>
    <x v="0"/>
    <s v="group B"/>
    <x v="5"/>
    <s v="free/reduced"/>
    <s v="completed"/>
    <n v="59"/>
    <n v="63"/>
    <n v="64"/>
  </r>
  <r>
    <x v="1"/>
    <s v="group A"/>
    <x v="0"/>
    <s v="free/reduced"/>
    <s v="none"/>
    <n v="62"/>
    <n v="72"/>
    <n v="65"/>
  </r>
  <r>
    <x v="1"/>
    <s v="group D"/>
    <x v="4"/>
    <s v="standard"/>
    <s v="none"/>
    <n v="46"/>
    <n v="34"/>
    <n v="36"/>
  </r>
  <r>
    <x v="1"/>
    <s v="group C"/>
    <x v="1"/>
    <s v="standard"/>
    <s v="none"/>
    <n v="66"/>
    <n v="59"/>
    <n v="52"/>
  </r>
  <r>
    <x v="1"/>
    <s v="group D"/>
    <x v="4"/>
    <s v="standard"/>
    <s v="none"/>
    <n v="89"/>
    <n v="87"/>
    <n v="79"/>
  </r>
  <r>
    <x v="0"/>
    <s v="group D"/>
    <x v="3"/>
    <s v="free/reduced"/>
    <s v="completed"/>
    <n v="42"/>
    <n v="61"/>
    <n v="58"/>
  </r>
  <r>
    <x v="1"/>
    <s v="group C"/>
    <x v="1"/>
    <s v="standard"/>
    <s v="completed"/>
    <n v="93"/>
    <n v="84"/>
    <n v="90"/>
  </r>
  <r>
    <x v="0"/>
    <s v="group E"/>
    <x v="5"/>
    <s v="standard"/>
    <s v="completed"/>
    <n v="80"/>
    <n v="85"/>
    <n v="85"/>
  </r>
  <r>
    <x v="0"/>
    <s v="group D"/>
    <x v="1"/>
    <s v="standard"/>
    <s v="none"/>
    <n v="98"/>
    <n v="100"/>
    <n v="99"/>
  </r>
  <r>
    <x v="1"/>
    <s v="group D"/>
    <x v="2"/>
    <s v="standard"/>
    <s v="none"/>
    <n v="81"/>
    <n v="81"/>
    <n v="84"/>
  </r>
  <r>
    <x v="0"/>
    <s v="group B"/>
    <x v="5"/>
    <s v="standard"/>
    <s v="completed"/>
    <n v="60"/>
    <n v="70"/>
    <n v="74"/>
  </r>
  <r>
    <x v="0"/>
    <s v="group B"/>
    <x v="3"/>
    <s v="free/reduced"/>
    <s v="completed"/>
    <n v="76"/>
    <n v="94"/>
    <n v="87"/>
  </r>
  <r>
    <x v="1"/>
    <s v="group C"/>
    <x v="3"/>
    <s v="standard"/>
    <s v="completed"/>
    <n v="73"/>
    <n v="78"/>
    <n v="72"/>
  </r>
  <r>
    <x v="0"/>
    <s v="group C"/>
    <x v="3"/>
    <s v="standard"/>
    <s v="completed"/>
    <n v="96"/>
    <n v="96"/>
    <n v="99"/>
  </r>
  <r>
    <x v="0"/>
    <s v="group C"/>
    <x v="4"/>
    <s v="standard"/>
    <s v="none"/>
    <n v="76"/>
    <n v="76"/>
    <n v="74"/>
  </r>
  <r>
    <x v="1"/>
    <s v="group E"/>
    <x v="3"/>
    <s v="free/reduced"/>
    <s v="completed"/>
    <n v="91"/>
    <n v="73"/>
    <n v="80"/>
  </r>
  <r>
    <x v="0"/>
    <s v="group C"/>
    <x v="1"/>
    <s v="free/reduced"/>
    <s v="none"/>
    <n v="62"/>
    <n v="72"/>
    <n v="70"/>
  </r>
  <r>
    <x v="1"/>
    <s v="group D"/>
    <x v="5"/>
    <s v="free/reduced"/>
    <s v="completed"/>
    <n v="55"/>
    <n v="59"/>
    <n v="59"/>
  </r>
  <r>
    <x v="0"/>
    <s v="group B"/>
    <x v="5"/>
    <s v="free/reduced"/>
    <s v="completed"/>
    <n v="74"/>
    <n v="90"/>
    <n v="88"/>
  </r>
  <r>
    <x v="1"/>
    <s v="group C"/>
    <x v="4"/>
    <s v="standard"/>
    <s v="none"/>
    <n v="50"/>
    <n v="48"/>
    <n v="42"/>
  </r>
  <r>
    <x v="1"/>
    <s v="group B"/>
    <x v="1"/>
    <s v="standard"/>
    <s v="none"/>
    <n v="47"/>
    <n v="43"/>
    <n v="41"/>
  </r>
  <r>
    <x v="1"/>
    <s v="group E"/>
    <x v="1"/>
    <s v="standard"/>
    <s v="completed"/>
    <n v="81"/>
    <n v="74"/>
    <n v="71"/>
  </r>
  <r>
    <x v="0"/>
    <s v="group E"/>
    <x v="3"/>
    <s v="standard"/>
    <s v="completed"/>
    <n v="65"/>
    <n v="75"/>
    <n v="77"/>
  </r>
  <r>
    <x v="1"/>
    <s v="group E"/>
    <x v="5"/>
    <s v="standard"/>
    <s v="completed"/>
    <n v="68"/>
    <n v="51"/>
    <n v="57"/>
  </r>
  <r>
    <x v="0"/>
    <s v="group D"/>
    <x v="4"/>
    <s v="free/reduced"/>
    <s v="none"/>
    <n v="73"/>
    <n v="92"/>
    <n v="84"/>
  </r>
  <r>
    <x v="1"/>
    <s v="group C"/>
    <x v="1"/>
    <s v="standard"/>
    <s v="none"/>
    <n v="53"/>
    <n v="39"/>
    <n v="37"/>
  </r>
  <r>
    <x v="0"/>
    <s v="group B"/>
    <x v="3"/>
    <s v="free/reduced"/>
    <s v="completed"/>
    <n v="68"/>
    <n v="77"/>
    <n v="80"/>
  </r>
  <r>
    <x v="1"/>
    <s v="group A"/>
    <x v="5"/>
    <s v="free/reduced"/>
    <s v="none"/>
    <n v="55"/>
    <n v="46"/>
    <n v="43"/>
  </r>
  <r>
    <x v="0"/>
    <s v="group C"/>
    <x v="1"/>
    <s v="standard"/>
    <s v="completed"/>
    <n v="87"/>
    <n v="89"/>
    <n v="94"/>
  </r>
  <r>
    <x v="1"/>
    <s v="group D"/>
    <x v="5"/>
    <s v="standard"/>
    <s v="none"/>
    <n v="55"/>
    <n v="47"/>
    <n v="44"/>
  </r>
  <r>
    <x v="0"/>
    <s v="group E"/>
    <x v="1"/>
    <s v="free/reduced"/>
    <s v="none"/>
    <n v="53"/>
    <n v="58"/>
    <n v="57"/>
  </r>
  <r>
    <x v="1"/>
    <s v="group C"/>
    <x v="2"/>
    <s v="standard"/>
    <s v="none"/>
    <n v="67"/>
    <n v="57"/>
    <n v="59"/>
  </r>
  <r>
    <x v="1"/>
    <s v="group C"/>
    <x v="3"/>
    <s v="standard"/>
    <s v="none"/>
    <n v="92"/>
    <n v="79"/>
    <n v="84"/>
  </r>
  <r>
    <x v="0"/>
    <s v="group B"/>
    <x v="1"/>
    <s v="free/reduced"/>
    <s v="completed"/>
    <n v="53"/>
    <n v="66"/>
    <n v="73"/>
  </r>
  <r>
    <x v="1"/>
    <s v="group D"/>
    <x v="3"/>
    <s v="standard"/>
    <s v="none"/>
    <n v="81"/>
    <n v="71"/>
    <n v="73"/>
  </r>
  <r>
    <x v="1"/>
    <s v="group C"/>
    <x v="4"/>
    <s v="free/reduced"/>
    <s v="none"/>
    <n v="61"/>
    <n v="60"/>
    <n v="55"/>
  </r>
  <r>
    <x v="1"/>
    <s v="group D"/>
    <x v="0"/>
    <s v="standard"/>
    <s v="none"/>
    <n v="80"/>
    <n v="73"/>
    <n v="72"/>
  </r>
  <r>
    <x v="0"/>
    <s v="group A"/>
    <x v="3"/>
    <s v="free/reduced"/>
    <s v="none"/>
    <n v="37"/>
    <n v="57"/>
    <n v="56"/>
  </r>
  <r>
    <x v="0"/>
    <s v="group C"/>
    <x v="4"/>
    <s v="standard"/>
    <s v="none"/>
    <n v="81"/>
    <n v="84"/>
    <n v="82"/>
  </r>
  <r>
    <x v="0"/>
    <s v="group C"/>
    <x v="3"/>
    <s v="standard"/>
    <s v="completed"/>
    <n v="59"/>
    <n v="73"/>
    <n v="72"/>
  </r>
  <r>
    <x v="1"/>
    <s v="group B"/>
    <x v="1"/>
    <s v="free/reduced"/>
    <s v="none"/>
    <n v="55"/>
    <n v="55"/>
    <n v="47"/>
  </r>
  <r>
    <x v="1"/>
    <s v="group D"/>
    <x v="3"/>
    <s v="standard"/>
    <s v="none"/>
    <n v="72"/>
    <n v="79"/>
    <n v="74"/>
  </r>
  <r>
    <x v="1"/>
    <s v="group D"/>
    <x v="4"/>
    <s v="standard"/>
    <s v="none"/>
    <n v="69"/>
    <n v="75"/>
    <n v="71"/>
  </r>
  <r>
    <x v="1"/>
    <s v="group C"/>
    <x v="1"/>
    <s v="standard"/>
    <s v="none"/>
    <n v="69"/>
    <n v="64"/>
    <n v="68"/>
  </r>
  <r>
    <x v="0"/>
    <s v="group C"/>
    <x v="0"/>
    <s v="free/reduced"/>
    <s v="none"/>
    <n v="50"/>
    <n v="60"/>
    <n v="59"/>
  </r>
  <r>
    <x v="1"/>
    <s v="group B"/>
    <x v="1"/>
    <s v="standard"/>
    <s v="completed"/>
    <n v="87"/>
    <n v="84"/>
    <n v="86"/>
  </r>
  <r>
    <x v="1"/>
    <s v="group D"/>
    <x v="5"/>
    <s v="standard"/>
    <s v="completed"/>
    <n v="71"/>
    <n v="69"/>
    <n v="68"/>
  </r>
  <r>
    <x v="1"/>
    <s v="group E"/>
    <x v="1"/>
    <s v="standard"/>
    <s v="none"/>
    <n v="68"/>
    <n v="72"/>
    <n v="65"/>
  </r>
  <r>
    <x v="1"/>
    <s v="group C"/>
    <x v="2"/>
    <s v="free/reduced"/>
    <s v="completed"/>
    <n v="79"/>
    <n v="77"/>
    <n v="75"/>
  </r>
  <r>
    <x v="0"/>
    <s v="group C"/>
    <x v="5"/>
    <s v="standard"/>
    <s v="completed"/>
    <n v="77"/>
    <n v="90"/>
    <n v="85"/>
  </r>
  <r>
    <x v="1"/>
    <s v="group C"/>
    <x v="3"/>
    <s v="free/reduced"/>
    <s v="none"/>
    <n v="58"/>
    <n v="55"/>
    <n v="53"/>
  </r>
  <r>
    <x v="0"/>
    <s v="group E"/>
    <x v="3"/>
    <s v="standard"/>
    <s v="none"/>
    <n v="84"/>
    <n v="95"/>
    <n v="92"/>
  </r>
  <r>
    <x v="1"/>
    <s v="group D"/>
    <x v="1"/>
    <s v="standard"/>
    <s v="none"/>
    <n v="55"/>
    <n v="58"/>
    <n v="52"/>
  </r>
  <r>
    <x v="1"/>
    <s v="group E"/>
    <x v="0"/>
    <s v="free/reduced"/>
    <s v="completed"/>
    <n v="70"/>
    <n v="68"/>
    <n v="72"/>
  </r>
  <r>
    <x v="0"/>
    <s v="group D"/>
    <x v="1"/>
    <s v="free/reduced"/>
    <s v="completed"/>
    <n v="52"/>
    <n v="59"/>
    <n v="65"/>
  </r>
  <r>
    <x v="1"/>
    <s v="group B"/>
    <x v="1"/>
    <s v="standard"/>
    <s v="completed"/>
    <n v="69"/>
    <n v="77"/>
    <n v="77"/>
  </r>
  <r>
    <x v="0"/>
    <s v="group C"/>
    <x v="4"/>
    <s v="free/reduced"/>
    <s v="none"/>
    <n v="53"/>
    <n v="72"/>
    <n v="64"/>
  </r>
  <r>
    <x v="0"/>
    <s v="group D"/>
    <x v="5"/>
    <s v="standard"/>
    <s v="none"/>
    <n v="48"/>
    <n v="58"/>
    <n v="54"/>
  </r>
  <r>
    <x v="1"/>
    <s v="group D"/>
    <x v="5"/>
    <s v="standard"/>
    <s v="completed"/>
    <n v="78"/>
    <n v="81"/>
    <n v="86"/>
  </r>
  <r>
    <x v="0"/>
    <s v="group B"/>
    <x v="4"/>
    <s v="standard"/>
    <s v="none"/>
    <n v="62"/>
    <n v="62"/>
    <n v="63"/>
  </r>
  <r>
    <x v="1"/>
    <s v="group D"/>
    <x v="1"/>
    <s v="standard"/>
    <s v="none"/>
    <n v="60"/>
    <n v="63"/>
    <n v="59"/>
  </r>
  <r>
    <x v="0"/>
    <s v="group B"/>
    <x v="4"/>
    <s v="standard"/>
    <s v="none"/>
    <n v="74"/>
    <n v="72"/>
    <n v="72"/>
  </r>
  <r>
    <x v="0"/>
    <s v="group C"/>
    <x v="4"/>
    <s v="standard"/>
    <s v="completed"/>
    <n v="58"/>
    <n v="75"/>
    <n v="77"/>
  </r>
  <r>
    <x v="1"/>
    <s v="group B"/>
    <x v="4"/>
    <s v="standard"/>
    <s v="completed"/>
    <n v="76"/>
    <n v="62"/>
    <n v="60"/>
  </r>
  <r>
    <x v="0"/>
    <s v="group D"/>
    <x v="5"/>
    <s v="standard"/>
    <s v="none"/>
    <n v="68"/>
    <n v="71"/>
    <n v="75"/>
  </r>
  <r>
    <x v="1"/>
    <s v="group A"/>
    <x v="1"/>
    <s v="free/reduced"/>
    <s v="none"/>
    <n v="58"/>
    <n v="60"/>
    <n v="57"/>
  </r>
  <r>
    <x v="1"/>
    <s v="group B"/>
    <x v="4"/>
    <s v="standard"/>
    <s v="none"/>
    <n v="52"/>
    <n v="48"/>
    <n v="49"/>
  </r>
  <r>
    <x v="1"/>
    <s v="group D"/>
    <x v="0"/>
    <s v="standard"/>
    <s v="none"/>
    <n v="75"/>
    <n v="73"/>
    <n v="74"/>
  </r>
  <r>
    <x v="0"/>
    <s v="group B"/>
    <x v="5"/>
    <s v="free/reduced"/>
    <s v="completed"/>
    <n v="52"/>
    <n v="67"/>
    <n v="72"/>
  </r>
  <r>
    <x v="0"/>
    <s v="group C"/>
    <x v="0"/>
    <s v="free/reduced"/>
    <s v="none"/>
    <n v="62"/>
    <n v="78"/>
    <n v="79"/>
  </r>
  <r>
    <x v="1"/>
    <s v="group B"/>
    <x v="1"/>
    <s v="standard"/>
    <s v="none"/>
    <n v="66"/>
    <n v="65"/>
    <n v="60"/>
  </r>
  <r>
    <x v="0"/>
    <s v="group B"/>
    <x v="5"/>
    <s v="free/reduced"/>
    <s v="none"/>
    <n v="49"/>
    <n v="58"/>
    <n v="55"/>
  </r>
  <r>
    <x v="0"/>
    <s v="group B"/>
    <x v="4"/>
    <s v="standard"/>
    <s v="none"/>
    <n v="66"/>
    <n v="72"/>
    <n v="70"/>
  </r>
  <r>
    <x v="0"/>
    <s v="group C"/>
    <x v="1"/>
    <s v="free/reduced"/>
    <s v="none"/>
    <n v="35"/>
    <n v="44"/>
    <n v="43"/>
  </r>
  <r>
    <x v="0"/>
    <s v="group A"/>
    <x v="1"/>
    <s v="standard"/>
    <s v="completed"/>
    <n v="72"/>
    <n v="79"/>
    <n v="82"/>
  </r>
  <r>
    <x v="1"/>
    <s v="group E"/>
    <x v="3"/>
    <s v="standard"/>
    <s v="completed"/>
    <n v="94"/>
    <n v="85"/>
    <n v="82"/>
  </r>
  <r>
    <x v="0"/>
    <s v="group D"/>
    <x v="3"/>
    <s v="free/reduced"/>
    <s v="none"/>
    <n v="46"/>
    <n v="56"/>
    <n v="57"/>
  </r>
  <r>
    <x v="0"/>
    <s v="group B"/>
    <x v="2"/>
    <s v="standard"/>
    <s v="none"/>
    <n v="77"/>
    <n v="90"/>
    <n v="84"/>
  </r>
  <r>
    <x v="0"/>
    <s v="group B"/>
    <x v="4"/>
    <s v="free/reduced"/>
    <s v="completed"/>
    <n v="76"/>
    <n v="85"/>
    <n v="82"/>
  </r>
  <r>
    <x v="0"/>
    <s v="group C"/>
    <x v="3"/>
    <s v="standard"/>
    <s v="completed"/>
    <n v="52"/>
    <n v="59"/>
    <n v="62"/>
  </r>
  <r>
    <x v="1"/>
    <s v="group C"/>
    <x v="0"/>
    <s v="standard"/>
    <s v="completed"/>
    <n v="91"/>
    <n v="81"/>
    <n v="79"/>
  </r>
  <r>
    <x v="0"/>
    <s v="group B"/>
    <x v="5"/>
    <s v="standard"/>
    <s v="completed"/>
    <n v="32"/>
    <n v="51"/>
    <n v="44"/>
  </r>
  <r>
    <x v="0"/>
    <s v="group E"/>
    <x v="5"/>
    <s v="free/reduced"/>
    <s v="none"/>
    <n v="72"/>
    <n v="79"/>
    <n v="77"/>
  </r>
  <r>
    <x v="0"/>
    <s v="group B"/>
    <x v="1"/>
    <s v="standard"/>
    <s v="none"/>
    <n v="19"/>
    <n v="38"/>
    <n v="32"/>
  </r>
  <r>
    <x v="1"/>
    <s v="group C"/>
    <x v="3"/>
    <s v="free/reduced"/>
    <s v="none"/>
    <n v="68"/>
    <n v="65"/>
    <n v="61"/>
  </r>
  <r>
    <x v="0"/>
    <s v="group C"/>
    <x v="2"/>
    <s v="free/reduced"/>
    <s v="none"/>
    <n v="52"/>
    <n v="65"/>
    <n v="61"/>
  </r>
  <r>
    <x v="0"/>
    <s v="group B"/>
    <x v="4"/>
    <s v="standard"/>
    <s v="none"/>
    <n v="48"/>
    <n v="62"/>
    <n v="60"/>
  </r>
  <r>
    <x v="0"/>
    <s v="group D"/>
    <x v="1"/>
    <s v="free/reduced"/>
    <s v="none"/>
    <n v="60"/>
    <n v="66"/>
    <n v="70"/>
  </r>
  <r>
    <x v="1"/>
    <s v="group D"/>
    <x v="4"/>
    <s v="free/reduced"/>
    <s v="none"/>
    <n v="66"/>
    <n v="74"/>
    <n v="69"/>
  </r>
  <r>
    <x v="1"/>
    <s v="group E"/>
    <x v="5"/>
    <s v="standard"/>
    <s v="completed"/>
    <n v="89"/>
    <n v="84"/>
    <n v="77"/>
  </r>
  <r>
    <x v="0"/>
    <s v="group B"/>
    <x v="4"/>
    <s v="standard"/>
    <s v="none"/>
    <n v="42"/>
    <n v="52"/>
    <n v="51"/>
  </r>
  <r>
    <x v="0"/>
    <s v="group E"/>
    <x v="3"/>
    <s v="free/reduced"/>
    <s v="completed"/>
    <n v="57"/>
    <n v="68"/>
    <n v="73"/>
  </r>
  <r>
    <x v="1"/>
    <s v="group D"/>
    <x v="4"/>
    <s v="standard"/>
    <s v="none"/>
    <n v="70"/>
    <n v="70"/>
    <n v="70"/>
  </r>
  <r>
    <x v="0"/>
    <s v="group E"/>
    <x v="3"/>
    <s v="free/reduced"/>
    <s v="none"/>
    <n v="70"/>
    <n v="84"/>
    <n v="81"/>
  </r>
  <r>
    <x v="1"/>
    <s v="group E"/>
    <x v="1"/>
    <s v="standard"/>
    <s v="none"/>
    <n v="69"/>
    <n v="60"/>
    <n v="54"/>
  </r>
  <r>
    <x v="0"/>
    <s v="group C"/>
    <x v="3"/>
    <s v="standard"/>
    <s v="none"/>
    <n v="52"/>
    <n v="55"/>
    <n v="57"/>
  </r>
  <r>
    <x v="1"/>
    <s v="group C"/>
    <x v="5"/>
    <s v="standard"/>
    <s v="completed"/>
    <n v="67"/>
    <n v="73"/>
    <n v="68"/>
  </r>
  <r>
    <x v="1"/>
    <s v="group C"/>
    <x v="5"/>
    <s v="standard"/>
    <s v="completed"/>
    <n v="76"/>
    <n v="80"/>
    <n v="73"/>
  </r>
  <r>
    <x v="0"/>
    <s v="group E"/>
    <x v="3"/>
    <s v="standard"/>
    <s v="none"/>
    <n v="87"/>
    <n v="94"/>
    <n v="95"/>
  </r>
  <r>
    <x v="0"/>
    <s v="group B"/>
    <x v="1"/>
    <s v="standard"/>
    <s v="none"/>
    <n v="82"/>
    <n v="85"/>
    <n v="87"/>
  </r>
  <r>
    <x v="0"/>
    <s v="group C"/>
    <x v="1"/>
    <s v="standard"/>
    <s v="none"/>
    <n v="73"/>
    <n v="76"/>
    <n v="78"/>
  </r>
  <r>
    <x v="1"/>
    <s v="group A"/>
    <x v="1"/>
    <s v="free/reduced"/>
    <s v="none"/>
    <n v="75"/>
    <n v="81"/>
    <n v="74"/>
  </r>
  <r>
    <x v="0"/>
    <s v="group D"/>
    <x v="1"/>
    <s v="free/reduced"/>
    <s v="none"/>
    <n v="64"/>
    <n v="74"/>
    <n v="75"/>
  </r>
  <r>
    <x v="0"/>
    <s v="group E"/>
    <x v="4"/>
    <s v="free/reduced"/>
    <s v="none"/>
    <n v="41"/>
    <n v="45"/>
    <n v="40"/>
  </r>
  <r>
    <x v="1"/>
    <s v="group C"/>
    <x v="4"/>
    <s v="standard"/>
    <s v="none"/>
    <n v="90"/>
    <n v="75"/>
    <n v="69"/>
  </r>
  <r>
    <x v="1"/>
    <s v="group B"/>
    <x v="0"/>
    <s v="standard"/>
    <s v="none"/>
    <n v="59"/>
    <n v="54"/>
    <n v="51"/>
  </r>
  <r>
    <x v="1"/>
    <s v="group A"/>
    <x v="5"/>
    <s v="standard"/>
    <s v="none"/>
    <n v="51"/>
    <n v="31"/>
    <n v="36"/>
  </r>
  <r>
    <x v="1"/>
    <s v="group A"/>
    <x v="4"/>
    <s v="free/reduced"/>
    <s v="none"/>
    <n v="45"/>
    <n v="47"/>
    <n v="49"/>
  </r>
  <r>
    <x v="0"/>
    <s v="group C"/>
    <x v="2"/>
    <s v="standard"/>
    <s v="completed"/>
    <n v="54"/>
    <n v="64"/>
    <n v="67"/>
  </r>
  <r>
    <x v="1"/>
    <s v="group E"/>
    <x v="5"/>
    <s v="standard"/>
    <s v="completed"/>
    <n v="87"/>
    <n v="84"/>
    <n v="76"/>
  </r>
  <r>
    <x v="0"/>
    <s v="group C"/>
    <x v="4"/>
    <s v="standard"/>
    <s v="none"/>
    <n v="72"/>
    <n v="80"/>
    <n v="83"/>
  </r>
  <r>
    <x v="1"/>
    <s v="group B"/>
    <x v="5"/>
    <s v="standard"/>
    <s v="completed"/>
    <n v="94"/>
    <n v="86"/>
    <n v="87"/>
  </r>
  <r>
    <x v="0"/>
    <s v="group A"/>
    <x v="0"/>
    <s v="standard"/>
    <s v="none"/>
    <n v="45"/>
    <n v="59"/>
    <n v="64"/>
  </r>
  <r>
    <x v="1"/>
    <s v="group D"/>
    <x v="0"/>
    <s v="free/reduced"/>
    <s v="completed"/>
    <n v="61"/>
    <n v="70"/>
    <n v="76"/>
  </r>
  <r>
    <x v="0"/>
    <s v="group B"/>
    <x v="4"/>
    <s v="free/reduced"/>
    <s v="none"/>
    <n v="60"/>
    <n v="72"/>
    <n v="68"/>
  </r>
  <r>
    <x v="0"/>
    <s v="group C"/>
    <x v="5"/>
    <s v="standard"/>
    <s v="none"/>
    <n v="77"/>
    <n v="91"/>
    <n v="88"/>
  </r>
  <r>
    <x v="0"/>
    <s v="group A"/>
    <x v="5"/>
    <s v="standard"/>
    <s v="completed"/>
    <n v="85"/>
    <n v="90"/>
    <n v="92"/>
  </r>
  <r>
    <x v="0"/>
    <s v="group D"/>
    <x v="0"/>
    <s v="free/reduced"/>
    <s v="none"/>
    <n v="78"/>
    <n v="90"/>
    <n v="93"/>
  </r>
  <r>
    <x v="1"/>
    <s v="group E"/>
    <x v="1"/>
    <s v="free/reduced"/>
    <s v="completed"/>
    <n v="49"/>
    <n v="52"/>
    <n v="51"/>
  </r>
  <r>
    <x v="0"/>
    <s v="group B"/>
    <x v="4"/>
    <s v="free/reduced"/>
    <s v="none"/>
    <n v="71"/>
    <n v="87"/>
    <n v="82"/>
  </r>
  <r>
    <x v="0"/>
    <s v="group C"/>
    <x v="5"/>
    <s v="free/reduced"/>
    <s v="none"/>
    <n v="48"/>
    <n v="58"/>
    <n v="52"/>
  </r>
  <r>
    <x v="1"/>
    <s v="group C"/>
    <x v="4"/>
    <s v="standard"/>
    <s v="none"/>
    <n v="62"/>
    <n v="67"/>
    <n v="58"/>
  </r>
  <r>
    <x v="0"/>
    <s v="group C"/>
    <x v="3"/>
    <s v="free/reduced"/>
    <s v="completed"/>
    <n v="56"/>
    <n v="68"/>
    <n v="70"/>
  </r>
  <r>
    <x v="0"/>
    <s v="group C"/>
    <x v="5"/>
    <s v="standard"/>
    <s v="none"/>
    <n v="65"/>
    <n v="69"/>
    <n v="76"/>
  </r>
  <r>
    <x v="0"/>
    <s v="group D"/>
    <x v="5"/>
    <s v="free/reduced"/>
    <s v="completed"/>
    <n v="69"/>
    <n v="86"/>
    <n v="81"/>
  </r>
  <r>
    <x v="1"/>
    <s v="group B"/>
    <x v="5"/>
    <s v="standard"/>
    <s v="none"/>
    <n v="68"/>
    <n v="54"/>
    <n v="53"/>
  </r>
  <r>
    <x v="0"/>
    <s v="group A"/>
    <x v="1"/>
    <s v="free/reduced"/>
    <s v="none"/>
    <n v="61"/>
    <n v="60"/>
    <n v="57"/>
  </r>
  <r>
    <x v="0"/>
    <s v="group C"/>
    <x v="0"/>
    <s v="free/reduced"/>
    <s v="completed"/>
    <n v="74"/>
    <n v="86"/>
    <n v="89"/>
  </r>
  <r>
    <x v="1"/>
    <s v="group A"/>
    <x v="0"/>
    <s v="standard"/>
    <s v="none"/>
    <n v="64"/>
    <n v="60"/>
    <n v="58"/>
  </r>
  <r>
    <x v="0"/>
    <s v="group B"/>
    <x v="4"/>
    <s v="standard"/>
    <s v="completed"/>
    <n v="77"/>
    <n v="82"/>
    <n v="89"/>
  </r>
  <r>
    <x v="1"/>
    <s v="group B"/>
    <x v="1"/>
    <s v="standard"/>
    <s v="none"/>
    <n v="58"/>
    <n v="50"/>
    <n v="45"/>
  </r>
  <r>
    <x v="0"/>
    <s v="group C"/>
    <x v="4"/>
    <s v="standard"/>
    <s v="completed"/>
    <n v="60"/>
    <n v="64"/>
    <n v="74"/>
  </r>
  <r>
    <x v="1"/>
    <s v="group E"/>
    <x v="4"/>
    <s v="standard"/>
    <s v="none"/>
    <n v="73"/>
    <n v="64"/>
    <n v="57"/>
  </r>
  <r>
    <x v="0"/>
    <s v="group A"/>
    <x v="4"/>
    <s v="standard"/>
    <s v="completed"/>
    <n v="75"/>
    <n v="82"/>
    <n v="79"/>
  </r>
  <r>
    <x v="1"/>
    <s v="group B"/>
    <x v="3"/>
    <s v="free/reduced"/>
    <s v="completed"/>
    <n v="58"/>
    <n v="57"/>
    <n v="53"/>
  </r>
  <r>
    <x v="0"/>
    <s v="group C"/>
    <x v="3"/>
    <s v="standard"/>
    <s v="none"/>
    <n v="66"/>
    <n v="77"/>
    <n v="73"/>
  </r>
  <r>
    <x v="0"/>
    <s v="group D"/>
    <x v="4"/>
    <s v="free/reduced"/>
    <s v="none"/>
    <n v="39"/>
    <n v="52"/>
    <n v="46"/>
  </r>
  <r>
    <x v="1"/>
    <s v="group C"/>
    <x v="5"/>
    <s v="standard"/>
    <s v="none"/>
    <n v="64"/>
    <n v="58"/>
    <n v="51"/>
  </r>
  <r>
    <x v="0"/>
    <s v="group B"/>
    <x v="4"/>
    <s v="free/reduced"/>
    <s v="completed"/>
    <n v="23"/>
    <n v="44"/>
    <n v="36"/>
  </r>
  <r>
    <x v="1"/>
    <s v="group B"/>
    <x v="1"/>
    <s v="free/reduced"/>
    <s v="completed"/>
    <n v="74"/>
    <n v="77"/>
    <n v="76"/>
  </r>
  <r>
    <x v="0"/>
    <s v="group D"/>
    <x v="5"/>
    <s v="free/reduced"/>
    <s v="completed"/>
    <n v="40"/>
    <n v="65"/>
    <n v="64"/>
  </r>
  <r>
    <x v="1"/>
    <s v="group E"/>
    <x v="2"/>
    <s v="standard"/>
    <s v="none"/>
    <n v="90"/>
    <n v="85"/>
    <n v="84"/>
  </r>
  <r>
    <x v="1"/>
    <s v="group C"/>
    <x v="2"/>
    <s v="standard"/>
    <s v="completed"/>
    <n v="91"/>
    <n v="85"/>
    <n v="85"/>
  </r>
  <r>
    <x v="1"/>
    <s v="group D"/>
    <x v="4"/>
    <s v="standard"/>
    <s v="none"/>
    <n v="64"/>
    <n v="54"/>
    <n v="50"/>
  </r>
  <r>
    <x v="0"/>
    <s v="group C"/>
    <x v="4"/>
    <s v="standard"/>
    <s v="none"/>
    <n v="59"/>
    <n v="72"/>
    <n v="68"/>
  </r>
  <r>
    <x v="1"/>
    <s v="group D"/>
    <x v="3"/>
    <s v="standard"/>
    <s v="none"/>
    <n v="80"/>
    <n v="75"/>
    <n v="69"/>
  </r>
  <r>
    <x v="1"/>
    <s v="group C"/>
    <x v="2"/>
    <s v="standard"/>
    <s v="none"/>
    <n v="71"/>
    <n v="67"/>
    <n v="67"/>
  </r>
  <r>
    <x v="0"/>
    <s v="group A"/>
    <x v="4"/>
    <s v="standard"/>
    <s v="none"/>
    <n v="61"/>
    <n v="68"/>
    <n v="63"/>
  </r>
  <r>
    <x v="0"/>
    <s v="group E"/>
    <x v="1"/>
    <s v="standard"/>
    <s v="none"/>
    <n v="87"/>
    <n v="85"/>
    <n v="93"/>
  </r>
  <r>
    <x v="1"/>
    <s v="group E"/>
    <x v="5"/>
    <s v="standard"/>
    <s v="none"/>
    <n v="82"/>
    <n v="67"/>
    <n v="61"/>
  </r>
  <r>
    <x v="1"/>
    <s v="group C"/>
    <x v="5"/>
    <s v="standard"/>
    <s v="none"/>
    <n v="62"/>
    <n v="64"/>
    <n v="55"/>
  </r>
  <r>
    <x v="0"/>
    <s v="group B"/>
    <x v="0"/>
    <s v="standard"/>
    <s v="none"/>
    <n v="97"/>
    <n v="97"/>
    <n v="96"/>
  </r>
  <r>
    <x v="1"/>
    <s v="group B"/>
    <x v="1"/>
    <s v="free/reduced"/>
    <s v="none"/>
    <n v="75"/>
    <n v="68"/>
    <n v="65"/>
  </r>
  <r>
    <x v="0"/>
    <s v="group C"/>
    <x v="0"/>
    <s v="standard"/>
    <s v="none"/>
    <n v="65"/>
    <n v="79"/>
    <n v="81"/>
  </r>
  <r>
    <x v="1"/>
    <s v="group B"/>
    <x v="4"/>
    <s v="standard"/>
    <s v="completed"/>
    <n v="52"/>
    <n v="49"/>
    <n v="46"/>
  </r>
  <r>
    <x v="1"/>
    <s v="group C"/>
    <x v="3"/>
    <s v="free/reduced"/>
    <s v="none"/>
    <n v="87"/>
    <n v="73"/>
    <n v="72"/>
  </r>
  <r>
    <x v="0"/>
    <s v="group C"/>
    <x v="3"/>
    <s v="standard"/>
    <s v="none"/>
    <n v="53"/>
    <n v="62"/>
    <n v="53"/>
  </r>
  <r>
    <x v="0"/>
    <s v="group E"/>
    <x v="2"/>
    <s v="free/reduced"/>
    <s v="none"/>
    <n v="81"/>
    <n v="86"/>
    <n v="87"/>
  </r>
  <r>
    <x v="1"/>
    <s v="group D"/>
    <x v="0"/>
    <s v="free/reduced"/>
    <s v="completed"/>
    <n v="39"/>
    <n v="42"/>
    <n v="38"/>
  </r>
  <r>
    <x v="0"/>
    <s v="group C"/>
    <x v="1"/>
    <s v="standard"/>
    <s v="completed"/>
    <n v="71"/>
    <n v="71"/>
    <n v="80"/>
  </r>
  <r>
    <x v="1"/>
    <s v="group C"/>
    <x v="3"/>
    <s v="standard"/>
    <s v="none"/>
    <n v="97"/>
    <n v="93"/>
    <n v="91"/>
  </r>
  <r>
    <x v="1"/>
    <s v="group D"/>
    <x v="1"/>
    <s v="standard"/>
    <s v="completed"/>
    <n v="82"/>
    <n v="82"/>
    <n v="88"/>
  </r>
  <r>
    <x v="1"/>
    <s v="group C"/>
    <x v="4"/>
    <s v="free/reduced"/>
    <s v="none"/>
    <n v="59"/>
    <n v="53"/>
    <n v="52"/>
  </r>
  <r>
    <x v="1"/>
    <s v="group B"/>
    <x v="3"/>
    <s v="standard"/>
    <s v="none"/>
    <n v="61"/>
    <n v="42"/>
    <n v="41"/>
  </r>
  <r>
    <x v="1"/>
    <s v="group E"/>
    <x v="3"/>
    <s v="free/reduced"/>
    <s v="completed"/>
    <n v="78"/>
    <n v="74"/>
    <n v="72"/>
  </r>
  <r>
    <x v="1"/>
    <s v="group C"/>
    <x v="3"/>
    <s v="free/reduced"/>
    <s v="none"/>
    <n v="49"/>
    <n v="51"/>
    <n v="51"/>
  </r>
  <r>
    <x v="1"/>
    <s v="group B"/>
    <x v="4"/>
    <s v="standard"/>
    <s v="none"/>
    <n v="59"/>
    <n v="58"/>
    <n v="47"/>
  </r>
  <r>
    <x v="0"/>
    <s v="group C"/>
    <x v="1"/>
    <s v="standard"/>
    <s v="completed"/>
    <n v="70"/>
    <n v="72"/>
    <n v="76"/>
  </r>
  <r>
    <x v="1"/>
    <s v="group B"/>
    <x v="3"/>
    <s v="standard"/>
    <s v="completed"/>
    <n v="82"/>
    <n v="84"/>
    <n v="78"/>
  </r>
  <r>
    <x v="1"/>
    <s v="group E"/>
    <x v="3"/>
    <s v="free/reduced"/>
    <s v="none"/>
    <n v="90"/>
    <n v="90"/>
    <n v="82"/>
  </r>
  <r>
    <x v="0"/>
    <s v="group C"/>
    <x v="0"/>
    <s v="free/reduced"/>
    <s v="none"/>
    <n v="43"/>
    <n v="62"/>
    <n v="61"/>
  </r>
  <r>
    <x v="1"/>
    <s v="group C"/>
    <x v="1"/>
    <s v="free/reduced"/>
    <s v="none"/>
    <n v="80"/>
    <n v="64"/>
    <n v="66"/>
  </r>
  <r>
    <x v="1"/>
    <s v="group D"/>
    <x v="1"/>
    <s v="standard"/>
    <s v="none"/>
    <n v="81"/>
    <n v="82"/>
    <n v="84"/>
  </r>
  <r>
    <x v="1"/>
    <s v="group C"/>
    <x v="5"/>
    <s v="standard"/>
    <s v="none"/>
    <n v="57"/>
    <n v="61"/>
    <n v="54"/>
  </r>
  <r>
    <x v="0"/>
    <s v="group D"/>
    <x v="5"/>
    <s v="standard"/>
    <s v="none"/>
    <n v="59"/>
    <n v="72"/>
    <n v="80"/>
  </r>
  <r>
    <x v="0"/>
    <s v="group D"/>
    <x v="3"/>
    <s v="standard"/>
    <s v="none"/>
    <n v="64"/>
    <n v="76"/>
    <n v="74"/>
  </r>
  <r>
    <x v="1"/>
    <s v="group C"/>
    <x v="0"/>
    <s v="standard"/>
    <s v="completed"/>
    <n v="63"/>
    <n v="64"/>
    <n v="66"/>
  </r>
  <r>
    <x v="0"/>
    <s v="group E"/>
    <x v="0"/>
    <s v="standard"/>
    <s v="completed"/>
    <n v="71"/>
    <n v="70"/>
    <n v="70"/>
  </r>
  <r>
    <x v="0"/>
    <s v="group B"/>
    <x v="4"/>
    <s v="free/reduced"/>
    <s v="none"/>
    <n v="64"/>
    <n v="73"/>
    <n v="71"/>
  </r>
  <r>
    <x v="1"/>
    <s v="group D"/>
    <x v="0"/>
    <s v="free/reduced"/>
    <s v="none"/>
    <n v="55"/>
    <n v="46"/>
    <n v="44"/>
  </r>
  <r>
    <x v="0"/>
    <s v="group E"/>
    <x v="3"/>
    <s v="standard"/>
    <s v="none"/>
    <n v="51"/>
    <n v="51"/>
    <n v="54"/>
  </r>
  <r>
    <x v="0"/>
    <s v="group C"/>
    <x v="3"/>
    <s v="standard"/>
    <s v="completed"/>
    <n v="62"/>
    <n v="76"/>
    <n v="80"/>
  </r>
  <r>
    <x v="0"/>
    <s v="group E"/>
    <x v="3"/>
    <s v="standard"/>
    <s v="completed"/>
    <n v="93"/>
    <n v="100"/>
    <n v="95"/>
  </r>
  <r>
    <x v="1"/>
    <s v="group C"/>
    <x v="4"/>
    <s v="free/reduced"/>
    <s v="none"/>
    <n v="54"/>
    <n v="72"/>
    <n v="59"/>
  </r>
  <r>
    <x v="0"/>
    <s v="group D"/>
    <x v="1"/>
    <s v="free/reduced"/>
    <s v="none"/>
    <n v="69"/>
    <n v="65"/>
    <n v="74"/>
  </r>
  <r>
    <x v="1"/>
    <s v="group D"/>
    <x v="4"/>
    <s v="free/reduced"/>
    <s v="none"/>
    <n v="44"/>
    <n v="51"/>
    <n v="48"/>
  </r>
  <r>
    <x v="0"/>
    <s v="group E"/>
    <x v="1"/>
    <s v="standard"/>
    <s v="completed"/>
    <n v="86"/>
    <n v="85"/>
    <n v="91"/>
  </r>
  <r>
    <x v="0"/>
    <s v="group E"/>
    <x v="3"/>
    <s v="standard"/>
    <s v="none"/>
    <n v="85"/>
    <n v="92"/>
    <n v="85"/>
  </r>
  <r>
    <x v="0"/>
    <s v="group A"/>
    <x v="2"/>
    <s v="free/reduced"/>
    <s v="none"/>
    <n v="50"/>
    <n v="67"/>
    <n v="73"/>
  </r>
  <r>
    <x v="1"/>
    <s v="group D"/>
    <x v="5"/>
    <s v="standard"/>
    <s v="completed"/>
    <n v="88"/>
    <n v="74"/>
    <n v="75"/>
  </r>
  <r>
    <x v="0"/>
    <s v="group E"/>
    <x v="3"/>
    <s v="standard"/>
    <s v="none"/>
    <n v="59"/>
    <n v="62"/>
    <n v="69"/>
  </r>
  <r>
    <x v="0"/>
    <s v="group E"/>
    <x v="5"/>
    <s v="free/reduced"/>
    <s v="none"/>
    <n v="32"/>
    <n v="34"/>
    <n v="38"/>
  </r>
  <r>
    <x v="1"/>
    <s v="group B"/>
    <x v="4"/>
    <s v="free/reduced"/>
    <s v="none"/>
    <n v="36"/>
    <n v="29"/>
    <n v="27"/>
  </r>
  <r>
    <x v="0"/>
    <s v="group B"/>
    <x v="5"/>
    <s v="free/reduced"/>
    <s v="completed"/>
    <n v="63"/>
    <n v="78"/>
    <n v="79"/>
  </r>
  <r>
    <x v="1"/>
    <s v="group D"/>
    <x v="3"/>
    <s v="standard"/>
    <s v="completed"/>
    <n v="67"/>
    <n v="54"/>
    <n v="63"/>
  </r>
  <r>
    <x v="0"/>
    <s v="group D"/>
    <x v="5"/>
    <s v="standard"/>
    <s v="completed"/>
    <n v="65"/>
    <n v="78"/>
    <n v="82"/>
  </r>
  <r>
    <x v="1"/>
    <s v="group D"/>
    <x v="2"/>
    <s v="standard"/>
    <s v="none"/>
    <n v="85"/>
    <n v="84"/>
    <n v="89"/>
  </r>
  <r>
    <x v="0"/>
    <s v="group C"/>
    <x v="2"/>
    <s v="standard"/>
    <s v="none"/>
    <n v="73"/>
    <n v="78"/>
    <n v="74"/>
  </r>
  <r>
    <x v="0"/>
    <s v="group A"/>
    <x v="4"/>
    <s v="free/reduced"/>
    <s v="completed"/>
    <n v="34"/>
    <n v="48"/>
    <n v="41"/>
  </r>
  <r>
    <x v="0"/>
    <s v="group D"/>
    <x v="0"/>
    <s v="free/reduced"/>
    <s v="completed"/>
    <n v="93"/>
    <n v="100"/>
    <n v="100"/>
  </r>
  <r>
    <x v="0"/>
    <s v="group D"/>
    <x v="5"/>
    <s v="free/reduced"/>
    <s v="none"/>
    <n v="67"/>
    <n v="84"/>
    <n v="84"/>
  </r>
  <r>
    <x v="1"/>
    <s v="group D"/>
    <x v="1"/>
    <s v="standard"/>
    <s v="none"/>
    <n v="88"/>
    <n v="77"/>
    <n v="77"/>
  </r>
  <r>
    <x v="1"/>
    <s v="group B"/>
    <x v="4"/>
    <s v="standard"/>
    <s v="none"/>
    <n v="57"/>
    <n v="48"/>
    <n v="51"/>
  </r>
  <r>
    <x v="0"/>
    <s v="group D"/>
    <x v="1"/>
    <s v="standard"/>
    <s v="completed"/>
    <n v="79"/>
    <n v="84"/>
    <n v="91"/>
  </r>
  <r>
    <x v="0"/>
    <s v="group C"/>
    <x v="0"/>
    <s v="free/reduced"/>
    <s v="none"/>
    <n v="67"/>
    <n v="75"/>
    <n v="72"/>
  </r>
  <r>
    <x v="1"/>
    <s v="group E"/>
    <x v="0"/>
    <s v="standard"/>
    <s v="completed"/>
    <n v="70"/>
    <n v="64"/>
    <n v="70"/>
  </r>
  <r>
    <x v="1"/>
    <s v="group D"/>
    <x v="0"/>
    <s v="free/reduced"/>
    <s v="none"/>
    <n v="50"/>
    <n v="42"/>
    <n v="48"/>
  </r>
  <r>
    <x v="0"/>
    <s v="group A"/>
    <x v="1"/>
    <s v="standard"/>
    <s v="none"/>
    <n v="69"/>
    <n v="84"/>
    <n v="82"/>
  </r>
  <r>
    <x v="0"/>
    <s v="group C"/>
    <x v="0"/>
    <s v="standard"/>
    <s v="completed"/>
    <n v="52"/>
    <n v="61"/>
    <n v="66"/>
  </r>
  <r>
    <x v="0"/>
    <s v="group C"/>
    <x v="0"/>
    <s v="free/reduced"/>
    <s v="completed"/>
    <n v="47"/>
    <n v="62"/>
    <n v="66"/>
  </r>
  <r>
    <x v="0"/>
    <s v="group B"/>
    <x v="3"/>
    <s v="free/reduced"/>
    <s v="none"/>
    <n v="46"/>
    <n v="61"/>
    <n v="55"/>
  </r>
  <r>
    <x v="0"/>
    <s v="group E"/>
    <x v="1"/>
    <s v="standard"/>
    <s v="none"/>
    <n v="68"/>
    <n v="70"/>
    <n v="66"/>
  </r>
  <r>
    <x v="1"/>
    <s v="group E"/>
    <x v="0"/>
    <s v="standard"/>
    <s v="completed"/>
    <n v="100"/>
    <n v="100"/>
    <n v="100"/>
  </r>
  <r>
    <x v="0"/>
    <s v="group C"/>
    <x v="4"/>
    <s v="standard"/>
    <s v="none"/>
    <n v="44"/>
    <n v="61"/>
    <n v="52"/>
  </r>
  <r>
    <x v="0"/>
    <s v="group C"/>
    <x v="3"/>
    <s v="standard"/>
    <s v="completed"/>
    <n v="57"/>
    <n v="77"/>
    <n v="80"/>
  </r>
  <r>
    <x v="1"/>
    <s v="group B"/>
    <x v="1"/>
    <s v="standard"/>
    <s v="completed"/>
    <n v="91"/>
    <n v="96"/>
    <n v="91"/>
  </r>
  <r>
    <x v="1"/>
    <s v="group D"/>
    <x v="4"/>
    <s v="free/reduced"/>
    <s v="none"/>
    <n v="69"/>
    <n v="70"/>
    <n v="67"/>
  </r>
  <r>
    <x v="0"/>
    <s v="group C"/>
    <x v="4"/>
    <s v="free/reduced"/>
    <s v="none"/>
    <n v="35"/>
    <n v="53"/>
    <n v="46"/>
  </r>
  <r>
    <x v="1"/>
    <s v="group D"/>
    <x v="4"/>
    <s v="standard"/>
    <s v="none"/>
    <n v="72"/>
    <n v="66"/>
    <n v="66"/>
  </r>
  <r>
    <x v="0"/>
    <s v="group B"/>
    <x v="3"/>
    <s v="free/reduced"/>
    <s v="none"/>
    <n v="54"/>
    <n v="65"/>
    <n v="65"/>
  </r>
  <r>
    <x v="1"/>
    <s v="group D"/>
    <x v="4"/>
    <s v="free/reduced"/>
    <s v="none"/>
    <n v="74"/>
    <n v="70"/>
    <n v="69"/>
  </r>
  <r>
    <x v="1"/>
    <s v="group E"/>
    <x v="5"/>
    <s v="standard"/>
    <s v="completed"/>
    <n v="74"/>
    <n v="64"/>
    <n v="60"/>
  </r>
  <r>
    <x v="1"/>
    <s v="group E"/>
    <x v="3"/>
    <s v="free/reduced"/>
    <s v="none"/>
    <n v="64"/>
    <n v="56"/>
    <n v="52"/>
  </r>
  <r>
    <x v="0"/>
    <s v="group D"/>
    <x v="4"/>
    <s v="free/reduced"/>
    <s v="completed"/>
    <n v="65"/>
    <n v="61"/>
    <n v="71"/>
  </r>
  <r>
    <x v="1"/>
    <s v="group E"/>
    <x v="3"/>
    <s v="free/reduced"/>
    <s v="completed"/>
    <n v="46"/>
    <n v="43"/>
    <n v="44"/>
  </r>
  <r>
    <x v="0"/>
    <s v="group C"/>
    <x v="5"/>
    <s v="free/reduced"/>
    <s v="none"/>
    <n v="48"/>
    <n v="56"/>
    <n v="51"/>
  </r>
  <r>
    <x v="1"/>
    <s v="group C"/>
    <x v="1"/>
    <s v="free/reduced"/>
    <s v="completed"/>
    <n v="67"/>
    <n v="74"/>
    <n v="70"/>
  </r>
  <r>
    <x v="1"/>
    <s v="group D"/>
    <x v="1"/>
    <s v="free/reduced"/>
    <s v="none"/>
    <n v="62"/>
    <n v="57"/>
    <n v="62"/>
  </r>
  <r>
    <x v="1"/>
    <s v="group D"/>
    <x v="3"/>
    <s v="free/reduced"/>
    <s v="completed"/>
    <n v="61"/>
    <n v="71"/>
    <n v="73"/>
  </r>
  <r>
    <x v="1"/>
    <s v="group C"/>
    <x v="0"/>
    <s v="free/reduced"/>
    <s v="completed"/>
    <n v="70"/>
    <n v="75"/>
    <n v="74"/>
  </r>
  <r>
    <x v="1"/>
    <s v="group C"/>
    <x v="3"/>
    <s v="standard"/>
    <s v="completed"/>
    <n v="98"/>
    <n v="87"/>
    <n v="90"/>
  </r>
  <r>
    <x v="1"/>
    <s v="group D"/>
    <x v="1"/>
    <s v="free/reduced"/>
    <s v="none"/>
    <n v="70"/>
    <n v="63"/>
    <n v="58"/>
  </r>
  <r>
    <x v="1"/>
    <s v="group A"/>
    <x v="3"/>
    <s v="standard"/>
    <s v="none"/>
    <n v="67"/>
    <n v="57"/>
    <n v="53"/>
  </r>
  <r>
    <x v="0"/>
    <s v="group E"/>
    <x v="4"/>
    <s v="free/reduced"/>
    <s v="none"/>
    <n v="57"/>
    <n v="58"/>
    <n v="57"/>
  </r>
  <r>
    <x v="1"/>
    <s v="group D"/>
    <x v="1"/>
    <s v="standard"/>
    <s v="completed"/>
    <n v="85"/>
    <n v="81"/>
    <n v="85"/>
  </r>
  <r>
    <x v="1"/>
    <s v="group D"/>
    <x v="5"/>
    <s v="standard"/>
    <s v="completed"/>
    <n v="77"/>
    <n v="68"/>
    <n v="69"/>
  </r>
  <r>
    <x v="1"/>
    <s v="group C"/>
    <x v="2"/>
    <s v="free/reduced"/>
    <s v="completed"/>
    <n v="72"/>
    <n v="66"/>
    <n v="72"/>
  </r>
  <r>
    <x v="0"/>
    <s v="group D"/>
    <x v="2"/>
    <s v="standard"/>
    <s v="none"/>
    <n v="78"/>
    <n v="91"/>
    <n v="96"/>
  </r>
  <r>
    <x v="1"/>
    <s v="group C"/>
    <x v="4"/>
    <s v="standard"/>
    <s v="none"/>
    <n v="81"/>
    <n v="66"/>
    <n v="64"/>
  </r>
  <r>
    <x v="1"/>
    <s v="group A"/>
    <x v="5"/>
    <s v="free/reduced"/>
    <s v="completed"/>
    <n v="61"/>
    <n v="62"/>
    <n v="61"/>
  </r>
  <r>
    <x v="0"/>
    <s v="group B"/>
    <x v="4"/>
    <s v="standard"/>
    <s v="none"/>
    <n v="58"/>
    <n v="68"/>
    <n v="61"/>
  </r>
  <r>
    <x v="0"/>
    <s v="group C"/>
    <x v="3"/>
    <s v="standard"/>
    <s v="none"/>
    <n v="54"/>
    <n v="61"/>
    <n v="58"/>
  </r>
  <r>
    <x v="1"/>
    <s v="group B"/>
    <x v="4"/>
    <s v="standard"/>
    <s v="none"/>
    <n v="82"/>
    <n v="82"/>
    <n v="80"/>
  </r>
  <r>
    <x v="0"/>
    <s v="group D"/>
    <x v="1"/>
    <s v="free/reduced"/>
    <s v="none"/>
    <n v="49"/>
    <n v="58"/>
    <n v="60"/>
  </r>
  <r>
    <x v="1"/>
    <s v="group B"/>
    <x v="5"/>
    <s v="free/reduced"/>
    <s v="completed"/>
    <n v="49"/>
    <n v="50"/>
    <n v="52"/>
  </r>
  <r>
    <x v="0"/>
    <s v="group E"/>
    <x v="4"/>
    <s v="free/reduced"/>
    <s v="completed"/>
    <n v="57"/>
    <n v="75"/>
    <n v="73"/>
  </r>
  <r>
    <x v="1"/>
    <s v="group E"/>
    <x v="4"/>
    <s v="standard"/>
    <s v="none"/>
    <n v="94"/>
    <n v="73"/>
    <n v="71"/>
  </r>
  <r>
    <x v="0"/>
    <s v="group D"/>
    <x v="1"/>
    <s v="standard"/>
    <s v="completed"/>
    <n v="75"/>
    <n v="77"/>
    <n v="83"/>
  </r>
  <r>
    <x v="0"/>
    <s v="group E"/>
    <x v="5"/>
    <s v="free/reduced"/>
    <s v="none"/>
    <n v="74"/>
    <n v="74"/>
    <n v="72"/>
  </r>
  <r>
    <x v="1"/>
    <s v="group C"/>
    <x v="4"/>
    <s v="standard"/>
    <s v="completed"/>
    <n v="58"/>
    <n v="52"/>
    <n v="54"/>
  </r>
  <r>
    <x v="0"/>
    <s v="group C"/>
    <x v="1"/>
    <s v="standard"/>
    <s v="none"/>
    <n v="62"/>
    <n v="69"/>
    <n v="69"/>
  </r>
  <r>
    <x v="1"/>
    <s v="group E"/>
    <x v="3"/>
    <s v="standard"/>
    <s v="none"/>
    <n v="72"/>
    <n v="57"/>
    <n v="62"/>
  </r>
  <r>
    <x v="1"/>
    <s v="group C"/>
    <x v="1"/>
    <s v="standard"/>
    <s v="none"/>
    <n v="84"/>
    <n v="87"/>
    <n v="81"/>
  </r>
  <r>
    <x v="0"/>
    <s v="group D"/>
    <x v="2"/>
    <s v="standard"/>
    <s v="none"/>
    <n v="92"/>
    <n v="100"/>
    <n v="100"/>
  </r>
  <r>
    <x v="0"/>
    <s v="group D"/>
    <x v="4"/>
    <s v="standard"/>
    <s v="none"/>
    <n v="45"/>
    <n v="63"/>
    <n v="59"/>
  </r>
  <r>
    <x v="1"/>
    <s v="group C"/>
    <x v="4"/>
    <s v="standard"/>
    <s v="none"/>
    <n v="75"/>
    <n v="81"/>
    <n v="71"/>
  </r>
  <r>
    <x v="0"/>
    <s v="group A"/>
    <x v="1"/>
    <s v="standard"/>
    <s v="none"/>
    <n v="56"/>
    <n v="58"/>
    <n v="64"/>
  </r>
  <r>
    <x v="0"/>
    <s v="group D"/>
    <x v="5"/>
    <s v="free/reduced"/>
    <s v="none"/>
    <n v="48"/>
    <n v="54"/>
    <n v="53"/>
  </r>
  <r>
    <x v="0"/>
    <s v="group E"/>
    <x v="3"/>
    <s v="standard"/>
    <s v="none"/>
    <n v="100"/>
    <n v="100"/>
    <n v="100"/>
  </r>
  <r>
    <x v="0"/>
    <s v="group C"/>
    <x v="5"/>
    <s v="free/reduced"/>
    <s v="completed"/>
    <n v="65"/>
    <n v="76"/>
    <n v="75"/>
  </r>
  <r>
    <x v="1"/>
    <s v="group D"/>
    <x v="1"/>
    <s v="standard"/>
    <s v="none"/>
    <n v="72"/>
    <n v="57"/>
    <n v="58"/>
  </r>
  <r>
    <x v="0"/>
    <s v="group D"/>
    <x v="1"/>
    <s v="standard"/>
    <s v="none"/>
    <n v="62"/>
    <n v="70"/>
    <n v="72"/>
  </r>
  <r>
    <x v="1"/>
    <s v="group A"/>
    <x v="5"/>
    <s v="standard"/>
    <s v="completed"/>
    <n v="66"/>
    <n v="68"/>
    <n v="64"/>
  </r>
  <r>
    <x v="1"/>
    <s v="group C"/>
    <x v="1"/>
    <s v="standard"/>
    <s v="none"/>
    <n v="63"/>
    <n v="63"/>
    <n v="60"/>
  </r>
  <r>
    <x v="0"/>
    <s v="group E"/>
    <x v="3"/>
    <s v="standard"/>
    <s v="none"/>
    <n v="68"/>
    <n v="76"/>
    <n v="67"/>
  </r>
  <r>
    <x v="0"/>
    <s v="group B"/>
    <x v="0"/>
    <s v="standard"/>
    <s v="none"/>
    <n v="75"/>
    <n v="84"/>
    <n v="80"/>
  </r>
  <r>
    <x v="0"/>
    <s v="group D"/>
    <x v="0"/>
    <s v="standard"/>
    <s v="none"/>
    <n v="89"/>
    <n v="100"/>
    <n v="100"/>
  </r>
  <r>
    <x v="1"/>
    <s v="group C"/>
    <x v="5"/>
    <s v="standard"/>
    <s v="completed"/>
    <n v="78"/>
    <n v="72"/>
    <n v="69"/>
  </r>
  <r>
    <x v="0"/>
    <s v="group A"/>
    <x v="4"/>
    <s v="free/reduced"/>
    <s v="completed"/>
    <n v="53"/>
    <n v="50"/>
    <n v="60"/>
  </r>
  <r>
    <x v="0"/>
    <s v="group D"/>
    <x v="1"/>
    <s v="free/reduced"/>
    <s v="none"/>
    <n v="49"/>
    <n v="65"/>
    <n v="61"/>
  </r>
  <r>
    <x v="0"/>
    <s v="group A"/>
    <x v="1"/>
    <s v="standard"/>
    <s v="none"/>
    <n v="54"/>
    <n v="63"/>
    <n v="67"/>
  </r>
  <r>
    <x v="0"/>
    <s v="group C"/>
    <x v="1"/>
    <s v="standard"/>
    <s v="completed"/>
    <n v="64"/>
    <n v="82"/>
    <n v="77"/>
  </r>
  <r>
    <x v="1"/>
    <s v="group B"/>
    <x v="1"/>
    <s v="free/reduced"/>
    <s v="completed"/>
    <n v="60"/>
    <n v="62"/>
    <n v="60"/>
  </r>
  <r>
    <x v="1"/>
    <s v="group C"/>
    <x v="3"/>
    <s v="standard"/>
    <s v="none"/>
    <n v="62"/>
    <n v="65"/>
    <n v="58"/>
  </r>
  <r>
    <x v="1"/>
    <s v="group D"/>
    <x v="4"/>
    <s v="standard"/>
    <s v="completed"/>
    <n v="55"/>
    <n v="41"/>
    <n v="48"/>
  </r>
  <r>
    <x v="0"/>
    <s v="group C"/>
    <x v="3"/>
    <s v="standard"/>
    <s v="none"/>
    <n v="91"/>
    <n v="95"/>
    <n v="94"/>
  </r>
  <r>
    <x v="0"/>
    <s v="group B"/>
    <x v="4"/>
    <s v="free/reduced"/>
    <s v="none"/>
    <n v="8"/>
    <n v="24"/>
    <n v="23"/>
  </r>
  <r>
    <x v="1"/>
    <s v="group D"/>
    <x v="5"/>
    <s v="standard"/>
    <s v="none"/>
    <n v="81"/>
    <n v="78"/>
    <n v="78"/>
  </r>
  <r>
    <x v="1"/>
    <s v="group B"/>
    <x v="5"/>
    <s v="standard"/>
    <s v="completed"/>
    <n v="79"/>
    <n v="85"/>
    <n v="86"/>
  </r>
  <r>
    <x v="0"/>
    <s v="group A"/>
    <x v="1"/>
    <s v="standard"/>
    <s v="completed"/>
    <n v="78"/>
    <n v="87"/>
    <n v="91"/>
  </r>
  <r>
    <x v="0"/>
    <s v="group C"/>
    <x v="5"/>
    <s v="standard"/>
    <s v="none"/>
    <n v="74"/>
    <n v="75"/>
    <n v="82"/>
  </r>
  <r>
    <x v="1"/>
    <s v="group A"/>
    <x v="4"/>
    <s v="standard"/>
    <s v="none"/>
    <n v="57"/>
    <n v="51"/>
    <n v="54"/>
  </r>
  <r>
    <x v="0"/>
    <s v="group C"/>
    <x v="3"/>
    <s v="standard"/>
    <s v="none"/>
    <n v="40"/>
    <n v="59"/>
    <n v="51"/>
  </r>
  <r>
    <x v="1"/>
    <s v="group E"/>
    <x v="5"/>
    <s v="standard"/>
    <s v="completed"/>
    <n v="81"/>
    <n v="75"/>
    <n v="76"/>
  </r>
  <r>
    <x v="0"/>
    <s v="group A"/>
    <x v="5"/>
    <s v="free/reduced"/>
    <s v="none"/>
    <n v="44"/>
    <n v="45"/>
    <n v="45"/>
  </r>
  <r>
    <x v="0"/>
    <s v="group D"/>
    <x v="1"/>
    <s v="free/reduced"/>
    <s v="completed"/>
    <n v="67"/>
    <n v="86"/>
    <n v="83"/>
  </r>
  <r>
    <x v="1"/>
    <s v="group E"/>
    <x v="4"/>
    <s v="free/reduced"/>
    <s v="completed"/>
    <n v="86"/>
    <n v="81"/>
    <n v="75"/>
  </r>
  <r>
    <x v="0"/>
    <s v="group B"/>
    <x v="5"/>
    <s v="standard"/>
    <s v="completed"/>
    <n v="65"/>
    <n v="82"/>
    <n v="78"/>
  </r>
  <r>
    <x v="0"/>
    <s v="group D"/>
    <x v="3"/>
    <s v="free/reduced"/>
    <s v="none"/>
    <n v="55"/>
    <n v="76"/>
    <n v="76"/>
  </r>
  <r>
    <x v="0"/>
    <s v="group D"/>
    <x v="0"/>
    <s v="free/reduced"/>
    <s v="none"/>
    <n v="62"/>
    <n v="72"/>
    <n v="74"/>
  </r>
  <r>
    <x v="1"/>
    <s v="group A"/>
    <x v="4"/>
    <s v="standard"/>
    <s v="none"/>
    <n v="63"/>
    <n v="63"/>
    <n v="62"/>
  </r>
  <r>
    <x v="0"/>
    <s v="group E"/>
    <x v="2"/>
    <s v="standard"/>
    <s v="completed"/>
    <n v="88"/>
    <n v="99"/>
    <n v="95"/>
  </r>
  <r>
    <x v="1"/>
    <s v="group C"/>
    <x v="4"/>
    <s v="free/reduced"/>
    <s v="none"/>
    <n v="62"/>
    <n v="55"/>
    <n v="55"/>
  </r>
  <r>
    <x v="0"/>
    <s v="group C"/>
    <x v="4"/>
    <s v="free/reduced"/>
    <s v="completed"/>
    <n v="59"/>
    <n v="71"/>
    <n v="65"/>
  </r>
  <r>
    <x v="0"/>
    <s v="group D"/>
    <x v="1"/>
    <s v="standard"/>
    <s v="completed"/>
    <n v="68"/>
    <n v="78"/>
    <n v="77"/>
  </r>
  <r>
    <x v="0"/>
    <s v="group D"/>
    <x v="1"/>
    <s v="free/reduced"/>
    <s v="none"/>
    <n v="77"/>
    <n v="86"/>
    <n v="8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r>
  <r>
    <x v="0"/>
    <x v="1"/>
    <x v="1"/>
    <x v="0"/>
    <x v="1"/>
    <n v="69"/>
    <n v="90"/>
    <n v="88"/>
  </r>
  <r>
    <x v="0"/>
    <x v="0"/>
    <x v="2"/>
    <x v="0"/>
    <x v="0"/>
    <n v="90"/>
    <n v="95"/>
    <n v="93"/>
  </r>
  <r>
    <x v="1"/>
    <x v="2"/>
    <x v="3"/>
    <x v="1"/>
    <x v="0"/>
    <n v="47"/>
    <n v="57"/>
    <n v="44"/>
  </r>
  <r>
    <x v="1"/>
    <x v="1"/>
    <x v="1"/>
    <x v="0"/>
    <x v="0"/>
    <n v="76"/>
    <n v="78"/>
    <n v="75"/>
  </r>
  <r>
    <x v="0"/>
    <x v="0"/>
    <x v="3"/>
    <x v="0"/>
    <x v="0"/>
    <n v="71"/>
    <n v="83"/>
    <n v="78"/>
  </r>
  <r>
    <x v="0"/>
    <x v="0"/>
    <x v="1"/>
    <x v="0"/>
    <x v="1"/>
    <n v="88"/>
    <n v="95"/>
    <n v="92"/>
  </r>
  <r>
    <x v="1"/>
    <x v="0"/>
    <x v="1"/>
    <x v="1"/>
    <x v="0"/>
    <n v="40"/>
    <n v="43"/>
    <n v="39"/>
  </r>
  <r>
    <x v="1"/>
    <x v="3"/>
    <x v="4"/>
    <x v="1"/>
    <x v="1"/>
    <n v="64"/>
    <n v="64"/>
    <n v="67"/>
  </r>
  <r>
    <x v="0"/>
    <x v="0"/>
    <x v="4"/>
    <x v="1"/>
    <x v="0"/>
    <n v="38"/>
    <n v="60"/>
    <n v="50"/>
  </r>
  <r>
    <x v="1"/>
    <x v="1"/>
    <x v="3"/>
    <x v="0"/>
    <x v="0"/>
    <n v="58"/>
    <n v="54"/>
    <n v="52"/>
  </r>
  <r>
    <x v="1"/>
    <x v="3"/>
    <x v="3"/>
    <x v="0"/>
    <x v="0"/>
    <n v="40"/>
    <n v="52"/>
    <n v="43"/>
  </r>
  <r>
    <x v="0"/>
    <x v="0"/>
    <x v="4"/>
    <x v="0"/>
    <x v="0"/>
    <n v="65"/>
    <n v="81"/>
    <n v="73"/>
  </r>
  <r>
    <x v="1"/>
    <x v="2"/>
    <x v="1"/>
    <x v="0"/>
    <x v="1"/>
    <n v="78"/>
    <n v="72"/>
    <n v="70"/>
  </r>
  <r>
    <x v="0"/>
    <x v="2"/>
    <x v="2"/>
    <x v="0"/>
    <x v="0"/>
    <n v="50"/>
    <n v="53"/>
    <n v="58"/>
  </r>
  <r>
    <x v="0"/>
    <x v="1"/>
    <x v="5"/>
    <x v="0"/>
    <x v="0"/>
    <n v="69"/>
    <n v="75"/>
    <n v="78"/>
  </r>
  <r>
    <x v="1"/>
    <x v="1"/>
    <x v="4"/>
    <x v="0"/>
    <x v="0"/>
    <n v="88"/>
    <n v="89"/>
    <n v="86"/>
  </r>
  <r>
    <x v="0"/>
    <x v="0"/>
    <x v="5"/>
    <x v="1"/>
    <x v="0"/>
    <n v="18"/>
    <n v="32"/>
    <n v="28"/>
  </r>
  <r>
    <x v="1"/>
    <x v="1"/>
    <x v="2"/>
    <x v="1"/>
    <x v="1"/>
    <n v="46"/>
    <n v="42"/>
    <n v="46"/>
  </r>
  <r>
    <x v="0"/>
    <x v="1"/>
    <x v="3"/>
    <x v="1"/>
    <x v="0"/>
    <n v="54"/>
    <n v="58"/>
    <n v="61"/>
  </r>
  <r>
    <x v="1"/>
    <x v="3"/>
    <x v="4"/>
    <x v="0"/>
    <x v="0"/>
    <n v="66"/>
    <n v="69"/>
    <n v="63"/>
  </r>
  <r>
    <x v="0"/>
    <x v="0"/>
    <x v="1"/>
    <x v="1"/>
    <x v="1"/>
    <n v="65"/>
    <n v="75"/>
    <n v="70"/>
  </r>
  <r>
    <x v="1"/>
    <x v="3"/>
    <x v="1"/>
    <x v="0"/>
    <x v="0"/>
    <n v="44"/>
    <n v="54"/>
    <n v="53"/>
  </r>
  <r>
    <x v="0"/>
    <x v="1"/>
    <x v="5"/>
    <x v="0"/>
    <x v="0"/>
    <n v="69"/>
    <n v="73"/>
    <n v="73"/>
  </r>
  <r>
    <x v="1"/>
    <x v="3"/>
    <x v="0"/>
    <x v="1"/>
    <x v="1"/>
    <n v="74"/>
    <n v="71"/>
    <n v="80"/>
  </r>
  <r>
    <x v="1"/>
    <x v="2"/>
    <x v="2"/>
    <x v="1"/>
    <x v="0"/>
    <n v="73"/>
    <n v="74"/>
    <n v="72"/>
  </r>
  <r>
    <x v="1"/>
    <x v="0"/>
    <x v="1"/>
    <x v="0"/>
    <x v="0"/>
    <n v="69"/>
    <n v="54"/>
    <n v="55"/>
  </r>
  <r>
    <x v="0"/>
    <x v="1"/>
    <x v="0"/>
    <x v="0"/>
    <x v="0"/>
    <n v="67"/>
    <n v="69"/>
    <n v="75"/>
  </r>
  <r>
    <x v="1"/>
    <x v="1"/>
    <x v="4"/>
    <x v="0"/>
    <x v="0"/>
    <n v="70"/>
    <n v="70"/>
    <n v="65"/>
  </r>
  <r>
    <x v="0"/>
    <x v="3"/>
    <x v="2"/>
    <x v="0"/>
    <x v="0"/>
    <n v="62"/>
    <n v="70"/>
    <n v="75"/>
  </r>
  <r>
    <x v="0"/>
    <x v="3"/>
    <x v="1"/>
    <x v="0"/>
    <x v="0"/>
    <n v="69"/>
    <n v="74"/>
    <n v="74"/>
  </r>
  <r>
    <x v="0"/>
    <x v="0"/>
    <x v="1"/>
    <x v="0"/>
    <x v="0"/>
    <n v="63"/>
    <n v="65"/>
    <n v="61"/>
  </r>
  <r>
    <x v="0"/>
    <x v="4"/>
    <x v="2"/>
    <x v="1"/>
    <x v="0"/>
    <n v="56"/>
    <n v="72"/>
    <n v="65"/>
  </r>
  <r>
    <x v="1"/>
    <x v="3"/>
    <x v="1"/>
    <x v="0"/>
    <x v="0"/>
    <n v="40"/>
    <n v="42"/>
    <n v="38"/>
  </r>
  <r>
    <x v="1"/>
    <x v="4"/>
    <x v="1"/>
    <x v="0"/>
    <x v="0"/>
    <n v="97"/>
    <n v="87"/>
    <n v="82"/>
  </r>
  <r>
    <x v="1"/>
    <x v="4"/>
    <x v="3"/>
    <x v="0"/>
    <x v="1"/>
    <n v="81"/>
    <n v="81"/>
    <n v="79"/>
  </r>
  <r>
    <x v="0"/>
    <x v="3"/>
    <x v="3"/>
    <x v="0"/>
    <x v="0"/>
    <n v="74"/>
    <n v="81"/>
    <n v="83"/>
  </r>
  <r>
    <x v="0"/>
    <x v="3"/>
    <x v="5"/>
    <x v="1"/>
    <x v="0"/>
    <n v="50"/>
    <n v="64"/>
    <n v="59"/>
  </r>
  <r>
    <x v="0"/>
    <x v="3"/>
    <x v="3"/>
    <x v="1"/>
    <x v="1"/>
    <n v="75"/>
    <n v="90"/>
    <n v="88"/>
  </r>
  <r>
    <x v="1"/>
    <x v="0"/>
    <x v="3"/>
    <x v="1"/>
    <x v="0"/>
    <n v="57"/>
    <n v="56"/>
    <n v="57"/>
  </r>
  <r>
    <x v="1"/>
    <x v="1"/>
    <x v="3"/>
    <x v="1"/>
    <x v="0"/>
    <n v="55"/>
    <n v="61"/>
    <n v="54"/>
  </r>
  <r>
    <x v="0"/>
    <x v="1"/>
    <x v="3"/>
    <x v="0"/>
    <x v="0"/>
    <n v="58"/>
    <n v="73"/>
    <n v="68"/>
  </r>
  <r>
    <x v="0"/>
    <x v="0"/>
    <x v="3"/>
    <x v="0"/>
    <x v="0"/>
    <n v="53"/>
    <n v="58"/>
    <n v="65"/>
  </r>
  <r>
    <x v="1"/>
    <x v="0"/>
    <x v="1"/>
    <x v="1"/>
    <x v="1"/>
    <n v="59"/>
    <n v="65"/>
    <n v="66"/>
  </r>
  <r>
    <x v="0"/>
    <x v="4"/>
    <x v="3"/>
    <x v="1"/>
    <x v="0"/>
    <n v="50"/>
    <n v="56"/>
    <n v="54"/>
  </r>
  <r>
    <x v="1"/>
    <x v="0"/>
    <x v="3"/>
    <x v="0"/>
    <x v="0"/>
    <n v="65"/>
    <n v="54"/>
    <n v="57"/>
  </r>
  <r>
    <x v="0"/>
    <x v="2"/>
    <x v="3"/>
    <x v="0"/>
    <x v="1"/>
    <n v="55"/>
    <n v="65"/>
    <n v="62"/>
  </r>
  <r>
    <x v="0"/>
    <x v="1"/>
    <x v="4"/>
    <x v="0"/>
    <x v="0"/>
    <n v="66"/>
    <n v="71"/>
    <n v="76"/>
  </r>
  <r>
    <x v="0"/>
    <x v="3"/>
    <x v="3"/>
    <x v="1"/>
    <x v="1"/>
    <n v="57"/>
    <n v="74"/>
    <n v="76"/>
  </r>
  <r>
    <x v="1"/>
    <x v="1"/>
    <x v="4"/>
    <x v="0"/>
    <x v="1"/>
    <n v="82"/>
    <n v="84"/>
    <n v="82"/>
  </r>
  <r>
    <x v="1"/>
    <x v="4"/>
    <x v="1"/>
    <x v="0"/>
    <x v="0"/>
    <n v="53"/>
    <n v="55"/>
    <n v="48"/>
  </r>
  <r>
    <x v="1"/>
    <x v="4"/>
    <x v="3"/>
    <x v="1"/>
    <x v="1"/>
    <n v="77"/>
    <n v="69"/>
    <n v="68"/>
  </r>
  <r>
    <x v="1"/>
    <x v="1"/>
    <x v="1"/>
    <x v="0"/>
    <x v="0"/>
    <n v="53"/>
    <n v="44"/>
    <n v="42"/>
  </r>
  <r>
    <x v="1"/>
    <x v="3"/>
    <x v="4"/>
    <x v="0"/>
    <x v="0"/>
    <n v="88"/>
    <n v="78"/>
    <n v="75"/>
  </r>
  <r>
    <x v="0"/>
    <x v="1"/>
    <x v="5"/>
    <x v="1"/>
    <x v="1"/>
    <n v="71"/>
    <n v="84"/>
    <n v="87"/>
  </r>
  <r>
    <x v="0"/>
    <x v="1"/>
    <x v="4"/>
    <x v="1"/>
    <x v="0"/>
    <n v="33"/>
    <n v="41"/>
    <n v="43"/>
  </r>
  <r>
    <x v="0"/>
    <x v="4"/>
    <x v="3"/>
    <x v="0"/>
    <x v="1"/>
    <n v="82"/>
    <n v="85"/>
    <n v="86"/>
  </r>
  <r>
    <x v="1"/>
    <x v="3"/>
    <x v="3"/>
    <x v="0"/>
    <x v="0"/>
    <n v="52"/>
    <n v="55"/>
    <n v="49"/>
  </r>
  <r>
    <x v="1"/>
    <x v="3"/>
    <x v="1"/>
    <x v="0"/>
    <x v="1"/>
    <n v="58"/>
    <n v="59"/>
    <n v="58"/>
  </r>
  <r>
    <x v="0"/>
    <x v="1"/>
    <x v="5"/>
    <x v="1"/>
    <x v="0"/>
    <n v="0"/>
    <n v="17"/>
    <n v="10"/>
  </r>
  <r>
    <x v="1"/>
    <x v="4"/>
    <x v="0"/>
    <x v="1"/>
    <x v="1"/>
    <n v="79"/>
    <n v="74"/>
    <n v="72"/>
  </r>
  <r>
    <x v="1"/>
    <x v="2"/>
    <x v="5"/>
    <x v="1"/>
    <x v="0"/>
    <n v="39"/>
    <n v="39"/>
    <n v="34"/>
  </r>
  <r>
    <x v="1"/>
    <x v="2"/>
    <x v="3"/>
    <x v="1"/>
    <x v="0"/>
    <n v="62"/>
    <n v="61"/>
    <n v="55"/>
  </r>
  <r>
    <x v="0"/>
    <x v="1"/>
    <x v="3"/>
    <x v="0"/>
    <x v="0"/>
    <n v="69"/>
    <n v="80"/>
    <n v="71"/>
  </r>
  <r>
    <x v="0"/>
    <x v="3"/>
    <x v="5"/>
    <x v="0"/>
    <x v="0"/>
    <n v="59"/>
    <n v="58"/>
    <n v="59"/>
  </r>
  <r>
    <x v="1"/>
    <x v="0"/>
    <x v="5"/>
    <x v="0"/>
    <x v="0"/>
    <n v="67"/>
    <n v="64"/>
    <n v="61"/>
  </r>
  <r>
    <x v="1"/>
    <x v="3"/>
    <x v="5"/>
    <x v="1"/>
    <x v="0"/>
    <n v="45"/>
    <n v="37"/>
    <n v="37"/>
  </r>
  <r>
    <x v="0"/>
    <x v="1"/>
    <x v="1"/>
    <x v="0"/>
    <x v="0"/>
    <n v="60"/>
    <n v="72"/>
    <n v="74"/>
  </r>
  <r>
    <x v="1"/>
    <x v="0"/>
    <x v="3"/>
    <x v="1"/>
    <x v="0"/>
    <n v="61"/>
    <n v="58"/>
    <n v="56"/>
  </r>
  <r>
    <x v="0"/>
    <x v="1"/>
    <x v="3"/>
    <x v="0"/>
    <x v="0"/>
    <n v="39"/>
    <n v="64"/>
    <n v="57"/>
  </r>
  <r>
    <x v="0"/>
    <x v="3"/>
    <x v="1"/>
    <x v="1"/>
    <x v="1"/>
    <n v="58"/>
    <n v="63"/>
    <n v="73"/>
  </r>
  <r>
    <x v="1"/>
    <x v="3"/>
    <x v="1"/>
    <x v="0"/>
    <x v="1"/>
    <n v="63"/>
    <n v="55"/>
    <n v="63"/>
  </r>
  <r>
    <x v="0"/>
    <x v="2"/>
    <x v="3"/>
    <x v="1"/>
    <x v="0"/>
    <n v="41"/>
    <n v="51"/>
    <n v="48"/>
  </r>
  <r>
    <x v="1"/>
    <x v="1"/>
    <x v="5"/>
    <x v="1"/>
    <x v="0"/>
    <n v="61"/>
    <n v="57"/>
    <n v="56"/>
  </r>
  <r>
    <x v="1"/>
    <x v="1"/>
    <x v="5"/>
    <x v="0"/>
    <x v="0"/>
    <n v="49"/>
    <n v="49"/>
    <n v="41"/>
  </r>
  <r>
    <x v="1"/>
    <x v="0"/>
    <x v="3"/>
    <x v="1"/>
    <x v="0"/>
    <n v="44"/>
    <n v="41"/>
    <n v="38"/>
  </r>
  <r>
    <x v="1"/>
    <x v="4"/>
    <x v="5"/>
    <x v="0"/>
    <x v="0"/>
    <n v="30"/>
    <n v="26"/>
    <n v="22"/>
  </r>
  <r>
    <x v="1"/>
    <x v="2"/>
    <x v="0"/>
    <x v="0"/>
    <x v="1"/>
    <n v="80"/>
    <n v="78"/>
    <n v="81"/>
  </r>
  <r>
    <x v="0"/>
    <x v="3"/>
    <x v="5"/>
    <x v="0"/>
    <x v="1"/>
    <n v="61"/>
    <n v="74"/>
    <n v="72"/>
  </r>
  <r>
    <x v="0"/>
    <x v="4"/>
    <x v="2"/>
    <x v="0"/>
    <x v="0"/>
    <n v="62"/>
    <n v="68"/>
    <n v="68"/>
  </r>
  <r>
    <x v="0"/>
    <x v="0"/>
    <x v="3"/>
    <x v="0"/>
    <x v="0"/>
    <n v="47"/>
    <n v="49"/>
    <n v="50"/>
  </r>
  <r>
    <x v="1"/>
    <x v="0"/>
    <x v="4"/>
    <x v="1"/>
    <x v="0"/>
    <n v="49"/>
    <n v="45"/>
    <n v="45"/>
  </r>
  <r>
    <x v="1"/>
    <x v="2"/>
    <x v="1"/>
    <x v="1"/>
    <x v="1"/>
    <n v="50"/>
    <n v="47"/>
    <n v="54"/>
  </r>
  <r>
    <x v="1"/>
    <x v="4"/>
    <x v="3"/>
    <x v="0"/>
    <x v="0"/>
    <n v="72"/>
    <n v="64"/>
    <n v="63"/>
  </r>
  <r>
    <x v="1"/>
    <x v="3"/>
    <x v="4"/>
    <x v="1"/>
    <x v="0"/>
    <n v="42"/>
    <n v="39"/>
    <n v="34"/>
  </r>
  <r>
    <x v="0"/>
    <x v="1"/>
    <x v="1"/>
    <x v="0"/>
    <x v="0"/>
    <n v="73"/>
    <n v="80"/>
    <n v="82"/>
  </r>
  <r>
    <x v="0"/>
    <x v="1"/>
    <x v="1"/>
    <x v="1"/>
    <x v="0"/>
    <n v="76"/>
    <n v="83"/>
    <n v="88"/>
  </r>
  <r>
    <x v="0"/>
    <x v="3"/>
    <x v="3"/>
    <x v="0"/>
    <x v="0"/>
    <n v="71"/>
    <n v="71"/>
    <n v="74"/>
  </r>
  <r>
    <x v="0"/>
    <x v="2"/>
    <x v="1"/>
    <x v="0"/>
    <x v="0"/>
    <n v="58"/>
    <n v="70"/>
    <n v="67"/>
  </r>
  <r>
    <x v="0"/>
    <x v="3"/>
    <x v="5"/>
    <x v="0"/>
    <x v="0"/>
    <n v="73"/>
    <n v="86"/>
    <n v="82"/>
  </r>
  <r>
    <x v="0"/>
    <x v="1"/>
    <x v="0"/>
    <x v="0"/>
    <x v="0"/>
    <n v="65"/>
    <n v="72"/>
    <n v="74"/>
  </r>
  <r>
    <x v="1"/>
    <x v="1"/>
    <x v="4"/>
    <x v="1"/>
    <x v="0"/>
    <n v="27"/>
    <n v="34"/>
    <n v="36"/>
  </r>
  <r>
    <x v="1"/>
    <x v="1"/>
    <x v="4"/>
    <x v="0"/>
    <x v="0"/>
    <n v="71"/>
    <n v="79"/>
    <n v="71"/>
  </r>
  <r>
    <x v="1"/>
    <x v="1"/>
    <x v="3"/>
    <x v="1"/>
    <x v="1"/>
    <n v="43"/>
    <n v="45"/>
    <n v="50"/>
  </r>
  <r>
    <x v="0"/>
    <x v="0"/>
    <x v="1"/>
    <x v="0"/>
    <x v="0"/>
    <n v="79"/>
    <n v="86"/>
    <n v="92"/>
  </r>
  <r>
    <x v="1"/>
    <x v="1"/>
    <x v="3"/>
    <x v="1"/>
    <x v="1"/>
    <n v="78"/>
    <n v="81"/>
    <n v="82"/>
  </r>
  <r>
    <x v="1"/>
    <x v="0"/>
    <x v="5"/>
    <x v="0"/>
    <x v="1"/>
    <n v="65"/>
    <n v="66"/>
    <n v="62"/>
  </r>
  <r>
    <x v="0"/>
    <x v="4"/>
    <x v="1"/>
    <x v="0"/>
    <x v="1"/>
    <n v="63"/>
    <n v="72"/>
    <n v="70"/>
  </r>
  <r>
    <x v="0"/>
    <x v="3"/>
    <x v="1"/>
    <x v="1"/>
    <x v="0"/>
    <n v="58"/>
    <n v="67"/>
    <n v="62"/>
  </r>
  <r>
    <x v="0"/>
    <x v="3"/>
    <x v="0"/>
    <x v="0"/>
    <x v="0"/>
    <n v="65"/>
    <n v="67"/>
    <n v="62"/>
  </r>
  <r>
    <x v="1"/>
    <x v="0"/>
    <x v="1"/>
    <x v="0"/>
    <x v="0"/>
    <n v="79"/>
    <n v="67"/>
    <n v="67"/>
  </r>
  <r>
    <x v="1"/>
    <x v="3"/>
    <x v="0"/>
    <x v="0"/>
    <x v="1"/>
    <n v="68"/>
    <n v="74"/>
    <n v="74"/>
  </r>
  <r>
    <x v="0"/>
    <x v="3"/>
    <x v="3"/>
    <x v="0"/>
    <x v="0"/>
    <n v="85"/>
    <n v="91"/>
    <n v="89"/>
  </r>
  <r>
    <x v="1"/>
    <x v="0"/>
    <x v="4"/>
    <x v="0"/>
    <x v="1"/>
    <n v="60"/>
    <n v="44"/>
    <n v="47"/>
  </r>
  <r>
    <x v="1"/>
    <x v="1"/>
    <x v="1"/>
    <x v="0"/>
    <x v="1"/>
    <n v="98"/>
    <n v="86"/>
    <n v="90"/>
  </r>
  <r>
    <x v="0"/>
    <x v="1"/>
    <x v="1"/>
    <x v="0"/>
    <x v="0"/>
    <n v="58"/>
    <n v="67"/>
    <n v="72"/>
  </r>
  <r>
    <x v="0"/>
    <x v="3"/>
    <x v="2"/>
    <x v="0"/>
    <x v="0"/>
    <n v="87"/>
    <n v="100"/>
    <n v="100"/>
  </r>
  <r>
    <x v="1"/>
    <x v="4"/>
    <x v="3"/>
    <x v="0"/>
    <x v="1"/>
    <n v="66"/>
    <n v="63"/>
    <n v="64"/>
  </r>
  <r>
    <x v="0"/>
    <x v="0"/>
    <x v="3"/>
    <x v="1"/>
    <x v="0"/>
    <n v="52"/>
    <n v="76"/>
    <n v="70"/>
  </r>
  <r>
    <x v="0"/>
    <x v="0"/>
    <x v="5"/>
    <x v="0"/>
    <x v="0"/>
    <n v="70"/>
    <n v="64"/>
    <n v="72"/>
  </r>
  <r>
    <x v="0"/>
    <x v="3"/>
    <x v="3"/>
    <x v="1"/>
    <x v="1"/>
    <n v="77"/>
    <n v="89"/>
    <n v="98"/>
  </r>
  <r>
    <x v="1"/>
    <x v="1"/>
    <x v="4"/>
    <x v="0"/>
    <x v="0"/>
    <n v="62"/>
    <n v="55"/>
    <n v="49"/>
  </r>
  <r>
    <x v="1"/>
    <x v="2"/>
    <x v="3"/>
    <x v="0"/>
    <x v="0"/>
    <n v="54"/>
    <n v="53"/>
    <n v="47"/>
  </r>
  <r>
    <x v="0"/>
    <x v="3"/>
    <x v="1"/>
    <x v="0"/>
    <x v="0"/>
    <n v="51"/>
    <n v="58"/>
    <n v="54"/>
  </r>
  <r>
    <x v="0"/>
    <x v="4"/>
    <x v="0"/>
    <x v="0"/>
    <x v="1"/>
    <n v="99"/>
    <n v="100"/>
    <n v="100"/>
  </r>
  <r>
    <x v="1"/>
    <x v="1"/>
    <x v="4"/>
    <x v="0"/>
    <x v="0"/>
    <n v="84"/>
    <n v="77"/>
    <n v="74"/>
  </r>
  <r>
    <x v="0"/>
    <x v="0"/>
    <x v="0"/>
    <x v="1"/>
    <x v="0"/>
    <n v="75"/>
    <n v="85"/>
    <n v="82"/>
  </r>
  <r>
    <x v="0"/>
    <x v="3"/>
    <x v="0"/>
    <x v="0"/>
    <x v="0"/>
    <n v="78"/>
    <n v="82"/>
    <n v="79"/>
  </r>
  <r>
    <x v="0"/>
    <x v="3"/>
    <x v="5"/>
    <x v="0"/>
    <x v="0"/>
    <n v="51"/>
    <n v="63"/>
    <n v="61"/>
  </r>
  <r>
    <x v="0"/>
    <x v="1"/>
    <x v="1"/>
    <x v="0"/>
    <x v="0"/>
    <n v="55"/>
    <n v="69"/>
    <n v="65"/>
  </r>
  <r>
    <x v="0"/>
    <x v="1"/>
    <x v="0"/>
    <x v="0"/>
    <x v="1"/>
    <n v="79"/>
    <n v="92"/>
    <n v="89"/>
  </r>
  <r>
    <x v="1"/>
    <x v="0"/>
    <x v="3"/>
    <x v="0"/>
    <x v="1"/>
    <n v="91"/>
    <n v="89"/>
    <n v="92"/>
  </r>
  <r>
    <x v="0"/>
    <x v="1"/>
    <x v="1"/>
    <x v="0"/>
    <x v="1"/>
    <n v="88"/>
    <n v="93"/>
    <n v="93"/>
  </r>
  <r>
    <x v="1"/>
    <x v="3"/>
    <x v="4"/>
    <x v="1"/>
    <x v="0"/>
    <n v="63"/>
    <n v="57"/>
    <n v="56"/>
  </r>
  <r>
    <x v="1"/>
    <x v="4"/>
    <x v="1"/>
    <x v="0"/>
    <x v="0"/>
    <n v="83"/>
    <n v="80"/>
    <n v="73"/>
  </r>
  <r>
    <x v="0"/>
    <x v="0"/>
    <x v="4"/>
    <x v="0"/>
    <x v="0"/>
    <n v="87"/>
    <n v="95"/>
    <n v="86"/>
  </r>
  <r>
    <x v="1"/>
    <x v="0"/>
    <x v="5"/>
    <x v="0"/>
    <x v="0"/>
    <n v="72"/>
    <n v="68"/>
    <n v="67"/>
  </r>
  <r>
    <x v="1"/>
    <x v="3"/>
    <x v="1"/>
    <x v="0"/>
    <x v="1"/>
    <n v="65"/>
    <n v="77"/>
    <n v="74"/>
  </r>
  <r>
    <x v="1"/>
    <x v="3"/>
    <x v="2"/>
    <x v="0"/>
    <x v="0"/>
    <n v="82"/>
    <n v="82"/>
    <n v="74"/>
  </r>
  <r>
    <x v="0"/>
    <x v="2"/>
    <x v="0"/>
    <x v="0"/>
    <x v="0"/>
    <n v="51"/>
    <n v="49"/>
    <n v="51"/>
  </r>
  <r>
    <x v="1"/>
    <x v="3"/>
    <x v="2"/>
    <x v="0"/>
    <x v="0"/>
    <n v="89"/>
    <n v="84"/>
    <n v="82"/>
  </r>
  <r>
    <x v="1"/>
    <x v="1"/>
    <x v="5"/>
    <x v="1"/>
    <x v="1"/>
    <n v="53"/>
    <n v="37"/>
    <n v="40"/>
  </r>
  <r>
    <x v="1"/>
    <x v="4"/>
    <x v="1"/>
    <x v="1"/>
    <x v="1"/>
    <n v="87"/>
    <n v="74"/>
    <n v="70"/>
  </r>
  <r>
    <x v="0"/>
    <x v="1"/>
    <x v="1"/>
    <x v="0"/>
    <x v="1"/>
    <n v="75"/>
    <n v="81"/>
    <n v="84"/>
  </r>
  <r>
    <x v="1"/>
    <x v="3"/>
    <x v="0"/>
    <x v="1"/>
    <x v="1"/>
    <n v="74"/>
    <n v="79"/>
    <n v="75"/>
  </r>
  <r>
    <x v="1"/>
    <x v="1"/>
    <x v="0"/>
    <x v="0"/>
    <x v="0"/>
    <n v="58"/>
    <n v="55"/>
    <n v="48"/>
  </r>
  <r>
    <x v="1"/>
    <x v="0"/>
    <x v="5"/>
    <x v="0"/>
    <x v="1"/>
    <n v="51"/>
    <n v="54"/>
    <n v="41"/>
  </r>
  <r>
    <x v="1"/>
    <x v="4"/>
    <x v="4"/>
    <x v="0"/>
    <x v="0"/>
    <n v="70"/>
    <n v="55"/>
    <n v="56"/>
  </r>
  <r>
    <x v="0"/>
    <x v="1"/>
    <x v="3"/>
    <x v="0"/>
    <x v="0"/>
    <n v="59"/>
    <n v="66"/>
    <n v="67"/>
  </r>
  <r>
    <x v="1"/>
    <x v="3"/>
    <x v="1"/>
    <x v="0"/>
    <x v="1"/>
    <n v="71"/>
    <n v="61"/>
    <n v="69"/>
  </r>
  <r>
    <x v="0"/>
    <x v="3"/>
    <x v="5"/>
    <x v="0"/>
    <x v="0"/>
    <n v="76"/>
    <n v="72"/>
    <n v="71"/>
  </r>
  <r>
    <x v="0"/>
    <x v="1"/>
    <x v="1"/>
    <x v="1"/>
    <x v="0"/>
    <n v="59"/>
    <n v="62"/>
    <n v="64"/>
  </r>
  <r>
    <x v="0"/>
    <x v="4"/>
    <x v="1"/>
    <x v="1"/>
    <x v="1"/>
    <n v="42"/>
    <n v="55"/>
    <n v="54"/>
  </r>
  <r>
    <x v="1"/>
    <x v="2"/>
    <x v="4"/>
    <x v="0"/>
    <x v="0"/>
    <n v="57"/>
    <n v="43"/>
    <n v="47"/>
  </r>
  <r>
    <x v="1"/>
    <x v="3"/>
    <x v="1"/>
    <x v="0"/>
    <x v="0"/>
    <n v="88"/>
    <n v="73"/>
    <n v="78"/>
  </r>
  <r>
    <x v="0"/>
    <x v="1"/>
    <x v="1"/>
    <x v="1"/>
    <x v="0"/>
    <n v="22"/>
    <n v="39"/>
    <n v="33"/>
  </r>
  <r>
    <x v="1"/>
    <x v="0"/>
    <x v="5"/>
    <x v="0"/>
    <x v="0"/>
    <n v="88"/>
    <n v="84"/>
    <n v="75"/>
  </r>
  <r>
    <x v="1"/>
    <x v="1"/>
    <x v="3"/>
    <x v="1"/>
    <x v="0"/>
    <n v="73"/>
    <n v="68"/>
    <n v="66"/>
  </r>
  <r>
    <x v="0"/>
    <x v="3"/>
    <x v="0"/>
    <x v="0"/>
    <x v="1"/>
    <n v="68"/>
    <n v="75"/>
    <n v="81"/>
  </r>
  <r>
    <x v="1"/>
    <x v="4"/>
    <x v="3"/>
    <x v="1"/>
    <x v="1"/>
    <n v="100"/>
    <n v="100"/>
    <n v="93"/>
  </r>
  <r>
    <x v="1"/>
    <x v="2"/>
    <x v="5"/>
    <x v="0"/>
    <x v="1"/>
    <n v="62"/>
    <n v="67"/>
    <n v="69"/>
  </r>
  <r>
    <x v="1"/>
    <x v="2"/>
    <x v="0"/>
    <x v="0"/>
    <x v="0"/>
    <n v="77"/>
    <n v="67"/>
    <n v="68"/>
  </r>
  <r>
    <x v="0"/>
    <x v="0"/>
    <x v="3"/>
    <x v="0"/>
    <x v="1"/>
    <n v="59"/>
    <n v="70"/>
    <n v="66"/>
  </r>
  <r>
    <x v="1"/>
    <x v="3"/>
    <x v="0"/>
    <x v="0"/>
    <x v="0"/>
    <n v="54"/>
    <n v="49"/>
    <n v="47"/>
  </r>
  <r>
    <x v="1"/>
    <x v="3"/>
    <x v="5"/>
    <x v="0"/>
    <x v="0"/>
    <n v="62"/>
    <n v="67"/>
    <n v="61"/>
  </r>
  <r>
    <x v="0"/>
    <x v="1"/>
    <x v="1"/>
    <x v="0"/>
    <x v="1"/>
    <n v="70"/>
    <n v="89"/>
    <n v="88"/>
  </r>
  <r>
    <x v="0"/>
    <x v="4"/>
    <x v="4"/>
    <x v="1"/>
    <x v="1"/>
    <n v="66"/>
    <n v="74"/>
    <n v="78"/>
  </r>
  <r>
    <x v="1"/>
    <x v="0"/>
    <x v="1"/>
    <x v="1"/>
    <x v="0"/>
    <n v="60"/>
    <n v="60"/>
    <n v="60"/>
  </r>
  <r>
    <x v="0"/>
    <x v="0"/>
    <x v="3"/>
    <x v="0"/>
    <x v="1"/>
    <n v="61"/>
    <n v="86"/>
    <n v="87"/>
  </r>
  <r>
    <x v="1"/>
    <x v="3"/>
    <x v="3"/>
    <x v="1"/>
    <x v="0"/>
    <n v="66"/>
    <n v="62"/>
    <n v="64"/>
  </r>
  <r>
    <x v="1"/>
    <x v="0"/>
    <x v="3"/>
    <x v="1"/>
    <x v="1"/>
    <n v="82"/>
    <n v="78"/>
    <n v="74"/>
  </r>
  <r>
    <x v="0"/>
    <x v="4"/>
    <x v="1"/>
    <x v="1"/>
    <x v="1"/>
    <n v="75"/>
    <n v="88"/>
    <n v="85"/>
  </r>
  <r>
    <x v="1"/>
    <x v="0"/>
    <x v="2"/>
    <x v="1"/>
    <x v="0"/>
    <n v="49"/>
    <n v="53"/>
    <n v="52"/>
  </r>
  <r>
    <x v="1"/>
    <x v="1"/>
    <x v="4"/>
    <x v="0"/>
    <x v="0"/>
    <n v="52"/>
    <n v="53"/>
    <n v="49"/>
  </r>
  <r>
    <x v="0"/>
    <x v="4"/>
    <x v="2"/>
    <x v="0"/>
    <x v="0"/>
    <n v="81"/>
    <n v="92"/>
    <n v="91"/>
  </r>
  <r>
    <x v="0"/>
    <x v="1"/>
    <x v="0"/>
    <x v="0"/>
    <x v="1"/>
    <n v="96"/>
    <n v="100"/>
    <n v="100"/>
  </r>
  <r>
    <x v="1"/>
    <x v="1"/>
    <x v="4"/>
    <x v="1"/>
    <x v="1"/>
    <n v="53"/>
    <n v="51"/>
    <n v="51"/>
  </r>
  <r>
    <x v="0"/>
    <x v="0"/>
    <x v="2"/>
    <x v="1"/>
    <x v="1"/>
    <n v="58"/>
    <n v="76"/>
    <n v="78"/>
  </r>
  <r>
    <x v="0"/>
    <x v="0"/>
    <x v="4"/>
    <x v="0"/>
    <x v="1"/>
    <n v="68"/>
    <n v="83"/>
    <n v="78"/>
  </r>
  <r>
    <x v="0"/>
    <x v="1"/>
    <x v="1"/>
    <x v="1"/>
    <x v="1"/>
    <n v="67"/>
    <n v="75"/>
    <n v="70"/>
  </r>
  <r>
    <x v="1"/>
    <x v="2"/>
    <x v="4"/>
    <x v="0"/>
    <x v="1"/>
    <n v="72"/>
    <n v="73"/>
    <n v="74"/>
  </r>
  <r>
    <x v="1"/>
    <x v="4"/>
    <x v="5"/>
    <x v="0"/>
    <x v="0"/>
    <n v="94"/>
    <n v="88"/>
    <n v="78"/>
  </r>
  <r>
    <x v="0"/>
    <x v="3"/>
    <x v="1"/>
    <x v="0"/>
    <x v="0"/>
    <n v="79"/>
    <n v="86"/>
    <n v="81"/>
  </r>
  <r>
    <x v="0"/>
    <x v="1"/>
    <x v="3"/>
    <x v="0"/>
    <x v="0"/>
    <n v="63"/>
    <n v="67"/>
    <n v="70"/>
  </r>
  <r>
    <x v="0"/>
    <x v="1"/>
    <x v="0"/>
    <x v="1"/>
    <x v="1"/>
    <n v="43"/>
    <n v="51"/>
    <n v="54"/>
  </r>
  <r>
    <x v="0"/>
    <x v="1"/>
    <x v="2"/>
    <x v="0"/>
    <x v="1"/>
    <n v="81"/>
    <n v="91"/>
    <n v="87"/>
  </r>
  <r>
    <x v="0"/>
    <x v="0"/>
    <x v="4"/>
    <x v="1"/>
    <x v="1"/>
    <n v="46"/>
    <n v="54"/>
    <n v="58"/>
  </r>
  <r>
    <x v="0"/>
    <x v="1"/>
    <x v="3"/>
    <x v="0"/>
    <x v="1"/>
    <n v="71"/>
    <n v="77"/>
    <n v="77"/>
  </r>
  <r>
    <x v="0"/>
    <x v="0"/>
    <x v="2"/>
    <x v="1"/>
    <x v="1"/>
    <n v="52"/>
    <n v="70"/>
    <n v="62"/>
  </r>
  <r>
    <x v="0"/>
    <x v="3"/>
    <x v="5"/>
    <x v="0"/>
    <x v="1"/>
    <n v="97"/>
    <n v="100"/>
    <n v="100"/>
  </r>
  <r>
    <x v="1"/>
    <x v="1"/>
    <x v="2"/>
    <x v="1"/>
    <x v="1"/>
    <n v="62"/>
    <n v="68"/>
    <n v="75"/>
  </r>
  <r>
    <x v="0"/>
    <x v="1"/>
    <x v="1"/>
    <x v="1"/>
    <x v="0"/>
    <n v="46"/>
    <n v="64"/>
    <n v="66"/>
  </r>
  <r>
    <x v="0"/>
    <x v="4"/>
    <x v="4"/>
    <x v="0"/>
    <x v="0"/>
    <n v="50"/>
    <n v="50"/>
    <n v="47"/>
  </r>
  <r>
    <x v="0"/>
    <x v="3"/>
    <x v="3"/>
    <x v="0"/>
    <x v="0"/>
    <n v="65"/>
    <n v="69"/>
    <n v="70"/>
  </r>
  <r>
    <x v="1"/>
    <x v="1"/>
    <x v="5"/>
    <x v="1"/>
    <x v="1"/>
    <n v="45"/>
    <n v="52"/>
    <n v="49"/>
  </r>
  <r>
    <x v="1"/>
    <x v="1"/>
    <x v="3"/>
    <x v="1"/>
    <x v="1"/>
    <n v="65"/>
    <n v="67"/>
    <n v="65"/>
  </r>
  <r>
    <x v="1"/>
    <x v="4"/>
    <x v="4"/>
    <x v="0"/>
    <x v="0"/>
    <n v="80"/>
    <n v="76"/>
    <n v="65"/>
  </r>
  <r>
    <x v="1"/>
    <x v="3"/>
    <x v="5"/>
    <x v="0"/>
    <x v="1"/>
    <n v="62"/>
    <n v="66"/>
    <n v="68"/>
  </r>
  <r>
    <x v="1"/>
    <x v="0"/>
    <x v="5"/>
    <x v="1"/>
    <x v="0"/>
    <n v="48"/>
    <n v="52"/>
    <n v="45"/>
  </r>
  <r>
    <x v="0"/>
    <x v="1"/>
    <x v="0"/>
    <x v="0"/>
    <x v="0"/>
    <n v="77"/>
    <n v="88"/>
    <n v="87"/>
  </r>
  <r>
    <x v="0"/>
    <x v="4"/>
    <x v="3"/>
    <x v="0"/>
    <x v="0"/>
    <n v="66"/>
    <n v="65"/>
    <n v="69"/>
  </r>
  <r>
    <x v="1"/>
    <x v="3"/>
    <x v="1"/>
    <x v="0"/>
    <x v="1"/>
    <n v="76"/>
    <n v="83"/>
    <n v="79"/>
  </r>
  <r>
    <x v="0"/>
    <x v="0"/>
    <x v="5"/>
    <x v="0"/>
    <x v="0"/>
    <n v="62"/>
    <n v="64"/>
    <n v="66"/>
  </r>
  <r>
    <x v="1"/>
    <x v="3"/>
    <x v="1"/>
    <x v="0"/>
    <x v="1"/>
    <n v="77"/>
    <n v="62"/>
    <n v="62"/>
  </r>
  <r>
    <x v="0"/>
    <x v="1"/>
    <x v="2"/>
    <x v="0"/>
    <x v="1"/>
    <n v="69"/>
    <n v="84"/>
    <n v="85"/>
  </r>
  <r>
    <x v="1"/>
    <x v="3"/>
    <x v="3"/>
    <x v="0"/>
    <x v="0"/>
    <n v="61"/>
    <n v="55"/>
    <n v="52"/>
  </r>
  <r>
    <x v="1"/>
    <x v="1"/>
    <x v="5"/>
    <x v="1"/>
    <x v="1"/>
    <n v="59"/>
    <n v="69"/>
    <n v="65"/>
  </r>
  <r>
    <x v="1"/>
    <x v="4"/>
    <x v="4"/>
    <x v="1"/>
    <x v="0"/>
    <n v="55"/>
    <n v="56"/>
    <n v="51"/>
  </r>
  <r>
    <x v="0"/>
    <x v="0"/>
    <x v="1"/>
    <x v="1"/>
    <x v="0"/>
    <n v="45"/>
    <n v="53"/>
    <n v="55"/>
  </r>
  <r>
    <x v="0"/>
    <x v="0"/>
    <x v="0"/>
    <x v="1"/>
    <x v="0"/>
    <n v="78"/>
    <n v="79"/>
    <n v="76"/>
  </r>
  <r>
    <x v="0"/>
    <x v="1"/>
    <x v="3"/>
    <x v="0"/>
    <x v="1"/>
    <n v="67"/>
    <n v="84"/>
    <n v="86"/>
  </r>
  <r>
    <x v="0"/>
    <x v="3"/>
    <x v="1"/>
    <x v="1"/>
    <x v="0"/>
    <n v="65"/>
    <n v="81"/>
    <n v="77"/>
  </r>
  <r>
    <x v="1"/>
    <x v="1"/>
    <x v="3"/>
    <x v="0"/>
    <x v="0"/>
    <n v="69"/>
    <n v="77"/>
    <n v="69"/>
  </r>
  <r>
    <x v="0"/>
    <x v="0"/>
    <x v="3"/>
    <x v="0"/>
    <x v="0"/>
    <n v="57"/>
    <n v="69"/>
    <n v="68"/>
  </r>
  <r>
    <x v="1"/>
    <x v="1"/>
    <x v="1"/>
    <x v="0"/>
    <x v="0"/>
    <n v="59"/>
    <n v="41"/>
    <n v="42"/>
  </r>
  <r>
    <x v="1"/>
    <x v="3"/>
    <x v="5"/>
    <x v="0"/>
    <x v="1"/>
    <n v="74"/>
    <n v="71"/>
    <n v="78"/>
  </r>
  <r>
    <x v="1"/>
    <x v="4"/>
    <x v="0"/>
    <x v="0"/>
    <x v="0"/>
    <n v="82"/>
    <n v="62"/>
    <n v="62"/>
  </r>
  <r>
    <x v="1"/>
    <x v="4"/>
    <x v="4"/>
    <x v="0"/>
    <x v="1"/>
    <n v="81"/>
    <n v="80"/>
    <n v="76"/>
  </r>
  <r>
    <x v="0"/>
    <x v="0"/>
    <x v="1"/>
    <x v="1"/>
    <x v="0"/>
    <n v="74"/>
    <n v="81"/>
    <n v="76"/>
  </r>
  <r>
    <x v="0"/>
    <x v="0"/>
    <x v="1"/>
    <x v="1"/>
    <x v="0"/>
    <n v="58"/>
    <n v="61"/>
    <n v="66"/>
  </r>
  <r>
    <x v="1"/>
    <x v="3"/>
    <x v="5"/>
    <x v="1"/>
    <x v="1"/>
    <n v="80"/>
    <n v="79"/>
    <n v="79"/>
  </r>
  <r>
    <x v="1"/>
    <x v="1"/>
    <x v="1"/>
    <x v="1"/>
    <x v="0"/>
    <n v="35"/>
    <n v="28"/>
    <n v="27"/>
  </r>
  <r>
    <x v="0"/>
    <x v="1"/>
    <x v="4"/>
    <x v="1"/>
    <x v="0"/>
    <n v="42"/>
    <n v="62"/>
    <n v="60"/>
  </r>
  <r>
    <x v="1"/>
    <x v="1"/>
    <x v="3"/>
    <x v="1"/>
    <x v="1"/>
    <n v="60"/>
    <n v="51"/>
    <n v="56"/>
  </r>
  <r>
    <x v="1"/>
    <x v="4"/>
    <x v="4"/>
    <x v="0"/>
    <x v="1"/>
    <n v="87"/>
    <n v="91"/>
    <n v="81"/>
  </r>
  <r>
    <x v="1"/>
    <x v="0"/>
    <x v="5"/>
    <x v="0"/>
    <x v="1"/>
    <n v="84"/>
    <n v="83"/>
    <n v="75"/>
  </r>
  <r>
    <x v="0"/>
    <x v="4"/>
    <x v="3"/>
    <x v="1"/>
    <x v="1"/>
    <n v="83"/>
    <n v="86"/>
    <n v="88"/>
  </r>
  <r>
    <x v="0"/>
    <x v="1"/>
    <x v="4"/>
    <x v="1"/>
    <x v="0"/>
    <n v="34"/>
    <n v="42"/>
    <n v="39"/>
  </r>
  <r>
    <x v="1"/>
    <x v="0"/>
    <x v="4"/>
    <x v="1"/>
    <x v="0"/>
    <n v="66"/>
    <n v="77"/>
    <n v="70"/>
  </r>
  <r>
    <x v="1"/>
    <x v="0"/>
    <x v="5"/>
    <x v="0"/>
    <x v="1"/>
    <n v="61"/>
    <n v="56"/>
    <n v="56"/>
  </r>
  <r>
    <x v="0"/>
    <x v="3"/>
    <x v="4"/>
    <x v="0"/>
    <x v="1"/>
    <n v="56"/>
    <n v="68"/>
    <n v="74"/>
  </r>
  <r>
    <x v="1"/>
    <x v="0"/>
    <x v="3"/>
    <x v="0"/>
    <x v="0"/>
    <n v="87"/>
    <n v="85"/>
    <n v="73"/>
  </r>
  <r>
    <x v="0"/>
    <x v="1"/>
    <x v="5"/>
    <x v="1"/>
    <x v="0"/>
    <n v="55"/>
    <n v="65"/>
    <n v="62"/>
  </r>
  <r>
    <x v="1"/>
    <x v="3"/>
    <x v="5"/>
    <x v="0"/>
    <x v="0"/>
    <n v="86"/>
    <n v="80"/>
    <n v="75"/>
  </r>
  <r>
    <x v="0"/>
    <x v="0"/>
    <x v="3"/>
    <x v="0"/>
    <x v="1"/>
    <n v="52"/>
    <n v="66"/>
    <n v="73"/>
  </r>
  <r>
    <x v="0"/>
    <x v="4"/>
    <x v="2"/>
    <x v="1"/>
    <x v="0"/>
    <n v="45"/>
    <n v="56"/>
    <n v="54"/>
  </r>
  <r>
    <x v="0"/>
    <x v="1"/>
    <x v="1"/>
    <x v="0"/>
    <x v="0"/>
    <n v="72"/>
    <n v="72"/>
    <n v="71"/>
  </r>
  <r>
    <x v="1"/>
    <x v="3"/>
    <x v="4"/>
    <x v="0"/>
    <x v="0"/>
    <n v="57"/>
    <n v="50"/>
    <n v="54"/>
  </r>
  <r>
    <x v="1"/>
    <x v="2"/>
    <x v="5"/>
    <x v="1"/>
    <x v="0"/>
    <n v="68"/>
    <n v="72"/>
    <n v="64"/>
  </r>
  <r>
    <x v="0"/>
    <x v="1"/>
    <x v="1"/>
    <x v="0"/>
    <x v="1"/>
    <n v="88"/>
    <n v="95"/>
    <n v="94"/>
  </r>
  <r>
    <x v="1"/>
    <x v="3"/>
    <x v="1"/>
    <x v="0"/>
    <x v="0"/>
    <n v="76"/>
    <n v="64"/>
    <n v="66"/>
  </r>
  <r>
    <x v="1"/>
    <x v="1"/>
    <x v="3"/>
    <x v="0"/>
    <x v="0"/>
    <n v="46"/>
    <n v="43"/>
    <n v="42"/>
  </r>
  <r>
    <x v="0"/>
    <x v="0"/>
    <x v="0"/>
    <x v="0"/>
    <x v="0"/>
    <n v="67"/>
    <n v="86"/>
    <n v="83"/>
  </r>
  <r>
    <x v="1"/>
    <x v="4"/>
    <x v="5"/>
    <x v="0"/>
    <x v="0"/>
    <n v="92"/>
    <n v="87"/>
    <n v="78"/>
  </r>
  <r>
    <x v="1"/>
    <x v="1"/>
    <x v="0"/>
    <x v="0"/>
    <x v="1"/>
    <n v="83"/>
    <n v="82"/>
    <n v="84"/>
  </r>
  <r>
    <x v="1"/>
    <x v="3"/>
    <x v="3"/>
    <x v="0"/>
    <x v="0"/>
    <n v="80"/>
    <n v="75"/>
    <n v="77"/>
  </r>
  <r>
    <x v="1"/>
    <x v="3"/>
    <x v="0"/>
    <x v="1"/>
    <x v="0"/>
    <n v="63"/>
    <n v="66"/>
    <n v="67"/>
  </r>
  <r>
    <x v="0"/>
    <x v="3"/>
    <x v="5"/>
    <x v="0"/>
    <x v="1"/>
    <n v="64"/>
    <n v="60"/>
    <n v="74"/>
  </r>
  <r>
    <x v="1"/>
    <x v="0"/>
    <x v="1"/>
    <x v="0"/>
    <x v="0"/>
    <n v="54"/>
    <n v="52"/>
    <n v="51"/>
  </r>
  <r>
    <x v="1"/>
    <x v="1"/>
    <x v="3"/>
    <x v="0"/>
    <x v="0"/>
    <n v="84"/>
    <n v="80"/>
    <n v="80"/>
  </r>
  <r>
    <x v="1"/>
    <x v="3"/>
    <x v="4"/>
    <x v="1"/>
    <x v="1"/>
    <n v="73"/>
    <n v="68"/>
    <n v="66"/>
  </r>
  <r>
    <x v="0"/>
    <x v="4"/>
    <x v="0"/>
    <x v="0"/>
    <x v="0"/>
    <n v="80"/>
    <n v="83"/>
    <n v="83"/>
  </r>
  <r>
    <x v="0"/>
    <x v="3"/>
    <x v="4"/>
    <x v="0"/>
    <x v="0"/>
    <n v="56"/>
    <n v="52"/>
    <n v="55"/>
  </r>
  <r>
    <x v="1"/>
    <x v="4"/>
    <x v="1"/>
    <x v="0"/>
    <x v="0"/>
    <n v="59"/>
    <n v="51"/>
    <n v="43"/>
  </r>
  <r>
    <x v="1"/>
    <x v="3"/>
    <x v="5"/>
    <x v="0"/>
    <x v="0"/>
    <n v="75"/>
    <n v="74"/>
    <n v="69"/>
  </r>
  <r>
    <x v="1"/>
    <x v="1"/>
    <x v="3"/>
    <x v="0"/>
    <x v="0"/>
    <n v="85"/>
    <n v="76"/>
    <n v="71"/>
  </r>
  <r>
    <x v="1"/>
    <x v="4"/>
    <x v="3"/>
    <x v="0"/>
    <x v="0"/>
    <n v="89"/>
    <n v="76"/>
    <n v="74"/>
  </r>
  <r>
    <x v="0"/>
    <x v="0"/>
    <x v="4"/>
    <x v="0"/>
    <x v="1"/>
    <n v="58"/>
    <n v="70"/>
    <n v="68"/>
  </r>
  <r>
    <x v="0"/>
    <x v="0"/>
    <x v="4"/>
    <x v="0"/>
    <x v="0"/>
    <n v="65"/>
    <n v="64"/>
    <n v="62"/>
  </r>
  <r>
    <x v="1"/>
    <x v="1"/>
    <x v="4"/>
    <x v="0"/>
    <x v="0"/>
    <n v="68"/>
    <n v="60"/>
    <n v="53"/>
  </r>
  <r>
    <x v="1"/>
    <x v="2"/>
    <x v="5"/>
    <x v="0"/>
    <x v="1"/>
    <n v="47"/>
    <n v="49"/>
    <n v="49"/>
  </r>
  <r>
    <x v="0"/>
    <x v="3"/>
    <x v="1"/>
    <x v="1"/>
    <x v="0"/>
    <n v="71"/>
    <n v="83"/>
    <n v="83"/>
  </r>
  <r>
    <x v="0"/>
    <x v="0"/>
    <x v="5"/>
    <x v="0"/>
    <x v="1"/>
    <n v="60"/>
    <n v="70"/>
    <n v="70"/>
  </r>
  <r>
    <x v="1"/>
    <x v="3"/>
    <x v="2"/>
    <x v="0"/>
    <x v="0"/>
    <n v="80"/>
    <n v="80"/>
    <n v="72"/>
  </r>
  <r>
    <x v="1"/>
    <x v="3"/>
    <x v="4"/>
    <x v="0"/>
    <x v="0"/>
    <n v="54"/>
    <n v="52"/>
    <n v="52"/>
  </r>
  <r>
    <x v="0"/>
    <x v="4"/>
    <x v="1"/>
    <x v="0"/>
    <x v="0"/>
    <n v="62"/>
    <n v="73"/>
    <n v="70"/>
  </r>
  <r>
    <x v="0"/>
    <x v="1"/>
    <x v="3"/>
    <x v="1"/>
    <x v="0"/>
    <n v="64"/>
    <n v="73"/>
    <n v="68"/>
  </r>
  <r>
    <x v="1"/>
    <x v="1"/>
    <x v="3"/>
    <x v="0"/>
    <x v="1"/>
    <n v="78"/>
    <n v="77"/>
    <n v="77"/>
  </r>
  <r>
    <x v="0"/>
    <x v="0"/>
    <x v="1"/>
    <x v="0"/>
    <x v="0"/>
    <n v="70"/>
    <n v="75"/>
    <n v="78"/>
  </r>
  <r>
    <x v="0"/>
    <x v="1"/>
    <x v="2"/>
    <x v="1"/>
    <x v="1"/>
    <n v="65"/>
    <n v="81"/>
    <n v="81"/>
  </r>
  <r>
    <x v="0"/>
    <x v="1"/>
    <x v="5"/>
    <x v="1"/>
    <x v="1"/>
    <n v="64"/>
    <n v="79"/>
    <n v="77"/>
  </r>
  <r>
    <x v="1"/>
    <x v="1"/>
    <x v="1"/>
    <x v="0"/>
    <x v="1"/>
    <n v="79"/>
    <n v="79"/>
    <n v="78"/>
  </r>
  <r>
    <x v="0"/>
    <x v="1"/>
    <x v="5"/>
    <x v="1"/>
    <x v="0"/>
    <n v="44"/>
    <n v="50"/>
    <n v="51"/>
  </r>
  <r>
    <x v="0"/>
    <x v="4"/>
    <x v="4"/>
    <x v="0"/>
    <x v="0"/>
    <n v="99"/>
    <n v="93"/>
    <n v="90"/>
  </r>
  <r>
    <x v="1"/>
    <x v="3"/>
    <x v="4"/>
    <x v="0"/>
    <x v="0"/>
    <n v="76"/>
    <n v="73"/>
    <n v="68"/>
  </r>
  <r>
    <x v="1"/>
    <x v="3"/>
    <x v="5"/>
    <x v="1"/>
    <x v="0"/>
    <n v="59"/>
    <n v="42"/>
    <n v="41"/>
  </r>
  <r>
    <x v="0"/>
    <x v="1"/>
    <x v="0"/>
    <x v="0"/>
    <x v="0"/>
    <n v="63"/>
    <n v="75"/>
    <n v="81"/>
  </r>
  <r>
    <x v="0"/>
    <x v="3"/>
    <x v="4"/>
    <x v="0"/>
    <x v="0"/>
    <n v="69"/>
    <n v="72"/>
    <n v="77"/>
  </r>
  <r>
    <x v="0"/>
    <x v="3"/>
    <x v="3"/>
    <x v="0"/>
    <x v="1"/>
    <n v="88"/>
    <n v="92"/>
    <n v="95"/>
  </r>
  <r>
    <x v="0"/>
    <x v="4"/>
    <x v="1"/>
    <x v="1"/>
    <x v="0"/>
    <n v="71"/>
    <n v="76"/>
    <n v="70"/>
  </r>
  <r>
    <x v="1"/>
    <x v="1"/>
    <x v="0"/>
    <x v="0"/>
    <x v="0"/>
    <n v="69"/>
    <n v="63"/>
    <n v="61"/>
  </r>
  <r>
    <x v="1"/>
    <x v="1"/>
    <x v="1"/>
    <x v="0"/>
    <x v="0"/>
    <n v="58"/>
    <n v="49"/>
    <n v="42"/>
  </r>
  <r>
    <x v="0"/>
    <x v="3"/>
    <x v="3"/>
    <x v="1"/>
    <x v="0"/>
    <n v="47"/>
    <n v="53"/>
    <n v="58"/>
  </r>
  <r>
    <x v="0"/>
    <x v="3"/>
    <x v="1"/>
    <x v="0"/>
    <x v="0"/>
    <n v="65"/>
    <n v="70"/>
    <n v="71"/>
  </r>
  <r>
    <x v="1"/>
    <x v="0"/>
    <x v="1"/>
    <x v="0"/>
    <x v="1"/>
    <n v="88"/>
    <n v="85"/>
    <n v="76"/>
  </r>
  <r>
    <x v="1"/>
    <x v="1"/>
    <x v="0"/>
    <x v="0"/>
    <x v="0"/>
    <n v="83"/>
    <n v="78"/>
    <n v="73"/>
  </r>
  <r>
    <x v="0"/>
    <x v="1"/>
    <x v="5"/>
    <x v="0"/>
    <x v="1"/>
    <n v="85"/>
    <n v="92"/>
    <n v="93"/>
  </r>
  <r>
    <x v="0"/>
    <x v="4"/>
    <x v="4"/>
    <x v="0"/>
    <x v="1"/>
    <n v="59"/>
    <n v="63"/>
    <n v="75"/>
  </r>
  <r>
    <x v="0"/>
    <x v="1"/>
    <x v="5"/>
    <x v="1"/>
    <x v="0"/>
    <n v="65"/>
    <n v="86"/>
    <n v="80"/>
  </r>
  <r>
    <x v="1"/>
    <x v="0"/>
    <x v="0"/>
    <x v="1"/>
    <x v="0"/>
    <n v="73"/>
    <n v="56"/>
    <n v="57"/>
  </r>
  <r>
    <x v="1"/>
    <x v="3"/>
    <x v="4"/>
    <x v="0"/>
    <x v="0"/>
    <n v="53"/>
    <n v="52"/>
    <n v="42"/>
  </r>
  <r>
    <x v="1"/>
    <x v="3"/>
    <x v="4"/>
    <x v="0"/>
    <x v="0"/>
    <n v="45"/>
    <n v="48"/>
    <n v="46"/>
  </r>
  <r>
    <x v="0"/>
    <x v="3"/>
    <x v="0"/>
    <x v="1"/>
    <x v="0"/>
    <n v="73"/>
    <n v="79"/>
    <n v="84"/>
  </r>
  <r>
    <x v="0"/>
    <x v="3"/>
    <x v="1"/>
    <x v="1"/>
    <x v="1"/>
    <n v="70"/>
    <n v="78"/>
    <n v="78"/>
  </r>
  <r>
    <x v="0"/>
    <x v="0"/>
    <x v="5"/>
    <x v="0"/>
    <x v="0"/>
    <n v="37"/>
    <n v="46"/>
    <n v="46"/>
  </r>
  <r>
    <x v="1"/>
    <x v="0"/>
    <x v="3"/>
    <x v="0"/>
    <x v="1"/>
    <n v="81"/>
    <n v="82"/>
    <n v="82"/>
  </r>
  <r>
    <x v="1"/>
    <x v="4"/>
    <x v="3"/>
    <x v="0"/>
    <x v="1"/>
    <n v="97"/>
    <n v="82"/>
    <n v="88"/>
  </r>
  <r>
    <x v="0"/>
    <x v="0"/>
    <x v="5"/>
    <x v="0"/>
    <x v="0"/>
    <n v="67"/>
    <n v="89"/>
    <n v="82"/>
  </r>
  <r>
    <x v="1"/>
    <x v="0"/>
    <x v="0"/>
    <x v="1"/>
    <x v="0"/>
    <n v="88"/>
    <n v="75"/>
    <n v="76"/>
  </r>
  <r>
    <x v="1"/>
    <x v="4"/>
    <x v="5"/>
    <x v="0"/>
    <x v="1"/>
    <n v="77"/>
    <n v="76"/>
    <n v="77"/>
  </r>
  <r>
    <x v="1"/>
    <x v="1"/>
    <x v="3"/>
    <x v="0"/>
    <x v="0"/>
    <n v="76"/>
    <n v="70"/>
    <n v="68"/>
  </r>
  <r>
    <x v="1"/>
    <x v="3"/>
    <x v="5"/>
    <x v="0"/>
    <x v="0"/>
    <n v="86"/>
    <n v="73"/>
    <n v="70"/>
  </r>
  <r>
    <x v="1"/>
    <x v="1"/>
    <x v="5"/>
    <x v="0"/>
    <x v="1"/>
    <n v="63"/>
    <n v="60"/>
    <n v="57"/>
  </r>
  <r>
    <x v="0"/>
    <x v="4"/>
    <x v="0"/>
    <x v="0"/>
    <x v="0"/>
    <n v="65"/>
    <n v="73"/>
    <n v="75"/>
  </r>
  <r>
    <x v="1"/>
    <x v="3"/>
    <x v="4"/>
    <x v="1"/>
    <x v="1"/>
    <n v="78"/>
    <n v="77"/>
    <n v="80"/>
  </r>
  <r>
    <x v="1"/>
    <x v="0"/>
    <x v="3"/>
    <x v="1"/>
    <x v="0"/>
    <n v="67"/>
    <n v="62"/>
    <n v="60"/>
  </r>
  <r>
    <x v="1"/>
    <x v="2"/>
    <x v="5"/>
    <x v="0"/>
    <x v="1"/>
    <n v="46"/>
    <n v="41"/>
    <n v="43"/>
  </r>
  <r>
    <x v="1"/>
    <x v="4"/>
    <x v="3"/>
    <x v="0"/>
    <x v="1"/>
    <n v="71"/>
    <n v="74"/>
    <n v="68"/>
  </r>
  <r>
    <x v="1"/>
    <x v="1"/>
    <x v="4"/>
    <x v="1"/>
    <x v="1"/>
    <n v="40"/>
    <n v="46"/>
    <n v="50"/>
  </r>
  <r>
    <x v="1"/>
    <x v="3"/>
    <x v="3"/>
    <x v="1"/>
    <x v="0"/>
    <n v="90"/>
    <n v="87"/>
    <n v="75"/>
  </r>
  <r>
    <x v="1"/>
    <x v="2"/>
    <x v="1"/>
    <x v="1"/>
    <x v="1"/>
    <n v="81"/>
    <n v="78"/>
    <n v="81"/>
  </r>
  <r>
    <x v="1"/>
    <x v="3"/>
    <x v="5"/>
    <x v="1"/>
    <x v="0"/>
    <n v="56"/>
    <n v="54"/>
    <n v="52"/>
  </r>
  <r>
    <x v="0"/>
    <x v="1"/>
    <x v="3"/>
    <x v="0"/>
    <x v="1"/>
    <n v="67"/>
    <n v="84"/>
    <n v="81"/>
  </r>
  <r>
    <x v="1"/>
    <x v="0"/>
    <x v="3"/>
    <x v="0"/>
    <x v="0"/>
    <n v="80"/>
    <n v="76"/>
    <n v="64"/>
  </r>
  <r>
    <x v="0"/>
    <x v="1"/>
    <x v="3"/>
    <x v="0"/>
    <x v="1"/>
    <n v="74"/>
    <n v="75"/>
    <n v="83"/>
  </r>
  <r>
    <x v="1"/>
    <x v="2"/>
    <x v="1"/>
    <x v="0"/>
    <x v="0"/>
    <n v="69"/>
    <n v="67"/>
    <n v="69"/>
  </r>
  <r>
    <x v="1"/>
    <x v="4"/>
    <x v="1"/>
    <x v="0"/>
    <x v="1"/>
    <n v="99"/>
    <n v="87"/>
    <n v="81"/>
  </r>
  <r>
    <x v="1"/>
    <x v="1"/>
    <x v="5"/>
    <x v="0"/>
    <x v="0"/>
    <n v="51"/>
    <n v="52"/>
    <n v="44"/>
  </r>
  <r>
    <x v="0"/>
    <x v="0"/>
    <x v="3"/>
    <x v="1"/>
    <x v="0"/>
    <n v="53"/>
    <n v="71"/>
    <n v="67"/>
  </r>
  <r>
    <x v="0"/>
    <x v="3"/>
    <x v="4"/>
    <x v="1"/>
    <x v="0"/>
    <n v="49"/>
    <n v="57"/>
    <n v="52"/>
  </r>
  <r>
    <x v="0"/>
    <x v="0"/>
    <x v="3"/>
    <x v="0"/>
    <x v="0"/>
    <n v="73"/>
    <n v="76"/>
    <n v="80"/>
  </r>
  <r>
    <x v="1"/>
    <x v="0"/>
    <x v="0"/>
    <x v="0"/>
    <x v="0"/>
    <n v="66"/>
    <n v="60"/>
    <n v="57"/>
  </r>
  <r>
    <x v="1"/>
    <x v="3"/>
    <x v="0"/>
    <x v="0"/>
    <x v="1"/>
    <n v="67"/>
    <n v="61"/>
    <n v="68"/>
  </r>
  <r>
    <x v="0"/>
    <x v="1"/>
    <x v="3"/>
    <x v="1"/>
    <x v="1"/>
    <n v="68"/>
    <n v="67"/>
    <n v="69"/>
  </r>
  <r>
    <x v="0"/>
    <x v="1"/>
    <x v="0"/>
    <x v="0"/>
    <x v="1"/>
    <n v="59"/>
    <n v="64"/>
    <n v="75"/>
  </r>
  <r>
    <x v="1"/>
    <x v="1"/>
    <x v="4"/>
    <x v="0"/>
    <x v="0"/>
    <n v="71"/>
    <n v="66"/>
    <n v="65"/>
  </r>
  <r>
    <x v="0"/>
    <x v="3"/>
    <x v="2"/>
    <x v="0"/>
    <x v="1"/>
    <n v="77"/>
    <n v="82"/>
    <n v="91"/>
  </r>
  <r>
    <x v="1"/>
    <x v="1"/>
    <x v="3"/>
    <x v="0"/>
    <x v="0"/>
    <n v="83"/>
    <n v="72"/>
    <n v="78"/>
  </r>
  <r>
    <x v="1"/>
    <x v="0"/>
    <x v="0"/>
    <x v="0"/>
    <x v="0"/>
    <n v="63"/>
    <n v="71"/>
    <n v="69"/>
  </r>
  <r>
    <x v="0"/>
    <x v="3"/>
    <x v="3"/>
    <x v="1"/>
    <x v="0"/>
    <n v="56"/>
    <n v="65"/>
    <n v="63"/>
  </r>
  <r>
    <x v="0"/>
    <x v="1"/>
    <x v="4"/>
    <x v="1"/>
    <x v="1"/>
    <n v="67"/>
    <n v="79"/>
    <n v="84"/>
  </r>
  <r>
    <x v="0"/>
    <x v="4"/>
    <x v="4"/>
    <x v="0"/>
    <x v="0"/>
    <n v="75"/>
    <n v="86"/>
    <n v="79"/>
  </r>
  <r>
    <x v="0"/>
    <x v="1"/>
    <x v="1"/>
    <x v="0"/>
    <x v="0"/>
    <n v="71"/>
    <n v="81"/>
    <n v="80"/>
  </r>
  <r>
    <x v="0"/>
    <x v="1"/>
    <x v="5"/>
    <x v="1"/>
    <x v="0"/>
    <n v="43"/>
    <n v="53"/>
    <n v="53"/>
  </r>
  <r>
    <x v="0"/>
    <x v="1"/>
    <x v="4"/>
    <x v="1"/>
    <x v="0"/>
    <n v="41"/>
    <n v="46"/>
    <n v="43"/>
  </r>
  <r>
    <x v="0"/>
    <x v="1"/>
    <x v="1"/>
    <x v="0"/>
    <x v="0"/>
    <n v="82"/>
    <n v="90"/>
    <n v="94"/>
  </r>
  <r>
    <x v="1"/>
    <x v="1"/>
    <x v="1"/>
    <x v="0"/>
    <x v="0"/>
    <n v="61"/>
    <n v="61"/>
    <n v="62"/>
  </r>
  <r>
    <x v="1"/>
    <x v="2"/>
    <x v="1"/>
    <x v="1"/>
    <x v="0"/>
    <n v="28"/>
    <n v="23"/>
    <n v="19"/>
  </r>
  <r>
    <x v="1"/>
    <x v="1"/>
    <x v="3"/>
    <x v="0"/>
    <x v="1"/>
    <n v="82"/>
    <n v="75"/>
    <n v="77"/>
  </r>
  <r>
    <x v="0"/>
    <x v="0"/>
    <x v="5"/>
    <x v="0"/>
    <x v="0"/>
    <n v="41"/>
    <n v="55"/>
    <n v="51"/>
  </r>
  <r>
    <x v="1"/>
    <x v="1"/>
    <x v="4"/>
    <x v="0"/>
    <x v="0"/>
    <n v="71"/>
    <n v="60"/>
    <n v="61"/>
  </r>
  <r>
    <x v="1"/>
    <x v="1"/>
    <x v="3"/>
    <x v="0"/>
    <x v="0"/>
    <n v="47"/>
    <n v="37"/>
    <n v="35"/>
  </r>
  <r>
    <x v="1"/>
    <x v="4"/>
    <x v="3"/>
    <x v="0"/>
    <x v="1"/>
    <n v="62"/>
    <n v="56"/>
    <n v="53"/>
  </r>
  <r>
    <x v="1"/>
    <x v="0"/>
    <x v="3"/>
    <x v="0"/>
    <x v="0"/>
    <n v="90"/>
    <n v="78"/>
    <n v="81"/>
  </r>
  <r>
    <x v="0"/>
    <x v="1"/>
    <x v="0"/>
    <x v="0"/>
    <x v="0"/>
    <n v="83"/>
    <n v="93"/>
    <n v="95"/>
  </r>
  <r>
    <x v="0"/>
    <x v="0"/>
    <x v="1"/>
    <x v="1"/>
    <x v="0"/>
    <n v="61"/>
    <n v="68"/>
    <n v="66"/>
  </r>
  <r>
    <x v="1"/>
    <x v="3"/>
    <x v="5"/>
    <x v="0"/>
    <x v="1"/>
    <n v="76"/>
    <n v="70"/>
    <n v="69"/>
  </r>
  <r>
    <x v="1"/>
    <x v="1"/>
    <x v="3"/>
    <x v="0"/>
    <x v="0"/>
    <n v="49"/>
    <n v="51"/>
    <n v="43"/>
  </r>
  <r>
    <x v="0"/>
    <x v="0"/>
    <x v="5"/>
    <x v="1"/>
    <x v="0"/>
    <n v="24"/>
    <n v="38"/>
    <n v="27"/>
  </r>
  <r>
    <x v="0"/>
    <x v="3"/>
    <x v="5"/>
    <x v="1"/>
    <x v="1"/>
    <n v="35"/>
    <n v="55"/>
    <n v="60"/>
  </r>
  <r>
    <x v="1"/>
    <x v="1"/>
    <x v="4"/>
    <x v="1"/>
    <x v="0"/>
    <n v="58"/>
    <n v="61"/>
    <n v="52"/>
  </r>
  <r>
    <x v="0"/>
    <x v="1"/>
    <x v="4"/>
    <x v="0"/>
    <x v="0"/>
    <n v="61"/>
    <n v="73"/>
    <n v="63"/>
  </r>
  <r>
    <x v="0"/>
    <x v="0"/>
    <x v="4"/>
    <x v="0"/>
    <x v="1"/>
    <n v="69"/>
    <n v="76"/>
    <n v="74"/>
  </r>
  <r>
    <x v="1"/>
    <x v="3"/>
    <x v="3"/>
    <x v="0"/>
    <x v="1"/>
    <n v="67"/>
    <n v="72"/>
    <n v="67"/>
  </r>
  <r>
    <x v="1"/>
    <x v="3"/>
    <x v="1"/>
    <x v="0"/>
    <x v="0"/>
    <n v="79"/>
    <n v="73"/>
    <n v="67"/>
  </r>
  <r>
    <x v="0"/>
    <x v="1"/>
    <x v="4"/>
    <x v="0"/>
    <x v="0"/>
    <n v="72"/>
    <n v="80"/>
    <n v="75"/>
  </r>
  <r>
    <x v="1"/>
    <x v="0"/>
    <x v="1"/>
    <x v="0"/>
    <x v="0"/>
    <n v="62"/>
    <n v="61"/>
    <n v="57"/>
  </r>
  <r>
    <x v="0"/>
    <x v="1"/>
    <x v="0"/>
    <x v="0"/>
    <x v="1"/>
    <n v="77"/>
    <n v="94"/>
    <n v="95"/>
  </r>
  <r>
    <x v="1"/>
    <x v="3"/>
    <x v="4"/>
    <x v="1"/>
    <x v="0"/>
    <n v="75"/>
    <n v="74"/>
    <n v="66"/>
  </r>
  <r>
    <x v="1"/>
    <x v="4"/>
    <x v="3"/>
    <x v="0"/>
    <x v="0"/>
    <n v="87"/>
    <n v="74"/>
    <n v="76"/>
  </r>
  <r>
    <x v="0"/>
    <x v="0"/>
    <x v="0"/>
    <x v="0"/>
    <x v="0"/>
    <n v="52"/>
    <n v="65"/>
    <n v="69"/>
  </r>
  <r>
    <x v="1"/>
    <x v="4"/>
    <x v="1"/>
    <x v="0"/>
    <x v="0"/>
    <n v="66"/>
    <n v="57"/>
    <n v="52"/>
  </r>
  <r>
    <x v="0"/>
    <x v="1"/>
    <x v="1"/>
    <x v="0"/>
    <x v="1"/>
    <n v="63"/>
    <n v="78"/>
    <n v="80"/>
  </r>
  <r>
    <x v="0"/>
    <x v="1"/>
    <x v="3"/>
    <x v="0"/>
    <x v="0"/>
    <n v="46"/>
    <n v="58"/>
    <n v="57"/>
  </r>
  <r>
    <x v="0"/>
    <x v="1"/>
    <x v="1"/>
    <x v="0"/>
    <x v="0"/>
    <n v="59"/>
    <n v="71"/>
    <n v="70"/>
  </r>
  <r>
    <x v="0"/>
    <x v="0"/>
    <x v="0"/>
    <x v="0"/>
    <x v="0"/>
    <n v="61"/>
    <n v="72"/>
    <n v="70"/>
  </r>
  <r>
    <x v="1"/>
    <x v="2"/>
    <x v="3"/>
    <x v="0"/>
    <x v="0"/>
    <n v="63"/>
    <n v="61"/>
    <n v="61"/>
  </r>
  <r>
    <x v="0"/>
    <x v="1"/>
    <x v="1"/>
    <x v="1"/>
    <x v="1"/>
    <n v="42"/>
    <n v="66"/>
    <n v="69"/>
  </r>
  <r>
    <x v="1"/>
    <x v="3"/>
    <x v="1"/>
    <x v="1"/>
    <x v="0"/>
    <n v="59"/>
    <n v="62"/>
    <n v="61"/>
  </r>
  <r>
    <x v="0"/>
    <x v="3"/>
    <x v="1"/>
    <x v="0"/>
    <x v="0"/>
    <n v="80"/>
    <n v="90"/>
    <n v="89"/>
  </r>
  <r>
    <x v="0"/>
    <x v="0"/>
    <x v="4"/>
    <x v="0"/>
    <x v="0"/>
    <n v="58"/>
    <n v="62"/>
    <n v="59"/>
  </r>
  <r>
    <x v="1"/>
    <x v="0"/>
    <x v="5"/>
    <x v="0"/>
    <x v="1"/>
    <n v="85"/>
    <n v="84"/>
    <n v="78"/>
  </r>
  <r>
    <x v="0"/>
    <x v="1"/>
    <x v="1"/>
    <x v="0"/>
    <x v="0"/>
    <n v="52"/>
    <n v="58"/>
    <n v="58"/>
  </r>
  <r>
    <x v="0"/>
    <x v="3"/>
    <x v="5"/>
    <x v="1"/>
    <x v="0"/>
    <n v="27"/>
    <n v="34"/>
    <n v="32"/>
  </r>
  <r>
    <x v="1"/>
    <x v="1"/>
    <x v="1"/>
    <x v="0"/>
    <x v="0"/>
    <n v="59"/>
    <n v="60"/>
    <n v="58"/>
  </r>
  <r>
    <x v="1"/>
    <x v="2"/>
    <x v="0"/>
    <x v="1"/>
    <x v="1"/>
    <n v="49"/>
    <n v="58"/>
    <n v="60"/>
  </r>
  <r>
    <x v="1"/>
    <x v="1"/>
    <x v="4"/>
    <x v="0"/>
    <x v="1"/>
    <n v="69"/>
    <n v="58"/>
    <n v="53"/>
  </r>
  <r>
    <x v="1"/>
    <x v="1"/>
    <x v="0"/>
    <x v="1"/>
    <x v="0"/>
    <n v="61"/>
    <n v="66"/>
    <n v="61"/>
  </r>
  <r>
    <x v="0"/>
    <x v="2"/>
    <x v="5"/>
    <x v="1"/>
    <x v="0"/>
    <n v="44"/>
    <n v="64"/>
    <n v="58"/>
  </r>
  <r>
    <x v="0"/>
    <x v="3"/>
    <x v="5"/>
    <x v="0"/>
    <x v="0"/>
    <n v="73"/>
    <n v="84"/>
    <n v="85"/>
  </r>
  <r>
    <x v="1"/>
    <x v="4"/>
    <x v="1"/>
    <x v="0"/>
    <x v="0"/>
    <n v="84"/>
    <n v="77"/>
    <n v="71"/>
  </r>
  <r>
    <x v="0"/>
    <x v="1"/>
    <x v="1"/>
    <x v="1"/>
    <x v="1"/>
    <n v="45"/>
    <n v="73"/>
    <n v="70"/>
  </r>
  <r>
    <x v="1"/>
    <x v="3"/>
    <x v="5"/>
    <x v="0"/>
    <x v="0"/>
    <n v="74"/>
    <n v="74"/>
    <n v="72"/>
  </r>
  <r>
    <x v="0"/>
    <x v="3"/>
    <x v="1"/>
    <x v="0"/>
    <x v="1"/>
    <n v="82"/>
    <n v="97"/>
    <n v="96"/>
  </r>
  <r>
    <x v="0"/>
    <x v="3"/>
    <x v="0"/>
    <x v="0"/>
    <x v="0"/>
    <n v="59"/>
    <n v="70"/>
    <n v="73"/>
  </r>
  <r>
    <x v="1"/>
    <x v="4"/>
    <x v="3"/>
    <x v="1"/>
    <x v="0"/>
    <n v="46"/>
    <n v="43"/>
    <n v="41"/>
  </r>
  <r>
    <x v="0"/>
    <x v="3"/>
    <x v="5"/>
    <x v="0"/>
    <x v="0"/>
    <n v="80"/>
    <n v="90"/>
    <n v="82"/>
  </r>
  <r>
    <x v="0"/>
    <x v="3"/>
    <x v="2"/>
    <x v="1"/>
    <x v="1"/>
    <n v="85"/>
    <n v="95"/>
    <n v="100"/>
  </r>
  <r>
    <x v="0"/>
    <x v="2"/>
    <x v="5"/>
    <x v="0"/>
    <x v="0"/>
    <n v="71"/>
    <n v="83"/>
    <n v="77"/>
  </r>
  <r>
    <x v="1"/>
    <x v="2"/>
    <x v="0"/>
    <x v="0"/>
    <x v="0"/>
    <n v="66"/>
    <n v="64"/>
    <n v="62"/>
  </r>
  <r>
    <x v="0"/>
    <x v="0"/>
    <x v="3"/>
    <x v="0"/>
    <x v="0"/>
    <n v="80"/>
    <n v="86"/>
    <n v="83"/>
  </r>
  <r>
    <x v="1"/>
    <x v="1"/>
    <x v="3"/>
    <x v="0"/>
    <x v="1"/>
    <n v="87"/>
    <n v="100"/>
    <n v="95"/>
  </r>
  <r>
    <x v="1"/>
    <x v="1"/>
    <x v="2"/>
    <x v="1"/>
    <x v="0"/>
    <n v="79"/>
    <n v="81"/>
    <n v="71"/>
  </r>
  <r>
    <x v="0"/>
    <x v="4"/>
    <x v="5"/>
    <x v="1"/>
    <x v="0"/>
    <n v="38"/>
    <n v="49"/>
    <n v="45"/>
  </r>
  <r>
    <x v="0"/>
    <x v="2"/>
    <x v="5"/>
    <x v="1"/>
    <x v="0"/>
    <n v="38"/>
    <n v="43"/>
    <n v="43"/>
  </r>
  <r>
    <x v="0"/>
    <x v="4"/>
    <x v="1"/>
    <x v="0"/>
    <x v="0"/>
    <n v="67"/>
    <n v="76"/>
    <n v="75"/>
  </r>
  <r>
    <x v="0"/>
    <x v="4"/>
    <x v="0"/>
    <x v="0"/>
    <x v="0"/>
    <n v="64"/>
    <n v="73"/>
    <n v="70"/>
  </r>
  <r>
    <x v="0"/>
    <x v="1"/>
    <x v="3"/>
    <x v="1"/>
    <x v="0"/>
    <n v="57"/>
    <n v="78"/>
    <n v="67"/>
  </r>
  <r>
    <x v="0"/>
    <x v="3"/>
    <x v="4"/>
    <x v="0"/>
    <x v="0"/>
    <n v="62"/>
    <n v="64"/>
    <n v="64"/>
  </r>
  <r>
    <x v="1"/>
    <x v="3"/>
    <x v="2"/>
    <x v="0"/>
    <x v="0"/>
    <n v="73"/>
    <n v="70"/>
    <n v="75"/>
  </r>
  <r>
    <x v="1"/>
    <x v="4"/>
    <x v="5"/>
    <x v="1"/>
    <x v="1"/>
    <n v="73"/>
    <n v="67"/>
    <n v="59"/>
  </r>
  <r>
    <x v="0"/>
    <x v="3"/>
    <x v="1"/>
    <x v="0"/>
    <x v="0"/>
    <n v="77"/>
    <n v="68"/>
    <n v="77"/>
  </r>
  <r>
    <x v="1"/>
    <x v="4"/>
    <x v="1"/>
    <x v="0"/>
    <x v="0"/>
    <n v="76"/>
    <n v="67"/>
    <n v="67"/>
  </r>
  <r>
    <x v="1"/>
    <x v="1"/>
    <x v="3"/>
    <x v="0"/>
    <x v="1"/>
    <n v="57"/>
    <n v="54"/>
    <n v="56"/>
  </r>
  <r>
    <x v="0"/>
    <x v="1"/>
    <x v="5"/>
    <x v="0"/>
    <x v="1"/>
    <n v="65"/>
    <n v="74"/>
    <n v="77"/>
  </r>
  <r>
    <x v="1"/>
    <x v="2"/>
    <x v="4"/>
    <x v="1"/>
    <x v="0"/>
    <n v="48"/>
    <n v="45"/>
    <n v="41"/>
  </r>
  <r>
    <x v="0"/>
    <x v="0"/>
    <x v="4"/>
    <x v="1"/>
    <x v="0"/>
    <n v="50"/>
    <n v="67"/>
    <n v="63"/>
  </r>
  <r>
    <x v="0"/>
    <x v="1"/>
    <x v="3"/>
    <x v="0"/>
    <x v="0"/>
    <n v="85"/>
    <n v="89"/>
    <n v="95"/>
  </r>
  <r>
    <x v="1"/>
    <x v="0"/>
    <x v="5"/>
    <x v="0"/>
    <x v="0"/>
    <n v="74"/>
    <n v="63"/>
    <n v="57"/>
  </r>
  <r>
    <x v="1"/>
    <x v="3"/>
    <x v="5"/>
    <x v="0"/>
    <x v="0"/>
    <n v="60"/>
    <n v="59"/>
    <n v="54"/>
  </r>
  <r>
    <x v="0"/>
    <x v="1"/>
    <x v="5"/>
    <x v="0"/>
    <x v="1"/>
    <n v="59"/>
    <n v="54"/>
    <n v="67"/>
  </r>
  <r>
    <x v="1"/>
    <x v="2"/>
    <x v="1"/>
    <x v="0"/>
    <x v="0"/>
    <n v="53"/>
    <n v="43"/>
    <n v="43"/>
  </r>
  <r>
    <x v="0"/>
    <x v="2"/>
    <x v="1"/>
    <x v="1"/>
    <x v="0"/>
    <n v="49"/>
    <n v="65"/>
    <n v="55"/>
  </r>
  <r>
    <x v="0"/>
    <x v="3"/>
    <x v="4"/>
    <x v="0"/>
    <x v="1"/>
    <n v="88"/>
    <n v="99"/>
    <n v="100"/>
  </r>
  <r>
    <x v="0"/>
    <x v="1"/>
    <x v="4"/>
    <x v="0"/>
    <x v="0"/>
    <n v="54"/>
    <n v="59"/>
    <n v="62"/>
  </r>
  <r>
    <x v="0"/>
    <x v="1"/>
    <x v="5"/>
    <x v="0"/>
    <x v="0"/>
    <n v="63"/>
    <n v="73"/>
    <n v="68"/>
  </r>
  <r>
    <x v="1"/>
    <x v="0"/>
    <x v="3"/>
    <x v="0"/>
    <x v="1"/>
    <n v="65"/>
    <n v="65"/>
    <n v="63"/>
  </r>
  <r>
    <x v="0"/>
    <x v="0"/>
    <x v="3"/>
    <x v="0"/>
    <x v="0"/>
    <n v="82"/>
    <n v="80"/>
    <n v="77"/>
  </r>
  <r>
    <x v="0"/>
    <x v="3"/>
    <x v="4"/>
    <x v="1"/>
    <x v="1"/>
    <n v="52"/>
    <n v="57"/>
    <n v="56"/>
  </r>
  <r>
    <x v="1"/>
    <x v="3"/>
    <x v="3"/>
    <x v="0"/>
    <x v="1"/>
    <n v="87"/>
    <n v="84"/>
    <n v="85"/>
  </r>
  <r>
    <x v="0"/>
    <x v="3"/>
    <x v="2"/>
    <x v="0"/>
    <x v="1"/>
    <n v="70"/>
    <n v="71"/>
    <n v="74"/>
  </r>
  <r>
    <x v="1"/>
    <x v="4"/>
    <x v="1"/>
    <x v="0"/>
    <x v="1"/>
    <n v="84"/>
    <n v="83"/>
    <n v="78"/>
  </r>
  <r>
    <x v="1"/>
    <x v="3"/>
    <x v="3"/>
    <x v="0"/>
    <x v="0"/>
    <n v="71"/>
    <n v="66"/>
    <n v="60"/>
  </r>
  <r>
    <x v="1"/>
    <x v="0"/>
    <x v="5"/>
    <x v="0"/>
    <x v="1"/>
    <n v="63"/>
    <n v="67"/>
    <n v="67"/>
  </r>
  <r>
    <x v="0"/>
    <x v="1"/>
    <x v="0"/>
    <x v="1"/>
    <x v="1"/>
    <n v="51"/>
    <n v="72"/>
    <n v="79"/>
  </r>
  <r>
    <x v="1"/>
    <x v="4"/>
    <x v="4"/>
    <x v="0"/>
    <x v="0"/>
    <n v="84"/>
    <n v="73"/>
    <n v="69"/>
  </r>
  <r>
    <x v="1"/>
    <x v="1"/>
    <x v="0"/>
    <x v="0"/>
    <x v="1"/>
    <n v="71"/>
    <n v="74"/>
    <n v="68"/>
  </r>
  <r>
    <x v="1"/>
    <x v="1"/>
    <x v="3"/>
    <x v="0"/>
    <x v="0"/>
    <n v="74"/>
    <n v="73"/>
    <n v="67"/>
  </r>
  <r>
    <x v="1"/>
    <x v="3"/>
    <x v="1"/>
    <x v="0"/>
    <x v="0"/>
    <n v="68"/>
    <n v="59"/>
    <n v="62"/>
  </r>
  <r>
    <x v="1"/>
    <x v="4"/>
    <x v="4"/>
    <x v="1"/>
    <x v="1"/>
    <n v="57"/>
    <n v="56"/>
    <n v="54"/>
  </r>
  <r>
    <x v="0"/>
    <x v="1"/>
    <x v="3"/>
    <x v="1"/>
    <x v="1"/>
    <n v="82"/>
    <n v="93"/>
    <n v="93"/>
  </r>
  <r>
    <x v="0"/>
    <x v="3"/>
    <x v="4"/>
    <x v="0"/>
    <x v="1"/>
    <n v="57"/>
    <n v="58"/>
    <n v="64"/>
  </r>
  <r>
    <x v="0"/>
    <x v="3"/>
    <x v="2"/>
    <x v="1"/>
    <x v="1"/>
    <n v="47"/>
    <n v="58"/>
    <n v="67"/>
  </r>
  <r>
    <x v="0"/>
    <x v="2"/>
    <x v="5"/>
    <x v="0"/>
    <x v="1"/>
    <n v="59"/>
    <n v="85"/>
    <n v="80"/>
  </r>
  <r>
    <x v="1"/>
    <x v="0"/>
    <x v="1"/>
    <x v="1"/>
    <x v="0"/>
    <n v="41"/>
    <n v="39"/>
    <n v="34"/>
  </r>
  <r>
    <x v="0"/>
    <x v="1"/>
    <x v="1"/>
    <x v="1"/>
    <x v="0"/>
    <n v="62"/>
    <n v="67"/>
    <n v="62"/>
  </r>
  <r>
    <x v="1"/>
    <x v="1"/>
    <x v="0"/>
    <x v="0"/>
    <x v="0"/>
    <n v="86"/>
    <n v="83"/>
    <n v="86"/>
  </r>
  <r>
    <x v="1"/>
    <x v="1"/>
    <x v="5"/>
    <x v="1"/>
    <x v="0"/>
    <n v="69"/>
    <n v="71"/>
    <n v="65"/>
  </r>
  <r>
    <x v="1"/>
    <x v="2"/>
    <x v="5"/>
    <x v="1"/>
    <x v="0"/>
    <n v="65"/>
    <n v="59"/>
    <n v="53"/>
  </r>
  <r>
    <x v="1"/>
    <x v="1"/>
    <x v="5"/>
    <x v="1"/>
    <x v="0"/>
    <n v="68"/>
    <n v="63"/>
    <n v="54"/>
  </r>
  <r>
    <x v="1"/>
    <x v="1"/>
    <x v="3"/>
    <x v="1"/>
    <x v="0"/>
    <n v="64"/>
    <n v="66"/>
    <n v="59"/>
  </r>
  <r>
    <x v="0"/>
    <x v="1"/>
    <x v="4"/>
    <x v="0"/>
    <x v="0"/>
    <n v="61"/>
    <n v="72"/>
    <n v="70"/>
  </r>
  <r>
    <x v="1"/>
    <x v="1"/>
    <x v="4"/>
    <x v="0"/>
    <x v="0"/>
    <n v="61"/>
    <n v="56"/>
    <n v="55"/>
  </r>
  <r>
    <x v="0"/>
    <x v="2"/>
    <x v="5"/>
    <x v="1"/>
    <x v="0"/>
    <n v="47"/>
    <n v="59"/>
    <n v="50"/>
  </r>
  <r>
    <x v="1"/>
    <x v="1"/>
    <x v="5"/>
    <x v="0"/>
    <x v="0"/>
    <n v="73"/>
    <n v="66"/>
    <n v="66"/>
  </r>
  <r>
    <x v="1"/>
    <x v="1"/>
    <x v="1"/>
    <x v="1"/>
    <x v="1"/>
    <n v="50"/>
    <n v="48"/>
    <n v="53"/>
  </r>
  <r>
    <x v="1"/>
    <x v="3"/>
    <x v="3"/>
    <x v="0"/>
    <x v="0"/>
    <n v="75"/>
    <n v="68"/>
    <n v="64"/>
  </r>
  <r>
    <x v="1"/>
    <x v="3"/>
    <x v="3"/>
    <x v="1"/>
    <x v="0"/>
    <n v="75"/>
    <n v="66"/>
    <n v="73"/>
  </r>
  <r>
    <x v="1"/>
    <x v="1"/>
    <x v="4"/>
    <x v="0"/>
    <x v="0"/>
    <n v="70"/>
    <n v="56"/>
    <n v="51"/>
  </r>
  <r>
    <x v="1"/>
    <x v="3"/>
    <x v="5"/>
    <x v="0"/>
    <x v="1"/>
    <n v="89"/>
    <n v="88"/>
    <n v="82"/>
  </r>
  <r>
    <x v="0"/>
    <x v="1"/>
    <x v="1"/>
    <x v="0"/>
    <x v="1"/>
    <n v="67"/>
    <n v="81"/>
    <n v="79"/>
  </r>
  <r>
    <x v="0"/>
    <x v="3"/>
    <x v="4"/>
    <x v="0"/>
    <x v="0"/>
    <n v="78"/>
    <n v="81"/>
    <n v="80"/>
  </r>
  <r>
    <x v="0"/>
    <x v="2"/>
    <x v="5"/>
    <x v="1"/>
    <x v="0"/>
    <n v="59"/>
    <n v="73"/>
    <n v="69"/>
  </r>
  <r>
    <x v="0"/>
    <x v="0"/>
    <x v="3"/>
    <x v="0"/>
    <x v="0"/>
    <n v="73"/>
    <n v="83"/>
    <n v="76"/>
  </r>
  <r>
    <x v="1"/>
    <x v="2"/>
    <x v="5"/>
    <x v="1"/>
    <x v="0"/>
    <n v="79"/>
    <n v="82"/>
    <n v="73"/>
  </r>
  <r>
    <x v="0"/>
    <x v="1"/>
    <x v="5"/>
    <x v="0"/>
    <x v="1"/>
    <n v="67"/>
    <n v="74"/>
    <n v="77"/>
  </r>
  <r>
    <x v="1"/>
    <x v="3"/>
    <x v="1"/>
    <x v="1"/>
    <x v="0"/>
    <n v="69"/>
    <n v="66"/>
    <n v="60"/>
  </r>
  <r>
    <x v="1"/>
    <x v="1"/>
    <x v="4"/>
    <x v="0"/>
    <x v="1"/>
    <n v="86"/>
    <n v="81"/>
    <n v="80"/>
  </r>
  <r>
    <x v="1"/>
    <x v="0"/>
    <x v="4"/>
    <x v="0"/>
    <x v="0"/>
    <n v="47"/>
    <n v="46"/>
    <n v="42"/>
  </r>
  <r>
    <x v="1"/>
    <x v="0"/>
    <x v="3"/>
    <x v="0"/>
    <x v="0"/>
    <n v="81"/>
    <n v="73"/>
    <n v="72"/>
  </r>
  <r>
    <x v="0"/>
    <x v="1"/>
    <x v="1"/>
    <x v="1"/>
    <x v="1"/>
    <n v="64"/>
    <n v="85"/>
    <n v="85"/>
  </r>
  <r>
    <x v="0"/>
    <x v="4"/>
    <x v="1"/>
    <x v="0"/>
    <x v="0"/>
    <n v="100"/>
    <n v="92"/>
    <n v="97"/>
  </r>
  <r>
    <x v="0"/>
    <x v="1"/>
    <x v="3"/>
    <x v="1"/>
    <x v="0"/>
    <n v="65"/>
    <n v="77"/>
    <n v="74"/>
  </r>
  <r>
    <x v="1"/>
    <x v="1"/>
    <x v="1"/>
    <x v="1"/>
    <x v="0"/>
    <n v="65"/>
    <n v="58"/>
    <n v="49"/>
  </r>
  <r>
    <x v="0"/>
    <x v="1"/>
    <x v="3"/>
    <x v="1"/>
    <x v="0"/>
    <n v="53"/>
    <n v="61"/>
    <n v="62"/>
  </r>
  <r>
    <x v="1"/>
    <x v="1"/>
    <x v="0"/>
    <x v="1"/>
    <x v="0"/>
    <n v="37"/>
    <n v="56"/>
    <n v="47"/>
  </r>
  <r>
    <x v="0"/>
    <x v="3"/>
    <x v="0"/>
    <x v="0"/>
    <x v="0"/>
    <n v="79"/>
    <n v="89"/>
    <n v="89"/>
  </r>
  <r>
    <x v="1"/>
    <x v="3"/>
    <x v="3"/>
    <x v="1"/>
    <x v="0"/>
    <n v="53"/>
    <n v="54"/>
    <n v="48"/>
  </r>
  <r>
    <x v="0"/>
    <x v="4"/>
    <x v="0"/>
    <x v="0"/>
    <x v="0"/>
    <n v="100"/>
    <n v="100"/>
    <n v="100"/>
  </r>
  <r>
    <x v="1"/>
    <x v="0"/>
    <x v="4"/>
    <x v="0"/>
    <x v="1"/>
    <n v="72"/>
    <n v="65"/>
    <n v="68"/>
  </r>
  <r>
    <x v="1"/>
    <x v="1"/>
    <x v="0"/>
    <x v="1"/>
    <x v="0"/>
    <n v="53"/>
    <n v="58"/>
    <n v="55"/>
  </r>
  <r>
    <x v="1"/>
    <x v="0"/>
    <x v="1"/>
    <x v="1"/>
    <x v="0"/>
    <n v="54"/>
    <n v="54"/>
    <n v="45"/>
  </r>
  <r>
    <x v="0"/>
    <x v="4"/>
    <x v="1"/>
    <x v="0"/>
    <x v="0"/>
    <n v="71"/>
    <n v="70"/>
    <n v="76"/>
  </r>
  <r>
    <x v="0"/>
    <x v="1"/>
    <x v="1"/>
    <x v="1"/>
    <x v="0"/>
    <n v="77"/>
    <n v="90"/>
    <n v="91"/>
  </r>
  <r>
    <x v="1"/>
    <x v="2"/>
    <x v="0"/>
    <x v="0"/>
    <x v="1"/>
    <n v="75"/>
    <n v="58"/>
    <n v="62"/>
  </r>
  <r>
    <x v="0"/>
    <x v="1"/>
    <x v="1"/>
    <x v="0"/>
    <x v="0"/>
    <n v="84"/>
    <n v="87"/>
    <n v="91"/>
  </r>
  <r>
    <x v="0"/>
    <x v="3"/>
    <x v="3"/>
    <x v="1"/>
    <x v="0"/>
    <n v="26"/>
    <n v="31"/>
    <n v="38"/>
  </r>
  <r>
    <x v="1"/>
    <x v="2"/>
    <x v="4"/>
    <x v="1"/>
    <x v="1"/>
    <n v="72"/>
    <n v="67"/>
    <n v="65"/>
  </r>
  <r>
    <x v="0"/>
    <x v="2"/>
    <x v="4"/>
    <x v="1"/>
    <x v="1"/>
    <n v="77"/>
    <n v="88"/>
    <n v="85"/>
  </r>
  <r>
    <x v="1"/>
    <x v="1"/>
    <x v="1"/>
    <x v="0"/>
    <x v="0"/>
    <n v="91"/>
    <n v="74"/>
    <n v="76"/>
  </r>
  <r>
    <x v="0"/>
    <x v="1"/>
    <x v="3"/>
    <x v="0"/>
    <x v="1"/>
    <n v="83"/>
    <n v="85"/>
    <n v="90"/>
  </r>
  <r>
    <x v="0"/>
    <x v="1"/>
    <x v="4"/>
    <x v="0"/>
    <x v="0"/>
    <n v="63"/>
    <n v="69"/>
    <n v="74"/>
  </r>
  <r>
    <x v="0"/>
    <x v="1"/>
    <x v="3"/>
    <x v="0"/>
    <x v="1"/>
    <n v="68"/>
    <n v="86"/>
    <n v="84"/>
  </r>
  <r>
    <x v="0"/>
    <x v="3"/>
    <x v="5"/>
    <x v="0"/>
    <x v="0"/>
    <n v="59"/>
    <n v="67"/>
    <n v="61"/>
  </r>
  <r>
    <x v="0"/>
    <x v="0"/>
    <x v="3"/>
    <x v="0"/>
    <x v="1"/>
    <n v="90"/>
    <n v="90"/>
    <n v="91"/>
  </r>
  <r>
    <x v="0"/>
    <x v="3"/>
    <x v="0"/>
    <x v="0"/>
    <x v="1"/>
    <n v="71"/>
    <n v="76"/>
    <n v="83"/>
  </r>
  <r>
    <x v="1"/>
    <x v="4"/>
    <x v="0"/>
    <x v="0"/>
    <x v="1"/>
    <n v="76"/>
    <n v="62"/>
    <n v="66"/>
  </r>
  <r>
    <x v="1"/>
    <x v="3"/>
    <x v="3"/>
    <x v="0"/>
    <x v="0"/>
    <n v="80"/>
    <n v="68"/>
    <n v="72"/>
  </r>
  <r>
    <x v="0"/>
    <x v="3"/>
    <x v="2"/>
    <x v="0"/>
    <x v="0"/>
    <n v="55"/>
    <n v="64"/>
    <n v="70"/>
  </r>
  <r>
    <x v="1"/>
    <x v="4"/>
    <x v="3"/>
    <x v="0"/>
    <x v="0"/>
    <n v="76"/>
    <n v="71"/>
    <n v="67"/>
  </r>
  <r>
    <x v="1"/>
    <x v="0"/>
    <x v="4"/>
    <x v="0"/>
    <x v="1"/>
    <n v="73"/>
    <n v="71"/>
    <n v="68"/>
  </r>
  <r>
    <x v="0"/>
    <x v="3"/>
    <x v="3"/>
    <x v="1"/>
    <x v="0"/>
    <n v="52"/>
    <n v="59"/>
    <n v="56"/>
  </r>
  <r>
    <x v="1"/>
    <x v="1"/>
    <x v="1"/>
    <x v="1"/>
    <x v="0"/>
    <n v="68"/>
    <n v="68"/>
    <n v="61"/>
  </r>
  <r>
    <x v="1"/>
    <x v="2"/>
    <x v="4"/>
    <x v="0"/>
    <x v="0"/>
    <n v="59"/>
    <n v="52"/>
    <n v="46"/>
  </r>
  <r>
    <x v="0"/>
    <x v="0"/>
    <x v="3"/>
    <x v="0"/>
    <x v="0"/>
    <n v="49"/>
    <n v="52"/>
    <n v="54"/>
  </r>
  <r>
    <x v="1"/>
    <x v="1"/>
    <x v="4"/>
    <x v="0"/>
    <x v="0"/>
    <n v="70"/>
    <n v="74"/>
    <n v="71"/>
  </r>
  <r>
    <x v="1"/>
    <x v="3"/>
    <x v="1"/>
    <x v="1"/>
    <x v="0"/>
    <n v="61"/>
    <n v="47"/>
    <n v="56"/>
  </r>
  <r>
    <x v="0"/>
    <x v="1"/>
    <x v="3"/>
    <x v="1"/>
    <x v="0"/>
    <n v="60"/>
    <n v="75"/>
    <n v="74"/>
  </r>
  <r>
    <x v="1"/>
    <x v="0"/>
    <x v="5"/>
    <x v="0"/>
    <x v="1"/>
    <n v="64"/>
    <n v="53"/>
    <n v="57"/>
  </r>
  <r>
    <x v="1"/>
    <x v="2"/>
    <x v="3"/>
    <x v="1"/>
    <x v="1"/>
    <n v="79"/>
    <n v="82"/>
    <n v="82"/>
  </r>
  <r>
    <x v="0"/>
    <x v="2"/>
    <x v="3"/>
    <x v="1"/>
    <x v="0"/>
    <n v="65"/>
    <n v="85"/>
    <n v="76"/>
  </r>
  <r>
    <x v="0"/>
    <x v="1"/>
    <x v="3"/>
    <x v="0"/>
    <x v="0"/>
    <n v="64"/>
    <n v="64"/>
    <n v="70"/>
  </r>
  <r>
    <x v="0"/>
    <x v="1"/>
    <x v="1"/>
    <x v="0"/>
    <x v="0"/>
    <n v="83"/>
    <n v="83"/>
    <n v="90"/>
  </r>
  <r>
    <x v="0"/>
    <x v="1"/>
    <x v="0"/>
    <x v="0"/>
    <x v="0"/>
    <n v="81"/>
    <n v="88"/>
    <n v="90"/>
  </r>
  <r>
    <x v="0"/>
    <x v="0"/>
    <x v="4"/>
    <x v="0"/>
    <x v="0"/>
    <n v="54"/>
    <n v="64"/>
    <n v="68"/>
  </r>
  <r>
    <x v="1"/>
    <x v="3"/>
    <x v="4"/>
    <x v="0"/>
    <x v="1"/>
    <n v="68"/>
    <n v="64"/>
    <n v="66"/>
  </r>
  <r>
    <x v="0"/>
    <x v="1"/>
    <x v="1"/>
    <x v="0"/>
    <x v="0"/>
    <n v="54"/>
    <n v="48"/>
    <n v="52"/>
  </r>
  <r>
    <x v="0"/>
    <x v="3"/>
    <x v="1"/>
    <x v="1"/>
    <x v="1"/>
    <n v="59"/>
    <n v="78"/>
    <n v="76"/>
  </r>
  <r>
    <x v="0"/>
    <x v="0"/>
    <x v="5"/>
    <x v="0"/>
    <x v="0"/>
    <n v="66"/>
    <n v="69"/>
    <n v="68"/>
  </r>
  <r>
    <x v="1"/>
    <x v="4"/>
    <x v="1"/>
    <x v="0"/>
    <x v="0"/>
    <n v="76"/>
    <n v="71"/>
    <n v="72"/>
  </r>
  <r>
    <x v="0"/>
    <x v="3"/>
    <x v="2"/>
    <x v="0"/>
    <x v="0"/>
    <n v="74"/>
    <n v="79"/>
    <n v="82"/>
  </r>
  <r>
    <x v="0"/>
    <x v="0"/>
    <x v="3"/>
    <x v="0"/>
    <x v="1"/>
    <n v="94"/>
    <n v="87"/>
    <n v="92"/>
  </r>
  <r>
    <x v="1"/>
    <x v="1"/>
    <x v="1"/>
    <x v="1"/>
    <x v="0"/>
    <n v="63"/>
    <n v="61"/>
    <n v="54"/>
  </r>
  <r>
    <x v="0"/>
    <x v="4"/>
    <x v="3"/>
    <x v="0"/>
    <x v="1"/>
    <n v="95"/>
    <n v="89"/>
    <n v="92"/>
  </r>
  <r>
    <x v="0"/>
    <x v="3"/>
    <x v="2"/>
    <x v="1"/>
    <x v="0"/>
    <n v="40"/>
    <n v="59"/>
    <n v="54"/>
  </r>
  <r>
    <x v="0"/>
    <x v="0"/>
    <x v="5"/>
    <x v="0"/>
    <x v="0"/>
    <n v="82"/>
    <n v="82"/>
    <n v="80"/>
  </r>
  <r>
    <x v="1"/>
    <x v="2"/>
    <x v="4"/>
    <x v="0"/>
    <x v="0"/>
    <n v="68"/>
    <n v="70"/>
    <n v="66"/>
  </r>
  <r>
    <x v="1"/>
    <x v="0"/>
    <x v="0"/>
    <x v="1"/>
    <x v="0"/>
    <n v="55"/>
    <n v="59"/>
    <n v="54"/>
  </r>
  <r>
    <x v="1"/>
    <x v="1"/>
    <x v="2"/>
    <x v="0"/>
    <x v="0"/>
    <n v="79"/>
    <n v="78"/>
    <n v="77"/>
  </r>
  <r>
    <x v="0"/>
    <x v="1"/>
    <x v="0"/>
    <x v="0"/>
    <x v="0"/>
    <n v="86"/>
    <n v="92"/>
    <n v="87"/>
  </r>
  <r>
    <x v="1"/>
    <x v="3"/>
    <x v="1"/>
    <x v="0"/>
    <x v="0"/>
    <n v="76"/>
    <n v="71"/>
    <n v="73"/>
  </r>
  <r>
    <x v="1"/>
    <x v="2"/>
    <x v="5"/>
    <x v="0"/>
    <x v="0"/>
    <n v="64"/>
    <n v="50"/>
    <n v="43"/>
  </r>
  <r>
    <x v="1"/>
    <x v="3"/>
    <x v="5"/>
    <x v="1"/>
    <x v="0"/>
    <n v="62"/>
    <n v="49"/>
    <n v="52"/>
  </r>
  <r>
    <x v="0"/>
    <x v="0"/>
    <x v="5"/>
    <x v="0"/>
    <x v="1"/>
    <n v="54"/>
    <n v="61"/>
    <n v="62"/>
  </r>
  <r>
    <x v="0"/>
    <x v="0"/>
    <x v="2"/>
    <x v="1"/>
    <x v="1"/>
    <n v="77"/>
    <n v="97"/>
    <n v="94"/>
  </r>
  <r>
    <x v="0"/>
    <x v="1"/>
    <x v="5"/>
    <x v="0"/>
    <x v="1"/>
    <n v="76"/>
    <n v="87"/>
    <n v="85"/>
  </r>
  <r>
    <x v="0"/>
    <x v="3"/>
    <x v="1"/>
    <x v="0"/>
    <x v="0"/>
    <n v="74"/>
    <n v="89"/>
    <n v="84"/>
  </r>
  <r>
    <x v="0"/>
    <x v="4"/>
    <x v="1"/>
    <x v="0"/>
    <x v="1"/>
    <n v="66"/>
    <n v="74"/>
    <n v="73"/>
  </r>
  <r>
    <x v="0"/>
    <x v="3"/>
    <x v="5"/>
    <x v="0"/>
    <x v="1"/>
    <n v="66"/>
    <n v="78"/>
    <n v="78"/>
  </r>
  <r>
    <x v="0"/>
    <x v="0"/>
    <x v="4"/>
    <x v="1"/>
    <x v="1"/>
    <n v="67"/>
    <n v="78"/>
    <n v="79"/>
  </r>
  <r>
    <x v="1"/>
    <x v="3"/>
    <x v="1"/>
    <x v="0"/>
    <x v="0"/>
    <n v="71"/>
    <n v="49"/>
    <n v="52"/>
  </r>
  <r>
    <x v="0"/>
    <x v="1"/>
    <x v="3"/>
    <x v="0"/>
    <x v="0"/>
    <n v="91"/>
    <n v="86"/>
    <n v="84"/>
  </r>
  <r>
    <x v="1"/>
    <x v="3"/>
    <x v="0"/>
    <x v="0"/>
    <x v="0"/>
    <n v="69"/>
    <n v="58"/>
    <n v="57"/>
  </r>
  <r>
    <x v="1"/>
    <x v="1"/>
    <x v="2"/>
    <x v="1"/>
    <x v="0"/>
    <n v="54"/>
    <n v="59"/>
    <n v="50"/>
  </r>
  <r>
    <x v="1"/>
    <x v="1"/>
    <x v="4"/>
    <x v="0"/>
    <x v="1"/>
    <n v="53"/>
    <n v="52"/>
    <n v="49"/>
  </r>
  <r>
    <x v="1"/>
    <x v="4"/>
    <x v="1"/>
    <x v="0"/>
    <x v="0"/>
    <n v="68"/>
    <n v="60"/>
    <n v="59"/>
  </r>
  <r>
    <x v="1"/>
    <x v="1"/>
    <x v="5"/>
    <x v="1"/>
    <x v="1"/>
    <n v="56"/>
    <n v="61"/>
    <n v="60"/>
  </r>
  <r>
    <x v="0"/>
    <x v="1"/>
    <x v="4"/>
    <x v="1"/>
    <x v="0"/>
    <n v="36"/>
    <n v="53"/>
    <n v="43"/>
  </r>
  <r>
    <x v="0"/>
    <x v="3"/>
    <x v="0"/>
    <x v="1"/>
    <x v="0"/>
    <n v="29"/>
    <n v="41"/>
    <n v="47"/>
  </r>
  <r>
    <x v="0"/>
    <x v="1"/>
    <x v="3"/>
    <x v="0"/>
    <x v="0"/>
    <n v="62"/>
    <n v="74"/>
    <n v="70"/>
  </r>
  <r>
    <x v="0"/>
    <x v="1"/>
    <x v="3"/>
    <x v="0"/>
    <x v="1"/>
    <n v="68"/>
    <n v="67"/>
    <n v="73"/>
  </r>
  <r>
    <x v="0"/>
    <x v="1"/>
    <x v="5"/>
    <x v="0"/>
    <x v="0"/>
    <n v="47"/>
    <n v="54"/>
    <n v="53"/>
  </r>
  <r>
    <x v="1"/>
    <x v="4"/>
    <x v="3"/>
    <x v="0"/>
    <x v="1"/>
    <n v="62"/>
    <n v="61"/>
    <n v="58"/>
  </r>
  <r>
    <x v="0"/>
    <x v="4"/>
    <x v="3"/>
    <x v="0"/>
    <x v="1"/>
    <n v="79"/>
    <n v="88"/>
    <n v="94"/>
  </r>
  <r>
    <x v="1"/>
    <x v="0"/>
    <x v="4"/>
    <x v="0"/>
    <x v="1"/>
    <n v="73"/>
    <n v="69"/>
    <n v="68"/>
  </r>
  <r>
    <x v="0"/>
    <x v="1"/>
    <x v="0"/>
    <x v="1"/>
    <x v="1"/>
    <n v="66"/>
    <n v="83"/>
    <n v="83"/>
  </r>
  <r>
    <x v="1"/>
    <x v="1"/>
    <x v="3"/>
    <x v="0"/>
    <x v="1"/>
    <n v="51"/>
    <n v="60"/>
    <n v="58"/>
  </r>
  <r>
    <x v="0"/>
    <x v="3"/>
    <x v="4"/>
    <x v="0"/>
    <x v="0"/>
    <n v="51"/>
    <n v="66"/>
    <n v="62"/>
  </r>
  <r>
    <x v="1"/>
    <x v="4"/>
    <x v="0"/>
    <x v="0"/>
    <x v="1"/>
    <n v="85"/>
    <n v="66"/>
    <n v="71"/>
  </r>
  <r>
    <x v="1"/>
    <x v="2"/>
    <x v="3"/>
    <x v="0"/>
    <x v="1"/>
    <n v="97"/>
    <n v="92"/>
    <n v="86"/>
  </r>
  <r>
    <x v="1"/>
    <x v="1"/>
    <x v="4"/>
    <x v="0"/>
    <x v="1"/>
    <n v="75"/>
    <n v="69"/>
    <n v="68"/>
  </r>
  <r>
    <x v="1"/>
    <x v="3"/>
    <x v="3"/>
    <x v="1"/>
    <x v="1"/>
    <n v="79"/>
    <n v="82"/>
    <n v="80"/>
  </r>
  <r>
    <x v="0"/>
    <x v="1"/>
    <x v="3"/>
    <x v="0"/>
    <x v="0"/>
    <n v="81"/>
    <n v="77"/>
    <n v="79"/>
  </r>
  <r>
    <x v="0"/>
    <x v="3"/>
    <x v="3"/>
    <x v="0"/>
    <x v="0"/>
    <n v="82"/>
    <n v="95"/>
    <n v="89"/>
  </r>
  <r>
    <x v="0"/>
    <x v="3"/>
    <x v="2"/>
    <x v="0"/>
    <x v="0"/>
    <n v="64"/>
    <n v="63"/>
    <n v="66"/>
  </r>
  <r>
    <x v="1"/>
    <x v="4"/>
    <x v="5"/>
    <x v="1"/>
    <x v="1"/>
    <n v="78"/>
    <n v="83"/>
    <n v="80"/>
  </r>
  <r>
    <x v="0"/>
    <x v="2"/>
    <x v="5"/>
    <x v="0"/>
    <x v="1"/>
    <n v="92"/>
    <n v="100"/>
    <n v="97"/>
  </r>
  <r>
    <x v="1"/>
    <x v="1"/>
    <x v="4"/>
    <x v="0"/>
    <x v="1"/>
    <n v="72"/>
    <n v="67"/>
    <n v="64"/>
  </r>
  <r>
    <x v="0"/>
    <x v="1"/>
    <x v="4"/>
    <x v="1"/>
    <x v="0"/>
    <n v="62"/>
    <n v="67"/>
    <n v="64"/>
  </r>
  <r>
    <x v="1"/>
    <x v="1"/>
    <x v="2"/>
    <x v="0"/>
    <x v="0"/>
    <n v="79"/>
    <n v="72"/>
    <n v="69"/>
  </r>
  <r>
    <x v="1"/>
    <x v="1"/>
    <x v="5"/>
    <x v="1"/>
    <x v="0"/>
    <n v="79"/>
    <n v="76"/>
    <n v="65"/>
  </r>
  <r>
    <x v="1"/>
    <x v="0"/>
    <x v="0"/>
    <x v="1"/>
    <x v="1"/>
    <n v="87"/>
    <n v="90"/>
    <n v="88"/>
  </r>
  <r>
    <x v="0"/>
    <x v="0"/>
    <x v="3"/>
    <x v="0"/>
    <x v="0"/>
    <n v="40"/>
    <n v="48"/>
    <n v="50"/>
  </r>
  <r>
    <x v="1"/>
    <x v="3"/>
    <x v="1"/>
    <x v="1"/>
    <x v="0"/>
    <n v="77"/>
    <n v="62"/>
    <n v="64"/>
  </r>
  <r>
    <x v="1"/>
    <x v="4"/>
    <x v="3"/>
    <x v="0"/>
    <x v="0"/>
    <n v="53"/>
    <n v="45"/>
    <n v="40"/>
  </r>
  <r>
    <x v="0"/>
    <x v="1"/>
    <x v="1"/>
    <x v="1"/>
    <x v="0"/>
    <n v="32"/>
    <n v="39"/>
    <n v="33"/>
  </r>
  <r>
    <x v="0"/>
    <x v="1"/>
    <x v="3"/>
    <x v="0"/>
    <x v="1"/>
    <n v="55"/>
    <n v="72"/>
    <n v="79"/>
  </r>
  <r>
    <x v="1"/>
    <x v="1"/>
    <x v="2"/>
    <x v="1"/>
    <x v="0"/>
    <n v="61"/>
    <n v="67"/>
    <n v="66"/>
  </r>
  <r>
    <x v="0"/>
    <x v="0"/>
    <x v="3"/>
    <x v="1"/>
    <x v="0"/>
    <n v="53"/>
    <n v="70"/>
    <n v="70"/>
  </r>
  <r>
    <x v="1"/>
    <x v="3"/>
    <x v="5"/>
    <x v="0"/>
    <x v="0"/>
    <n v="73"/>
    <n v="66"/>
    <n v="62"/>
  </r>
  <r>
    <x v="0"/>
    <x v="3"/>
    <x v="1"/>
    <x v="0"/>
    <x v="1"/>
    <n v="74"/>
    <n v="75"/>
    <n v="79"/>
  </r>
  <r>
    <x v="0"/>
    <x v="1"/>
    <x v="1"/>
    <x v="0"/>
    <x v="0"/>
    <n v="63"/>
    <n v="74"/>
    <n v="74"/>
  </r>
  <r>
    <x v="1"/>
    <x v="1"/>
    <x v="0"/>
    <x v="0"/>
    <x v="1"/>
    <n v="96"/>
    <n v="90"/>
    <n v="92"/>
  </r>
  <r>
    <x v="0"/>
    <x v="3"/>
    <x v="1"/>
    <x v="1"/>
    <x v="1"/>
    <n v="63"/>
    <n v="80"/>
    <n v="80"/>
  </r>
  <r>
    <x v="1"/>
    <x v="0"/>
    <x v="0"/>
    <x v="1"/>
    <x v="0"/>
    <n v="48"/>
    <n v="51"/>
    <n v="46"/>
  </r>
  <r>
    <x v="1"/>
    <x v="0"/>
    <x v="3"/>
    <x v="0"/>
    <x v="0"/>
    <n v="48"/>
    <n v="43"/>
    <n v="45"/>
  </r>
  <r>
    <x v="0"/>
    <x v="4"/>
    <x v="0"/>
    <x v="1"/>
    <x v="1"/>
    <n v="92"/>
    <n v="100"/>
    <n v="100"/>
  </r>
  <r>
    <x v="0"/>
    <x v="3"/>
    <x v="2"/>
    <x v="1"/>
    <x v="1"/>
    <n v="61"/>
    <n v="71"/>
    <n v="78"/>
  </r>
  <r>
    <x v="1"/>
    <x v="0"/>
    <x v="4"/>
    <x v="1"/>
    <x v="0"/>
    <n v="63"/>
    <n v="48"/>
    <n v="47"/>
  </r>
  <r>
    <x v="1"/>
    <x v="3"/>
    <x v="0"/>
    <x v="1"/>
    <x v="0"/>
    <n v="68"/>
    <n v="68"/>
    <n v="67"/>
  </r>
  <r>
    <x v="1"/>
    <x v="0"/>
    <x v="1"/>
    <x v="0"/>
    <x v="1"/>
    <n v="71"/>
    <n v="75"/>
    <n v="70"/>
  </r>
  <r>
    <x v="1"/>
    <x v="2"/>
    <x v="0"/>
    <x v="0"/>
    <x v="0"/>
    <n v="91"/>
    <n v="96"/>
    <n v="92"/>
  </r>
  <r>
    <x v="0"/>
    <x v="1"/>
    <x v="1"/>
    <x v="0"/>
    <x v="0"/>
    <n v="53"/>
    <n v="62"/>
    <n v="56"/>
  </r>
  <r>
    <x v="0"/>
    <x v="1"/>
    <x v="4"/>
    <x v="1"/>
    <x v="1"/>
    <n v="50"/>
    <n v="66"/>
    <n v="64"/>
  </r>
  <r>
    <x v="0"/>
    <x v="4"/>
    <x v="4"/>
    <x v="0"/>
    <x v="0"/>
    <n v="74"/>
    <n v="81"/>
    <n v="71"/>
  </r>
  <r>
    <x v="1"/>
    <x v="2"/>
    <x v="3"/>
    <x v="1"/>
    <x v="1"/>
    <n v="40"/>
    <n v="55"/>
    <n v="53"/>
  </r>
  <r>
    <x v="1"/>
    <x v="2"/>
    <x v="1"/>
    <x v="0"/>
    <x v="1"/>
    <n v="61"/>
    <n v="51"/>
    <n v="52"/>
  </r>
  <r>
    <x v="0"/>
    <x v="0"/>
    <x v="4"/>
    <x v="0"/>
    <x v="0"/>
    <n v="81"/>
    <n v="91"/>
    <n v="89"/>
  </r>
  <r>
    <x v="0"/>
    <x v="0"/>
    <x v="1"/>
    <x v="1"/>
    <x v="1"/>
    <n v="48"/>
    <n v="56"/>
    <n v="58"/>
  </r>
  <r>
    <x v="0"/>
    <x v="3"/>
    <x v="2"/>
    <x v="0"/>
    <x v="0"/>
    <n v="53"/>
    <n v="61"/>
    <n v="68"/>
  </r>
  <r>
    <x v="0"/>
    <x v="3"/>
    <x v="5"/>
    <x v="0"/>
    <x v="0"/>
    <n v="81"/>
    <n v="97"/>
    <n v="96"/>
  </r>
  <r>
    <x v="0"/>
    <x v="4"/>
    <x v="5"/>
    <x v="0"/>
    <x v="0"/>
    <n v="77"/>
    <n v="79"/>
    <n v="80"/>
  </r>
  <r>
    <x v="0"/>
    <x v="3"/>
    <x v="0"/>
    <x v="1"/>
    <x v="0"/>
    <n v="63"/>
    <n v="73"/>
    <n v="78"/>
  </r>
  <r>
    <x v="0"/>
    <x v="3"/>
    <x v="3"/>
    <x v="0"/>
    <x v="1"/>
    <n v="73"/>
    <n v="75"/>
    <n v="80"/>
  </r>
  <r>
    <x v="0"/>
    <x v="3"/>
    <x v="1"/>
    <x v="0"/>
    <x v="0"/>
    <n v="69"/>
    <n v="77"/>
    <n v="77"/>
  </r>
  <r>
    <x v="0"/>
    <x v="1"/>
    <x v="3"/>
    <x v="0"/>
    <x v="0"/>
    <n v="65"/>
    <n v="76"/>
    <n v="76"/>
  </r>
  <r>
    <x v="0"/>
    <x v="2"/>
    <x v="4"/>
    <x v="0"/>
    <x v="0"/>
    <n v="55"/>
    <n v="73"/>
    <n v="73"/>
  </r>
  <r>
    <x v="0"/>
    <x v="1"/>
    <x v="0"/>
    <x v="1"/>
    <x v="0"/>
    <n v="44"/>
    <n v="63"/>
    <n v="62"/>
  </r>
  <r>
    <x v="0"/>
    <x v="1"/>
    <x v="1"/>
    <x v="0"/>
    <x v="0"/>
    <n v="54"/>
    <n v="64"/>
    <n v="65"/>
  </r>
  <r>
    <x v="0"/>
    <x v="2"/>
    <x v="5"/>
    <x v="0"/>
    <x v="0"/>
    <n v="48"/>
    <n v="66"/>
    <n v="65"/>
  </r>
  <r>
    <x v="1"/>
    <x v="1"/>
    <x v="1"/>
    <x v="1"/>
    <x v="0"/>
    <n v="58"/>
    <n v="57"/>
    <n v="54"/>
  </r>
  <r>
    <x v="1"/>
    <x v="2"/>
    <x v="5"/>
    <x v="0"/>
    <x v="0"/>
    <n v="71"/>
    <n v="62"/>
    <n v="50"/>
  </r>
  <r>
    <x v="1"/>
    <x v="4"/>
    <x v="0"/>
    <x v="0"/>
    <x v="0"/>
    <n v="68"/>
    <n v="68"/>
    <n v="64"/>
  </r>
  <r>
    <x v="0"/>
    <x v="4"/>
    <x v="4"/>
    <x v="0"/>
    <x v="0"/>
    <n v="74"/>
    <n v="76"/>
    <n v="73"/>
  </r>
  <r>
    <x v="0"/>
    <x v="1"/>
    <x v="0"/>
    <x v="0"/>
    <x v="1"/>
    <n v="92"/>
    <n v="100"/>
    <n v="99"/>
  </r>
  <r>
    <x v="0"/>
    <x v="1"/>
    <x v="0"/>
    <x v="0"/>
    <x v="1"/>
    <n v="56"/>
    <n v="79"/>
    <n v="72"/>
  </r>
  <r>
    <x v="1"/>
    <x v="0"/>
    <x v="4"/>
    <x v="1"/>
    <x v="0"/>
    <n v="30"/>
    <n v="24"/>
    <n v="15"/>
  </r>
  <r>
    <x v="1"/>
    <x v="2"/>
    <x v="5"/>
    <x v="0"/>
    <x v="0"/>
    <n v="53"/>
    <n v="54"/>
    <n v="48"/>
  </r>
  <r>
    <x v="0"/>
    <x v="3"/>
    <x v="4"/>
    <x v="0"/>
    <x v="0"/>
    <n v="69"/>
    <n v="77"/>
    <n v="73"/>
  </r>
  <r>
    <x v="0"/>
    <x v="3"/>
    <x v="5"/>
    <x v="0"/>
    <x v="0"/>
    <n v="65"/>
    <n v="82"/>
    <n v="81"/>
  </r>
  <r>
    <x v="0"/>
    <x v="3"/>
    <x v="2"/>
    <x v="0"/>
    <x v="0"/>
    <n v="54"/>
    <n v="60"/>
    <n v="63"/>
  </r>
  <r>
    <x v="0"/>
    <x v="1"/>
    <x v="4"/>
    <x v="0"/>
    <x v="0"/>
    <n v="29"/>
    <n v="29"/>
    <n v="30"/>
  </r>
  <r>
    <x v="0"/>
    <x v="4"/>
    <x v="1"/>
    <x v="0"/>
    <x v="0"/>
    <n v="76"/>
    <n v="78"/>
    <n v="80"/>
  </r>
  <r>
    <x v="1"/>
    <x v="3"/>
    <x v="4"/>
    <x v="1"/>
    <x v="0"/>
    <n v="60"/>
    <n v="57"/>
    <n v="51"/>
  </r>
  <r>
    <x v="1"/>
    <x v="3"/>
    <x v="2"/>
    <x v="1"/>
    <x v="1"/>
    <n v="84"/>
    <n v="89"/>
    <n v="90"/>
  </r>
  <r>
    <x v="1"/>
    <x v="1"/>
    <x v="5"/>
    <x v="0"/>
    <x v="0"/>
    <n v="75"/>
    <n v="72"/>
    <n v="62"/>
  </r>
  <r>
    <x v="0"/>
    <x v="1"/>
    <x v="3"/>
    <x v="0"/>
    <x v="0"/>
    <n v="85"/>
    <n v="84"/>
    <n v="82"/>
  </r>
  <r>
    <x v="0"/>
    <x v="1"/>
    <x v="2"/>
    <x v="1"/>
    <x v="0"/>
    <n v="40"/>
    <n v="58"/>
    <n v="54"/>
  </r>
  <r>
    <x v="0"/>
    <x v="4"/>
    <x v="1"/>
    <x v="0"/>
    <x v="0"/>
    <n v="61"/>
    <n v="64"/>
    <n v="62"/>
  </r>
  <r>
    <x v="0"/>
    <x v="0"/>
    <x v="3"/>
    <x v="0"/>
    <x v="0"/>
    <n v="58"/>
    <n v="63"/>
    <n v="65"/>
  </r>
  <r>
    <x v="1"/>
    <x v="3"/>
    <x v="1"/>
    <x v="1"/>
    <x v="1"/>
    <n v="69"/>
    <n v="60"/>
    <n v="63"/>
  </r>
  <r>
    <x v="0"/>
    <x v="1"/>
    <x v="1"/>
    <x v="0"/>
    <x v="0"/>
    <n v="58"/>
    <n v="59"/>
    <n v="66"/>
  </r>
  <r>
    <x v="1"/>
    <x v="1"/>
    <x v="0"/>
    <x v="0"/>
    <x v="1"/>
    <n v="94"/>
    <n v="90"/>
    <n v="91"/>
  </r>
  <r>
    <x v="0"/>
    <x v="1"/>
    <x v="3"/>
    <x v="0"/>
    <x v="0"/>
    <n v="65"/>
    <n v="77"/>
    <n v="74"/>
  </r>
  <r>
    <x v="0"/>
    <x v="2"/>
    <x v="3"/>
    <x v="0"/>
    <x v="0"/>
    <n v="82"/>
    <n v="93"/>
    <n v="93"/>
  </r>
  <r>
    <x v="0"/>
    <x v="1"/>
    <x v="4"/>
    <x v="0"/>
    <x v="0"/>
    <n v="60"/>
    <n v="68"/>
    <n v="72"/>
  </r>
  <r>
    <x v="0"/>
    <x v="4"/>
    <x v="0"/>
    <x v="0"/>
    <x v="0"/>
    <n v="37"/>
    <n v="45"/>
    <n v="38"/>
  </r>
  <r>
    <x v="1"/>
    <x v="3"/>
    <x v="0"/>
    <x v="0"/>
    <x v="0"/>
    <n v="88"/>
    <n v="78"/>
    <n v="83"/>
  </r>
  <r>
    <x v="1"/>
    <x v="3"/>
    <x v="2"/>
    <x v="0"/>
    <x v="0"/>
    <n v="95"/>
    <n v="81"/>
    <n v="84"/>
  </r>
  <r>
    <x v="1"/>
    <x v="1"/>
    <x v="3"/>
    <x v="1"/>
    <x v="1"/>
    <n v="65"/>
    <n v="73"/>
    <n v="68"/>
  </r>
  <r>
    <x v="0"/>
    <x v="1"/>
    <x v="4"/>
    <x v="1"/>
    <x v="0"/>
    <n v="35"/>
    <n v="61"/>
    <n v="54"/>
  </r>
  <r>
    <x v="1"/>
    <x v="0"/>
    <x v="0"/>
    <x v="1"/>
    <x v="0"/>
    <n v="62"/>
    <n v="63"/>
    <n v="56"/>
  </r>
  <r>
    <x v="1"/>
    <x v="1"/>
    <x v="4"/>
    <x v="1"/>
    <x v="1"/>
    <n v="58"/>
    <n v="51"/>
    <n v="52"/>
  </r>
  <r>
    <x v="1"/>
    <x v="2"/>
    <x v="1"/>
    <x v="0"/>
    <x v="1"/>
    <n v="100"/>
    <n v="96"/>
    <n v="86"/>
  </r>
  <r>
    <x v="0"/>
    <x v="4"/>
    <x v="0"/>
    <x v="1"/>
    <x v="0"/>
    <n v="61"/>
    <n v="58"/>
    <n v="62"/>
  </r>
  <r>
    <x v="1"/>
    <x v="3"/>
    <x v="1"/>
    <x v="0"/>
    <x v="1"/>
    <n v="100"/>
    <n v="97"/>
    <n v="99"/>
  </r>
  <r>
    <x v="1"/>
    <x v="0"/>
    <x v="3"/>
    <x v="1"/>
    <x v="1"/>
    <n v="69"/>
    <n v="70"/>
    <n v="63"/>
  </r>
  <r>
    <x v="1"/>
    <x v="3"/>
    <x v="3"/>
    <x v="0"/>
    <x v="0"/>
    <n v="61"/>
    <n v="48"/>
    <n v="46"/>
  </r>
  <r>
    <x v="1"/>
    <x v="3"/>
    <x v="1"/>
    <x v="1"/>
    <x v="0"/>
    <n v="49"/>
    <n v="57"/>
    <n v="46"/>
  </r>
  <r>
    <x v="0"/>
    <x v="1"/>
    <x v="5"/>
    <x v="0"/>
    <x v="1"/>
    <n v="44"/>
    <n v="51"/>
    <n v="55"/>
  </r>
  <r>
    <x v="1"/>
    <x v="3"/>
    <x v="1"/>
    <x v="0"/>
    <x v="0"/>
    <n v="67"/>
    <n v="64"/>
    <n v="70"/>
  </r>
  <r>
    <x v="1"/>
    <x v="0"/>
    <x v="4"/>
    <x v="0"/>
    <x v="0"/>
    <n v="79"/>
    <n v="60"/>
    <n v="65"/>
  </r>
  <r>
    <x v="0"/>
    <x v="0"/>
    <x v="0"/>
    <x v="0"/>
    <x v="1"/>
    <n v="66"/>
    <n v="74"/>
    <n v="81"/>
  </r>
  <r>
    <x v="0"/>
    <x v="1"/>
    <x v="4"/>
    <x v="0"/>
    <x v="0"/>
    <n v="75"/>
    <n v="88"/>
    <n v="85"/>
  </r>
  <r>
    <x v="1"/>
    <x v="3"/>
    <x v="5"/>
    <x v="0"/>
    <x v="0"/>
    <n v="84"/>
    <n v="84"/>
    <n v="80"/>
  </r>
  <r>
    <x v="1"/>
    <x v="2"/>
    <x v="4"/>
    <x v="0"/>
    <x v="0"/>
    <n v="71"/>
    <n v="74"/>
    <n v="64"/>
  </r>
  <r>
    <x v="0"/>
    <x v="0"/>
    <x v="4"/>
    <x v="1"/>
    <x v="1"/>
    <n v="67"/>
    <n v="80"/>
    <n v="81"/>
  </r>
  <r>
    <x v="0"/>
    <x v="3"/>
    <x v="5"/>
    <x v="0"/>
    <x v="1"/>
    <n v="80"/>
    <n v="92"/>
    <n v="88"/>
  </r>
  <r>
    <x v="1"/>
    <x v="4"/>
    <x v="1"/>
    <x v="0"/>
    <x v="0"/>
    <n v="86"/>
    <n v="76"/>
    <n v="74"/>
  </r>
  <r>
    <x v="0"/>
    <x v="3"/>
    <x v="3"/>
    <x v="0"/>
    <x v="0"/>
    <n v="76"/>
    <n v="74"/>
    <n v="73"/>
  </r>
  <r>
    <x v="1"/>
    <x v="3"/>
    <x v="4"/>
    <x v="0"/>
    <x v="0"/>
    <n v="41"/>
    <n v="52"/>
    <n v="51"/>
  </r>
  <r>
    <x v="0"/>
    <x v="3"/>
    <x v="3"/>
    <x v="1"/>
    <x v="1"/>
    <n v="74"/>
    <n v="88"/>
    <n v="90"/>
  </r>
  <r>
    <x v="0"/>
    <x v="0"/>
    <x v="5"/>
    <x v="1"/>
    <x v="0"/>
    <n v="72"/>
    <n v="81"/>
    <n v="79"/>
  </r>
  <r>
    <x v="0"/>
    <x v="4"/>
    <x v="4"/>
    <x v="0"/>
    <x v="1"/>
    <n v="74"/>
    <n v="79"/>
    <n v="80"/>
  </r>
  <r>
    <x v="1"/>
    <x v="0"/>
    <x v="4"/>
    <x v="0"/>
    <x v="0"/>
    <n v="70"/>
    <n v="65"/>
    <n v="60"/>
  </r>
  <r>
    <x v="0"/>
    <x v="0"/>
    <x v="0"/>
    <x v="0"/>
    <x v="1"/>
    <n v="65"/>
    <n v="81"/>
    <n v="81"/>
  </r>
  <r>
    <x v="0"/>
    <x v="3"/>
    <x v="3"/>
    <x v="0"/>
    <x v="0"/>
    <n v="59"/>
    <n v="70"/>
    <n v="65"/>
  </r>
  <r>
    <x v="0"/>
    <x v="4"/>
    <x v="4"/>
    <x v="1"/>
    <x v="0"/>
    <n v="64"/>
    <n v="62"/>
    <n v="68"/>
  </r>
  <r>
    <x v="0"/>
    <x v="0"/>
    <x v="4"/>
    <x v="0"/>
    <x v="0"/>
    <n v="50"/>
    <n v="53"/>
    <n v="55"/>
  </r>
  <r>
    <x v="0"/>
    <x v="3"/>
    <x v="1"/>
    <x v="0"/>
    <x v="1"/>
    <n v="69"/>
    <n v="79"/>
    <n v="81"/>
  </r>
  <r>
    <x v="1"/>
    <x v="1"/>
    <x v="5"/>
    <x v="1"/>
    <x v="1"/>
    <n v="51"/>
    <n v="56"/>
    <n v="53"/>
  </r>
  <r>
    <x v="0"/>
    <x v="2"/>
    <x v="4"/>
    <x v="0"/>
    <x v="1"/>
    <n v="68"/>
    <n v="80"/>
    <n v="76"/>
  </r>
  <r>
    <x v="0"/>
    <x v="3"/>
    <x v="1"/>
    <x v="0"/>
    <x v="1"/>
    <n v="85"/>
    <n v="86"/>
    <n v="98"/>
  </r>
  <r>
    <x v="0"/>
    <x v="2"/>
    <x v="3"/>
    <x v="0"/>
    <x v="1"/>
    <n v="65"/>
    <n v="70"/>
    <n v="74"/>
  </r>
  <r>
    <x v="0"/>
    <x v="0"/>
    <x v="5"/>
    <x v="0"/>
    <x v="0"/>
    <n v="73"/>
    <n v="79"/>
    <n v="79"/>
  </r>
  <r>
    <x v="0"/>
    <x v="0"/>
    <x v="1"/>
    <x v="0"/>
    <x v="0"/>
    <n v="62"/>
    <n v="67"/>
    <n v="67"/>
  </r>
  <r>
    <x v="1"/>
    <x v="1"/>
    <x v="3"/>
    <x v="1"/>
    <x v="0"/>
    <n v="77"/>
    <n v="67"/>
    <n v="64"/>
  </r>
  <r>
    <x v="1"/>
    <x v="3"/>
    <x v="5"/>
    <x v="0"/>
    <x v="0"/>
    <n v="69"/>
    <n v="66"/>
    <n v="61"/>
  </r>
  <r>
    <x v="0"/>
    <x v="3"/>
    <x v="3"/>
    <x v="1"/>
    <x v="0"/>
    <n v="43"/>
    <n v="60"/>
    <n v="58"/>
  </r>
  <r>
    <x v="1"/>
    <x v="3"/>
    <x v="3"/>
    <x v="0"/>
    <x v="0"/>
    <n v="90"/>
    <n v="87"/>
    <n v="85"/>
  </r>
  <r>
    <x v="1"/>
    <x v="1"/>
    <x v="1"/>
    <x v="1"/>
    <x v="0"/>
    <n v="74"/>
    <n v="77"/>
    <n v="73"/>
  </r>
  <r>
    <x v="1"/>
    <x v="1"/>
    <x v="5"/>
    <x v="0"/>
    <x v="0"/>
    <n v="73"/>
    <n v="66"/>
    <n v="63"/>
  </r>
  <r>
    <x v="0"/>
    <x v="3"/>
    <x v="1"/>
    <x v="1"/>
    <x v="0"/>
    <n v="55"/>
    <n v="71"/>
    <n v="69"/>
  </r>
  <r>
    <x v="0"/>
    <x v="1"/>
    <x v="4"/>
    <x v="0"/>
    <x v="0"/>
    <n v="65"/>
    <n v="69"/>
    <n v="67"/>
  </r>
  <r>
    <x v="1"/>
    <x v="3"/>
    <x v="3"/>
    <x v="0"/>
    <x v="0"/>
    <n v="80"/>
    <n v="63"/>
    <n v="63"/>
  </r>
  <r>
    <x v="0"/>
    <x v="1"/>
    <x v="5"/>
    <x v="1"/>
    <x v="1"/>
    <n v="50"/>
    <n v="60"/>
    <n v="60"/>
  </r>
  <r>
    <x v="0"/>
    <x v="1"/>
    <x v="1"/>
    <x v="1"/>
    <x v="1"/>
    <n v="63"/>
    <n v="73"/>
    <n v="71"/>
  </r>
  <r>
    <x v="0"/>
    <x v="0"/>
    <x v="0"/>
    <x v="1"/>
    <x v="0"/>
    <n v="77"/>
    <n v="85"/>
    <n v="87"/>
  </r>
  <r>
    <x v="1"/>
    <x v="1"/>
    <x v="1"/>
    <x v="0"/>
    <x v="0"/>
    <n v="73"/>
    <n v="74"/>
    <n v="61"/>
  </r>
  <r>
    <x v="1"/>
    <x v="3"/>
    <x v="3"/>
    <x v="0"/>
    <x v="1"/>
    <n v="81"/>
    <n v="72"/>
    <n v="77"/>
  </r>
  <r>
    <x v="0"/>
    <x v="1"/>
    <x v="4"/>
    <x v="1"/>
    <x v="0"/>
    <n v="66"/>
    <n v="76"/>
    <n v="68"/>
  </r>
  <r>
    <x v="1"/>
    <x v="3"/>
    <x v="3"/>
    <x v="1"/>
    <x v="0"/>
    <n v="52"/>
    <n v="57"/>
    <n v="50"/>
  </r>
  <r>
    <x v="0"/>
    <x v="1"/>
    <x v="1"/>
    <x v="0"/>
    <x v="0"/>
    <n v="69"/>
    <n v="78"/>
    <n v="76"/>
  </r>
  <r>
    <x v="0"/>
    <x v="1"/>
    <x v="3"/>
    <x v="0"/>
    <x v="1"/>
    <n v="65"/>
    <n v="84"/>
    <n v="84"/>
  </r>
  <r>
    <x v="0"/>
    <x v="3"/>
    <x v="4"/>
    <x v="0"/>
    <x v="1"/>
    <n v="69"/>
    <n v="77"/>
    <n v="78"/>
  </r>
  <r>
    <x v="0"/>
    <x v="0"/>
    <x v="1"/>
    <x v="0"/>
    <x v="1"/>
    <n v="50"/>
    <n v="64"/>
    <n v="66"/>
  </r>
  <r>
    <x v="0"/>
    <x v="4"/>
    <x v="1"/>
    <x v="0"/>
    <x v="1"/>
    <n v="73"/>
    <n v="78"/>
    <n v="76"/>
  </r>
  <r>
    <x v="0"/>
    <x v="1"/>
    <x v="5"/>
    <x v="0"/>
    <x v="1"/>
    <n v="70"/>
    <n v="82"/>
    <n v="76"/>
  </r>
  <r>
    <x v="1"/>
    <x v="3"/>
    <x v="3"/>
    <x v="1"/>
    <x v="0"/>
    <n v="81"/>
    <n v="75"/>
    <n v="78"/>
  </r>
  <r>
    <x v="1"/>
    <x v="3"/>
    <x v="1"/>
    <x v="1"/>
    <x v="0"/>
    <n v="63"/>
    <n v="61"/>
    <n v="60"/>
  </r>
  <r>
    <x v="0"/>
    <x v="3"/>
    <x v="4"/>
    <x v="0"/>
    <x v="0"/>
    <n v="67"/>
    <n v="72"/>
    <n v="74"/>
  </r>
  <r>
    <x v="1"/>
    <x v="0"/>
    <x v="4"/>
    <x v="0"/>
    <x v="0"/>
    <n v="60"/>
    <n v="68"/>
    <n v="60"/>
  </r>
  <r>
    <x v="1"/>
    <x v="0"/>
    <x v="4"/>
    <x v="0"/>
    <x v="0"/>
    <n v="62"/>
    <n v="55"/>
    <n v="54"/>
  </r>
  <r>
    <x v="0"/>
    <x v="1"/>
    <x v="5"/>
    <x v="1"/>
    <x v="1"/>
    <n v="29"/>
    <n v="40"/>
    <n v="44"/>
  </r>
  <r>
    <x v="1"/>
    <x v="0"/>
    <x v="1"/>
    <x v="0"/>
    <x v="1"/>
    <n v="62"/>
    <n v="66"/>
    <n v="68"/>
  </r>
  <r>
    <x v="0"/>
    <x v="4"/>
    <x v="2"/>
    <x v="0"/>
    <x v="1"/>
    <n v="94"/>
    <n v="99"/>
    <n v="100"/>
  </r>
  <r>
    <x v="1"/>
    <x v="4"/>
    <x v="1"/>
    <x v="0"/>
    <x v="1"/>
    <n v="85"/>
    <n v="75"/>
    <n v="68"/>
  </r>
  <r>
    <x v="1"/>
    <x v="3"/>
    <x v="3"/>
    <x v="1"/>
    <x v="0"/>
    <n v="77"/>
    <n v="78"/>
    <n v="73"/>
  </r>
  <r>
    <x v="1"/>
    <x v="2"/>
    <x v="4"/>
    <x v="1"/>
    <x v="0"/>
    <n v="53"/>
    <n v="58"/>
    <n v="44"/>
  </r>
  <r>
    <x v="1"/>
    <x v="4"/>
    <x v="1"/>
    <x v="1"/>
    <x v="0"/>
    <n v="93"/>
    <n v="90"/>
    <n v="83"/>
  </r>
  <r>
    <x v="0"/>
    <x v="1"/>
    <x v="3"/>
    <x v="0"/>
    <x v="0"/>
    <n v="49"/>
    <n v="53"/>
    <n v="53"/>
  </r>
  <r>
    <x v="0"/>
    <x v="4"/>
    <x v="3"/>
    <x v="1"/>
    <x v="0"/>
    <n v="73"/>
    <n v="76"/>
    <n v="78"/>
  </r>
  <r>
    <x v="0"/>
    <x v="1"/>
    <x v="0"/>
    <x v="1"/>
    <x v="1"/>
    <n v="66"/>
    <n v="74"/>
    <n v="81"/>
  </r>
  <r>
    <x v="0"/>
    <x v="3"/>
    <x v="3"/>
    <x v="0"/>
    <x v="0"/>
    <n v="77"/>
    <n v="77"/>
    <n v="73"/>
  </r>
  <r>
    <x v="0"/>
    <x v="1"/>
    <x v="5"/>
    <x v="0"/>
    <x v="0"/>
    <n v="49"/>
    <n v="63"/>
    <n v="56"/>
  </r>
  <r>
    <x v="0"/>
    <x v="3"/>
    <x v="1"/>
    <x v="1"/>
    <x v="0"/>
    <n v="79"/>
    <n v="89"/>
    <n v="86"/>
  </r>
  <r>
    <x v="0"/>
    <x v="1"/>
    <x v="3"/>
    <x v="0"/>
    <x v="1"/>
    <n v="75"/>
    <n v="82"/>
    <n v="90"/>
  </r>
  <r>
    <x v="0"/>
    <x v="2"/>
    <x v="0"/>
    <x v="0"/>
    <x v="0"/>
    <n v="59"/>
    <n v="72"/>
    <n v="70"/>
  </r>
  <r>
    <x v="0"/>
    <x v="3"/>
    <x v="3"/>
    <x v="0"/>
    <x v="1"/>
    <n v="57"/>
    <n v="78"/>
    <n v="79"/>
  </r>
  <r>
    <x v="1"/>
    <x v="1"/>
    <x v="4"/>
    <x v="1"/>
    <x v="0"/>
    <n v="66"/>
    <n v="66"/>
    <n v="59"/>
  </r>
  <r>
    <x v="0"/>
    <x v="4"/>
    <x v="0"/>
    <x v="0"/>
    <x v="1"/>
    <n v="79"/>
    <n v="81"/>
    <n v="82"/>
  </r>
  <r>
    <x v="0"/>
    <x v="0"/>
    <x v="5"/>
    <x v="0"/>
    <x v="0"/>
    <n v="57"/>
    <n v="67"/>
    <n v="72"/>
  </r>
  <r>
    <x v="1"/>
    <x v="2"/>
    <x v="0"/>
    <x v="0"/>
    <x v="1"/>
    <n v="87"/>
    <n v="84"/>
    <n v="87"/>
  </r>
  <r>
    <x v="0"/>
    <x v="3"/>
    <x v="1"/>
    <x v="0"/>
    <x v="0"/>
    <n v="63"/>
    <n v="64"/>
    <n v="67"/>
  </r>
  <r>
    <x v="0"/>
    <x v="0"/>
    <x v="5"/>
    <x v="1"/>
    <x v="1"/>
    <n v="59"/>
    <n v="63"/>
    <n v="64"/>
  </r>
  <r>
    <x v="1"/>
    <x v="2"/>
    <x v="0"/>
    <x v="1"/>
    <x v="0"/>
    <n v="62"/>
    <n v="72"/>
    <n v="65"/>
  </r>
  <r>
    <x v="1"/>
    <x v="3"/>
    <x v="4"/>
    <x v="0"/>
    <x v="0"/>
    <n v="46"/>
    <n v="34"/>
    <n v="36"/>
  </r>
  <r>
    <x v="1"/>
    <x v="1"/>
    <x v="1"/>
    <x v="0"/>
    <x v="0"/>
    <n v="66"/>
    <n v="59"/>
    <n v="52"/>
  </r>
  <r>
    <x v="1"/>
    <x v="3"/>
    <x v="4"/>
    <x v="0"/>
    <x v="0"/>
    <n v="89"/>
    <n v="87"/>
    <n v="79"/>
  </r>
  <r>
    <x v="0"/>
    <x v="3"/>
    <x v="3"/>
    <x v="1"/>
    <x v="1"/>
    <n v="42"/>
    <n v="61"/>
    <n v="58"/>
  </r>
  <r>
    <x v="1"/>
    <x v="1"/>
    <x v="1"/>
    <x v="0"/>
    <x v="1"/>
    <n v="93"/>
    <n v="84"/>
    <n v="90"/>
  </r>
  <r>
    <x v="0"/>
    <x v="4"/>
    <x v="5"/>
    <x v="0"/>
    <x v="1"/>
    <n v="80"/>
    <n v="85"/>
    <n v="85"/>
  </r>
  <r>
    <x v="0"/>
    <x v="3"/>
    <x v="1"/>
    <x v="0"/>
    <x v="0"/>
    <n v="98"/>
    <n v="100"/>
    <n v="99"/>
  </r>
  <r>
    <x v="1"/>
    <x v="3"/>
    <x v="2"/>
    <x v="0"/>
    <x v="0"/>
    <n v="81"/>
    <n v="81"/>
    <n v="84"/>
  </r>
  <r>
    <x v="0"/>
    <x v="0"/>
    <x v="5"/>
    <x v="0"/>
    <x v="1"/>
    <n v="60"/>
    <n v="70"/>
    <n v="74"/>
  </r>
  <r>
    <x v="0"/>
    <x v="0"/>
    <x v="3"/>
    <x v="1"/>
    <x v="1"/>
    <n v="76"/>
    <n v="94"/>
    <n v="87"/>
  </r>
  <r>
    <x v="1"/>
    <x v="1"/>
    <x v="3"/>
    <x v="0"/>
    <x v="1"/>
    <n v="73"/>
    <n v="78"/>
    <n v="72"/>
  </r>
  <r>
    <x v="0"/>
    <x v="1"/>
    <x v="3"/>
    <x v="0"/>
    <x v="1"/>
    <n v="96"/>
    <n v="96"/>
    <n v="99"/>
  </r>
  <r>
    <x v="0"/>
    <x v="1"/>
    <x v="4"/>
    <x v="0"/>
    <x v="0"/>
    <n v="76"/>
    <n v="76"/>
    <n v="74"/>
  </r>
  <r>
    <x v="1"/>
    <x v="4"/>
    <x v="3"/>
    <x v="1"/>
    <x v="1"/>
    <n v="91"/>
    <n v="73"/>
    <n v="80"/>
  </r>
  <r>
    <x v="0"/>
    <x v="1"/>
    <x v="1"/>
    <x v="1"/>
    <x v="0"/>
    <n v="62"/>
    <n v="72"/>
    <n v="70"/>
  </r>
  <r>
    <x v="1"/>
    <x v="3"/>
    <x v="5"/>
    <x v="1"/>
    <x v="1"/>
    <n v="55"/>
    <n v="59"/>
    <n v="59"/>
  </r>
  <r>
    <x v="0"/>
    <x v="0"/>
    <x v="5"/>
    <x v="1"/>
    <x v="1"/>
    <n v="74"/>
    <n v="90"/>
    <n v="88"/>
  </r>
  <r>
    <x v="1"/>
    <x v="1"/>
    <x v="4"/>
    <x v="0"/>
    <x v="0"/>
    <n v="50"/>
    <n v="48"/>
    <n v="42"/>
  </r>
  <r>
    <x v="1"/>
    <x v="0"/>
    <x v="1"/>
    <x v="0"/>
    <x v="0"/>
    <n v="47"/>
    <n v="43"/>
    <n v="41"/>
  </r>
  <r>
    <x v="1"/>
    <x v="4"/>
    <x v="1"/>
    <x v="0"/>
    <x v="1"/>
    <n v="81"/>
    <n v="74"/>
    <n v="71"/>
  </r>
  <r>
    <x v="0"/>
    <x v="4"/>
    <x v="3"/>
    <x v="0"/>
    <x v="1"/>
    <n v="65"/>
    <n v="75"/>
    <n v="77"/>
  </r>
  <r>
    <x v="1"/>
    <x v="4"/>
    <x v="5"/>
    <x v="0"/>
    <x v="1"/>
    <n v="68"/>
    <n v="51"/>
    <n v="57"/>
  </r>
  <r>
    <x v="0"/>
    <x v="3"/>
    <x v="4"/>
    <x v="1"/>
    <x v="0"/>
    <n v="73"/>
    <n v="92"/>
    <n v="84"/>
  </r>
  <r>
    <x v="1"/>
    <x v="1"/>
    <x v="1"/>
    <x v="0"/>
    <x v="0"/>
    <n v="53"/>
    <n v="39"/>
    <n v="37"/>
  </r>
  <r>
    <x v="0"/>
    <x v="0"/>
    <x v="3"/>
    <x v="1"/>
    <x v="1"/>
    <n v="68"/>
    <n v="77"/>
    <n v="80"/>
  </r>
  <r>
    <x v="1"/>
    <x v="2"/>
    <x v="5"/>
    <x v="1"/>
    <x v="0"/>
    <n v="55"/>
    <n v="46"/>
    <n v="43"/>
  </r>
  <r>
    <x v="0"/>
    <x v="1"/>
    <x v="1"/>
    <x v="0"/>
    <x v="1"/>
    <n v="87"/>
    <n v="89"/>
    <n v="94"/>
  </r>
  <r>
    <x v="1"/>
    <x v="3"/>
    <x v="5"/>
    <x v="0"/>
    <x v="0"/>
    <n v="55"/>
    <n v="47"/>
    <n v="44"/>
  </r>
  <r>
    <x v="0"/>
    <x v="4"/>
    <x v="1"/>
    <x v="1"/>
    <x v="0"/>
    <n v="53"/>
    <n v="58"/>
    <n v="57"/>
  </r>
  <r>
    <x v="1"/>
    <x v="1"/>
    <x v="2"/>
    <x v="0"/>
    <x v="0"/>
    <n v="67"/>
    <n v="57"/>
    <n v="59"/>
  </r>
  <r>
    <x v="1"/>
    <x v="1"/>
    <x v="3"/>
    <x v="0"/>
    <x v="0"/>
    <n v="92"/>
    <n v="79"/>
    <n v="84"/>
  </r>
  <r>
    <x v="0"/>
    <x v="0"/>
    <x v="1"/>
    <x v="1"/>
    <x v="1"/>
    <n v="53"/>
    <n v="66"/>
    <n v="73"/>
  </r>
  <r>
    <x v="1"/>
    <x v="3"/>
    <x v="3"/>
    <x v="0"/>
    <x v="0"/>
    <n v="81"/>
    <n v="71"/>
    <n v="73"/>
  </r>
  <r>
    <x v="1"/>
    <x v="1"/>
    <x v="4"/>
    <x v="1"/>
    <x v="0"/>
    <n v="61"/>
    <n v="60"/>
    <n v="55"/>
  </r>
  <r>
    <x v="1"/>
    <x v="3"/>
    <x v="0"/>
    <x v="0"/>
    <x v="0"/>
    <n v="80"/>
    <n v="73"/>
    <n v="72"/>
  </r>
  <r>
    <x v="0"/>
    <x v="2"/>
    <x v="3"/>
    <x v="1"/>
    <x v="0"/>
    <n v="37"/>
    <n v="57"/>
    <n v="56"/>
  </r>
  <r>
    <x v="0"/>
    <x v="1"/>
    <x v="4"/>
    <x v="0"/>
    <x v="0"/>
    <n v="81"/>
    <n v="84"/>
    <n v="82"/>
  </r>
  <r>
    <x v="0"/>
    <x v="1"/>
    <x v="3"/>
    <x v="0"/>
    <x v="1"/>
    <n v="59"/>
    <n v="73"/>
    <n v="72"/>
  </r>
  <r>
    <x v="1"/>
    <x v="0"/>
    <x v="1"/>
    <x v="1"/>
    <x v="0"/>
    <n v="55"/>
    <n v="55"/>
    <n v="47"/>
  </r>
  <r>
    <x v="1"/>
    <x v="3"/>
    <x v="3"/>
    <x v="0"/>
    <x v="0"/>
    <n v="72"/>
    <n v="79"/>
    <n v="74"/>
  </r>
  <r>
    <x v="1"/>
    <x v="3"/>
    <x v="4"/>
    <x v="0"/>
    <x v="0"/>
    <n v="69"/>
    <n v="75"/>
    <n v="71"/>
  </r>
  <r>
    <x v="1"/>
    <x v="1"/>
    <x v="1"/>
    <x v="0"/>
    <x v="0"/>
    <n v="69"/>
    <n v="64"/>
    <n v="68"/>
  </r>
  <r>
    <x v="0"/>
    <x v="1"/>
    <x v="0"/>
    <x v="1"/>
    <x v="0"/>
    <n v="50"/>
    <n v="60"/>
    <n v="59"/>
  </r>
  <r>
    <x v="1"/>
    <x v="0"/>
    <x v="1"/>
    <x v="0"/>
    <x v="1"/>
    <n v="87"/>
    <n v="84"/>
    <n v="86"/>
  </r>
  <r>
    <x v="1"/>
    <x v="3"/>
    <x v="5"/>
    <x v="0"/>
    <x v="1"/>
    <n v="71"/>
    <n v="69"/>
    <n v="68"/>
  </r>
  <r>
    <x v="1"/>
    <x v="4"/>
    <x v="1"/>
    <x v="0"/>
    <x v="0"/>
    <n v="68"/>
    <n v="72"/>
    <n v="65"/>
  </r>
  <r>
    <x v="1"/>
    <x v="1"/>
    <x v="2"/>
    <x v="1"/>
    <x v="1"/>
    <n v="79"/>
    <n v="77"/>
    <n v="75"/>
  </r>
  <r>
    <x v="0"/>
    <x v="1"/>
    <x v="5"/>
    <x v="0"/>
    <x v="1"/>
    <n v="77"/>
    <n v="90"/>
    <n v="85"/>
  </r>
  <r>
    <x v="1"/>
    <x v="1"/>
    <x v="3"/>
    <x v="1"/>
    <x v="0"/>
    <n v="58"/>
    <n v="55"/>
    <n v="53"/>
  </r>
  <r>
    <x v="0"/>
    <x v="4"/>
    <x v="3"/>
    <x v="0"/>
    <x v="0"/>
    <n v="84"/>
    <n v="95"/>
    <n v="92"/>
  </r>
  <r>
    <x v="1"/>
    <x v="3"/>
    <x v="1"/>
    <x v="0"/>
    <x v="0"/>
    <n v="55"/>
    <n v="58"/>
    <n v="52"/>
  </r>
  <r>
    <x v="1"/>
    <x v="4"/>
    <x v="0"/>
    <x v="1"/>
    <x v="1"/>
    <n v="70"/>
    <n v="68"/>
    <n v="72"/>
  </r>
  <r>
    <x v="0"/>
    <x v="3"/>
    <x v="1"/>
    <x v="1"/>
    <x v="1"/>
    <n v="52"/>
    <n v="59"/>
    <n v="65"/>
  </r>
  <r>
    <x v="1"/>
    <x v="0"/>
    <x v="1"/>
    <x v="0"/>
    <x v="1"/>
    <n v="69"/>
    <n v="77"/>
    <n v="77"/>
  </r>
  <r>
    <x v="0"/>
    <x v="1"/>
    <x v="4"/>
    <x v="1"/>
    <x v="0"/>
    <n v="53"/>
    <n v="72"/>
    <n v="64"/>
  </r>
  <r>
    <x v="0"/>
    <x v="3"/>
    <x v="5"/>
    <x v="0"/>
    <x v="0"/>
    <n v="48"/>
    <n v="58"/>
    <n v="54"/>
  </r>
  <r>
    <x v="1"/>
    <x v="3"/>
    <x v="5"/>
    <x v="0"/>
    <x v="1"/>
    <n v="78"/>
    <n v="81"/>
    <n v="86"/>
  </r>
  <r>
    <x v="0"/>
    <x v="0"/>
    <x v="4"/>
    <x v="0"/>
    <x v="0"/>
    <n v="62"/>
    <n v="62"/>
    <n v="63"/>
  </r>
  <r>
    <x v="1"/>
    <x v="3"/>
    <x v="1"/>
    <x v="0"/>
    <x v="0"/>
    <n v="60"/>
    <n v="63"/>
    <n v="59"/>
  </r>
  <r>
    <x v="0"/>
    <x v="0"/>
    <x v="4"/>
    <x v="0"/>
    <x v="0"/>
    <n v="74"/>
    <n v="72"/>
    <n v="72"/>
  </r>
  <r>
    <x v="0"/>
    <x v="1"/>
    <x v="4"/>
    <x v="0"/>
    <x v="1"/>
    <n v="58"/>
    <n v="75"/>
    <n v="77"/>
  </r>
  <r>
    <x v="1"/>
    <x v="0"/>
    <x v="4"/>
    <x v="0"/>
    <x v="1"/>
    <n v="76"/>
    <n v="62"/>
    <n v="60"/>
  </r>
  <r>
    <x v="0"/>
    <x v="3"/>
    <x v="5"/>
    <x v="0"/>
    <x v="0"/>
    <n v="68"/>
    <n v="71"/>
    <n v="75"/>
  </r>
  <r>
    <x v="1"/>
    <x v="2"/>
    <x v="1"/>
    <x v="1"/>
    <x v="0"/>
    <n v="58"/>
    <n v="60"/>
    <n v="57"/>
  </r>
  <r>
    <x v="1"/>
    <x v="0"/>
    <x v="4"/>
    <x v="0"/>
    <x v="0"/>
    <n v="52"/>
    <n v="48"/>
    <n v="49"/>
  </r>
  <r>
    <x v="1"/>
    <x v="3"/>
    <x v="0"/>
    <x v="0"/>
    <x v="0"/>
    <n v="75"/>
    <n v="73"/>
    <n v="74"/>
  </r>
  <r>
    <x v="0"/>
    <x v="0"/>
    <x v="5"/>
    <x v="1"/>
    <x v="1"/>
    <n v="52"/>
    <n v="67"/>
    <n v="72"/>
  </r>
  <r>
    <x v="0"/>
    <x v="1"/>
    <x v="0"/>
    <x v="1"/>
    <x v="0"/>
    <n v="62"/>
    <n v="78"/>
    <n v="79"/>
  </r>
  <r>
    <x v="1"/>
    <x v="0"/>
    <x v="1"/>
    <x v="0"/>
    <x v="0"/>
    <n v="66"/>
    <n v="65"/>
    <n v="60"/>
  </r>
  <r>
    <x v="0"/>
    <x v="0"/>
    <x v="5"/>
    <x v="1"/>
    <x v="0"/>
    <n v="49"/>
    <n v="58"/>
    <n v="55"/>
  </r>
  <r>
    <x v="0"/>
    <x v="0"/>
    <x v="4"/>
    <x v="0"/>
    <x v="0"/>
    <n v="66"/>
    <n v="72"/>
    <n v="70"/>
  </r>
  <r>
    <x v="0"/>
    <x v="1"/>
    <x v="1"/>
    <x v="1"/>
    <x v="0"/>
    <n v="35"/>
    <n v="44"/>
    <n v="43"/>
  </r>
  <r>
    <x v="0"/>
    <x v="2"/>
    <x v="1"/>
    <x v="0"/>
    <x v="1"/>
    <n v="72"/>
    <n v="79"/>
    <n v="82"/>
  </r>
  <r>
    <x v="1"/>
    <x v="4"/>
    <x v="3"/>
    <x v="0"/>
    <x v="1"/>
    <n v="94"/>
    <n v="85"/>
    <n v="82"/>
  </r>
  <r>
    <x v="0"/>
    <x v="3"/>
    <x v="3"/>
    <x v="1"/>
    <x v="0"/>
    <n v="46"/>
    <n v="56"/>
    <n v="57"/>
  </r>
  <r>
    <x v="0"/>
    <x v="0"/>
    <x v="2"/>
    <x v="0"/>
    <x v="0"/>
    <n v="77"/>
    <n v="90"/>
    <n v="84"/>
  </r>
  <r>
    <x v="0"/>
    <x v="0"/>
    <x v="4"/>
    <x v="1"/>
    <x v="1"/>
    <n v="76"/>
    <n v="85"/>
    <n v="82"/>
  </r>
  <r>
    <x v="0"/>
    <x v="1"/>
    <x v="3"/>
    <x v="0"/>
    <x v="1"/>
    <n v="52"/>
    <n v="59"/>
    <n v="62"/>
  </r>
  <r>
    <x v="1"/>
    <x v="1"/>
    <x v="0"/>
    <x v="0"/>
    <x v="1"/>
    <n v="91"/>
    <n v="81"/>
    <n v="79"/>
  </r>
  <r>
    <x v="0"/>
    <x v="0"/>
    <x v="5"/>
    <x v="0"/>
    <x v="1"/>
    <n v="32"/>
    <n v="51"/>
    <n v="44"/>
  </r>
  <r>
    <x v="0"/>
    <x v="4"/>
    <x v="5"/>
    <x v="1"/>
    <x v="0"/>
    <n v="72"/>
    <n v="79"/>
    <n v="77"/>
  </r>
  <r>
    <x v="0"/>
    <x v="0"/>
    <x v="1"/>
    <x v="0"/>
    <x v="0"/>
    <n v="19"/>
    <n v="38"/>
    <n v="32"/>
  </r>
  <r>
    <x v="1"/>
    <x v="1"/>
    <x v="3"/>
    <x v="1"/>
    <x v="0"/>
    <n v="68"/>
    <n v="65"/>
    <n v="61"/>
  </r>
  <r>
    <x v="0"/>
    <x v="1"/>
    <x v="2"/>
    <x v="1"/>
    <x v="0"/>
    <n v="52"/>
    <n v="65"/>
    <n v="61"/>
  </r>
  <r>
    <x v="0"/>
    <x v="0"/>
    <x v="4"/>
    <x v="0"/>
    <x v="0"/>
    <n v="48"/>
    <n v="62"/>
    <n v="60"/>
  </r>
  <r>
    <x v="0"/>
    <x v="3"/>
    <x v="1"/>
    <x v="1"/>
    <x v="0"/>
    <n v="60"/>
    <n v="66"/>
    <n v="70"/>
  </r>
  <r>
    <x v="1"/>
    <x v="3"/>
    <x v="4"/>
    <x v="1"/>
    <x v="0"/>
    <n v="66"/>
    <n v="74"/>
    <n v="69"/>
  </r>
  <r>
    <x v="1"/>
    <x v="4"/>
    <x v="5"/>
    <x v="0"/>
    <x v="1"/>
    <n v="89"/>
    <n v="84"/>
    <n v="77"/>
  </r>
  <r>
    <x v="0"/>
    <x v="0"/>
    <x v="4"/>
    <x v="0"/>
    <x v="0"/>
    <n v="42"/>
    <n v="52"/>
    <n v="51"/>
  </r>
  <r>
    <x v="0"/>
    <x v="4"/>
    <x v="3"/>
    <x v="1"/>
    <x v="1"/>
    <n v="57"/>
    <n v="68"/>
    <n v="73"/>
  </r>
  <r>
    <x v="1"/>
    <x v="3"/>
    <x v="4"/>
    <x v="0"/>
    <x v="0"/>
    <n v="70"/>
    <n v="70"/>
    <n v="70"/>
  </r>
  <r>
    <x v="0"/>
    <x v="4"/>
    <x v="3"/>
    <x v="1"/>
    <x v="0"/>
    <n v="70"/>
    <n v="84"/>
    <n v="81"/>
  </r>
  <r>
    <x v="1"/>
    <x v="4"/>
    <x v="1"/>
    <x v="0"/>
    <x v="0"/>
    <n v="69"/>
    <n v="60"/>
    <n v="54"/>
  </r>
  <r>
    <x v="0"/>
    <x v="1"/>
    <x v="3"/>
    <x v="0"/>
    <x v="0"/>
    <n v="52"/>
    <n v="55"/>
    <n v="57"/>
  </r>
  <r>
    <x v="1"/>
    <x v="1"/>
    <x v="5"/>
    <x v="0"/>
    <x v="1"/>
    <n v="67"/>
    <n v="73"/>
    <n v="68"/>
  </r>
  <r>
    <x v="1"/>
    <x v="1"/>
    <x v="5"/>
    <x v="0"/>
    <x v="1"/>
    <n v="76"/>
    <n v="80"/>
    <n v="73"/>
  </r>
  <r>
    <x v="0"/>
    <x v="4"/>
    <x v="3"/>
    <x v="0"/>
    <x v="0"/>
    <n v="87"/>
    <n v="94"/>
    <n v="95"/>
  </r>
  <r>
    <x v="0"/>
    <x v="0"/>
    <x v="1"/>
    <x v="0"/>
    <x v="0"/>
    <n v="82"/>
    <n v="85"/>
    <n v="87"/>
  </r>
  <r>
    <x v="0"/>
    <x v="1"/>
    <x v="1"/>
    <x v="0"/>
    <x v="0"/>
    <n v="73"/>
    <n v="76"/>
    <n v="78"/>
  </r>
  <r>
    <x v="1"/>
    <x v="2"/>
    <x v="1"/>
    <x v="1"/>
    <x v="0"/>
    <n v="75"/>
    <n v="81"/>
    <n v="74"/>
  </r>
  <r>
    <x v="0"/>
    <x v="3"/>
    <x v="1"/>
    <x v="1"/>
    <x v="0"/>
    <n v="64"/>
    <n v="74"/>
    <n v="75"/>
  </r>
  <r>
    <x v="0"/>
    <x v="4"/>
    <x v="4"/>
    <x v="1"/>
    <x v="0"/>
    <n v="41"/>
    <n v="45"/>
    <n v="40"/>
  </r>
  <r>
    <x v="1"/>
    <x v="1"/>
    <x v="4"/>
    <x v="0"/>
    <x v="0"/>
    <n v="90"/>
    <n v="75"/>
    <n v="69"/>
  </r>
  <r>
    <x v="1"/>
    <x v="0"/>
    <x v="0"/>
    <x v="0"/>
    <x v="0"/>
    <n v="59"/>
    <n v="54"/>
    <n v="51"/>
  </r>
  <r>
    <x v="1"/>
    <x v="2"/>
    <x v="5"/>
    <x v="0"/>
    <x v="0"/>
    <n v="51"/>
    <n v="31"/>
    <n v="36"/>
  </r>
  <r>
    <x v="1"/>
    <x v="2"/>
    <x v="4"/>
    <x v="1"/>
    <x v="0"/>
    <n v="45"/>
    <n v="47"/>
    <n v="49"/>
  </r>
  <r>
    <x v="0"/>
    <x v="1"/>
    <x v="2"/>
    <x v="0"/>
    <x v="1"/>
    <n v="54"/>
    <n v="64"/>
    <n v="67"/>
  </r>
  <r>
    <x v="1"/>
    <x v="4"/>
    <x v="5"/>
    <x v="0"/>
    <x v="1"/>
    <n v="87"/>
    <n v="84"/>
    <n v="76"/>
  </r>
  <r>
    <x v="0"/>
    <x v="1"/>
    <x v="4"/>
    <x v="0"/>
    <x v="0"/>
    <n v="72"/>
    <n v="80"/>
    <n v="83"/>
  </r>
  <r>
    <x v="1"/>
    <x v="0"/>
    <x v="5"/>
    <x v="0"/>
    <x v="1"/>
    <n v="94"/>
    <n v="86"/>
    <n v="87"/>
  </r>
  <r>
    <x v="0"/>
    <x v="2"/>
    <x v="0"/>
    <x v="0"/>
    <x v="0"/>
    <n v="45"/>
    <n v="59"/>
    <n v="64"/>
  </r>
  <r>
    <x v="1"/>
    <x v="3"/>
    <x v="0"/>
    <x v="1"/>
    <x v="1"/>
    <n v="61"/>
    <n v="70"/>
    <n v="76"/>
  </r>
  <r>
    <x v="0"/>
    <x v="0"/>
    <x v="4"/>
    <x v="1"/>
    <x v="0"/>
    <n v="60"/>
    <n v="72"/>
    <n v="68"/>
  </r>
  <r>
    <x v="0"/>
    <x v="1"/>
    <x v="5"/>
    <x v="0"/>
    <x v="0"/>
    <n v="77"/>
    <n v="91"/>
    <n v="88"/>
  </r>
  <r>
    <x v="0"/>
    <x v="2"/>
    <x v="5"/>
    <x v="0"/>
    <x v="1"/>
    <n v="85"/>
    <n v="90"/>
    <n v="92"/>
  </r>
  <r>
    <x v="0"/>
    <x v="3"/>
    <x v="0"/>
    <x v="1"/>
    <x v="0"/>
    <n v="78"/>
    <n v="90"/>
    <n v="93"/>
  </r>
  <r>
    <x v="1"/>
    <x v="4"/>
    <x v="1"/>
    <x v="1"/>
    <x v="1"/>
    <n v="49"/>
    <n v="52"/>
    <n v="51"/>
  </r>
  <r>
    <x v="0"/>
    <x v="0"/>
    <x v="4"/>
    <x v="1"/>
    <x v="0"/>
    <n v="71"/>
    <n v="87"/>
    <n v="82"/>
  </r>
  <r>
    <x v="0"/>
    <x v="1"/>
    <x v="5"/>
    <x v="1"/>
    <x v="0"/>
    <n v="48"/>
    <n v="58"/>
    <n v="52"/>
  </r>
  <r>
    <x v="1"/>
    <x v="1"/>
    <x v="4"/>
    <x v="0"/>
    <x v="0"/>
    <n v="62"/>
    <n v="67"/>
    <n v="58"/>
  </r>
  <r>
    <x v="0"/>
    <x v="1"/>
    <x v="3"/>
    <x v="1"/>
    <x v="1"/>
    <n v="56"/>
    <n v="68"/>
    <n v="70"/>
  </r>
  <r>
    <x v="0"/>
    <x v="1"/>
    <x v="5"/>
    <x v="0"/>
    <x v="0"/>
    <n v="65"/>
    <n v="69"/>
    <n v="76"/>
  </r>
  <r>
    <x v="0"/>
    <x v="3"/>
    <x v="5"/>
    <x v="1"/>
    <x v="1"/>
    <n v="69"/>
    <n v="86"/>
    <n v="81"/>
  </r>
  <r>
    <x v="1"/>
    <x v="0"/>
    <x v="5"/>
    <x v="0"/>
    <x v="0"/>
    <n v="68"/>
    <n v="54"/>
    <n v="53"/>
  </r>
  <r>
    <x v="0"/>
    <x v="2"/>
    <x v="1"/>
    <x v="1"/>
    <x v="0"/>
    <n v="61"/>
    <n v="60"/>
    <n v="57"/>
  </r>
  <r>
    <x v="0"/>
    <x v="1"/>
    <x v="0"/>
    <x v="1"/>
    <x v="1"/>
    <n v="74"/>
    <n v="86"/>
    <n v="89"/>
  </r>
  <r>
    <x v="1"/>
    <x v="2"/>
    <x v="0"/>
    <x v="0"/>
    <x v="0"/>
    <n v="64"/>
    <n v="60"/>
    <n v="58"/>
  </r>
  <r>
    <x v="0"/>
    <x v="0"/>
    <x v="4"/>
    <x v="0"/>
    <x v="1"/>
    <n v="77"/>
    <n v="82"/>
    <n v="89"/>
  </r>
  <r>
    <x v="1"/>
    <x v="0"/>
    <x v="1"/>
    <x v="0"/>
    <x v="0"/>
    <n v="58"/>
    <n v="50"/>
    <n v="45"/>
  </r>
  <r>
    <x v="0"/>
    <x v="1"/>
    <x v="4"/>
    <x v="0"/>
    <x v="1"/>
    <n v="60"/>
    <n v="64"/>
    <n v="74"/>
  </r>
  <r>
    <x v="1"/>
    <x v="4"/>
    <x v="4"/>
    <x v="0"/>
    <x v="0"/>
    <n v="73"/>
    <n v="64"/>
    <n v="57"/>
  </r>
  <r>
    <x v="0"/>
    <x v="2"/>
    <x v="4"/>
    <x v="0"/>
    <x v="1"/>
    <n v="75"/>
    <n v="82"/>
    <n v="79"/>
  </r>
  <r>
    <x v="1"/>
    <x v="0"/>
    <x v="3"/>
    <x v="1"/>
    <x v="1"/>
    <n v="58"/>
    <n v="57"/>
    <n v="53"/>
  </r>
  <r>
    <x v="0"/>
    <x v="1"/>
    <x v="3"/>
    <x v="0"/>
    <x v="0"/>
    <n v="66"/>
    <n v="77"/>
    <n v="73"/>
  </r>
  <r>
    <x v="0"/>
    <x v="3"/>
    <x v="4"/>
    <x v="1"/>
    <x v="0"/>
    <n v="39"/>
    <n v="52"/>
    <n v="46"/>
  </r>
  <r>
    <x v="1"/>
    <x v="1"/>
    <x v="5"/>
    <x v="0"/>
    <x v="0"/>
    <n v="64"/>
    <n v="58"/>
    <n v="51"/>
  </r>
  <r>
    <x v="0"/>
    <x v="0"/>
    <x v="4"/>
    <x v="1"/>
    <x v="1"/>
    <n v="23"/>
    <n v="44"/>
    <n v="36"/>
  </r>
  <r>
    <x v="1"/>
    <x v="0"/>
    <x v="1"/>
    <x v="1"/>
    <x v="1"/>
    <n v="74"/>
    <n v="77"/>
    <n v="76"/>
  </r>
  <r>
    <x v="0"/>
    <x v="3"/>
    <x v="5"/>
    <x v="1"/>
    <x v="1"/>
    <n v="40"/>
    <n v="65"/>
    <n v="64"/>
  </r>
  <r>
    <x v="1"/>
    <x v="4"/>
    <x v="2"/>
    <x v="0"/>
    <x v="0"/>
    <n v="90"/>
    <n v="85"/>
    <n v="84"/>
  </r>
  <r>
    <x v="1"/>
    <x v="1"/>
    <x v="2"/>
    <x v="0"/>
    <x v="1"/>
    <n v="91"/>
    <n v="85"/>
    <n v="85"/>
  </r>
  <r>
    <x v="1"/>
    <x v="3"/>
    <x v="4"/>
    <x v="0"/>
    <x v="0"/>
    <n v="64"/>
    <n v="54"/>
    <n v="50"/>
  </r>
  <r>
    <x v="0"/>
    <x v="1"/>
    <x v="4"/>
    <x v="0"/>
    <x v="0"/>
    <n v="59"/>
    <n v="72"/>
    <n v="68"/>
  </r>
  <r>
    <x v="1"/>
    <x v="3"/>
    <x v="3"/>
    <x v="0"/>
    <x v="0"/>
    <n v="80"/>
    <n v="75"/>
    <n v="69"/>
  </r>
  <r>
    <x v="1"/>
    <x v="1"/>
    <x v="2"/>
    <x v="0"/>
    <x v="0"/>
    <n v="71"/>
    <n v="67"/>
    <n v="67"/>
  </r>
  <r>
    <x v="0"/>
    <x v="2"/>
    <x v="4"/>
    <x v="0"/>
    <x v="0"/>
    <n v="61"/>
    <n v="68"/>
    <n v="63"/>
  </r>
  <r>
    <x v="0"/>
    <x v="4"/>
    <x v="1"/>
    <x v="0"/>
    <x v="0"/>
    <n v="87"/>
    <n v="85"/>
    <n v="93"/>
  </r>
  <r>
    <x v="1"/>
    <x v="4"/>
    <x v="5"/>
    <x v="0"/>
    <x v="0"/>
    <n v="82"/>
    <n v="67"/>
    <n v="61"/>
  </r>
  <r>
    <x v="1"/>
    <x v="1"/>
    <x v="5"/>
    <x v="0"/>
    <x v="0"/>
    <n v="62"/>
    <n v="64"/>
    <n v="55"/>
  </r>
  <r>
    <x v="0"/>
    <x v="0"/>
    <x v="0"/>
    <x v="0"/>
    <x v="0"/>
    <n v="97"/>
    <n v="97"/>
    <n v="96"/>
  </r>
  <r>
    <x v="1"/>
    <x v="0"/>
    <x v="1"/>
    <x v="1"/>
    <x v="0"/>
    <n v="75"/>
    <n v="68"/>
    <n v="65"/>
  </r>
  <r>
    <x v="0"/>
    <x v="1"/>
    <x v="0"/>
    <x v="0"/>
    <x v="0"/>
    <n v="65"/>
    <n v="79"/>
    <n v="81"/>
  </r>
  <r>
    <x v="1"/>
    <x v="0"/>
    <x v="4"/>
    <x v="0"/>
    <x v="1"/>
    <n v="52"/>
    <n v="49"/>
    <n v="46"/>
  </r>
  <r>
    <x v="1"/>
    <x v="1"/>
    <x v="3"/>
    <x v="1"/>
    <x v="0"/>
    <n v="87"/>
    <n v="73"/>
    <n v="72"/>
  </r>
  <r>
    <x v="0"/>
    <x v="1"/>
    <x v="3"/>
    <x v="0"/>
    <x v="0"/>
    <n v="53"/>
    <n v="62"/>
    <n v="53"/>
  </r>
  <r>
    <x v="0"/>
    <x v="4"/>
    <x v="2"/>
    <x v="1"/>
    <x v="0"/>
    <n v="81"/>
    <n v="86"/>
    <n v="87"/>
  </r>
  <r>
    <x v="1"/>
    <x v="3"/>
    <x v="0"/>
    <x v="1"/>
    <x v="1"/>
    <n v="39"/>
    <n v="42"/>
    <n v="38"/>
  </r>
  <r>
    <x v="0"/>
    <x v="1"/>
    <x v="1"/>
    <x v="0"/>
    <x v="1"/>
    <n v="71"/>
    <n v="71"/>
    <n v="80"/>
  </r>
  <r>
    <x v="1"/>
    <x v="1"/>
    <x v="3"/>
    <x v="0"/>
    <x v="0"/>
    <n v="97"/>
    <n v="93"/>
    <n v="91"/>
  </r>
  <r>
    <x v="1"/>
    <x v="3"/>
    <x v="1"/>
    <x v="0"/>
    <x v="1"/>
    <n v="82"/>
    <n v="82"/>
    <n v="88"/>
  </r>
  <r>
    <x v="1"/>
    <x v="1"/>
    <x v="4"/>
    <x v="1"/>
    <x v="0"/>
    <n v="59"/>
    <n v="53"/>
    <n v="52"/>
  </r>
  <r>
    <x v="1"/>
    <x v="0"/>
    <x v="3"/>
    <x v="0"/>
    <x v="0"/>
    <n v="61"/>
    <n v="42"/>
    <n v="41"/>
  </r>
  <r>
    <x v="1"/>
    <x v="4"/>
    <x v="3"/>
    <x v="1"/>
    <x v="1"/>
    <n v="78"/>
    <n v="74"/>
    <n v="72"/>
  </r>
  <r>
    <x v="1"/>
    <x v="1"/>
    <x v="3"/>
    <x v="1"/>
    <x v="0"/>
    <n v="49"/>
    <n v="51"/>
    <n v="51"/>
  </r>
  <r>
    <x v="1"/>
    <x v="0"/>
    <x v="4"/>
    <x v="0"/>
    <x v="0"/>
    <n v="59"/>
    <n v="58"/>
    <n v="47"/>
  </r>
  <r>
    <x v="0"/>
    <x v="1"/>
    <x v="1"/>
    <x v="0"/>
    <x v="1"/>
    <n v="70"/>
    <n v="72"/>
    <n v="76"/>
  </r>
  <r>
    <x v="1"/>
    <x v="0"/>
    <x v="3"/>
    <x v="0"/>
    <x v="1"/>
    <n v="82"/>
    <n v="84"/>
    <n v="78"/>
  </r>
  <r>
    <x v="1"/>
    <x v="4"/>
    <x v="3"/>
    <x v="1"/>
    <x v="0"/>
    <n v="90"/>
    <n v="90"/>
    <n v="82"/>
  </r>
  <r>
    <x v="0"/>
    <x v="1"/>
    <x v="0"/>
    <x v="1"/>
    <x v="0"/>
    <n v="43"/>
    <n v="62"/>
    <n v="61"/>
  </r>
  <r>
    <x v="1"/>
    <x v="1"/>
    <x v="1"/>
    <x v="1"/>
    <x v="0"/>
    <n v="80"/>
    <n v="64"/>
    <n v="66"/>
  </r>
  <r>
    <x v="1"/>
    <x v="3"/>
    <x v="1"/>
    <x v="0"/>
    <x v="0"/>
    <n v="81"/>
    <n v="82"/>
    <n v="84"/>
  </r>
  <r>
    <x v="1"/>
    <x v="1"/>
    <x v="5"/>
    <x v="0"/>
    <x v="0"/>
    <n v="57"/>
    <n v="61"/>
    <n v="54"/>
  </r>
  <r>
    <x v="0"/>
    <x v="3"/>
    <x v="5"/>
    <x v="0"/>
    <x v="0"/>
    <n v="59"/>
    <n v="72"/>
    <n v="80"/>
  </r>
  <r>
    <x v="0"/>
    <x v="3"/>
    <x v="3"/>
    <x v="0"/>
    <x v="0"/>
    <n v="64"/>
    <n v="76"/>
    <n v="74"/>
  </r>
  <r>
    <x v="1"/>
    <x v="1"/>
    <x v="0"/>
    <x v="0"/>
    <x v="1"/>
    <n v="63"/>
    <n v="64"/>
    <n v="66"/>
  </r>
  <r>
    <x v="0"/>
    <x v="4"/>
    <x v="0"/>
    <x v="0"/>
    <x v="1"/>
    <n v="71"/>
    <n v="70"/>
    <n v="70"/>
  </r>
  <r>
    <x v="0"/>
    <x v="0"/>
    <x v="4"/>
    <x v="1"/>
    <x v="0"/>
    <n v="64"/>
    <n v="73"/>
    <n v="71"/>
  </r>
  <r>
    <x v="1"/>
    <x v="3"/>
    <x v="0"/>
    <x v="1"/>
    <x v="0"/>
    <n v="55"/>
    <n v="46"/>
    <n v="44"/>
  </r>
  <r>
    <x v="0"/>
    <x v="4"/>
    <x v="3"/>
    <x v="0"/>
    <x v="0"/>
    <n v="51"/>
    <n v="51"/>
    <n v="54"/>
  </r>
  <r>
    <x v="0"/>
    <x v="1"/>
    <x v="3"/>
    <x v="0"/>
    <x v="1"/>
    <n v="62"/>
    <n v="76"/>
    <n v="80"/>
  </r>
  <r>
    <x v="0"/>
    <x v="4"/>
    <x v="3"/>
    <x v="0"/>
    <x v="1"/>
    <n v="93"/>
    <n v="100"/>
    <n v="95"/>
  </r>
  <r>
    <x v="1"/>
    <x v="1"/>
    <x v="4"/>
    <x v="1"/>
    <x v="0"/>
    <n v="54"/>
    <n v="72"/>
    <n v="59"/>
  </r>
  <r>
    <x v="0"/>
    <x v="3"/>
    <x v="1"/>
    <x v="1"/>
    <x v="0"/>
    <n v="69"/>
    <n v="65"/>
    <n v="74"/>
  </r>
  <r>
    <x v="1"/>
    <x v="3"/>
    <x v="4"/>
    <x v="1"/>
    <x v="0"/>
    <n v="44"/>
    <n v="51"/>
    <n v="48"/>
  </r>
  <r>
    <x v="0"/>
    <x v="4"/>
    <x v="1"/>
    <x v="0"/>
    <x v="1"/>
    <n v="86"/>
    <n v="85"/>
    <n v="91"/>
  </r>
  <r>
    <x v="0"/>
    <x v="4"/>
    <x v="3"/>
    <x v="0"/>
    <x v="0"/>
    <n v="85"/>
    <n v="92"/>
    <n v="85"/>
  </r>
  <r>
    <x v="0"/>
    <x v="2"/>
    <x v="2"/>
    <x v="1"/>
    <x v="0"/>
    <n v="50"/>
    <n v="67"/>
    <n v="73"/>
  </r>
  <r>
    <x v="1"/>
    <x v="3"/>
    <x v="5"/>
    <x v="0"/>
    <x v="1"/>
    <n v="88"/>
    <n v="74"/>
    <n v="75"/>
  </r>
  <r>
    <x v="0"/>
    <x v="4"/>
    <x v="3"/>
    <x v="0"/>
    <x v="0"/>
    <n v="59"/>
    <n v="62"/>
    <n v="69"/>
  </r>
  <r>
    <x v="0"/>
    <x v="4"/>
    <x v="5"/>
    <x v="1"/>
    <x v="0"/>
    <n v="32"/>
    <n v="34"/>
    <n v="38"/>
  </r>
  <r>
    <x v="1"/>
    <x v="0"/>
    <x v="4"/>
    <x v="1"/>
    <x v="0"/>
    <n v="36"/>
    <n v="29"/>
    <n v="27"/>
  </r>
  <r>
    <x v="0"/>
    <x v="0"/>
    <x v="5"/>
    <x v="1"/>
    <x v="1"/>
    <n v="63"/>
    <n v="78"/>
    <n v="79"/>
  </r>
  <r>
    <x v="1"/>
    <x v="3"/>
    <x v="3"/>
    <x v="0"/>
    <x v="1"/>
    <n v="67"/>
    <n v="54"/>
    <n v="63"/>
  </r>
  <r>
    <x v="0"/>
    <x v="3"/>
    <x v="5"/>
    <x v="0"/>
    <x v="1"/>
    <n v="65"/>
    <n v="78"/>
    <n v="82"/>
  </r>
  <r>
    <x v="1"/>
    <x v="3"/>
    <x v="2"/>
    <x v="0"/>
    <x v="0"/>
    <n v="85"/>
    <n v="84"/>
    <n v="89"/>
  </r>
  <r>
    <x v="0"/>
    <x v="1"/>
    <x v="2"/>
    <x v="0"/>
    <x v="0"/>
    <n v="73"/>
    <n v="78"/>
    <n v="74"/>
  </r>
  <r>
    <x v="0"/>
    <x v="2"/>
    <x v="4"/>
    <x v="1"/>
    <x v="1"/>
    <n v="34"/>
    <n v="48"/>
    <n v="41"/>
  </r>
  <r>
    <x v="0"/>
    <x v="3"/>
    <x v="0"/>
    <x v="1"/>
    <x v="1"/>
    <n v="93"/>
    <n v="100"/>
    <n v="100"/>
  </r>
  <r>
    <x v="0"/>
    <x v="3"/>
    <x v="5"/>
    <x v="1"/>
    <x v="0"/>
    <n v="67"/>
    <n v="84"/>
    <n v="84"/>
  </r>
  <r>
    <x v="1"/>
    <x v="3"/>
    <x v="1"/>
    <x v="0"/>
    <x v="0"/>
    <n v="88"/>
    <n v="77"/>
    <n v="77"/>
  </r>
  <r>
    <x v="1"/>
    <x v="0"/>
    <x v="4"/>
    <x v="0"/>
    <x v="0"/>
    <n v="57"/>
    <n v="48"/>
    <n v="51"/>
  </r>
  <r>
    <x v="0"/>
    <x v="3"/>
    <x v="1"/>
    <x v="0"/>
    <x v="1"/>
    <n v="79"/>
    <n v="84"/>
    <n v="91"/>
  </r>
  <r>
    <x v="0"/>
    <x v="1"/>
    <x v="0"/>
    <x v="1"/>
    <x v="0"/>
    <n v="67"/>
    <n v="75"/>
    <n v="72"/>
  </r>
  <r>
    <x v="1"/>
    <x v="4"/>
    <x v="0"/>
    <x v="0"/>
    <x v="1"/>
    <n v="70"/>
    <n v="64"/>
    <n v="70"/>
  </r>
  <r>
    <x v="1"/>
    <x v="3"/>
    <x v="0"/>
    <x v="1"/>
    <x v="0"/>
    <n v="50"/>
    <n v="42"/>
    <n v="48"/>
  </r>
  <r>
    <x v="0"/>
    <x v="2"/>
    <x v="1"/>
    <x v="0"/>
    <x v="0"/>
    <n v="69"/>
    <n v="84"/>
    <n v="82"/>
  </r>
  <r>
    <x v="0"/>
    <x v="1"/>
    <x v="0"/>
    <x v="0"/>
    <x v="1"/>
    <n v="52"/>
    <n v="61"/>
    <n v="66"/>
  </r>
  <r>
    <x v="0"/>
    <x v="1"/>
    <x v="0"/>
    <x v="1"/>
    <x v="1"/>
    <n v="47"/>
    <n v="62"/>
    <n v="66"/>
  </r>
  <r>
    <x v="0"/>
    <x v="0"/>
    <x v="3"/>
    <x v="1"/>
    <x v="0"/>
    <n v="46"/>
    <n v="61"/>
    <n v="55"/>
  </r>
  <r>
    <x v="0"/>
    <x v="4"/>
    <x v="1"/>
    <x v="0"/>
    <x v="0"/>
    <n v="68"/>
    <n v="70"/>
    <n v="66"/>
  </r>
  <r>
    <x v="1"/>
    <x v="4"/>
    <x v="0"/>
    <x v="0"/>
    <x v="1"/>
    <n v="100"/>
    <n v="100"/>
    <n v="100"/>
  </r>
  <r>
    <x v="0"/>
    <x v="1"/>
    <x v="4"/>
    <x v="0"/>
    <x v="0"/>
    <n v="44"/>
    <n v="61"/>
    <n v="52"/>
  </r>
  <r>
    <x v="0"/>
    <x v="1"/>
    <x v="3"/>
    <x v="0"/>
    <x v="1"/>
    <n v="57"/>
    <n v="77"/>
    <n v="80"/>
  </r>
  <r>
    <x v="1"/>
    <x v="0"/>
    <x v="1"/>
    <x v="0"/>
    <x v="1"/>
    <n v="91"/>
    <n v="96"/>
    <n v="91"/>
  </r>
  <r>
    <x v="1"/>
    <x v="3"/>
    <x v="4"/>
    <x v="1"/>
    <x v="0"/>
    <n v="69"/>
    <n v="70"/>
    <n v="67"/>
  </r>
  <r>
    <x v="0"/>
    <x v="1"/>
    <x v="4"/>
    <x v="1"/>
    <x v="0"/>
    <n v="35"/>
    <n v="53"/>
    <n v="46"/>
  </r>
  <r>
    <x v="1"/>
    <x v="3"/>
    <x v="4"/>
    <x v="0"/>
    <x v="0"/>
    <n v="72"/>
    <n v="66"/>
    <n v="66"/>
  </r>
  <r>
    <x v="0"/>
    <x v="0"/>
    <x v="3"/>
    <x v="1"/>
    <x v="0"/>
    <n v="54"/>
    <n v="65"/>
    <n v="65"/>
  </r>
  <r>
    <x v="1"/>
    <x v="3"/>
    <x v="4"/>
    <x v="1"/>
    <x v="0"/>
    <n v="74"/>
    <n v="70"/>
    <n v="69"/>
  </r>
  <r>
    <x v="1"/>
    <x v="4"/>
    <x v="5"/>
    <x v="0"/>
    <x v="1"/>
    <n v="74"/>
    <n v="64"/>
    <n v="60"/>
  </r>
  <r>
    <x v="1"/>
    <x v="4"/>
    <x v="3"/>
    <x v="1"/>
    <x v="0"/>
    <n v="64"/>
    <n v="56"/>
    <n v="52"/>
  </r>
  <r>
    <x v="0"/>
    <x v="3"/>
    <x v="4"/>
    <x v="1"/>
    <x v="1"/>
    <n v="65"/>
    <n v="61"/>
    <n v="71"/>
  </r>
  <r>
    <x v="1"/>
    <x v="4"/>
    <x v="3"/>
    <x v="1"/>
    <x v="1"/>
    <n v="46"/>
    <n v="43"/>
    <n v="44"/>
  </r>
  <r>
    <x v="0"/>
    <x v="1"/>
    <x v="5"/>
    <x v="1"/>
    <x v="0"/>
    <n v="48"/>
    <n v="56"/>
    <n v="51"/>
  </r>
  <r>
    <x v="1"/>
    <x v="1"/>
    <x v="1"/>
    <x v="1"/>
    <x v="1"/>
    <n v="67"/>
    <n v="74"/>
    <n v="70"/>
  </r>
  <r>
    <x v="1"/>
    <x v="3"/>
    <x v="1"/>
    <x v="1"/>
    <x v="0"/>
    <n v="62"/>
    <n v="57"/>
    <n v="62"/>
  </r>
  <r>
    <x v="1"/>
    <x v="3"/>
    <x v="3"/>
    <x v="1"/>
    <x v="1"/>
    <n v="61"/>
    <n v="71"/>
    <n v="73"/>
  </r>
  <r>
    <x v="1"/>
    <x v="1"/>
    <x v="0"/>
    <x v="1"/>
    <x v="1"/>
    <n v="70"/>
    <n v="75"/>
    <n v="74"/>
  </r>
  <r>
    <x v="1"/>
    <x v="1"/>
    <x v="3"/>
    <x v="0"/>
    <x v="1"/>
    <n v="98"/>
    <n v="87"/>
    <n v="90"/>
  </r>
  <r>
    <x v="1"/>
    <x v="3"/>
    <x v="1"/>
    <x v="1"/>
    <x v="0"/>
    <n v="70"/>
    <n v="63"/>
    <n v="58"/>
  </r>
  <r>
    <x v="1"/>
    <x v="2"/>
    <x v="3"/>
    <x v="0"/>
    <x v="0"/>
    <n v="67"/>
    <n v="57"/>
    <n v="53"/>
  </r>
  <r>
    <x v="0"/>
    <x v="4"/>
    <x v="4"/>
    <x v="1"/>
    <x v="0"/>
    <n v="57"/>
    <n v="58"/>
    <n v="57"/>
  </r>
  <r>
    <x v="1"/>
    <x v="3"/>
    <x v="1"/>
    <x v="0"/>
    <x v="1"/>
    <n v="85"/>
    <n v="81"/>
    <n v="85"/>
  </r>
  <r>
    <x v="1"/>
    <x v="3"/>
    <x v="5"/>
    <x v="0"/>
    <x v="1"/>
    <n v="77"/>
    <n v="68"/>
    <n v="69"/>
  </r>
  <r>
    <x v="1"/>
    <x v="1"/>
    <x v="2"/>
    <x v="1"/>
    <x v="1"/>
    <n v="72"/>
    <n v="66"/>
    <n v="72"/>
  </r>
  <r>
    <x v="0"/>
    <x v="3"/>
    <x v="2"/>
    <x v="0"/>
    <x v="0"/>
    <n v="78"/>
    <n v="91"/>
    <n v="96"/>
  </r>
  <r>
    <x v="1"/>
    <x v="1"/>
    <x v="4"/>
    <x v="0"/>
    <x v="0"/>
    <n v="81"/>
    <n v="66"/>
    <n v="64"/>
  </r>
  <r>
    <x v="1"/>
    <x v="2"/>
    <x v="5"/>
    <x v="1"/>
    <x v="1"/>
    <n v="61"/>
    <n v="62"/>
    <n v="61"/>
  </r>
  <r>
    <x v="0"/>
    <x v="0"/>
    <x v="4"/>
    <x v="0"/>
    <x v="0"/>
    <n v="58"/>
    <n v="68"/>
    <n v="61"/>
  </r>
  <r>
    <x v="0"/>
    <x v="1"/>
    <x v="3"/>
    <x v="0"/>
    <x v="0"/>
    <n v="54"/>
    <n v="61"/>
    <n v="58"/>
  </r>
  <r>
    <x v="1"/>
    <x v="0"/>
    <x v="4"/>
    <x v="0"/>
    <x v="0"/>
    <n v="82"/>
    <n v="82"/>
    <n v="80"/>
  </r>
  <r>
    <x v="0"/>
    <x v="3"/>
    <x v="1"/>
    <x v="1"/>
    <x v="0"/>
    <n v="49"/>
    <n v="58"/>
    <n v="60"/>
  </r>
  <r>
    <x v="1"/>
    <x v="0"/>
    <x v="5"/>
    <x v="1"/>
    <x v="1"/>
    <n v="49"/>
    <n v="50"/>
    <n v="52"/>
  </r>
  <r>
    <x v="0"/>
    <x v="4"/>
    <x v="4"/>
    <x v="1"/>
    <x v="1"/>
    <n v="57"/>
    <n v="75"/>
    <n v="73"/>
  </r>
  <r>
    <x v="1"/>
    <x v="4"/>
    <x v="4"/>
    <x v="0"/>
    <x v="0"/>
    <n v="94"/>
    <n v="73"/>
    <n v="71"/>
  </r>
  <r>
    <x v="0"/>
    <x v="3"/>
    <x v="1"/>
    <x v="0"/>
    <x v="1"/>
    <n v="75"/>
    <n v="77"/>
    <n v="83"/>
  </r>
  <r>
    <x v="0"/>
    <x v="4"/>
    <x v="5"/>
    <x v="1"/>
    <x v="0"/>
    <n v="74"/>
    <n v="74"/>
    <n v="72"/>
  </r>
  <r>
    <x v="1"/>
    <x v="1"/>
    <x v="4"/>
    <x v="0"/>
    <x v="1"/>
    <n v="58"/>
    <n v="52"/>
    <n v="54"/>
  </r>
  <r>
    <x v="0"/>
    <x v="1"/>
    <x v="1"/>
    <x v="0"/>
    <x v="0"/>
    <n v="62"/>
    <n v="69"/>
    <n v="69"/>
  </r>
  <r>
    <x v="1"/>
    <x v="4"/>
    <x v="3"/>
    <x v="0"/>
    <x v="0"/>
    <n v="72"/>
    <n v="57"/>
    <n v="62"/>
  </r>
  <r>
    <x v="1"/>
    <x v="1"/>
    <x v="1"/>
    <x v="0"/>
    <x v="0"/>
    <n v="84"/>
    <n v="87"/>
    <n v="81"/>
  </r>
  <r>
    <x v="0"/>
    <x v="3"/>
    <x v="2"/>
    <x v="0"/>
    <x v="0"/>
    <n v="92"/>
    <n v="100"/>
    <n v="100"/>
  </r>
  <r>
    <x v="0"/>
    <x v="3"/>
    <x v="4"/>
    <x v="0"/>
    <x v="0"/>
    <n v="45"/>
    <n v="63"/>
    <n v="59"/>
  </r>
  <r>
    <x v="1"/>
    <x v="1"/>
    <x v="4"/>
    <x v="0"/>
    <x v="0"/>
    <n v="75"/>
    <n v="81"/>
    <n v="71"/>
  </r>
  <r>
    <x v="0"/>
    <x v="2"/>
    <x v="1"/>
    <x v="0"/>
    <x v="0"/>
    <n v="56"/>
    <n v="58"/>
    <n v="64"/>
  </r>
  <r>
    <x v="0"/>
    <x v="3"/>
    <x v="5"/>
    <x v="1"/>
    <x v="0"/>
    <n v="48"/>
    <n v="54"/>
    <n v="53"/>
  </r>
  <r>
    <x v="0"/>
    <x v="4"/>
    <x v="3"/>
    <x v="0"/>
    <x v="0"/>
    <n v="100"/>
    <n v="100"/>
    <n v="100"/>
  </r>
  <r>
    <x v="0"/>
    <x v="1"/>
    <x v="5"/>
    <x v="1"/>
    <x v="1"/>
    <n v="65"/>
    <n v="76"/>
    <n v="75"/>
  </r>
  <r>
    <x v="1"/>
    <x v="3"/>
    <x v="1"/>
    <x v="0"/>
    <x v="0"/>
    <n v="72"/>
    <n v="57"/>
    <n v="58"/>
  </r>
  <r>
    <x v="0"/>
    <x v="3"/>
    <x v="1"/>
    <x v="0"/>
    <x v="0"/>
    <n v="62"/>
    <n v="70"/>
    <n v="72"/>
  </r>
  <r>
    <x v="1"/>
    <x v="2"/>
    <x v="5"/>
    <x v="0"/>
    <x v="1"/>
    <n v="66"/>
    <n v="68"/>
    <n v="64"/>
  </r>
  <r>
    <x v="1"/>
    <x v="1"/>
    <x v="1"/>
    <x v="0"/>
    <x v="0"/>
    <n v="63"/>
    <n v="63"/>
    <n v="60"/>
  </r>
  <r>
    <x v="0"/>
    <x v="4"/>
    <x v="3"/>
    <x v="0"/>
    <x v="0"/>
    <n v="68"/>
    <n v="76"/>
    <n v="67"/>
  </r>
  <r>
    <x v="0"/>
    <x v="0"/>
    <x v="0"/>
    <x v="0"/>
    <x v="0"/>
    <n v="75"/>
    <n v="84"/>
    <n v="80"/>
  </r>
  <r>
    <x v="0"/>
    <x v="3"/>
    <x v="0"/>
    <x v="0"/>
    <x v="0"/>
    <n v="89"/>
    <n v="100"/>
    <n v="100"/>
  </r>
  <r>
    <x v="1"/>
    <x v="1"/>
    <x v="5"/>
    <x v="0"/>
    <x v="1"/>
    <n v="78"/>
    <n v="72"/>
    <n v="69"/>
  </r>
  <r>
    <x v="0"/>
    <x v="2"/>
    <x v="4"/>
    <x v="1"/>
    <x v="1"/>
    <n v="53"/>
    <n v="50"/>
    <n v="60"/>
  </r>
  <r>
    <x v="0"/>
    <x v="3"/>
    <x v="1"/>
    <x v="1"/>
    <x v="0"/>
    <n v="49"/>
    <n v="65"/>
    <n v="61"/>
  </r>
  <r>
    <x v="0"/>
    <x v="2"/>
    <x v="1"/>
    <x v="0"/>
    <x v="0"/>
    <n v="54"/>
    <n v="63"/>
    <n v="67"/>
  </r>
  <r>
    <x v="0"/>
    <x v="1"/>
    <x v="1"/>
    <x v="0"/>
    <x v="1"/>
    <n v="64"/>
    <n v="82"/>
    <n v="77"/>
  </r>
  <r>
    <x v="1"/>
    <x v="0"/>
    <x v="1"/>
    <x v="1"/>
    <x v="1"/>
    <n v="60"/>
    <n v="62"/>
    <n v="60"/>
  </r>
  <r>
    <x v="1"/>
    <x v="1"/>
    <x v="3"/>
    <x v="0"/>
    <x v="0"/>
    <n v="62"/>
    <n v="65"/>
    <n v="58"/>
  </r>
  <r>
    <x v="1"/>
    <x v="3"/>
    <x v="4"/>
    <x v="0"/>
    <x v="1"/>
    <n v="55"/>
    <n v="41"/>
    <n v="48"/>
  </r>
  <r>
    <x v="0"/>
    <x v="1"/>
    <x v="3"/>
    <x v="0"/>
    <x v="0"/>
    <n v="91"/>
    <n v="95"/>
    <n v="94"/>
  </r>
  <r>
    <x v="0"/>
    <x v="0"/>
    <x v="4"/>
    <x v="1"/>
    <x v="0"/>
    <n v="8"/>
    <n v="24"/>
    <n v="23"/>
  </r>
  <r>
    <x v="1"/>
    <x v="3"/>
    <x v="5"/>
    <x v="0"/>
    <x v="0"/>
    <n v="81"/>
    <n v="78"/>
    <n v="78"/>
  </r>
  <r>
    <x v="1"/>
    <x v="0"/>
    <x v="5"/>
    <x v="0"/>
    <x v="1"/>
    <n v="79"/>
    <n v="85"/>
    <n v="86"/>
  </r>
  <r>
    <x v="0"/>
    <x v="2"/>
    <x v="1"/>
    <x v="0"/>
    <x v="1"/>
    <n v="78"/>
    <n v="87"/>
    <n v="91"/>
  </r>
  <r>
    <x v="0"/>
    <x v="1"/>
    <x v="5"/>
    <x v="0"/>
    <x v="0"/>
    <n v="74"/>
    <n v="75"/>
    <n v="82"/>
  </r>
  <r>
    <x v="1"/>
    <x v="2"/>
    <x v="4"/>
    <x v="0"/>
    <x v="0"/>
    <n v="57"/>
    <n v="51"/>
    <n v="54"/>
  </r>
  <r>
    <x v="0"/>
    <x v="1"/>
    <x v="3"/>
    <x v="0"/>
    <x v="0"/>
    <n v="40"/>
    <n v="59"/>
    <n v="51"/>
  </r>
  <r>
    <x v="1"/>
    <x v="4"/>
    <x v="5"/>
    <x v="0"/>
    <x v="1"/>
    <n v="81"/>
    <n v="75"/>
    <n v="76"/>
  </r>
  <r>
    <x v="0"/>
    <x v="2"/>
    <x v="5"/>
    <x v="1"/>
    <x v="0"/>
    <n v="44"/>
    <n v="45"/>
    <n v="45"/>
  </r>
  <r>
    <x v="0"/>
    <x v="3"/>
    <x v="1"/>
    <x v="1"/>
    <x v="1"/>
    <n v="67"/>
    <n v="86"/>
    <n v="83"/>
  </r>
  <r>
    <x v="1"/>
    <x v="4"/>
    <x v="4"/>
    <x v="1"/>
    <x v="1"/>
    <n v="86"/>
    <n v="81"/>
    <n v="75"/>
  </r>
  <r>
    <x v="0"/>
    <x v="0"/>
    <x v="5"/>
    <x v="0"/>
    <x v="1"/>
    <n v="65"/>
    <n v="82"/>
    <n v="78"/>
  </r>
  <r>
    <x v="0"/>
    <x v="3"/>
    <x v="3"/>
    <x v="1"/>
    <x v="0"/>
    <n v="55"/>
    <n v="76"/>
    <n v="76"/>
  </r>
  <r>
    <x v="0"/>
    <x v="3"/>
    <x v="0"/>
    <x v="1"/>
    <x v="0"/>
    <n v="62"/>
    <n v="72"/>
    <n v="74"/>
  </r>
  <r>
    <x v="1"/>
    <x v="2"/>
    <x v="4"/>
    <x v="0"/>
    <x v="0"/>
    <n v="63"/>
    <n v="63"/>
    <n v="62"/>
  </r>
  <r>
    <x v="0"/>
    <x v="4"/>
    <x v="2"/>
    <x v="0"/>
    <x v="1"/>
    <n v="88"/>
    <n v="99"/>
    <n v="95"/>
  </r>
  <r>
    <x v="1"/>
    <x v="1"/>
    <x v="4"/>
    <x v="1"/>
    <x v="0"/>
    <n v="62"/>
    <n v="55"/>
    <n v="55"/>
  </r>
  <r>
    <x v="0"/>
    <x v="1"/>
    <x v="4"/>
    <x v="1"/>
    <x v="1"/>
    <n v="59"/>
    <n v="71"/>
    <n v="65"/>
  </r>
  <r>
    <x v="0"/>
    <x v="3"/>
    <x v="1"/>
    <x v="0"/>
    <x v="1"/>
    <n v="68"/>
    <n v="78"/>
    <n v="77"/>
  </r>
  <r>
    <x v="0"/>
    <x v="3"/>
    <x v="1"/>
    <x v="1"/>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1F5CE-80CB-4D31-9DBD-1C0072592FE3}"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D5" firstHeaderRow="0" firstDataRow="1" firstDataCol="1"/>
  <pivotFields count="8">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s>
  <rowFields count="1">
    <field x="0"/>
  </rowFields>
  <rowItems count="2">
    <i>
      <x/>
    </i>
    <i>
      <x v="1"/>
    </i>
  </rowItems>
  <colFields count="1">
    <field x="-2"/>
  </colFields>
  <colItems count="3">
    <i>
      <x/>
    </i>
    <i i="1">
      <x v="1"/>
    </i>
    <i i="2">
      <x v="2"/>
    </i>
  </colItems>
  <dataFields count="3">
    <dataField name="Sum of writing score" fld="7" baseField="0" baseItem="0" numFmtId="164"/>
    <dataField name="Sum of reading score" fld="6" baseField="0" baseItem="0" numFmtId="164"/>
    <dataField name="Sum of math score" fld="5" baseField="0" baseItem="0" numFmtId="164"/>
  </dataFields>
  <formats count="5">
    <format dxfId="482">
      <pivotArea type="all" dataOnly="0" outline="0" fieldPosition="0"/>
    </format>
    <format dxfId="481">
      <pivotArea outline="0" collapsedLevelsAreSubtotals="1" fieldPosition="0"/>
    </format>
    <format dxfId="480">
      <pivotArea field="0" type="button" dataOnly="0" labelOnly="1" outline="0" axis="axisRow" fieldPosition="0"/>
    </format>
    <format dxfId="479">
      <pivotArea dataOnly="0" labelOnly="1" outline="0" fieldPosition="0">
        <references count="1">
          <reference field="0" count="0"/>
        </references>
      </pivotArea>
    </format>
    <format dxfId="478">
      <pivotArea dataOnly="0" labelOnly="1" outline="0" fieldPosition="0">
        <references count="1">
          <reference field="4294967294" count="3">
            <x v="0"/>
            <x v="1"/>
            <x v="2"/>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1"/>
          </reference>
          <reference field="0" count="1" selected="0">
            <x v="0"/>
          </reference>
        </references>
      </pivotArea>
    </chartFormat>
    <chartFormat chart="3" format="6">
      <pivotArea type="data" outline="0" fieldPosition="0">
        <references count="2">
          <reference field="4294967294" count="1" selected="0">
            <x v="1"/>
          </reference>
          <reference field="0" count="1" selected="0">
            <x v="1"/>
          </reference>
        </references>
      </pivotArea>
    </chartFormat>
    <chartFormat chart="3" format="7">
      <pivotArea type="data" outline="0" fieldPosition="0">
        <references count="2">
          <reference field="4294967294" count="1" selected="0">
            <x v="2"/>
          </reference>
          <reference field="0" count="1" selected="0">
            <x v="0"/>
          </reference>
        </references>
      </pivotArea>
    </chartFormat>
    <chartFormat chart="3" format="8">
      <pivotArea type="data" outline="0" fieldPosition="0">
        <references count="2">
          <reference field="4294967294" count="1" selected="0">
            <x v="2"/>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1"/>
          </reference>
        </references>
      </pivotArea>
    </chartFormat>
    <chartFormat chart="8" format="13">
      <pivotArea type="data" outline="0" fieldPosition="0">
        <references count="2">
          <reference field="4294967294" count="1" selected="0">
            <x v="1"/>
          </reference>
          <reference field="0" count="1" selected="0">
            <x v="0"/>
          </reference>
        </references>
      </pivotArea>
    </chartFormat>
    <chartFormat chart="8" format="14">
      <pivotArea type="data" outline="0" fieldPosition="0">
        <references count="2">
          <reference field="4294967294" count="1" selected="0">
            <x v="1"/>
          </reference>
          <reference field="0" count="1" selected="0">
            <x v="1"/>
          </reference>
        </references>
      </pivotArea>
    </chartFormat>
    <chartFormat chart="8" format="15" series="1">
      <pivotArea type="data" outline="0" fieldPosition="0">
        <references count="1">
          <reference field="4294967294" count="1" selected="0">
            <x v="2"/>
          </reference>
        </references>
      </pivotArea>
    </chartFormat>
    <chartFormat chart="8" format="16">
      <pivotArea type="data" outline="0" fieldPosition="0">
        <references count="2">
          <reference field="4294967294" count="1" selected="0">
            <x v="2"/>
          </reference>
          <reference field="0" count="1" selected="0">
            <x v="0"/>
          </reference>
        </references>
      </pivotArea>
    </chartFormat>
    <chartFormat chart="8" format="17">
      <pivotArea type="data" outline="0" fieldPosition="0">
        <references count="2">
          <reference field="4294967294" count="1" selected="0">
            <x v="2"/>
          </reference>
          <reference field="0" count="1" selected="0">
            <x v="1"/>
          </reference>
        </references>
      </pivotArea>
    </chartFormat>
    <chartFormat chart="3" format="9">
      <pivotArea type="data" outline="0" fieldPosition="0">
        <references count="1">
          <reference field="4294967294" count="1" selected="0">
            <x v="0"/>
          </reference>
        </references>
      </pivotArea>
    </chartFormat>
    <chartFormat chart="3" format="10">
      <pivotArea type="data" outline="0" fieldPosition="0">
        <references count="1">
          <reference field="4294967294" count="1" selected="0">
            <x v="1"/>
          </reference>
        </references>
      </pivotArea>
    </chartFormat>
    <chartFormat chart="3" format="1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BD071-38B7-4A42-99C2-79E80C102443}"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J10" firstHeaderRow="1" firstDataRow="3" firstDataCol="1"/>
  <pivotFields count="8">
    <pivotField axis="axisCol" showAll="0" measureFilter="1">
      <items count="3">
        <item x="0"/>
        <item x="1"/>
        <item t="default"/>
      </items>
    </pivotField>
    <pivotField showAll="0">
      <items count="6">
        <item x="2"/>
        <item x="0"/>
        <item x="1"/>
        <item x="3"/>
        <item x="4"/>
        <item t="default"/>
      </items>
    </pivotField>
    <pivotField axis="axisRow" showAll="0">
      <items count="7">
        <item x="3"/>
        <item h="1" x="0"/>
        <item h="1" x="4"/>
        <item x="2"/>
        <item x="1"/>
        <item x="5"/>
        <item t="default"/>
      </items>
    </pivotField>
    <pivotField showAll="0"/>
    <pivotField showAll="0"/>
    <pivotField dataField="1" numFmtId="164"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numFmtId="164" showAll="0"/>
    <pivotField dataField="1" numFmtId="164" showAll="0"/>
  </pivotFields>
  <rowFields count="1">
    <field x="2"/>
  </rowFields>
  <rowItems count="5">
    <i>
      <x/>
    </i>
    <i>
      <x v="3"/>
    </i>
    <i>
      <x v="4"/>
    </i>
    <i>
      <x v="5"/>
    </i>
    <i t="grand">
      <x/>
    </i>
  </rowItems>
  <colFields count="2">
    <field x="-2"/>
    <field x="0"/>
  </colFields>
  <colItems count="9">
    <i>
      <x/>
      <x/>
    </i>
    <i r="1">
      <x v="1"/>
    </i>
    <i i="1">
      <x v="1"/>
      <x/>
    </i>
    <i r="1" i="1">
      <x v="1"/>
    </i>
    <i i="2">
      <x v="2"/>
      <x/>
    </i>
    <i r="1" i="2">
      <x v="1"/>
    </i>
    <i t="grand">
      <x/>
    </i>
    <i t="grand" i="1">
      <x/>
    </i>
    <i t="grand" i="2">
      <x/>
    </i>
  </colItems>
  <dataFields count="3">
    <dataField name="Count of reading" fld="6" subtotal="count" baseField="2" baseItem="0"/>
    <dataField name="Count of writing" fld="7" subtotal="count" baseField="2" baseItem="0"/>
    <dataField name="Count of math" fld="5" subtotal="count" baseField="2" baseItem="0"/>
  </dataFields>
  <formats count="1">
    <format dxfId="477">
      <pivotArea type="all" dataOnly="0" outline="0" fieldPosition="0"/>
    </format>
  </formats>
  <chartFormats count="9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1"/>
          </reference>
          <reference field="0" count="1" selected="0">
            <x v="0"/>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2"/>
          </reference>
          <reference field="0" count="1" selected="0">
            <x v="0"/>
          </reference>
        </references>
      </pivotArea>
    </chartFormat>
    <chartFormat chart="0" format="5" series="1">
      <pivotArea type="data" outline="0" fieldPosition="0">
        <references count="2">
          <reference field="4294967294" count="1" selected="0">
            <x v="2"/>
          </reference>
          <reference field="0" count="1" selected="0">
            <x v="1"/>
          </reference>
        </references>
      </pivotArea>
    </chartFormat>
    <chartFormat chart="0" format="6">
      <pivotArea type="data" outline="0" fieldPosition="0">
        <references count="3">
          <reference field="4294967294" count="1" selected="0">
            <x v="0"/>
          </reference>
          <reference field="0" count="1" selected="0">
            <x v="0"/>
          </reference>
          <reference field="2" count="1" selected="0">
            <x v="0"/>
          </reference>
        </references>
      </pivotArea>
    </chartFormat>
    <chartFormat chart="0" format="7">
      <pivotArea type="data" outline="0" fieldPosition="0">
        <references count="3">
          <reference field="4294967294" count="1" selected="0">
            <x v="0"/>
          </reference>
          <reference field="0" count="1" selected="0">
            <x v="0"/>
          </reference>
          <reference field="2" count="1" selected="0">
            <x v="1"/>
          </reference>
        </references>
      </pivotArea>
    </chartFormat>
    <chartFormat chart="0" format="8">
      <pivotArea type="data" outline="0" fieldPosition="0">
        <references count="3">
          <reference field="4294967294" count="1" selected="0">
            <x v="0"/>
          </reference>
          <reference field="0" count="1" selected="0">
            <x v="0"/>
          </reference>
          <reference field="2" count="1" selected="0">
            <x v="2"/>
          </reference>
        </references>
      </pivotArea>
    </chartFormat>
    <chartFormat chart="0" format="9">
      <pivotArea type="data" outline="0" fieldPosition="0">
        <references count="3">
          <reference field="4294967294" count="1" selected="0">
            <x v="0"/>
          </reference>
          <reference field="0" count="1" selected="0">
            <x v="0"/>
          </reference>
          <reference field="2" count="1" selected="0">
            <x v="3"/>
          </reference>
        </references>
      </pivotArea>
    </chartFormat>
    <chartFormat chart="0" format="10">
      <pivotArea type="data" outline="0" fieldPosition="0">
        <references count="3">
          <reference field="4294967294" count="1" selected="0">
            <x v="0"/>
          </reference>
          <reference field="0" count="1" selected="0">
            <x v="0"/>
          </reference>
          <reference field="2" count="1" selected="0">
            <x v="4"/>
          </reference>
        </references>
      </pivotArea>
    </chartFormat>
    <chartFormat chart="0" format="11">
      <pivotArea type="data" outline="0" fieldPosition="0">
        <references count="3">
          <reference field="4294967294" count="1" selected="0">
            <x v="0"/>
          </reference>
          <reference field="0" count="1" selected="0">
            <x v="0"/>
          </reference>
          <reference field="2" count="1" selected="0">
            <x v="5"/>
          </reference>
        </references>
      </pivotArea>
    </chartFormat>
    <chartFormat chart="0" format="12">
      <pivotArea type="data" outline="0" fieldPosition="0">
        <references count="3">
          <reference field="4294967294" count="1" selected="0">
            <x v="0"/>
          </reference>
          <reference field="0" count="1" selected="0">
            <x v="1"/>
          </reference>
          <reference field="2" count="1" selected="0">
            <x v="0"/>
          </reference>
        </references>
      </pivotArea>
    </chartFormat>
    <chartFormat chart="0" format="13">
      <pivotArea type="data" outline="0" fieldPosition="0">
        <references count="3">
          <reference field="4294967294" count="1" selected="0">
            <x v="0"/>
          </reference>
          <reference field="0" count="1" selected="0">
            <x v="1"/>
          </reference>
          <reference field="2" count="1" selected="0">
            <x v="1"/>
          </reference>
        </references>
      </pivotArea>
    </chartFormat>
    <chartFormat chart="0" format="14">
      <pivotArea type="data" outline="0" fieldPosition="0">
        <references count="3">
          <reference field="4294967294" count="1" selected="0">
            <x v="0"/>
          </reference>
          <reference field="0" count="1" selected="0">
            <x v="1"/>
          </reference>
          <reference field="2" count="1" selected="0">
            <x v="2"/>
          </reference>
        </references>
      </pivotArea>
    </chartFormat>
    <chartFormat chart="0" format="15">
      <pivotArea type="data" outline="0" fieldPosition="0">
        <references count="3">
          <reference field="4294967294" count="1" selected="0">
            <x v="0"/>
          </reference>
          <reference field="0" count="1" selected="0">
            <x v="1"/>
          </reference>
          <reference field="2" count="1" selected="0">
            <x v="3"/>
          </reference>
        </references>
      </pivotArea>
    </chartFormat>
    <chartFormat chart="0" format="16">
      <pivotArea type="data" outline="0" fieldPosition="0">
        <references count="3">
          <reference field="4294967294" count="1" selected="0">
            <x v="0"/>
          </reference>
          <reference field="0" count="1" selected="0">
            <x v="1"/>
          </reference>
          <reference field="2" count="1" selected="0">
            <x v="4"/>
          </reference>
        </references>
      </pivotArea>
    </chartFormat>
    <chartFormat chart="0" format="17">
      <pivotArea type="data" outline="0" fieldPosition="0">
        <references count="3">
          <reference field="4294967294" count="1" selected="0">
            <x v="0"/>
          </reference>
          <reference field="0" count="1" selected="0">
            <x v="1"/>
          </reference>
          <reference field="2" count="1" selected="0">
            <x v="5"/>
          </reference>
        </references>
      </pivotArea>
    </chartFormat>
    <chartFormat chart="0" format="18">
      <pivotArea type="data" outline="0" fieldPosition="0">
        <references count="3">
          <reference field="4294967294" count="1" selected="0">
            <x v="1"/>
          </reference>
          <reference field="0" count="1" selected="0">
            <x v="0"/>
          </reference>
          <reference field="2" count="1" selected="0">
            <x v="0"/>
          </reference>
        </references>
      </pivotArea>
    </chartFormat>
    <chartFormat chart="0" format="19">
      <pivotArea type="data" outline="0" fieldPosition="0">
        <references count="3">
          <reference field="4294967294" count="1" selected="0">
            <x v="1"/>
          </reference>
          <reference field="0" count="1" selected="0">
            <x v="0"/>
          </reference>
          <reference field="2" count="1" selected="0">
            <x v="1"/>
          </reference>
        </references>
      </pivotArea>
    </chartFormat>
    <chartFormat chart="0" format="20">
      <pivotArea type="data" outline="0" fieldPosition="0">
        <references count="3">
          <reference field="4294967294" count="1" selected="0">
            <x v="1"/>
          </reference>
          <reference field="0" count="1" selected="0">
            <x v="0"/>
          </reference>
          <reference field="2" count="1" selected="0">
            <x v="2"/>
          </reference>
        </references>
      </pivotArea>
    </chartFormat>
    <chartFormat chart="0" format="21">
      <pivotArea type="data" outline="0" fieldPosition="0">
        <references count="3">
          <reference field="4294967294" count="1" selected="0">
            <x v="1"/>
          </reference>
          <reference field="0" count="1" selected="0">
            <x v="0"/>
          </reference>
          <reference field="2" count="1" selected="0">
            <x v="3"/>
          </reference>
        </references>
      </pivotArea>
    </chartFormat>
    <chartFormat chart="0" format="22">
      <pivotArea type="data" outline="0" fieldPosition="0">
        <references count="3">
          <reference field="4294967294" count="1" selected="0">
            <x v="1"/>
          </reference>
          <reference field="0" count="1" selected="0">
            <x v="0"/>
          </reference>
          <reference field="2" count="1" selected="0">
            <x v="4"/>
          </reference>
        </references>
      </pivotArea>
    </chartFormat>
    <chartFormat chart="0" format="23">
      <pivotArea type="data" outline="0" fieldPosition="0">
        <references count="3">
          <reference field="4294967294" count="1" selected="0">
            <x v="1"/>
          </reference>
          <reference field="0" count="1" selected="0">
            <x v="0"/>
          </reference>
          <reference field="2" count="1" selected="0">
            <x v="5"/>
          </reference>
        </references>
      </pivotArea>
    </chartFormat>
    <chartFormat chart="0" format="24">
      <pivotArea type="data" outline="0" fieldPosition="0">
        <references count="3">
          <reference field="4294967294" count="1" selected="0">
            <x v="1"/>
          </reference>
          <reference field="0" count="1" selected="0">
            <x v="1"/>
          </reference>
          <reference field="2" count="1" selected="0">
            <x v="0"/>
          </reference>
        </references>
      </pivotArea>
    </chartFormat>
    <chartFormat chart="0" format="25">
      <pivotArea type="data" outline="0" fieldPosition="0">
        <references count="3">
          <reference field="4294967294" count="1" selected="0">
            <x v="1"/>
          </reference>
          <reference field="0" count="1" selected="0">
            <x v="1"/>
          </reference>
          <reference field="2" count="1" selected="0">
            <x v="1"/>
          </reference>
        </references>
      </pivotArea>
    </chartFormat>
    <chartFormat chart="0" format="26">
      <pivotArea type="data" outline="0" fieldPosition="0">
        <references count="3">
          <reference field="4294967294" count="1" selected="0">
            <x v="1"/>
          </reference>
          <reference field="0" count="1" selected="0">
            <x v="1"/>
          </reference>
          <reference field="2" count="1" selected="0">
            <x v="2"/>
          </reference>
        </references>
      </pivotArea>
    </chartFormat>
    <chartFormat chart="0" format="27">
      <pivotArea type="data" outline="0" fieldPosition="0">
        <references count="3">
          <reference field="4294967294" count="1" selected="0">
            <x v="1"/>
          </reference>
          <reference field="0" count="1" selected="0">
            <x v="1"/>
          </reference>
          <reference field="2" count="1" selected="0">
            <x v="3"/>
          </reference>
        </references>
      </pivotArea>
    </chartFormat>
    <chartFormat chart="0" format="28">
      <pivotArea type="data" outline="0" fieldPosition="0">
        <references count="3">
          <reference field="4294967294" count="1" selected="0">
            <x v="1"/>
          </reference>
          <reference field="0" count="1" selected="0">
            <x v="1"/>
          </reference>
          <reference field="2" count="1" selected="0">
            <x v="4"/>
          </reference>
        </references>
      </pivotArea>
    </chartFormat>
    <chartFormat chart="0" format="29">
      <pivotArea type="data" outline="0" fieldPosition="0">
        <references count="3">
          <reference field="4294967294" count="1" selected="0">
            <x v="1"/>
          </reference>
          <reference field="0" count="1" selected="0">
            <x v="1"/>
          </reference>
          <reference field="2" count="1" selected="0">
            <x v="5"/>
          </reference>
        </references>
      </pivotArea>
    </chartFormat>
    <chartFormat chart="0" format="30">
      <pivotArea type="data" outline="0" fieldPosition="0">
        <references count="3">
          <reference field="4294967294" count="1" selected="0">
            <x v="2"/>
          </reference>
          <reference field="0" count="1" selected="0">
            <x v="0"/>
          </reference>
          <reference field="2" count="1" selected="0">
            <x v="0"/>
          </reference>
        </references>
      </pivotArea>
    </chartFormat>
    <chartFormat chart="0" format="31">
      <pivotArea type="data" outline="0" fieldPosition="0">
        <references count="3">
          <reference field="4294967294" count="1" selected="0">
            <x v="2"/>
          </reference>
          <reference field="0" count="1" selected="0">
            <x v="0"/>
          </reference>
          <reference field="2" count="1" selected="0">
            <x v="1"/>
          </reference>
        </references>
      </pivotArea>
    </chartFormat>
    <chartFormat chart="0" format="32">
      <pivotArea type="data" outline="0" fieldPosition="0">
        <references count="3">
          <reference field="4294967294" count="1" selected="0">
            <x v="2"/>
          </reference>
          <reference field="0" count="1" selected="0">
            <x v="0"/>
          </reference>
          <reference field="2" count="1" selected="0">
            <x v="2"/>
          </reference>
        </references>
      </pivotArea>
    </chartFormat>
    <chartFormat chart="0" format="33">
      <pivotArea type="data" outline="0" fieldPosition="0">
        <references count="3">
          <reference field="4294967294" count="1" selected="0">
            <x v="2"/>
          </reference>
          <reference field="0" count="1" selected="0">
            <x v="0"/>
          </reference>
          <reference field="2" count="1" selected="0">
            <x v="3"/>
          </reference>
        </references>
      </pivotArea>
    </chartFormat>
    <chartFormat chart="0" format="34">
      <pivotArea type="data" outline="0" fieldPosition="0">
        <references count="3">
          <reference field="4294967294" count="1" selected="0">
            <x v="2"/>
          </reference>
          <reference field="0" count="1" selected="0">
            <x v="0"/>
          </reference>
          <reference field="2" count="1" selected="0">
            <x v="4"/>
          </reference>
        </references>
      </pivotArea>
    </chartFormat>
    <chartFormat chart="0" format="35">
      <pivotArea type="data" outline="0" fieldPosition="0">
        <references count="3">
          <reference field="4294967294" count="1" selected="0">
            <x v="2"/>
          </reference>
          <reference field="0" count="1" selected="0">
            <x v="0"/>
          </reference>
          <reference field="2" count="1" selected="0">
            <x v="5"/>
          </reference>
        </references>
      </pivotArea>
    </chartFormat>
    <chartFormat chart="0" format="36">
      <pivotArea type="data" outline="0" fieldPosition="0">
        <references count="3">
          <reference field="4294967294" count="1" selected="0">
            <x v="2"/>
          </reference>
          <reference field="0" count="1" selected="0">
            <x v="1"/>
          </reference>
          <reference field="2" count="1" selected="0">
            <x v="0"/>
          </reference>
        </references>
      </pivotArea>
    </chartFormat>
    <chartFormat chart="0" format="37">
      <pivotArea type="data" outline="0" fieldPosition="0">
        <references count="3">
          <reference field="4294967294" count="1" selected="0">
            <x v="2"/>
          </reference>
          <reference field="0" count="1" selected="0">
            <x v="1"/>
          </reference>
          <reference field="2" count="1" selected="0">
            <x v="1"/>
          </reference>
        </references>
      </pivotArea>
    </chartFormat>
    <chartFormat chart="0" format="38">
      <pivotArea type="data" outline="0" fieldPosition="0">
        <references count="3">
          <reference field="4294967294" count="1" selected="0">
            <x v="2"/>
          </reference>
          <reference field="0" count="1" selected="0">
            <x v="1"/>
          </reference>
          <reference field="2" count="1" selected="0">
            <x v="2"/>
          </reference>
        </references>
      </pivotArea>
    </chartFormat>
    <chartFormat chart="0" format="39">
      <pivotArea type="data" outline="0" fieldPosition="0">
        <references count="3">
          <reference field="4294967294" count="1" selected="0">
            <x v="2"/>
          </reference>
          <reference field="0" count="1" selected="0">
            <x v="1"/>
          </reference>
          <reference field="2" count="1" selected="0">
            <x v="3"/>
          </reference>
        </references>
      </pivotArea>
    </chartFormat>
    <chartFormat chart="0" format="40">
      <pivotArea type="data" outline="0" fieldPosition="0">
        <references count="3">
          <reference field="4294967294" count="1" selected="0">
            <x v="2"/>
          </reference>
          <reference field="0" count="1" selected="0">
            <x v="1"/>
          </reference>
          <reference field="2" count="1" selected="0">
            <x v="4"/>
          </reference>
        </references>
      </pivotArea>
    </chartFormat>
    <chartFormat chart="0" format="41">
      <pivotArea type="data" outline="0" fieldPosition="0">
        <references count="3">
          <reference field="4294967294" count="1" selected="0">
            <x v="2"/>
          </reference>
          <reference field="0" count="1" selected="0">
            <x v="1"/>
          </reference>
          <reference field="2" count="1" selected="0">
            <x v="5"/>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1"/>
          </reference>
          <reference field="0" count="1" selected="0">
            <x v="0"/>
          </reference>
        </references>
      </pivotArea>
    </chartFormat>
    <chartFormat chart="3" format="3" series="1">
      <pivotArea type="data" outline="0" fieldPosition="0">
        <references count="2">
          <reference field="4294967294" count="1" selected="0">
            <x v="1"/>
          </reference>
          <reference field="0" count="1" selected="0">
            <x v="1"/>
          </reference>
        </references>
      </pivotArea>
    </chartFormat>
    <chartFormat chart="3" format="4" series="1">
      <pivotArea type="data" outline="0" fieldPosition="0">
        <references count="2">
          <reference field="4294967294" count="1" selected="0">
            <x v="2"/>
          </reference>
          <reference field="0" count="1" selected="0">
            <x v="0"/>
          </reference>
        </references>
      </pivotArea>
    </chartFormat>
    <chartFormat chart="3" format="5" series="1">
      <pivotArea type="data" outline="0" fieldPosition="0">
        <references count="2">
          <reference field="4294967294" count="1" selected="0">
            <x v="2"/>
          </reference>
          <reference field="0" count="1" selected="0">
            <x v="1"/>
          </reference>
        </references>
      </pivotArea>
    </chartFormat>
    <chartFormat chart="10" format="12" series="1">
      <pivotArea type="data" outline="0" fieldPosition="0">
        <references count="2">
          <reference field="4294967294" count="1" selected="0">
            <x v="0"/>
          </reference>
          <reference field="0" count="1" selected="0">
            <x v="0"/>
          </reference>
        </references>
      </pivotArea>
    </chartFormat>
    <chartFormat chart="10" format="13" series="1">
      <pivotArea type="data" outline="0" fieldPosition="0">
        <references count="2">
          <reference field="4294967294" count="1" selected="0">
            <x v="0"/>
          </reference>
          <reference field="0" count="1" selected="0">
            <x v="1"/>
          </reference>
        </references>
      </pivotArea>
    </chartFormat>
    <chartFormat chart="10" format="14" series="1">
      <pivotArea type="data" outline="0" fieldPosition="0">
        <references count="2">
          <reference field="4294967294" count="1" selected="0">
            <x v="1"/>
          </reference>
          <reference field="0" count="1" selected="0">
            <x v="0"/>
          </reference>
        </references>
      </pivotArea>
    </chartFormat>
    <chartFormat chart="10" format="15" series="1">
      <pivotArea type="data" outline="0" fieldPosition="0">
        <references count="2">
          <reference field="4294967294" count="1" selected="0">
            <x v="1"/>
          </reference>
          <reference field="0" count="1" selected="0">
            <x v="1"/>
          </reference>
        </references>
      </pivotArea>
    </chartFormat>
    <chartFormat chart="10" format="16" series="1">
      <pivotArea type="data" outline="0" fieldPosition="0">
        <references count="2">
          <reference field="4294967294" count="1" selected="0">
            <x v="2"/>
          </reference>
          <reference field="0" count="1" selected="0">
            <x v="0"/>
          </reference>
        </references>
      </pivotArea>
    </chartFormat>
    <chartFormat chart="10" format="17" series="1">
      <pivotArea type="data" outline="0" fieldPosition="0">
        <references count="2">
          <reference field="4294967294" count="1" selected="0">
            <x v="2"/>
          </reference>
          <reference field="0" count="1" selected="0">
            <x v="1"/>
          </reference>
        </references>
      </pivotArea>
    </chartFormat>
    <chartFormat chart="17" format="168" series="1">
      <pivotArea type="data" outline="0" fieldPosition="0">
        <references count="2">
          <reference field="4294967294" count="1" selected="0">
            <x v="0"/>
          </reference>
          <reference field="0" count="1" selected="0">
            <x v="0"/>
          </reference>
        </references>
      </pivotArea>
    </chartFormat>
    <chartFormat chart="17" format="169">
      <pivotArea type="data" outline="0" fieldPosition="0">
        <references count="3">
          <reference field="4294967294" count="1" selected="0">
            <x v="0"/>
          </reference>
          <reference field="0" count="1" selected="0">
            <x v="0"/>
          </reference>
          <reference field="2" count="1" selected="0">
            <x v="0"/>
          </reference>
        </references>
      </pivotArea>
    </chartFormat>
    <chartFormat chart="17" format="170">
      <pivotArea type="data" outline="0" fieldPosition="0">
        <references count="3">
          <reference field="4294967294" count="1" selected="0">
            <x v="0"/>
          </reference>
          <reference field="0" count="1" selected="0">
            <x v="0"/>
          </reference>
          <reference field="2" count="1" selected="0">
            <x v="1"/>
          </reference>
        </references>
      </pivotArea>
    </chartFormat>
    <chartFormat chart="17" format="171">
      <pivotArea type="data" outline="0" fieldPosition="0">
        <references count="3">
          <reference field="4294967294" count="1" selected="0">
            <x v="0"/>
          </reference>
          <reference field="0" count="1" selected="0">
            <x v="0"/>
          </reference>
          <reference field="2" count="1" selected="0">
            <x v="2"/>
          </reference>
        </references>
      </pivotArea>
    </chartFormat>
    <chartFormat chart="17" format="172">
      <pivotArea type="data" outline="0" fieldPosition="0">
        <references count="3">
          <reference field="4294967294" count="1" selected="0">
            <x v="0"/>
          </reference>
          <reference field="0" count="1" selected="0">
            <x v="0"/>
          </reference>
          <reference field="2" count="1" selected="0">
            <x v="3"/>
          </reference>
        </references>
      </pivotArea>
    </chartFormat>
    <chartFormat chart="17" format="173">
      <pivotArea type="data" outline="0" fieldPosition="0">
        <references count="3">
          <reference field="4294967294" count="1" selected="0">
            <x v="0"/>
          </reference>
          <reference field="0" count="1" selected="0">
            <x v="0"/>
          </reference>
          <reference field="2" count="1" selected="0">
            <x v="4"/>
          </reference>
        </references>
      </pivotArea>
    </chartFormat>
    <chartFormat chart="17" format="174">
      <pivotArea type="data" outline="0" fieldPosition="0">
        <references count="3">
          <reference field="4294967294" count="1" selected="0">
            <x v="0"/>
          </reference>
          <reference field="0" count="1" selected="0">
            <x v="0"/>
          </reference>
          <reference field="2" count="1" selected="0">
            <x v="5"/>
          </reference>
        </references>
      </pivotArea>
    </chartFormat>
    <chartFormat chart="17" format="175" series="1">
      <pivotArea type="data" outline="0" fieldPosition="0">
        <references count="2">
          <reference field="4294967294" count="1" selected="0">
            <x v="0"/>
          </reference>
          <reference field="0" count="1" selected="0">
            <x v="1"/>
          </reference>
        </references>
      </pivotArea>
    </chartFormat>
    <chartFormat chart="17" format="176">
      <pivotArea type="data" outline="0" fieldPosition="0">
        <references count="3">
          <reference field="4294967294" count="1" selected="0">
            <x v="0"/>
          </reference>
          <reference field="0" count="1" selected="0">
            <x v="1"/>
          </reference>
          <reference field="2" count="1" selected="0">
            <x v="0"/>
          </reference>
        </references>
      </pivotArea>
    </chartFormat>
    <chartFormat chart="17" format="177">
      <pivotArea type="data" outline="0" fieldPosition="0">
        <references count="3">
          <reference field="4294967294" count="1" selected="0">
            <x v="0"/>
          </reference>
          <reference field="0" count="1" selected="0">
            <x v="1"/>
          </reference>
          <reference field="2" count="1" selected="0">
            <x v="1"/>
          </reference>
        </references>
      </pivotArea>
    </chartFormat>
    <chartFormat chart="17" format="178">
      <pivotArea type="data" outline="0" fieldPosition="0">
        <references count="3">
          <reference field="4294967294" count="1" selected="0">
            <x v="0"/>
          </reference>
          <reference field="0" count="1" selected="0">
            <x v="1"/>
          </reference>
          <reference field="2" count="1" selected="0">
            <x v="2"/>
          </reference>
        </references>
      </pivotArea>
    </chartFormat>
    <chartFormat chart="17" format="179">
      <pivotArea type="data" outline="0" fieldPosition="0">
        <references count="3">
          <reference field="4294967294" count="1" selected="0">
            <x v="0"/>
          </reference>
          <reference field="0" count="1" selected="0">
            <x v="1"/>
          </reference>
          <reference field="2" count="1" selected="0">
            <x v="3"/>
          </reference>
        </references>
      </pivotArea>
    </chartFormat>
    <chartFormat chart="17" format="180">
      <pivotArea type="data" outline="0" fieldPosition="0">
        <references count="3">
          <reference field="4294967294" count="1" selected="0">
            <x v="0"/>
          </reference>
          <reference field="0" count="1" selected="0">
            <x v="1"/>
          </reference>
          <reference field="2" count="1" selected="0">
            <x v="4"/>
          </reference>
        </references>
      </pivotArea>
    </chartFormat>
    <chartFormat chart="17" format="181">
      <pivotArea type="data" outline="0" fieldPosition="0">
        <references count="3">
          <reference field="4294967294" count="1" selected="0">
            <x v="0"/>
          </reference>
          <reference field="0" count="1" selected="0">
            <x v="1"/>
          </reference>
          <reference field="2" count="1" selected="0">
            <x v="5"/>
          </reference>
        </references>
      </pivotArea>
    </chartFormat>
    <chartFormat chart="17" format="182" series="1">
      <pivotArea type="data" outline="0" fieldPosition="0">
        <references count="2">
          <reference field="4294967294" count="1" selected="0">
            <x v="1"/>
          </reference>
          <reference field="0" count="1" selected="0">
            <x v="0"/>
          </reference>
        </references>
      </pivotArea>
    </chartFormat>
    <chartFormat chart="17" format="183">
      <pivotArea type="data" outline="0" fieldPosition="0">
        <references count="3">
          <reference field="4294967294" count="1" selected="0">
            <x v="1"/>
          </reference>
          <reference field="0" count="1" selected="0">
            <x v="0"/>
          </reference>
          <reference field="2" count="1" selected="0">
            <x v="0"/>
          </reference>
        </references>
      </pivotArea>
    </chartFormat>
    <chartFormat chart="17" format="184">
      <pivotArea type="data" outline="0" fieldPosition="0">
        <references count="3">
          <reference field="4294967294" count="1" selected="0">
            <x v="1"/>
          </reference>
          <reference field="0" count="1" selected="0">
            <x v="0"/>
          </reference>
          <reference field="2" count="1" selected="0">
            <x v="1"/>
          </reference>
        </references>
      </pivotArea>
    </chartFormat>
    <chartFormat chart="17" format="185">
      <pivotArea type="data" outline="0" fieldPosition="0">
        <references count="3">
          <reference field="4294967294" count="1" selected="0">
            <x v="1"/>
          </reference>
          <reference field="0" count="1" selected="0">
            <x v="0"/>
          </reference>
          <reference field="2" count="1" selected="0">
            <x v="2"/>
          </reference>
        </references>
      </pivotArea>
    </chartFormat>
    <chartFormat chart="17" format="186">
      <pivotArea type="data" outline="0" fieldPosition="0">
        <references count="3">
          <reference field="4294967294" count="1" selected="0">
            <x v="1"/>
          </reference>
          <reference field="0" count="1" selected="0">
            <x v="0"/>
          </reference>
          <reference field="2" count="1" selected="0">
            <x v="3"/>
          </reference>
        </references>
      </pivotArea>
    </chartFormat>
    <chartFormat chart="17" format="187">
      <pivotArea type="data" outline="0" fieldPosition="0">
        <references count="3">
          <reference field="4294967294" count="1" selected="0">
            <x v="1"/>
          </reference>
          <reference field="0" count="1" selected="0">
            <x v="0"/>
          </reference>
          <reference field="2" count="1" selected="0">
            <x v="4"/>
          </reference>
        </references>
      </pivotArea>
    </chartFormat>
    <chartFormat chart="17" format="188">
      <pivotArea type="data" outline="0" fieldPosition="0">
        <references count="3">
          <reference field="4294967294" count="1" selected="0">
            <x v="1"/>
          </reference>
          <reference field="0" count="1" selected="0">
            <x v="0"/>
          </reference>
          <reference field="2" count="1" selected="0">
            <x v="5"/>
          </reference>
        </references>
      </pivotArea>
    </chartFormat>
    <chartFormat chart="17" format="189" series="1">
      <pivotArea type="data" outline="0" fieldPosition="0">
        <references count="2">
          <reference field="4294967294" count="1" selected="0">
            <x v="1"/>
          </reference>
          <reference field="0" count="1" selected="0">
            <x v="1"/>
          </reference>
        </references>
      </pivotArea>
    </chartFormat>
    <chartFormat chart="17" format="190">
      <pivotArea type="data" outline="0" fieldPosition="0">
        <references count="3">
          <reference field="4294967294" count="1" selected="0">
            <x v="1"/>
          </reference>
          <reference field="0" count="1" selected="0">
            <x v="1"/>
          </reference>
          <reference field="2" count="1" selected="0">
            <x v="0"/>
          </reference>
        </references>
      </pivotArea>
    </chartFormat>
    <chartFormat chart="17" format="191">
      <pivotArea type="data" outline="0" fieldPosition="0">
        <references count="3">
          <reference field="4294967294" count="1" selected="0">
            <x v="1"/>
          </reference>
          <reference field="0" count="1" selected="0">
            <x v="1"/>
          </reference>
          <reference field="2" count="1" selected="0">
            <x v="1"/>
          </reference>
        </references>
      </pivotArea>
    </chartFormat>
    <chartFormat chart="17" format="192">
      <pivotArea type="data" outline="0" fieldPosition="0">
        <references count="3">
          <reference field="4294967294" count="1" selected="0">
            <x v="1"/>
          </reference>
          <reference field="0" count="1" selected="0">
            <x v="1"/>
          </reference>
          <reference field="2" count="1" selected="0">
            <x v="2"/>
          </reference>
        </references>
      </pivotArea>
    </chartFormat>
    <chartFormat chart="17" format="193">
      <pivotArea type="data" outline="0" fieldPosition="0">
        <references count="3">
          <reference field="4294967294" count="1" selected="0">
            <x v="1"/>
          </reference>
          <reference field="0" count="1" selected="0">
            <x v="1"/>
          </reference>
          <reference field="2" count="1" selected="0">
            <x v="3"/>
          </reference>
        </references>
      </pivotArea>
    </chartFormat>
    <chartFormat chart="17" format="194">
      <pivotArea type="data" outline="0" fieldPosition="0">
        <references count="3">
          <reference field="4294967294" count="1" selected="0">
            <x v="1"/>
          </reference>
          <reference field="0" count="1" selected="0">
            <x v="1"/>
          </reference>
          <reference field="2" count="1" selected="0">
            <x v="4"/>
          </reference>
        </references>
      </pivotArea>
    </chartFormat>
    <chartFormat chart="17" format="195">
      <pivotArea type="data" outline="0" fieldPosition="0">
        <references count="3">
          <reference field="4294967294" count="1" selected="0">
            <x v="1"/>
          </reference>
          <reference field="0" count="1" selected="0">
            <x v="1"/>
          </reference>
          <reference field="2" count="1" selected="0">
            <x v="5"/>
          </reference>
        </references>
      </pivotArea>
    </chartFormat>
    <chartFormat chart="17" format="196" series="1">
      <pivotArea type="data" outline="0" fieldPosition="0">
        <references count="2">
          <reference field="4294967294" count="1" selected="0">
            <x v="2"/>
          </reference>
          <reference field="0" count="1" selected="0">
            <x v="0"/>
          </reference>
        </references>
      </pivotArea>
    </chartFormat>
    <chartFormat chart="17" format="197">
      <pivotArea type="data" outline="0" fieldPosition="0">
        <references count="3">
          <reference field="4294967294" count="1" selected="0">
            <x v="2"/>
          </reference>
          <reference field="0" count="1" selected="0">
            <x v="0"/>
          </reference>
          <reference field="2" count="1" selected="0">
            <x v="0"/>
          </reference>
        </references>
      </pivotArea>
    </chartFormat>
    <chartFormat chart="17" format="198">
      <pivotArea type="data" outline="0" fieldPosition="0">
        <references count="3">
          <reference field="4294967294" count="1" selected="0">
            <x v="2"/>
          </reference>
          <reference field="0" count="1" selected="0">
            <x v="0"/>
          </reference>
          <reference field="2" count="1" selected="0">
            <x v="1"/>
          </reference>
        </references>
      </pivotArea>
    </chartFormat>
    <chartFormat chart="17" format="199">
      <pivotArea type="data" outline="0" fieldPosition="0">
        <references count="3">
          <reference field="4294967294" count="1" selected="0">
            <x v="2"/>
          </reference>
          <reference field="0" count="1" selected="0">
            <x v="0"/>
          </reference>
          <reference field="2" count="1" selected="0">
            <x v="2"/>
          </reference>
        </references>
      </pivotArea>
    </chartFormat>
    <chartFormat chart="17" format="200">
      <pivotArea type="data" outline="0" fieldPosition="0">
        <references count="3">
          <reference field="4294967294" count="1" selected="0">
            <x v="2"/>
          </reference>
          <reference field="0" count="1" selected="0">
            <x v="0"/>
          </reference>
          <reference field="2" count="1" selected="0">
            <x v="3"/>
          </reference>
        </references>
      </pivotArea>
    </chartFormat>
    <chartFormat chart="17" format="201">
      <pivotArea type="data" outline="0" fieldPosition="0">
        <references count="3">
          <reference field="4294967294" count="1" selected="0">
            <x v="2"/>
          </reference>
          <reference field="0" count="1" selected="0">
            <x v="0"/>
          </reference>
          <reference field="2" count="1" selected="0">
            <x v="4"/>
          </reference>
        </references>
      </pivotArea>
    </chartFormat>
    <chartFormat chart="17" format="202">
      <pivotArea type="data" outline="0" fieldPosition="0">
        <references count="3">
          <reference field="4294967294" count="1" selected="0">
            <x v="2"/>
          </reference>
          <reference field="0" count="1" selected="0">
            <x v="0"/>
          </reference>
          <reference field="2" count="1" selected="0">
            <x v="5"/>
          </reference>
        </references>
      </pivotArea>
    </chartFormat>
    <chartFormat chart="17" format="203" series="1">
      <pivotArea type="data" outline="0" fieldPosition="0">
        <references count="2">
          <reference field="4294967294" count="1" selected="0">
            <x v="2"/>
          </reference>
          <reference field="0" count="1" selected="0">
            <x v="1"/>
          </reference>
        </references>
      </pivotArea>
    </chartFormat>
    <chartFormat chart="17" format="204">
      <pivotArea type="data" outline="0" fieldPosition="0">
        <references count="3">
          <reference field="4294967294" count="1" selected="0">
            <x v="2"/>
          </reference>
          <reference field="0" count="1" selected="0">
            <x v="1"/>
          </reference>
          <reference field="2" count="1" selected="0">
            <x v="0"/>
          </reference>
        </references>
      </pivotArea>
    </chartFormat>
    <chartFormat chart="17" format="205">
      <pivotArea type="data" outline="0" fieldPosition="0">
        <references count="3">
          <reference field="4294967294" count="1" selected="0">
            <x v="2"/>
          </reference>
          <reference field="0" count="1" selected="0">
            <x v="1"/>
          </reference>
          <reference field="2" count="1" selected="0">
            <x v="1"/>
          </reference>
        </references>
      </pivotArea>
    </chartFormat>
    <chartFormat chart="17" format="206">
      <pivotArea type="data" outline="0" fieldPosition="0">
        <references count="3">
          <reference field="4294967294" count="1" selected="0">
            <x v="2"/>
          </reference>
          <reference field="0" count="1" selected="0">
            <x v="1"/>
          </reference>
          <reference field="2" count="1" selected="0">
            <x v="2"/>
          </reference>
        </references>
      </pivotArea>
    </chartFormat>
    <chartFormat chart="17" format="207">
      <pivotArea type="data" outline="0" fieldPosition="0">
        <references count="3">
          <reference field="4294967294" count="1" selected="0">
            <x v="2"/>
          </reference>
          <reference field="0" count="1" selected="0">
            <x v="1"/>
          </reference>
          <reference field="2" count="1" selected="0">
            <x v="3"/>
          </reference>
        </references>
      </pivotArea>
    </chartFormat>
    <chartFormat chart="17" format="208">
      <pivotArea type="data" outline="0" fieldPosition="0">
        <references count="3">
          <reference field="4294967294" count="1" selected="0">
            <x v="2"/>
          </reference>
          <reference field="0" count="1" selected="0">
            <x v="1"/>
          </reference>
          <reference field="2" count="1" selected="0">
            <x v="4"/>
          </reference>
        </references>
      </pivotArea>
    </chartFormat>
    <chartFormat chart="17" format="209">
      <pivotArea type="data" outline="0" fieldPosition="0">
        <references count="3">
          <reference field="4294967294" count="1" selected="0">
            <x v="2"/>
          </reference>
          <reference field="0" count="1" selected="0">
            <x v="1"/>
          </reference>
          <reference field="2" count="1" selected="0">
            <x v="5"/>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F1D52-67A5-477B-A2F6-61FD216CFA2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J12" firstHeaderRow="1" firstDataRow="3" firstDataCol="1"/>
  <pivotFields count="8">
    <pivotField axis="axisCol" showAll="0">
      <items count="3">
        <item x="0"/>
        <item x="1"/>
        <item t="default"/>
      </items>
    </pivotField>
    <pivotField showAll="0"/>
    <pivotField axis="axisRow" showAll="0">
      <items count="7">
        <item x="3"/>
        <item x="0"/>
        <item x="4"/>
        <item x="2"/>
        <item x="1"/>
        <item x="5"/>
        <item t="default"/>
      </items>
    </pivotField>
    <pivotField showAll="0"/>
    <pivotField showAll="0"/>
    <pivotField dataField="1" numFmtId="164" showAll="0"/>
    <pivotField dataField="1" numFmtId="164" showAll="0"/>
    <pivotField dataField="1" numFmtId="164" showAll="0"/>
  </pivotFields>
  <rowFields count="1">
    <field x="2"/>
  </rowFields>
  <rowItems count="7">
    <i>
      <x/>
    </i>
    <i>
      <x v="1"/>
    </i>
    <i>
      <x v="2"/>
    </i>
    <i>
      <x v="3"/>
    </i>
    <i>
      <x v="4"/>
    </i>
    <i>
      <x v="5"/>
    </i>
    <i t="grand">
      <x/>
    </i>
  </rowItems>
  <colFields count="2">
    <field x="-2"/>
    <field x="0"/>
  </colFields>
  <colItems count="9">
    <i>
      <x/>
      <x/>
    </i>
    <i r="1">
      <x v="1"/>
    </i>
    <i i="1">
      <x v="1"/>
      <x/>
    </i>
    <i r="1" i="1">
      <x v="1"/>
    </i>
    <i i="2">
      <x v="2"/>
      <x/>
    </i>
    <i r="1" i="2">
      <x v="1"/>
    </i>
    <i t="grand">
      <x/>
    </i>
    <i t="grand" i="1">
      <x/>
    </i>
    <i t="grand" i="2">
      <x/>
    </i>
  </colItems>
  <dataFields count="3">
    <dataField name="Average of math score" fld="5" subtotal="average" baseField="2" baseItem="0" numFmtId="168"/>
    <dataField name="Average of reading score" fld="6" subtotal="average" baseField="2" baseItem="0" numFmtId="168"/>
    <dataField name="Average of writing score" fld="7" subtotal="average" baseField="2" baseItem="0" numFmtId="168"/>
  </dataFields>
  <formats count="19">
    <format dxfId="476">
      <pivotArea type="all" dataOnly="0" outline="0" fieldPosition="0"/>
    </format>
    <format dxfId="475">
      <pivotArea outline="0" collapsedLevelsAreSubtotals="1" fieldPosition="0"/>
    </format>
    <format dxfId="474">
      <pivotArea type="origin" dataOnly="0" labelOnly="1" outline="0" fieldPosition="0"/>
    </format>
    <format dxfId="473">
      <pivotArea field="-2" type="button" dataOnly="0" labelOnly="1" outline="0" axis="axisCol" fieldPosition="0"/>
    </format>
    <format dxfId="472">
      <pivotArea field="0" type="button" dataOnly="0" labelOnly="1" outline="0" axis="axisCol" fieldPosition="1"/>
    </format>
    <format dxfId="471">
      <pivotArea type="topRight" dataOnly="0" labelOnly="1" outline="0" fieldPosition="0"/>
    </format>
    <format dxfId="470">
      <pivotArea field="2" type="button" dataOnly="0" labelOnly="1" outline="0" axis="axisRow" fieldPosition="0"/>
    </format>
    <format dxfId="469">
      <pivotArea dataOnly="0" labelOnly="1" fieldPosition="0">
        <references count="1">
          <reference field="2" count="0"/>
        </references>
      </pivotArea>
    </format>
    <format dxfId="468">
      <pivotArea dataOnly="0" labelOnly="1" grandRow="1" outline="0" fieldPosition="0"/>
    </format>
    <format dxfId="467">
      <pivotArea dataOnly="0" labelOnly="1" outline="0" fieldPosition="0">
        <references count="1">
          <reference field="4294967294" count="3">
            <x v="0"/>
            <x v="1"/>
            <x v="2"/>
          </reference>
        </references>
      </pivotArea>
    </format>
    <format dxfId="466">
      <pivotArea field="0" dataOnly="0" labelOnly="1" grandCol="1" outline="0" axis="axisCol" fieldPosition="1">
        <references count="1">
          <reference field="4294967294" count="1" selected="0">
            <x v="0"/>
          </reference>
        </references>
      </pivotArea>
    </format>
    <format dxfId="465">
      <pivotArea field="0" dataOnly="0" labelOnly="1" grandCol="1" outline="0" axis="axisCol" fieldPosition="1">
        <references count="1">
          <reference field="4294967294" count="1" selected="0">
            <x v="1"/>
          </reference>
        </references>
      </pivotArea>
    </format>
    <format dxfId="464">
      <pivotArea field="0" dataOnly="0" labelOnly="1" grandCol="1" outline="0" axis="axisCol" fieldPosition="1">
        <references count="1">
          <reference field="4294967294" count="1" selected="0">
            <x v="2"/>
          </reference>
        </references>
      </pivotArea>
    </format>
    <format dxfId="463">
      <pivotArea dataOnly="0" labelOnly="1" fieldPosition="0">
        <references count="2">
          <reference field="4294967294" count="1" selected="0">
            <x v="0"/>
          </reference>
          <reference field="0" count="0"/>
        </references>
      </pivotArea>
    </format>
    <format dxfId="462">
      <pivotArea dataOnly="0" labelOnly="1" fieldPosition="0">
        <references count="2">
          <reference field="4294967294" count="1" selected="0">
            <x v="1"/>
          </reference>
          <reference field="0" count="0"/>
        </references>
      </pivotArea>
    </format>
    <format dxfId="461">
      <pivotArea dataOnly="0" labelOnly="1" fieldPosition="0">
        <references count="2">
          <reference field="4294967294" count="1" selected="0">
            <x v="2"/>
          </reference>
          <reference field="0" count="0"/>
        </references>
      </pivotArea>
    </format>
    <format dxfId="460">
      <pivotArea outline="0" fieldPosition="0">
        <references count="1">
          <reference field="4294967294" count="1">
            <x v="1"/>
          </reference>
        </references>
      </pivotArea>
    </format>
    <format dxfId="459">
      <pivotArea outline="0" fieldPosition="0">
        <references count="1">
          <reference field="4294967294" count="1">
            <x v="0"/>
          </reference>
        </references>
      </pivotArea>
    </format>
    <format dxfId="458">
      <pivotArea type="all" dataOnly="0" outline="0" fieldPosition="0"/>
    </format>
  </formats>
  <chartFormats count="96">
    <chartFormat chart="10" format="24" series="1">
      <pivotArea type="data" outline="0" fieldPosition="0">
        <references count="2">
          <reference field="4294967294" count="1" selected="0">
            <x v="0"/>
          </reference>
          <reference field="0" count="1" selected="0">
            <x v="0"/>
          </reference>
        </references>
      </pivotArea>
    </chartFormat>
    <chartFormat chart="10" format="25" series="1">
      <pivotArea type="data" outline="0" fieldPosition="0">
        <references count="2">
          <reference field="4294967294" count="1" selected="0">
            <x v="0"/>
          </reference>
          <reference field="0" count="1" selected="0">
            <x v="1"/>
          </reference>
        </references>
      </pivotArea>
    </chartFormat>
    <chartFormat chart="10" format="26" series="1">
      <pivotArea type="data" outline="0" fieldPosition="0">
        <references count="2">
          <reference field="4294967294" count="1" selected="0">
            <x v="1"/>
          </reference>
          <reference field="0" count="1" selected="0">
            <x v="0"/>
          </reference>
        </references>
      </pivotArea>
    </chartFormat>
    <chartFormat chart="10" format="27" series="1">
      <pivotArea type="data" outline="0" fieldPosition="0">
        <references count="2">
          <reference field="4294967294" count="1" selected="0">
            <x v="1"/>
          </reference>
          <reference field="0" count="1" selected="0">
            <x v="1"/>
          </reference>
        </references>
      </pivotArea>
    </chartFormat>
    <chartFormat chart="10" format="28" series="1">
      <pivotArea type="data" outline="0" fieldPosition="0">
        <references count="2">
          <reference field="4294967294" count="1" selected="0">
            <x v="2"/>
          </reference>
          <reference field="0" count="1" selected="0">
            <x v="0"/>
          </reference>
        </references>
      </pivotArea>
    </chartFormat>
    <chartFormat chart="10" format="29" series="1">
      <pivotArea type="data" outline="0" fieldPosition="0">
        <references count="2">
          <reference field="4294967294" count="1" selected="0">
            <x v="2"/>
          </reference>
          <reference field="0" count="1" selected="0">
            <x v="1"/>
          </reference>
        </references>
      </pivotArea>
    </chartFormat>
    <chartFormat chart="11" format="24" series="1">
      <pivotArea type="data" outline="0" fieldPosition="0">
        <references count="2">
          <reference field="4294967294" count="1" selected="0">
            <x v="0"/>
          </reference>
          <reference field="0" count="1" selected="0">
            <x v="0"/>
          </reference>
        </references>
      </pivotArea>
    </chartFormat>
    <chartFormat chart="11" format="25">
      <pivotArea type="data" outline="0" fieldPosition="0">
        <references count="3">
          <reference field="4294967294" count="1" selected="0">
            <x v="0"/>
          </reference>
          <reference field="0" count="1" selected="0">
            <x v="0"/>
          </reference>
          <reference field="2" count="1" selected="0">
            <x v="0"/>
          </reference>
        </references>
      </pivotArea>
    </chartFormat>
    <chartFormat chart="11" format="26">
      <pivotArea type="data" outline="0" fieldPosition="0">
        <references count="3">
          <reference field="4294967294" count="1" selected="0">
            <x v="0"/>
          </reference>
          <reference field="0" count="1" selected="0">
            <x v="0"/>
          </reference>
          <reference field="2" count="1" selected="0">
            <x v="1"/>
          </reference>
        </references>
      </pivotArea>
    </chartFormat>
    <chartFormat chart="11" format="27">
      <pivotArea type="data" outline="0" fieldPosition="0">
        <references count="3">
          <reference field="4294967294" count="1" selected="0">
            <x v="0"/>
          </reference>
          <reference field="0" count="1" selected="0">
            <x v="0"/>
          </reference>
          <reference field="2" count="1" selected="0">
            <x v="5"/>
          </reference>
        </references>
      </pivotArea>
    </chartFormat>
    <chartFormat chart="11" format="28" series="1">
      <pivotArea type="data" outline="0" fieldPosition="0">
        <references count="2">
          <reference field="4294967294" count="1" selected="0">
            <x v="0"/>
          </reference>
          <reference field="0" count="1" selected="0">
            <x v="1"/>
          </reference>
        </references>
      </pivotArea>
    </chartFormat>
    <chartFormat chart="11" format="29">
      <pivotArea type="data" outline="0" fieldPosition="0">
        <references count="3">
          <reference field="4294967294" count="1" selected="0">
            <x v="0"/>
          </reference>
          <reference field="0" count="1" selected="0">
            <x v="1"/>
          </reference>
          <reference field="2" count="1" selected="0">
            <x v="0"/>
          </reference>
        </references>
      </pivotArea>
    </chartFormat>
    <chartFormat chart="11" format="30">
      <pivotArea type="data" outline="0" fieldPosition="0">
        <references count="3">
          <reference field="4294967294" count="1" selected="0">
            <x v="0"/>
          </reference>
          <reference field="0" count="1" selected="0">
            <x v="1"/>
          </reference>
          <reference field="2" count="1" selected="0">
            <x v="1"/>
          </reference>
        </references>
      </pivotArea>
    </chartFormat>
    <chartFormat chart="11" format="31">
      <pivotArea type="data" outline="0" fieldPosition="0">
        <references count="3">
          <reference field="4294967294" count="1" selected="0">
            <x v="0"/>
          </reference>
          <reference field="0" count="1" selected="0">
            <x v="1"/>
          </reference>
          <reference field="2" count="1" selected="0">
            <x v="5"/>
          </reference>
        </references>
      </pivotArea>
    </chartFormat>
    <chartFormat chart="11" format="32" series="1">
      <pivotArea type="data" outline="0" fieldPosition="0">
        <references count="2">
          <reference field="4294967294" count="1" selected="0">
            <x v="1"/>
          </reference>
          <reference field="0" count="1" selected="0">
            <x v="0"/>
          </reference>
        </references>
      </pivotArea>
    </chartFormat>
    <chartFormat chart="11" format="33">
      <pivotArea type="data" outline="0" fieldPosition="0">
        <references count="3">
          <reference field="4294967294" count="1" selected="0">
            <x v="1"/>
          </reference>
          <reference field="0" count="1" selected="0">
            <x v="0"/>
          </reference>
          <reference field="2" count="1" selected="0">
            <x v="0"/>
          </reference>
        </references>
      </pivotArea>
    </chartFormat>
    <chartFormat chart="11" format="34">
      <pivotArea type="data" outline="0" fieldPosition="0">
        <references count="3">
          <reference field="4294967294" count="1" selected="0">
            <x v="1"/>
          </reference>
          <reference field="0" count="1" selected="0">
            <x v="0"/>
          </reference>
          <reference field="2" count="1" selected="0">
            <x v="1"/>
          </reference>
        </references>
      </pivotArea>
    </chartFormat>
    <chartFormat chart="11" format="35">
      <pivotArea type="data" outline="0" fieldPosition="0">
        <references count="3">
          <reference field="4294967294" count="1" selected="0">
            <x v="1"/>
          </reference>
          <reference field="0" count="1" selected="0">
            <x v="0"/>
          </reference>
          <reference field="2" count="1" selected="0">
            <x v="5"/>
          </reference>
        </references>
      </pivotArea>
    </chartFormat>
    <chartFormat chart="11" format="36" series="1">
      <pivotArea type="data" outline="0" fieldPosition="0">
        <references count="2">
          <reference field="4294967294" count="1" selected="0">
            <x v="1"/>
          </reference>
          <reference field="0" count="1" selected="0">
            <x v="1"/>
          </reference>
        </references>
      </pivotArea>
    </chartFormat>
    <chartFormat chart="11" format="37">
      <pivotArea type="data" outline="0" fieldPosition="0">
        <references count="3">
          <reference field="4294967294" count="1" selected="0">
            <x v="1"/>
          </reference>
          <reference field="0" count="1" selected="0">
            <x v="1"/>
          </reference>
          <reference field="2" count="1" selected="0">
            <x v="0"/>
          </reference>
        </references>
      </pivotArea>
    </chartFormat>
    <chartFormat chart="11" format="38">
      <pivotArea type="data" outline="0" fieldPosition="0">
        <references count="3">
          <reference field="4294967294" count="1" selected="0">
            <x v="1"/>
          </reference>
          <reference field="0" count="1" selected="0">
            <x v="1"/>
          </reference>
          <reference field="2" count="1" selected="0">
            <x v="1"/>
          </reference>
        </references>
      </pivotArea>
    </chartFormat>
    <chartFormat chart="11" format="39">
      <pivotArea type="data" outline="0" fieldPosition="0">
        <references count="3">
          <reference field="4294967294" count="1" selected="0">
            <x v="1"/>
          </reference>
          <reference field="0" count="1" selected="0">
            <x v="1"/>
          </reference>
          <reference field="2" count="1" selected="0">
            <x v="5"/>
          </reference>
        </references>
      </pivotArea>
    </chartFormat>
    <chartFormat chart="11" format="40" series="1">
      <pivotArea type="data" outline="0" fieldPosition="0">
        <references count="2">
          <reference field="4294967294" count="1" selected="0">
            <x v="2"/>
          </reference>
          <reference field="0" count="1" selected="0">
            <x v="0"/>
          </reference>
        </references>
      </pivotArea>
    </chartFormat>
    <chartFormat chart="11" format="41">
      <pivotArea type="data" outline="0" fieldPosition="0">
        <references count="3">
          <reference field="4294967294" count="1" selected="0">
            <x v="2"/>
          </reference>
          <reference field="0" count="1" selected="0">
            <x v="0"/>
          </reference>
          <reference field="2" count="1" selected="0">
            <x v="0"/>
          </reference>
        </references>
      </pivotArea>
    </chartFormat>
    <chartFormat chart="11" format="42">
      <pivotArea type="data" outline="0" fieldPosition="0">
        <references count="3">
          <reference field="4294967294" count="1" selected="0">
            <x v="2"/>
          </reference>
          <reference field="0" count="1" selected="0">
            <x v="0"/>
          </reference>
          <reference field="2" count="1" selected="0">
            <x v="1"/>
          </reference>
        </references>
      </pivotArea>
    </chartFormat>
    <chartFormat chart="11" format="43">
      <pivotArea type="data" outline="0" fieldPosition="0">
        <references count="3">
          <reference field="4294967294" count="1" selected="0">
            <x v="2"/>
          </reference>
          <reference field="0" count="1" selected="0">
            <x v="0"/>
          </reference>
          <reference field="2" count="1" selected="0">
            <x v="5"/>
          </reference>
        </references>
      </pivotArea>
    </chartFormat>
    <chartFormat chart="11" format="44" series="1">
      <pivotArea type="data" outline="0" fieldPosition="0">
        <references count="2">
          <reference field="4294967294" count="1" selected="0">
            <x v="2"/>
          </reference>
          <reference field="0" count="1" selected="0">
            <x v="1"/>
          </reference>
        </references>
      </pivotArea>
    </chartFormat>
    <chartFormat chart="11" format="45">
      <pivotArea type="data" outline="0" fieldPosition="0">
        <references count="3">
          <reference field="4294967294" count="1" selected="0">
            <x v="2"/>
          </reference>
          <reference field="0" count="1" selected="0">
            <x v="1"/>
          </reference>
          <reference field="2" count="1" selected="0">
            <x v="0"/>
          </reference>
        </references>
      </pivotArea>
    </chartFormat>
    <chartFormat chart="11" format="46">
      <pivotArea type="data" outline="0" fieldPosition="0">
        <references count="3">
          <reference field="4294967294" count="1" selected="0">
            <x v="2"/>
          </reference>
          <reference field="0" count="1" selected="0">
            <x v="1"/>
          </reference>
          <reference field="2" count="1" selected="0">
            <x v="1"/>
          </reference>
        </references>
      </pivotArea>
    </chartFormat>
    <chartFormat chart="11" format="47">
      <pivotArea type="data" outline="0" fieldPosition="0">
        <references count="3">
          <reference field="4294967294" count="1" selected="0">
            <x v="2"/>
          </reference>
          <reference field="0" count="1" selected="0">
            <x v="1"/>
          </reference>
          <reference field="2" count="1" selected="0">
            <x v="5"/>
          </reference>
        </references>
      </pivotArea>
    </chartFormat>
    <chartFormat chart="13" format="36" series="1">
      <pivotArea type="data" outline="0" fieldPosition="0">
        <references count="2">
          <reference field="4294967294" count="1" selected="0">
            <x v="0"/>
          </reference>
          <reference field="0" count="1" selected="0">
            <x v="0"/>
          </reference>
        </references>
      </pivotArea>
    </chartFormat>
    <chartFormat chart="13" format="37" series="1">
      <pivotArea type="data" outline="0" fieldPosition="0">
        <references count="2">
          <reference field="4294967294" count="1" selected="0">
            <x v="0"/>
          </reference>
          <reference field="0" count="1" selected="0">
            <x v="1"/>
          </reference>
        </references>
      </pivotArea>
    </chartFormat>
    <chartFormat chart="13" format="38" series="1">
      <pivotArea type="data" outline="0" fieldPosition="0">
        <references count="2">
          <reference field="4294967294" count="1" selected="0">
            <x v="1"/>
          </reference>
          <reference field="0" count="1" selected="0">
            <x v="0"/>
          </reference>
        </references>
      </pivotArea>
    </chartFormat>
    <chartFormat chart="13" format="39" series="1">
      <pivotArea type="data" outline="0" fieldPosition="0">
        <references count="2">
          <reference field="4294967294" count="1" selected="0">
            <x v="1"/>
          </reference>
          <reference field="0" count="1" selected="0">
            <x v="1"/>
          </reference>
        </references>
      </pivotArea>
    </chartFormat>
    <chartFormat chart="13" format="40" series="1">
      <pivotArea type="data" outline="0" fieldPosition="0">
        <references count="2">
          <reference field="4294967294" count="1" selected="0">
            <x v="2"/>
          </reference>
          <reference field="0" count="1" selected="0">
            <x v="0"/>
          </reference>
        </references>
      </pivotArea>
    </chartFormat>
    <chartFormat chart="13" format="41" series="1">
      <pivotArea type="data" outline="0" fieldPosition="0">
        <references count="2">
          <reference field="4294967294" count="1" selected="0">
            <x v="2"/>
          </reference>
          <reference field="0" count="1" selected="0">
            <x v="1"/>
          </reference>
        </references>
      </pivotArea>
    </chartFormat>
    <chartFormat chart="11" format="48">
      <pivotArea type="data" outline="0" fieldPosition="0">
        <references count="3">
          <reference field="4294967294" count="1" selected="0">
            <x v="0"/>
          </reference>
          <reference field="0" count="1" selected="0">
            <x v="0"/>
          </reference>
          <reference field="2" count="1" selected="0">
            <x v="3"/>
          </reference>
        </references>
      </pivotArea>
    </chartFormat>
    <chartFormat chart="11" format="49">
      <pivotArea type="data" outline="0" fieldPosition="0">
        <references count="3">
          <reference field="4294967294" count="1" selected="0">
            <x v="0"/>
          </reference>
          <reference field="0" count="1" selected="0">
            <x v="0"/>
          </reference>
          <reference field="2" count="1" selected="0">
            <x v="4"/>
          </reference>
        </references>
      </pivotArea>
    </chartFormat>
    <chartFormat chart="11" format="50">
      <pivotArea type="data" outline="0" fieldPosition="0">
        <references count="3">
          <reference field="4294967294" count="1" selected="0">
            <x v="1"/>
          </reference>
          <reference field="0" count="1" selected="0">
            <x v="0"/>
          </reference>
          <reference field="2" count="1" selected="0">
            <x v="3"/>
          </reference>
        </references>
      </pivotArea>
    </chartFormat>
    <chartFormat chart="11" format="51">
      <pivotArea type="data" outline="0" fieldPosition="0">
        <references count="3">
          <reference field="4294967294" count="1" selected="0">
            <x v="1"/>
          </reference>
          <reference field="0" count="1" selected="0">
            <x v="0"/>
          </reference>
          <reference field="2" count="1" selected="0">
            <x v="4"/>
          </reference>
        </references>
      </pivotArea>
    </chartFormat>
    <chartFormat chart="11" format="52">
      <pivotArea type="data" outline="0" fieldPosition="0">
        <references count="3">
          <reference field="4294967294" count="1" selected="0">
            <x v="2"/>
          </reference>
          <reference field="0" count="1" selected="0">
            <x v="0"/>
          </reference>
          <reference field="2" count="1" selected="0">
            <x v="3"/>
          </reference>
        </references>
      </pivotArea>
    </chartFormat>
    <chartFormat chart="11" format="53">
      <pivotArea type="data" outline="0" fieldPosition="0">
        <references count="3">
          <reference field="4294967294" count="1" selected="0">
            <x v="2"/>
          </reference>
          <reference field="0" count="1" selected="0">
            <x v="0"/>
          </reference>
          <reference field="2" count="1" selected="0">
            <x v="4"/>
          </reference>
        </references>
      </pivotArea>
    </chartFormat>
    <chartFormat chart="15" format="36" series="1">
      <pivotArea type="data" outline="0" fieldPosition="0">
        <references count="2">
          <reference field="4294967294" count="1" selected="0">
            <x v="0"/>
          </reference>
          <reference field="0" count="1" selected="0">
            <x v="0"/>
          </reference>
        </references>
      </pivotArea>
    </chartFormat>
    <chartFormat chart="15" format="37" series="1">
      <pivotArea type="data" outline="0" fieldPosition="0">
        <references count="2">
          <reference field="4294967294" count="1" selected="0">
            <x v="0"/>
          </reference>
          <reference field="0" count="1" selected="0">
            <x v="1"/>
          </reference>
        </references>
      </pivotArea>
    </chartFormat>
    <chartFormat chart="15" format="38" series="1">
      <pivotArea type="data" outline="0" fieldPosition="0">
        <references count="2">
          <reference field="4294967294" count="1" selected="0">
            <x v="1"/>
          </reference>
          <reference field="0" count="1" selected="0">
            <x v="0"/>
          </reference>
        </references>
      </pivotArea>
    </chartFormat>
    <chartFormat chart="15" format="39" series="1">
      <pivotArea type="data" outline="0" fieldPosition="0">
        <references count="2">
          <reference field="4294967294" count="1" selected="0">
            <x v="1"/>
          </reference>
          <reference field="0" count="1" selected="0">
            <x v="1"/>
          </reference>
        </references>
      </pivotArea>
    </chartFormat>
    <chartFormat chart="15" format="40" series="1">
      <pivotArea type="data" outline="0" fieldPosition="0">
        <references count="2">
          <reference field="4294967294" count="1" selected="0">
            <x v="2"/>
          </reference>
          <reference field="0" count="1" selected="0">
            <x v="0"/>
          </reference>
        </references>
      </pivotArea>
    </chartFormat>
    <chartFormat chart="15" format="41" series="1">
      <pivotArea type="data" outline="0" fieldPosition="0">
        <references count="2">
          <reference field="4294967294" count="1" selected="0">
            <x v="2"/>
          </reference>
          <reference field="0" count="1" selected="0">
            <x v="1"/>
          </reference>
        </references>
      </pivotArea>
    </chartFormat>
    <chartFormat chart="22" format="90" series="1">
      <pivotArea type="data" outline="0" fieldPosition="0">
        <references count="2">
          <reference field="4294967294" count="1" selected="0">
            <x v="0"/>
          </reference>
          <reference field="0" count="1" selected="0">
            <x v="0"/>
          </reference>
        </references>
      </pivotArea>
    </chartFormat>
    <chartFormat chart="22" format="91">
      <pivotArea type="data" outline="0" fieldPosition="0">
        <references count="3">
          <reference field="4294967294" count="1" selected="0">
            <x v="0"/>
          </reference>
          <reference field="0" count="1" selected="0">
            <x v="0"/>
          </reference>
          <reference field="2" count="1" selected="0">
            <x v="0"/>
          </reference>
        </references>
      </pivotArea>
    </chartFormat>
    <chartFormat chart="22" format="92">
      <pivotArea type="data" outline="0" fieldPosition="0">
        <references count="3">
          <reference field="4294967294" count="1" selected="0">
            <x v="0"/>
          </reference>
          <reference field="0" count="1" selected="0">
            <x v="0"/>
          </reference>
          <reference field="2" count="1" selected="0">
            <x v="1"/>
          </reference>
        </references>
      </pivotArea>
    </chartFormat>
    <chartFormat chart="22" format="93">
      <pivotArea type="data" outline="0" fieldPosition="0">
        <references count="3">
          <reference field="4294967294" count="1" selected="0">
            <x v="0"/>
          </reference>
          <reference field="0" count="1" selected="0">
            <x v="0"/>
          </reference>
          <reference field="2" count="1" selected="0">
            <x v="3"/>
          </reference>
        </references>
      </pivotArea>
    </chartFormat>
    <chartFormat chart="22" format="94">
      <pivotArea type="data" outline="0" fieldPosition="0">
        <references count="3">
          <reference field="4294967294" count="1" selected="0">
            <x v="0"/>
          </reference>
          <reference field="0" count="1" selected="0">
            <x v="0"/>
          </reference>
          <reference field="2" count="1" selected="0">
            <x v="4"/>
          </reference>
        </references>
      </pivotArea>
    </chartFormat>
    <chartFormat chart="22" format="95">
      <pivotArea type="data" outline="0" fieldPosition="0">
        <references count="3">
          <reference field="4294967294" count="1" selected="0">
            <x v="0"/>
          </reference>
          <reference field="0" count="1" selected="0">
            <x v="0"/>
          </reference>
          <reference field="2" count="1" selected="0">
            <x v="5"/>
          </reference>
        </references>
      </pivotArea>
    </chartFormat>
    <chartFormat chart="22" format="96" series="1">
      <pivotArea type="data" outline="0" fieldPosition="0">
        <references count="2">
          <reference field="4294967294" count="1" selected="0">
            <x v="0"/>
          </reference>
          <reference field="0" count="1" selected="0">
            <x v="1"/>
          </reference>
        </references>
      </pivotArea>
    </chartFormat>
    <chartFormat chart="22" format="97">
      <pivotArea type="data" outline="0" fieldPosition="0">
        <references count="3">
          <reference field="4294967294" count="1" selected="0">
            <x v="0"/>
          </reference>
          <reference field="0" count="1" selected="0">
            <x v="1"/>
          </reference>
          <reference field="2" count="1" selected="0">
            <x v="0"/>
          </reference>
        </references>
      </pivotArea>
    </chartFormat>
    <chartFormat chart="22" format="98">
      <pivotArea type="data" outline="0" fieldPosition="0">
        <references count="3">
          <reference field="4294967294" count="1" selected="0">
            <x v="0"/>
          </reference>
          <reference field="0" count="1" selected="0">
            <x v="1"/>
          </reference>
          <reference field="2" count="1" selected="0">
            <x v="1"/>
          </reference>
        </references>
      </pivotArea>
    </chartFormat>
    <chartFormat chart="22" format="99">
      <pivotArea type="data" outline="0" fieldPosition="0">
        <references count="3">
          <reference field="4294967294" count="1" selected="0">
            <x v="0"/>
          </reference>
          <reference field="0" count="1" selected="0">
            <x v="1"/>
          </reference>
          <reference field="2" count="1" selected="0">
            <x v="3"/>
          </reference>
        </references>
      </pivotArea>
    </chartFormat>
    <chartFormat chart="22" format="100">
      <pivotArea type="data" outline="0" fieldPosition="0">
        <references count="3">
          <reference field="4294967294" count="1" selected="0">
            <x v="0"/>
          </reference>
          <reference field="0" count="1" selected="0">
            <x v="1"/>
          </reference>
          <reference field="2" count="1" selected="0">
            <x v="4"/>
          </reference>
        </references>
      </pivotArea>
    </chartFormat>
    <chartFormat chart="22" format="101">
      <pivotArea type="data" outline="0" fieldPosition="0">
        <references count="3">
          <reference field="4294967294" count="1" selected="0">
            <x v="0"/>
          </reference>
          <reference field="0" count="1" selected="0">
            <x v="1"/>
          </reference>
          <reference field="2" count="1" selected="0">
            <x v="5"/>
          </reference>
        </references>
      </pivotArea>
    </chartFormat>
    <chartFormat chart="22" format="102" series="1">
      <pivotArea type="data" outline="0" fieldPosition="0">
        <references count="2">
          <reference field="4294967294" count="1" selected="0">
            <x v="1"/>
          </reference>
          <reference field="0" count="1" selected="0">
            <x v="0"/>
          </reference>
        </references>
      </pivotArea>
    </chartFormat>
    <chartFormat chart="22" format="103">
      <pivotArea type="data" outline="0" fieldPosition="0">
        <references count="3">
          <reference field="4294967294" count="1" selected="0">
            <x v="1"/>
          </reference>
          <reference field="0" count="1" selected="0">
            <x v="0"/>
          </reference>
          <reference field="2" count="1" selected="0">
            <x v="0"/>
          </reference>
        </references>
      </pivotArea>
    </chartFormat>
    <chartFormat chart="22" format="104">
      <pivotArea type="data" outline="0" fieldPosition="0">
        <references count="3">
          <reference field="4294967294" count="1" selected="0">
            <x v="1"/>
          </reference>
          <reference field="0" count="1" selected="0">
            <x v="0"/>
          </reference>
          <reference field="2" count="1" selected="0">
            <x v="1"/>
          </reference>
        </references>
      </pivotArea>
    </chartFormat>
    <chartFormat chart="22" format="105">
      <pivotArea type="data" outline="0" fieldPosition="0">
        <references count="3">
          <reference field="4294967294" count="1" selected="0">
            <x v="1"/>
          </reference>
          <reference field="0" count="1" selected="0">
            <x v="0"/>
          </reference>
          <reference field="2" count="1" selected="0">
            <x v="3"/>
          </reference>
        </references>
      </pivotArea>
    </chartFormat>
    <chartFormat chart="22" format="106">
      <pivotArea type="data" outline="0" fieldPosition="0">
        <references count="3">
          <reference field="4294967294" count="1" selected="0">
            <x v="1"/>
          </reference>
          <reference field="0" count="1" selected="0">
            <x v="0"/>
          </reference>
          <reference field="2" count="1" selected="0">
            <x v="4"/>
          </reference>
        </references>
      </pivotArea>
    </chartFormat>
    <chartFormat chart="22" format="107">
      <pivotArea type="data" outline="0" fieldPosition="0">
        <references count="3">
          <reference field="4294967294" count="1" selected="0">
            <x v="1"/>
          </reference>
          <reference field="0" count="1" selected="0">
            <x v="0"/>
          </reference>
          <reference field="2" count="1" selected="0">
            <x v="5"/>
          </reference>
        </references>
      </pivotArea>
    </chartFormat>
    <chartFormat chart="22" format="108" series="1">
      <pivotArea type="data" outline="0" fieldPosition="0">
        <references count="2">
          <reference field="4294967294" count="1" selected="0">
            <x v="1"/>
          </reference>
          <reference field="0" count="1" selected="0">
            <x v="1"/>
          </reference>
        </references>
      </pivotArea>
    </chartFormat>
    <chartFormat chart="22" format="109">
      <pivotArea type="data" outline="0" fieldPosition="0">
        <references count="3">
          <reference field="4294967294" count="1" selected="0">
            <x v="1"/>
          </reference>
          <reference field="0" count="1" selected="0">
            <x v="1"/>
          </reference>
          <reference field="2" count="1" selected="0">
            <x v="0"/>
          </reference>
        </references>
      </pivotArea>
    </chartFormat>
    <chartFormat chart="22" format="110">
      <pivotArea type="data" outline="0" fieldPosition="0">
        <references count="3">
          <reference field="4294967294" count="1" selected="0">
            <x v="1"/>
          </reference>
          <reference field="0" count="1" selected="0">
            <x v="1"/>
          </reference>
          <reference field="2" count="1" selected="0">
            <x v="1"/>
          </reference>
        </references>
      </pivotArea>
    </chartFormat>
    <chartFormat chart="22" format="111">
      <pivotArea type="data" outline="0" fieldPosition="0">
        <references count="3">
          <reference field="4294967294" count="1" selected="0">
            <x v="1"/>
          </reference>
          <reference field="0" count="1" selected="0">
            <x v="1"/>
          </reference>
          <reference field="2" count="1" selected="0">
            <x v="3"/>
          </reference>
        </references>
      </pivotArea>
    </chartFormat>
    <chartFormat chart="22" format="112">
      <pivotArea type="data" outline="0" fieldPosition="0">
        <references count="3">
          <reference field="4294967294" count="1" selected="0">
            <x v="1"/>
          </reference>
          <reference field="0" count="1" selected="0">
            <x v="1"/>
          </reference>
          <reference field="2" count="1" selected="0">
            <x v="4"/>
          </reference>
        </references>
      </pivotArea>
    </chartFormat>
    <chartFormat chart="22" format="113">
      <pivotArea type="data" outline="0" fieldPosition="0">
        <references count="3">
          <reference field="4294967294" count="1" selected="0">
            <x v="1"/>
          </reference>
          <reference field="0" count="1" selected="0">
            <x v="1"/>
          </reference>
          <reference field="2" count="1" selected="0">
            <x v="5"/>
          </reference>
        </references>
      </pivotArea>
    </chartFormat>
    <chartFormat chart="22" format="114" series="1">
      <pivotArea type="data" outline="0" fieldPosition="0">
        <references count="2">
          <reference field="4294967294" count="1" selected="0">
            <x v="2"/>
          </reference>
          <reference field="0" count="1" selected="0">
            <x v="0"/>
          </reference>
        </references>
      </pivotArea>
    </chartFormat>
    <chartFormat chart="22" format="115">
      <pivotArea type="data" outline="0" fieldPosition="0">
        <references count="3">
          <reference field="4294967294" count="1" selected="0">
            <x v="2"/>
          </reference>
          <reference field="0" count="1" selected="0">
            <x v="0"/>
          </reference>
          <reference field="2" count="1" selected="0">
            <x v="0"/>
          </reference>
        </references>
      </pivotArea>
    </chartFormat>
    <chartFormat chart="22" format="116">
      <pivotArea type="data" outline="0" fieldPosition="0">
        <references count="3">
          <reference field="4294967294" count="1" selected="0">
            <x v="2"/>
          </reference>
          <reference field="0" count="1" selected="0">
            <x v="0"/>
          </reference>
          <reference field="2" count="1" selected="0">
            <x v="1"/>
          </reference>
        </references>
      </pivotArea>
    </chartFormat>
    <chartFormat chart="22" format="117">
      <pivotArea type="data" outline="0" fieldPosition="0">
        <references count="3">
          <reference field="4294967294" count="1" selected="0">
            <x v="2"/>
          </reference>
          <reference field="0" count="1" selected="0">
            <x v="0"/>
          </reference>
          <reference field="2" count="1" selected="0">
            <x v="3"/>
          </reference>
        </references>
      </pivotArea>
    </chartFormat>
    <chartFormat chart="22" format="118">
      <pivotArea type="data" outline="0" fieldPosition="0">
        <references count="3">
          <reference field="4294967294" count="1" selected="0">
            <x v="2"/>
          </reference>
          <reference field="0" count="1" selected="0">
            <x v="0"/>
          </reference>
          <reference field="2" count="1" selected="0">
            <x v="4"/>
          </reference>
        </references>
      </pivotArea>
    </chartFormat>
    <chartFormat chart="22" format="119">
      <pivotArea type="data" outline="0" fieldPosition="0">
        <references count="3">
          <reference field="4294967294" count="1" selected="0">
            <x v="2"/>
          </reference>
          <reference field="0" count="1" selected="0">
            <x v="0"/>
          </reference>
          <reference field="2" count="1" selected="0">
            <x v="5"/>
          </reference>
        </references>
      </pivotArea>
    </chartFormat>
    <chartFormat chart="22" format="120" series="1">
      <pivotArea type="data" outline="0" fieldPosition="0">
        <references count="2">
          <reference field="4294967294" count="1" selected="0">
            <x v="2"/>
          </reference>
          <reference field="0" count="1" selected="0">
            <x v="1"/>
          </reference>
        </references>
      </pivotArea>
    </chartFormat>
    <chartFormat chart="22" format="121">
      <pivotArea type="data" outline="0" fieldPosition="0">
        <references count="3">
          <reference field="4294967294" count="1" selected="0">
            <x v="2"/>
          </reference>
          <reference field="0" count="1" selected="0">
            <x v="1"/>
          </reference>
          <reference field="2" count="1" selected="0">
            <x v="0"/>
          </reference>
        </references>
      </pivotArea>
    </chartFormat>
    <chartFormat chart="22" format="122">
      <pivotArea type="data" outline="0" fieldPosition="0">
        <references count="3">
          <reference field="4294967294" count="1" selected="0">
            <x v="2"/>
          </reference>
          <reference field="0" count="1" selected="0">
            <x v="1"/>
          </reference>
          <reference field="2" count="1" selected="0">
            <x v="1"/>
          </reference>
        </references>
      </pivotArea>
    </chartFormat>
    <chartFormat chart="22" format="123">
      <pivotArea type="data" outline="0" fieldPosition="0">
        <references count="3">
          <reference field="4294967294" count="1" selected="0">
            <x v="2"/>
          </reference>
          <reference field="0" count="1" selected="0">
            <x v="1"/>
          </reference>
          <reference field="2" count="1" selected="0">
            <x v="3"/>
          </reference>
        </references>
      </pivotArea>
    </chartFormat>
    <chartFormat chart="22" format="124">
      <pivotArea type="data" outline="0" fieldPosition="0">
        <references count="3">
          <reference field="4294967294" count="1" selected="0">
            <x v="2"/>
          </reference>
          <reference field="0" count="1" selected="0">
            <x v="1"/>
          </reference>
          <reference field="2" count="1" selected="0">
            <x v="4"/>
          </reference>
        </references>
      </pivotArea>
    </chartFormat>
    <chartFormat chart="22" format="125">
      <pivotArea type="data" outline="0" fieldPosition="0">
        <references count="3">
          <reference field="4294967294" count="1" selected="0">
            <x v="2"/>
          </reference>
          <reference field="0" count="1" selected="0">
            <x v="1"/>
          </reference>
          <reference field="2" count="1" selected="0">
            <x v="5"/>
          </reference>
        </references>
      </pivotArea>
    </chartFormat>
    <chartFormat chart="22" format="126">
      <pivotArea type="data" outline="0" fieldPosition="0">
        <references count="3">
          <reference field="4294967294" count="1" selected="0">
            <x v="0"/>
          </reference>
          <reference field="0" count="1" selected="0">
            <x v="1"/>
          </reference>
          <reference field="2" count="1" selected="0">
            <x v="2"/>
          </reference>
        </references>
      </pivotArea>
    </chartFormat>
    <chartFormat chart="22" format="127">
      <pivotArea type="data" outline="0" fieldPosition="0">
        <references count="3">
          <reference field="4294967294" count="1" selected="0">
            <x v="1"/>
          </reference>
          <reference field="0" count="1" selected="0">
            <x v="1"/>
          </reference>
          <reference field="2" count="1" selected="0">
            <x v="2"/>
          </reference>
        </references>
      </pivotArea>
    </chartFormat>
    <chartFormat chart="22" format="128">
      <pivotArea type="data" outline="0" fieldPosition="0">
        <references count="3">
          <reference field="4294967294" count="1" selected="0">
            <x v="2"/>
          </reference>
          <reference field="0" count="1" selected="0">
            <x v="1"/>
          </reference>
          <reference field="2" count="1" selected="0">
            <x v="2"/>
          </reference>
        </references>
      </pivotArea>
    </chartFormat>
    <chartFormat chart="11" format="54">
      <pivotArea type="data" outline="0" fieldPosition="0">
        <references count="3">
          <reference field="4294967294" count="1" selected="0">
            <x v="0"/>
          </reference>
          <reference field="0" count="1" selected="0">
            <x v="1"/>
          </reference>
          <reference field="2" count="1" selected="0">
            <x v="2"/>
          </reference>
        </references>
      </pivotArea>
    </chartFormat>
    <chartFormat chart="11" format="55">
      <pivotArea type="data" outline="0" fieldPosition="0">
        <references count="3">
          <reference field="4294967294" count="1" selected="0">
            <x v="0"/>
          </reference>
          <reference field="0" count="1" selected="0">
            <x v="1"/>
          </reference>
          <reference field="2" count="1" selected="0">
            <x v="3"/>
          </reference>
        </references>
      </pivotArea>
    </chartFormat>
    <chartFormat chart="11" format="56">
      <pivotArea type="data" outline="0" fieldPosition="0">
        <references count="3">
          <reference field="4294967294" count="1" selected="0">
            <x v="1"/>
          </reference>
          <reference field="0" count="1" selected="0">
            <x v="1"/>
          </reference>
          <reference field="2" count="1" selected="0">
            <x v="2"/>
          </reference>
        </references>
      </pivotArea>
    </chartFormat>
    <chartFormat chart="11" format="57">
      <pivotArea type="data" outline="0" fieldPosition="0">
        <references count="3">
          <reference field="4294967294" count="1" selected="0">
            <x v="1"/>
          </reference>
          <reference field="0" count="1" selected="0">
            <x v="1"/>
          </reference>
          <reference field="2" count="1" selected="0">
            <x v="3"/>
          </reference>
        </references>
      </pivotArea>
    </chartFormat>
    <chartFormat chart="11" format="58">
      <pivotArea type="data" outline="0" fieldPosition="0">
        <references count="3">
          <reference field="4294967294" count="1" selected="0">
            <x v="2"/>
          </reference>
          <reference field="0" count="1" selected="0">
            <x v="1"/>
          </reference>
          <reference field="2" count="1" selected="0">
            <x v="2"/>
          </reference>
        </references>
      </pivotArea>
    </chartFormat>
    <chartFormat chart="11" format="59">
      <pivotArea type="data" outline="0" fieldPosition="0">
        <references count="3">
          <reference field="4294967294" count="1" selected="0">
            <x v="2"/>
          </reference>
          <reference field="0" count="1" selected="0">
            <x v="1"/>
          </reference>
          <reference field="2" count="1" selected="0">
            <x v="3"/>
          </reference>
        </references>
      </pivotArea>
    </chartFormat>
    <chartFormat chart="11" format="60">
      <pivotArea type="data" outline="0" fieldPosition="0">
        <references count="3">
          <reference field="4294967294" count="1" selected="0">
            <x v="0"/>
          </reference>
          <reference field="0" count="1" selected="0">
            <x v="0"/>
          </reference>
          <reference field="2" count="1" selected="0">
            <x v="2"/>
          </reference>
        </references>
      </pivotArea>
    </chartFormat>
    <chartFormat chart="11" format="61">
      <pivotArea type="data" outline="0" fieldPosition="0">
        <references count="3">
          <reference field="4294967294" count="1" selected="0">
            <x v="1"/>
          </reference>
          <reference field="0" count="1" selected="0">
            <x v="0"/>
          </reference>
          <reference field="2" count="1" selected="0">
            <x v="2"/>
          </reference>
        </references>
      </pivotArea>
    </chartFormat>
    <chartFormat chart="11" format="62">
      <pivotArea type="data" outline="0" fieldPosition="0">
        <references count="3">
          <reference field="4294967294" count="1" selected="0">
            <x v="2"/>
          </reference>
          <reference field="0" count="1" selected="0">
            <x v="0"/>
          </reference>
          <reference field="2"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86AA5-A21F-4C7A-9964-621E2BE9836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12" firstHeaderRow="1" firstDataRow="3" firstDataCol="1"/>
  <pivotFields count="8">
    <pivotField axis="axisCol" showAll="0">
      <items count="3">
        <item x="0"/>
        <item x="1"/>
        <item t="default"/>
      </items>
    </pivotField>
    <pivotField axis="axisCol" showAll="0">
      <items count="6">
        <item h="1" x="2"/>
        <item x="0"/>
        <item h="1" x="1"/>
        <item h="1" x="3"/>
        <item h="1" x="4"/>
        <item t="default"/>
      </items>
    </pivotField>
    <pivotField showAll="0">
      <items count="7">
        <item x="3"/>
        <item x="0"/>
        <item x="4"/>
        <item x="2"/>
        <item x="1"/>
        <item x="5"/>
        <item t="default"/>
      </items>
    </pivotField>
    <pivotField axis="axisRow" showAll="0">
      <items count="3">
        <item x="1"/>
        <item x="0"/>
        <item t="default"/>
      </items>
    </pivotField>
    <pivotField axis="axisRow" showAll="0">
      <items count="3">
        <item x="1"/>
        <item x="0"/>
        <item t="default"/>
      </items>
    </pivotField>
    <pivotField dataField="1" numFmtId="164" showAll="0"/>
    <pivotField numFmtId="164" showAll="0"/>
    <pivotField numFmtId="164" showAll="0"/>
  </pivotFields>
  <rowFields count="2">
    <field x="3"/>
    <field x="4"/>
  </rowFields>
  <rowItems count="7">
    <i>
      <x/>
    </i>
    <i r="1">
      <x/>
    </i>
    <i r="1">
      <x v="1"/>
    </i>
    <i>
      <x v="1"/>
    </i>
    <i r="1">
      <x/>
    </i>
    <i r="1">
      <x v="1"/>
    </i>
    <i t="grand">
      <x/>
    </i>
  </rowItems>
  <colFields count="2">
    <field x="0"/>
    <field x="1"/>
  </colFields>
  <colItems count="5">
    <i>
      <x/>
      <x v="1"/>
    </i>
    <i t="default">
      <x/>
    </i>
    <i>
      <x v="1"/>
      <x v="1"/>
    </i>
    <i t="default">
      <x v="1"/>
    </i>
    <i t="grand">
      <x/>
    </i>
  </colItems>
  <dataFields count="1">
    <dataField name="Sum of math score" fld="5" baseField="0" baseItem="0" numFmtId="164"/>
  </dataFields>
  <formats count="1">
    <format dxfId="457">
      <pivotArea type="all" dataOnly="0" outline="0" fieldPosition="0"/>
    </format>
  </formats>
  <chartFormats count="120">
    <chartFormat chart="0"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4"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5"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6"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8"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9" series="1">
      <pivotArea type="data" outline="0" fieldPosition="0">
        <references count="3">
          <reference field="4294967294" count="1" selected="0">
            <x v="0"/>
          </reference>
          <reference field="0" count="1" selected="0">
            <x v="1"/>
          </reference>
          <reference field="1" count="1" selected="0">
            <x v="4"/>
          </reference>
        </references>
      </pivotArea>
    </chartFormat>
    <chartFormat chart="1"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1"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1" format="2" series="1">
      <pivotArea type="data" outline="0" fieldPosition="0">
        <references count="3">
          <reference field="4294967294" count="1" selected="0">
            <x v="0"/>
          </reference>
          <reference field="0" count="1" selected="0">
            <x v="0"/>
          </reference>
          <reference field="1" count="1" selected="0">
            <x v="2"/>
          </reference>
        </references>
      </pivotArea>
    </chartFormat>
    <chartFormat chart="1" format="3" series="1">
      <pivotArea type="data" outline="0" fieldPosition="0">
        <references count="3">
          <reference field="4294967294" count="1" selected="0">
            <x v="0"/>
          </reference>
          <reference field="0" count="1" selected="0">
            <x v="0"/>
          </reference>
          <reference field="1" count="1" selected="0">
            <x v="3"/>
          </reference>
        </references>
      </pivotArea>
    </chartFormat>
    <chartFormat chart="1" format="4" series="1">
      <pivotArea type="data" outline="0" fieldPosition="0">
        <references count="3">
          <reference field="4294967294" count="1" selected="0">
            <x v="0"/>
          </reference>
          <reference field="0" count="1" selected="0">
            <x v="0"/>
          </reference>
          <reference field="1" count="1" selected="0">
            <x v="4"/>
          </reference>
        </references>
      </pivotArea>
    </chartFormat>
    <chartFormat chart="1" format="5" series="1">
      <pivotArea type="data" outline="0" fieldPosition="0">
        <references count="3">
          <reference field="4294967294" count="1" selected="0">
            <x v="0"/>
          </reference>
          <reference field="0" count="1" selected="0">
            <x v="1"/>
          </reference>
          <reference field="1" count="1" selected="0">
            <x v="0"/>
          </reference>
        </references>
      </pivotArea>
    </chartFormat>
    <chartFormat chart="1" format="6" series="1">
      <pivotArea type="data" outline="0" fieldPosition="0">
        <references count="3">
          <reference field="4294967294" count="1" selected="0">
            <x v="0"/>
          </reference>
          <reference field="0" count="1" selected="0">
            <x v="1"/>
          </reference>
          <reference field="1" count="1" selected="0">
            <x v="1"/>
          </reference>
        </references>
      </pivotArea>
    </chartFormat>
    <chartFormat chart="1"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1" format="8" series="1">
      <pivotArea type="data" outline="0" fieldPosition="0">
        <references count="3">
          <reference field="4294967294" count="1" selected="0">
            <x v="0"/>
          </reference>
          <reference field="0" count="1" selected="0">
            <x v="1"/>
          </reference>
          <reference field="1" count="1" selected="0">
            <x v="3"/>
          </reference>
        </references>
      </pivotArea>
    </chartFormat>
    <chartFormat chart="1" format="9" series="1">
      <pivotArea type="data" outline="0" fieldPosition="0">
        <references count="3">
          <reference field="4294967294" count="1" selected="0">
            <x v="0"/>
          </reference>
          <reference field="0" count="1" selected="0">
            <x v="1"/>
          </reference>
          <reference field="1" count="1" selected="0">
            <x v="4"/>
          </reference>
        </references>
      </pivotArea>
    </chartFormat>
    <chartFormat chart="1" format="10">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0"/>
          </reference>
        </references>
      </pivotArea>
    </chartFormat>
    <chartFormat chart="1" format="11">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1"/>
          </reference>
        </references>
      </pivotArea>
    </chartFormat>
    <chartFormat chart="1" format="12">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0"/>
          </reference>
        </references>
      </pivotArea>
    </chartFormat>
    <chartFormat chart="1" format="13">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1"/>
          </reference>
        </references>
      </pivotArea>
    </chartFormat>
    <chartFormat chart="1" format="14">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0"/>
          </reference>
        </references>
      </pivotArea>
    </chartFormat>
    <chartFormat chart="1" format="15">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1"/>
          </reference>
        </references>
      </pivotArea>
    </chartFormat>
    <chartFormat chart="1" format="16">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0"/>
          </reference>
        </references>
      </pivotArea>
    </chartFormat>
    <chartFormat chart="1" format="17">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1"/>
          </reference>
        </references>
      </pivotArea>
    </chartFormat>
    <chartFormat chart="1" format="18">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0"/>
          </reference>
        </references>
      </pivotArea>
    </chartFormat>
    <chartFormat chart="1" format="19">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1"/>
          </reference>
        </references>
      </pivotArea>
    </chartFormat>
    <chartFormat chart="1" format="20">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0"/>
          </reference>
        </references>
      </pivotArea>
    </chartFormat>
    <chartFormat chart="1" format="21">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1"/>
          </reference>
        </references>
      </pivotArea>
    </chartFormat>
    <chartFormat chart="1" format="22">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0"/>
          </reference>
        </references>
      </pivotArea>
    </chartFormat>
    <chartFormat chart="1" format="23">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1"/>
          </reference>
        </references>
      </pivotArea>
    </chartFormat>
    <chartFormat chart="1" format="24">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0"/>
          </reference>
        </references>
      </pivotArea>
    </chartFormat>
    <chartFormat chart="1" format="25">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1"/>
          </reference>
        </references>
      </pivotArea>
    </chartFormat>
    <chartFormat chart="1" format="26">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0"/>
          </reference>
        </references>
      </pivotArea>
    </chartFormat>
    <chartFormat chart="1" format="27">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1"/>
          </reference>
        </references>
      </pivotArea>
    </chartFormat>
    <chartFormat chart="1" format="28">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0"/>
          </reference>
        </references>
      </pivotArea>
    </chartFormat>
    <chartFormat chart="1" format="29">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1"/>
          </reference>
        </references>
      </pivotArea>
    </chartFormat>
    <chartFormat chart="1" format="30">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0"/>
          </reference>
        </references>
      </pivotArea>
    </chartFormat>
    <chartFormat chart="1" format="31">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1"/>
          </reference>
        </references>
      </pivotArea>
    </chartFormat>
    <chartFormat chart="1" format="32">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0"/>
          </reference>
        </references>
      </pivotArea>
    </chartFormat>
    <chartFormat chart="1" format="33">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1"/>
          </reference>
        </references>
      </pivotArea>
    </chartFormat>
    <chartFormat chart="1" format="34">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0"/>
          </reference>
        </references>
      </pivotArea>
    </chartFormat>
    <chartFormat chart="1" format="35">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1"/>
          </reference>
        </references>
      </pivotArea>
    </chartFormat>
    <chartFormat chart="1" format="36">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0"/>
          </reference>
        </references>
      </pivotArea>
    </chartFormat>
    <chartFormat chart="1" format="37">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1"/>
          </reference>
        </references>
      </pivotArea>
    </chartFormat>
    <chartFormat chart="1" format="38">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0"/>
          </reference>
        </references>
      </pivotArea>
    </chartFormat>
    <chartFormat chart="1" format="39">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1"/>
          </reference>
        </references>
      </pivotArea>
    </chartFormat>
    <chartFormat chart="1" format="40">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0"/>
          </reference>
        </references>
      </pivotArea>
    </chartFormat>
    <chartFormat chart="1" format="41">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1"/>
          </reference>
        </references>
      </pivotArea>
    </chartFormat>
    <chartFormat chart="1" format="42">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0"/>
          </reference>
        </references>
      </pivotArea>
    </chartFormat>
    <chartFormat chart="1" format="43">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1"/>
          </reference>
        </references>
      </pivotArea>
    </chartFormat>
    <chartFormat chart="1" format="44">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0"/>
          </reference>
        </references>
      </pivotArea>
    </chartFormat>
    <chartFormat chart="1" format="45">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1"/>
          </reference>
        </references>
      </pivotArea>
    </chartFormat>
    <chartFormat chart="1" format="46">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0"/>
          </reference>
        </references>
      </pivotArea>
    </chartFormat>
    <chartFormat chart="1" format="47">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1"/>
          </reference>
        </references>
      </pivotArea>
    </chartFormat>
    <chartFormat chart="1" format="48">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0"/>
          </reference>
        </references>
      </pivotArea>
    </chartFormat>
    <chartFormat chart="1" format="49">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1"/>
          </reference>
        </references>
      </pivotArea>
    </chartFormat>
    <chartFormat chart="9" format="16" series="1">
      <pivotArea type="data" outline="0" fieldPosition="0">
        <references count="3">
          <reference field="4294967294" count="1" selected="0">
            <x v="0"/>
          </reference>
          <reference field="0" count="1" selected="0">
            <x v="0"/>
          </reference>
          <reference field="1" count="1" selected="0">
            <x v="1"/>
          </reference>
        </references>
      </pivotArea>
    </chartFormat>
    <chartFormat chart="9" format="17" series="1">
      <pivotArea type="data" outline="0" fieldPosition="0">
        <references count="3">
          <reference field="4294967294" count="1" selected="0">
            <x v="0"/>
          </reference>
          <reference field="0" count="1" selected="0">
            <x v="0"/>
          </reference>
          <reference field="1" count="1" selected="0">
            <x v="3"/>
          </reference>
        </references>
      </pivotArea>
    </chartFormat>
    <chartFormat chart="9" format="18" series="1">
      <pivotArea type="data" outline="0" fieldPosition="0">
        <references count="3">
          <reference field="4294967294" count="1" selected="0">
            <x v="0"/>
          </reference>
          <reference field="0" count="1" selected="0">
            <x v="0"/>
          </reference>
          <reference field="1" count="1" selected="0">
            <x v="4"/>
          </reference>
        </references>
      </pivotArea>
    </chartFormat>
    <chartFormat chart="9" format="19" series="1">
      <pivotArea type="data" outline="0" fieldPosition="0">
        <references count="3">
          <reference field="4294967294" count="1" selected="0">
            <x v="0"/>
          </reference>
          <reference field="0" count="1" selected="0">
            <x v="1"/>
          </reference>
          <reference field="1" count="1" selected="0">
            <x v="1"/>
          </reference>
        </references>
      </pivotArea>
    </chartFormat>
    <chartFormat chart="9" format="20" series="1">
      <pivotArea type="data" outline="0" fieldPosition="0">
        <references count="3">
          <reference field="4294967294" count="1" selected="0">
            <x v="0"/>
          </reference>
          <reference field="0" count="1" selected="0">
            <x v="1"/>
          </reference>
          <reference field="1" count="1" selected="0">
            <x v="3"/>
          </reference>
        </references>
      </pivotArea>
    </chartFormat>
    <chartFormat chart="9" format="21" series="1">
      <pivotArea type="data" outline="0" fieldPosition="0">
        <references count="3">
          <reference field="4294967294" count="1" selected="0">
            <x v="0"/>
          </reference>
          <reference field="0" count="1" selected="0">
            <x v="1"/>
          </reference>
          <reference field="1" count="1" selected="0">
            <x v="4"/>
          </reference>
        </references>
      </pivotArea>
    </chartFormat>
    <chartFormat chart="12" format="80" series="1">
      <pivotArea type="data" outline="0" fieldPosition="0">
        <references count="3">
          <reference field="4294967294" count="1" selected="0">
            <x v="0"/>
          </reference>
          <reference field="0" count="1" selected="0">
            <x v="0"/>
          </reference>
          <reference field="1" count="1" selected="0">
            <x v="1"/>
          </reference>
        </references>
      </pivotArea>
    </chartFormat>
    <chartFormat chart="12" format="81">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0"/>
          </reference>
        </references>
      </pivotArea>
    </chartFormat>
    <chartFormat chart="12" format="82">
      <pivotArea type="data" outline="0" fieldPosition="0">
        <references count="5">
          <reference field="4294967294" count="1" selected="0">
            <x v="0"/>
          </reference>
          <reference field="0" count="1" selected="0">
            <x v="0"/>
          </reference>
          <reference field="1" count="1" selected="0">
            <x v="1"/>
          </reference>
          <reference field="3" count="1" selected="0">
            <x v="0"/>
          </reference>
          <reference field="4" count="1" selected="0">
            <x v="1"/>
          </reference>
        </references>
      </pivotArea>
    </chartFormat>
    <chartFormat chart="12" format="83">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0"/>
          </reference>
        </references>
      </pivotArea>
    </chartFormat>
    <chartFormat chart="12" format="84">
      <pivotArea type="data" outline="0" fieldPosition="0">
        <references count="5">
          <reference field="4294967294" count="1" selected="0">
            <x v="0"/>
          </reference>
          <reference field="0" count="1" selected="0">
            <x v="0"/>
          </reference>
          <reference field="1" count="1" selected="0">
            <x v="1"/>
          </reference>
          <reference field="3" count="1" selected="0">
            <x v="1"/>
          </reference>
          <reference field="4" count="1" selected="0">
            <x v="1"/>
          </reference>
        </references>
      </pivotArea>
    </chartFormat>
    <chartFormat chart="12" format="85" series="1">
      <pivotArea type="data" outline="0" fieldPosition="0">
        <references count="3">
          <reference field="4294967294" count="1" selected="0">
            <x v="0"/>
          </reference>
          <reference field="0" count="1" selected="0">
            <x v="0"/>
          </reference>
          <reference field="1" count="1" selected="0">
            <x v="3"/>
          </reference>
        </references>
      </pivotArea>
    </chartFormat>
    <chartFormat chart="12" format="86">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0"/>
          </reference>
        </references>
      </pivotArea>
    </chartFormat>
    <chartFormat chart="12" format="87">
      <pivotArea type="data" outline="0" fieldPosition="0">
        <references count="5">
          <reference field="4294967294" count="1" selected="0">
            <x v="0"/>
          </reference>
          <reference field="0" count="1" selected="0">
            <x v="0"/>
          </reference>
          <reference field="1" count="1" selected="0">
            <x v="3"/>
          </reference>
          <reference field="3" count="1" selected="0">
            <x v="0"/>
          </reference>
          <reference field="4" count="1" selected="0">
            <x v="1"/>
          </reference>
        </references>
      </pivotArea>
    </chartFormat>
    <chartFormat chart="12" format="88">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0"/>
          </reference>
        </references>
      </pivotArea>
    </chartFormat>
    <chartFormat chart="12" format="89">
      <pivotArea type="data" outline="0" fieldPosition="0">
        <references count="5">
          <reference field="4294967294" count="1" selected="0">
            <x v="0"/>
          </reference>
          <reference field="0" count="1" selected="0">
            <x v="0"/>
          </reference>
          <reference field="1" count="1" selected="0">
            <x v="3"/>
          </reference>
          <reference field="3" count="1" selected="0">
            <x v="1"/>
          </reference>
          <reference field="4" count="1" selected="0">
            <x v="1"/>
          </reference>
        </references>
      </pivotArea>
    </chartFormat>
    <chartFormat chart="12" format="90" series="1">
      <pivotArea type="data" outline="0" fieldPosition="0">
        <references count="3">
          <reference field="4294967294" count="1" selected="0">
            <x v="0"/>
          </reference>
          <reference field="0" count="1" selected="0">
            <x v="0"/>
          </reference>
          <reference field="1" count="1" selected="0">
            <x v="4"/>
          </reference>
        </references>
      </pivotArea>
    </chartFormat>
    <chartFormat chart="12" format="91">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0"/>
          </reference>
        </references>
      </pivotArea>
    </chartFormat>
    <chartFormat chart="12" format="92">
      <pivotArea type="data" outline="0" fieldPosition="0">
        <references count="5">
          <reference field="4294967294" count="1" selected="0">
            <x v="0"/>
          </reference>
          <reference field="0" count="1" selected="0">
            <x v="0"/>
          </reference>
          <reference field="1" count="1" selected="0">
            <x v="4"/>
          </reference>
          <reference field="3" count="1" selected="0">
            <x v="0"/>
          </reference>
          <reference field="4" count="1" selected="0">
            <x v="1"/>
          </reference>
        </references>
      </pivotArea>
    </chartFormat>
    <chartFormat chart="12" format="93">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0"/>
          </reference>
        </references>
      </pivotArea>
    </chartFormat>
    <chartFormat chart="12" format="94">
      <pivotArea type="data" outline="0" fieldPosition="0">
        <references count="5">
          <reference field="4294967294" count="1" selected="0">
            <x v="0"/>
          </reference>
          <reference field="0" count="1" selected="0">
            <x v="0"/>
          </reference>
          <reference field="1" count="1" selected="0">
            <x v="4"/>
          </reference>
          <reference field="3" count="1" selected="0">
            <x v="1"/>
          </reference>
          <reference field="4" count="1" selected="0">
            <x v="1"/>
          </reference>
        </references>
      </pivotArea>
    </chartFormat>
    <chartFormat chart="12" format="95" series="1">
      <pivotArea type="data" outline="0" fieldPosition="0">
        <references count="3">
          <reference field="4294967294" count="1" selected="0">
            <x v="0"/>
          </reference>
          <reference field="0" count="1" selected="0">
            <x v="1"/>
          </reference>
          <reference field="1" count="1" selected="0">
            <x v="1"/>
          </reference>
        </references>
      </pivotArea>
    </chartFormat>
    <chartFormat chart="12" format="96">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0"/>
          </reference>
        </references>
      </pivotArea>
    </chartFormat>
    <chartFormat chart="12" format="97">
      <pivotArea type="data" outline="0" fieldPosition="0">
        <references count="5">
          <reference field="4294967294" count="1" selected="0">
            <x v="0"/>
          </reference>
          <reference field="0" count="1" selected="0">
            <x v="1"/>
          </reference>
          <reference field="1" count="1" selected="0">
            <x v="1"/>
          </reference>
          <reference field="3" count="1" selected="0">
            <x v="0"/>
          </reference>
          <reference field="4" count="1" selected="0">
            <x v="1"/>
          </reference>
        </references>
      </pivotArea>
    </chartFormat>
    <chartFormat chart="12" format="98">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0"/>
          </reference>
        </references>
      </pivotArea>
    </chartFormat>
    <chartFormat chart="12" format="99">
      <pivotArea type="data" outline="0" fieldPosition="0">
        <references count="5">
          <reference field="4294967294" count="1" selected="0">
            <x v="0"/>
          </reference>
          <reference field="0" count="1" selected="0">
            <x v="1"/>
          </reference>
          <reference field="1" count="1" selected="0">
            <x v="1"/>
          </reference>
          <reference field="3" count="1" selected="0">
            <x v="1"/>
          </reference>
          <reference field="4" count="1" selected="0">
            <x v="1"/>
          </reference>
        </references>
      </pivotArea>
    </chartFormat>
    <chartFormat chart="12" format="100" series="1">
      <pivotArea type="data" outline="0" fieldPosition="0">
        <references count="3">
          <reference field="4294967294" count="1" selected="0">
            <x v="0"/>
          </reference>
          <reference field="0" count="1" selected="0">
            <x v="1"/>
          </reference>
          <reference field="1" count="1" selected="0">
            <x v="3"/>
          </reference>
        </references>
      </pivotArea>
    </chartFormat>
    <chartFormat chart="12" format="101">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0"/>
          </reference>
        </references>
      </pivotArea>
    </chartFormat>
    <chartFormat chart="12" format="102">
      <pivotArea type="data" outline="0" fieldPosition="0">
        <references count="5">
          <reference field="4294967294" count="1" selected="0">
            <x v="0"/>
          </reference>
          <reference field="0" count="1" selected="0">
            <x v="1"/>
          </reference>
          <reference field="1" count="1" selected="0">
            <x v="3"/>
          </reference>
          <reference field="3" count="1" selected="0">
            <x v="0"/>
          </reference>
          <reference field="4" count="1" selected="0">
            <x v="1"/>
          </reference>
        </references>
      </pivotArea>
    </chartFormat>
    <chartFormat chart="12" format="103">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0"/>
          </reference>
        </references>
      </pivotArea>
    </chartFormat>
    <chartFormat chart="12" format="104">
      <pivotArea type="data" outline="0" fieldPosition="0">
        <references count="5">
          <reference field="4294967294" count="1" selected="0">
            <x v="0"/>
          </reference>
          <reference field="0" count="1" selected="0">
            <x v="1"/>
          </reference>
          <reference field="1" count="1" selected="0">
            <x v="3"/>
          </reference>
          <reference field="3" count="1" selected="0">
            <x v="1"/>
          </reference>
          <reference field="4" count="1" selected="0">
            <x v="1"/>
          </reference>
        </references>
      </pivotArea>
    </chartFormat>
    <chartFormat chart="12" format="105" series="1">
      <pivotArea type="data" outline="0" fieldPosition="0">
        <references count="3">
          <reference field="4294967294" count="1" selected="0">
            <x v="0"/>
          </reference>
          <reference field="0" count="1" selected="0">
            <x v="1"/>
          </reference>
          <reference field="1" count="1" selected="0">
            <x v="4"/>
          </reference>
        </references>
      </pivotArea>
    </chartFormat>
    <chartFormat chart="12" format="106">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0"/>
          </reference>
        </references>
      </pivotArea>
    </chartFormat>
    <chartFormat chart="12" format="107">
      <pivotArea type="data" outline="0" fieldPosition="0">
        <references count="5">
          <reference field="4294967294" count="1" selected="0">
            <x v="0"/>
          </reference>
          <reference field="0" count="1" selected="0">
            <x v="1"/>
          </reference>
          <reference field="1" count="1" selected="0">
            <x v="4"/>
          </reference>
          <reference field="3" count="1" selected="0">
            <x v="0"/>
          </reference>
          <reference field="4" count="1" selected="0">
            <x v="1"/>
          </reference>
        </references>
      </pivotArea>
    </chartFormat>
    <chartFormat chart="12" format="108">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0"/>
          </reference>
        </references>
      </pivotArea>
    </chartFormat>
    <chartFormat chart="12" format="109">
      <pivotArea type="data" outline="0" fieldPosition="0">
        <references count="5">
          <reference field="4294967294" count="1" selected="0">
            <x v="0"/>
          </reference>
          <reference field="0" count="1" selected="0">
            <x v="1"/>
          </reference>
          <reference field="1" count="1" selected="0">
            <x v="4"/>
          </reference>
          <reference field="3" count="1" selected="0">
            <x v="1"/>
          </reference>
          <reference field="4" count="1" selected="0">
            <x v="1"/>
          </reference>
        </references>
      </pivotArea>
    </chartFormat>
    <chartFormat chart="12" format="110" series="1">
      <pivotArea type="data" outline="0" fieldPosition="0">
        <references count="3">
          <reference field="4294967294" count="1" selected="0">
            <x v="0"/>
          </reference>
          <reference field="0" count="1" selected="0">
            <x v="0"/>
          </reference>
          <reference field="1" count="1" selected="0">
            <x v="2"/>
          </reference>
        </references>
      </pivotArea>
    </chartFormat>
    <chartFormat chart="9" format="22" series="1">
      <pivotArea type="data" outline="0" fieldPosition="0">
        <references count="3">
          <reference field="4294967294" count="1" selected="0">
            <x v="0"/>
          </reference>
          <reference field="0" count="1" selected="0">
            <x v="0"/>
          </reference>
          <reference field="1" count="1" selected="0">
            <x v="2"/>
          </reference>
        </references>
      </pivotArea>
    </chartFormat>
    <chartFormat chart="12" format="111" series="1">
      <pivotArea type="data" outline="0" fieldPosition="0">
        <references count="3">
          <reference field="4294967294" count="1" selected="0">
            <x v="0"/>
          </reference>
          <reference field="0" count="1" selected="0">
            <x v="1"/>
          </reference>
          <reference field="1" count="1" selected="0">
            <x v="2"/>
          </reference>
        </references>
      </pivotArea>
    </chartFormat>
    <chartFormat chart="9" format="23" series="1">
      <pivotArea type="data" outline="0" fieldPosition="0">
        <references count="3">
          <reference field="4294967294" count="1" selected="0">
            <x v="0"/>
          </reference>
          <reference field="0" count="1" selected="0">
            <x v="1"/>
          </reference>
          <reference field="1" count="1" selected="0">
            <x v="2"/>
          </reference>
        </references>
      </pivotArea>
    </chartFormat>
    <chartFormat chart="12" format="112" series="1">
      <pivotArea type="data" outline="0" fieldPosition="0">
        <references count="3">
          <reference field="4294967294" count="1" selected="0">
            <x v="0"/>
          </reference>
          <reference field="0" count="1" selected="0">
            <x v="0"/>
          </reference>
          <reference field="1" count="1" selected="0">
            <x v="0"/>
          </reference>
        </references>
      </pivotArea>
    </chartFormat>
    <chartFormat chart="12" format="113" series="1">
      <pivotArea type="data" outline="0" fieldPosition="0">
        <references count="3">
          <reference field="4294967294" count="1" selected="0">
            <x v="0"/>
          </reference>
          <reference field="0" count="1" selected="0">
            <x v="1"/>
          </reference>
          <reference field="1" count="1" selected="0">
            <x v="0"/>
          </reference>
        </references>
      </pivotArea>
    </chartFormat>
    <chartFormat chart="9" format="24" series="1">
      <pivotArea type="data" outline="0" fieldPosition="0">
        <references count="3">
          <reference field="4294967294" count="1" selected="0">
            <x v="0"/>
          </reference>
          <reference field="0" count="1" selected="0">
            <x v="0"/>
          </reference>
          <reference field="1" count="1" selected="0">
            <x v="0"/>
          </reference>
        </references>
      </pivotArea>
    </chartFormat>
    <chartFormat chart="9" format="25" series="1">
      <pivotArea type="data" outline="0" fieldPosition="0">
        <references count="3">
          <reference field="4294967294" count="1" selected="0">
            <x v="0"/>
          </reference>
          <reference field="0" count="1" selected="0">
            <x v="1"/>
          </reference>
          <reference field="1" count="1" selected="0">
            <x v="0"/>
          </reference>
        </references>
      </pivotArea>
    </chartFormat>
    <chartFormat chart="12" format="114">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0"/>
          </reference>
        </references>
      </pivotArea>
    </chartFormat>
    <chartFormat chart="12" format="115">
      <pivotArea type="data" outline="0" fieldPosition="0">
        <references count="5">
          <reference field="4294967294" count="1" selected="0">
            <x v="0"/>
          </reference>
          <reference field="0" count="1" selected="0">
            <x v="0"/>
          </reference>
          <reference field="1" count="1" selected="0">
            <x v="0"/>
          </reference>
          <reference field="3" count="1" selected="0">
            <x v="0"/>
          </reference>
          <reference field="4" count="1" selected="0">
            <x v="1"/>
          </reference>
        </references>
      </pivotArea>
    </chartFormat>
    <chartFormat chart="12" format="116">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0"/>
          </reference>
        </references>
      </pivotArea>
    </chartFormat>
    <chartFormat chart="12" format="117">
      <pivotArea type="data" outline="0" fieldPosition="0">
        <references count="5">
          <reference field="4294967294" count="1" selected="0">
            <x v="0"/>
          </reference>
          <reference field="0" count="1" selected="0">
            <x v="0"/>
          </reference>
          <reference field="1" count="1" selected="0">
            <x v="0"/>
          </reference>
          <reference field="3" count="1" selected="0">
            <x v="1"/>
          </reference>
          <reference field="4" count="1" selected="0">
            <x v="1"/>
          </reference>
        </references>
      </pivotArea>
    </chartFormat>
    <chartFormat chart="12" format="118">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0"/>
          </reference>
        </references>
      </pivotArea>
    </chartFormat>
    <chartFormat chart="12" format="119">
      <pivotArea type="data" outline="0" fieldPosition="0">
        <references count="5">
          <reference field="4294967294" count="1" selected="0">
            <x v="0"/>
          </reference>
          <reference field="0" count="1" selected="0">
            <x v="0"/>
          </reference>
          <reference field="1" count="1" selected="0">
            <x v="2"/>
          </reference>
          <reference field="3" count="1" selected="0">
            <x v="0"/>
          </reference>
          <reference field="4" count="1" selected="0">
            <x v="1"/>
          </reference>
        </references>
      </pivotArea>
    </chartFormat>
    <chartFormat chart="12" format="120">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0"/>
          </reference>
        </references>
      </pivotArea>
    </chartFormat>
    <chartFormat chart="12" format="121">
      <pivotArea type="data" outline="0" fieldPosition="0">
        <references count="5">
          <reference field="4294967294" count="1" selected="0">
            <x v="0"/>
          </reference>
          <reference field="0" count="1" selected="0">
            <x v="0"/>
          </reference>
          <reference field="1" count="1" selected="0">
            <x v="2"/>
          </reference>
          <reference field="3" count="1" selected="0">
            <x v="1"/>
          </reference>
          <reference field="4" count="1" selected="0">
            <x v="1"/>
          </reference>
        </references>
      </pivotArea>
    </chartFormat>
    <chartFormat chart="12" format="122">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0"/>
          </reference>
        </references>
      </pivotArea>
    </chartFormat>
    <chartFormat chart="12" format="123">
      <pivotArea type="data" outline="0" fieldPosition="0">
        <references count="5">
          <reference field="4294967294" count="1" selected="0">
            <x v="0"/>
          </reference>
          <reference field="0" count="1" selected="0">
            <x v="1"/>
          </reference>
          <reference field="1" count="1" selected="0">
            <x v="0"/>
          </reference>
          <reference field="3" count="1" selected="0">
            <x v="0"/>
          </reference>
          <reference field="4" count="1" selected="0">
            <x v="1"/>
          </reference>
        </references>
      </pivotArea>
    </chartFormat>
    <chartFormat chart="12" format="124">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0"/>
          </reference>
        </references>
      </pivotArea>
    </chartFormat>
    <chartFormat chart="12" format="125">
      <pivotArea type="data" outline="0" fieldPosition="0">
        <references count="5">
          <reference field="4294967294" count="1" selected="0">
            <x v="0"/>
          </reference>
          <reference field="0" count="1" selected="0">
            <x v="1"/>
          </reference>
          <reference field="1" count="1" selected="0">
            <x v="0"/>
          </reference>
          <reference field="3" count="1" selected="0">
            <x v="1"/>
          </reference>
          <reference field="4" count="1" selected="0">
            <x v="1"/>
          </reference>
        </references>
      </pivotArea>
    </chartFormat>
    <chartFormat chart="12" format="126">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0"/>
          </reference>
        </references>
      </pivotArea>
    </chartFormat>
    <chartFormat chart="12" format="127">
      <pivotArea type="data" outline="0" fieldPosition="0">
        <references count="5">
          <reference field="4294967294" count="1" selected="0">
            <x v="0"/>
          </reference>
          <reference field="0" count="1" selected="0">
            <x v="1"/>
          </reference>
          <reference field="1" count="1" selected="0">
            <x v="2"/>
          </reference>
          <reference field="3" count="1" selected="0">
            <x v="0"/>
          </reference>
          <reference field="4" count="1" selected="0">
            <x v="1"/>
          </reference>
        </references>
      </pivotArea>
    </chartFormat>
    <chartFormat chart="12" format="128">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0"/>
          </reference>
        </references>
      </pivotArea>
    </chartFormat>
    <chartFormat chart="12" format="129">
      <pivotArea type="data" outline="0" fieldPosition="0">
        <references count="5">
          <reference field="4294967294" count="1" selected="0">
            <x v="0"/>
          </reference>
          <reference field="0" count="1" selected="0">
            <x v="1"/>
          </reference>
          <reference field="1" count="1" selected="0">
            <x v="2"/>
          </reference>
          <reference field="3" count="1" selected="0">
            <x v="1"/>
          </reference>
          <reference field="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B4FFE32B-5190-421A-98DF-9F36EB9AA511}" sourceName="parental level of education">
  <pivotTables>
    <pivotTable tabId="4" name="PivotTable24"/>
  </pivotTables>
  <data>
    <tabular pivotCacheId="1544718255">
      <items count="6">
        <i x="3" s="1"/>
        <i x="0"/>
        <i x="4"/>
        <i x="2" s="1"/>
        <i x="1"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B3A4CE6-7D72-4074-8613-B28EA3A693B7}" sourceName="gender">
  <pivotTables>
    <pivotTable tabId="5" name="PivotTable2"/>
  </pivotTables>
  <data>
    <tabular pivotCacheId="8066493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1" xr10:uid="{3ADF9792-1760-443C-92AC-F25C72B1DCE6}" sourceName="parental level of education">
  <pivotTables>
    <pivotTable tabId="5" name="PivotTable2"/>
  </pivotTables>
  <data>
    <tabular pivotCacheId="806649333">
      <items count="6">
        <i x="3" s="1"/>
        <i x="0" s="1"/>
        <i x="4" s="1"/>
        <i x="2" s="1"/>
        <i x="1" s="1"/>
        <i x="5"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D448AC5-A084-4DD8-9858-333BAB73336A}" sourceName="gender">
  <pivotTables>
    <pivotTable tabId="6" name="PivotTable4"/>
  </pivotTables>
  <data>
    <tabular pivotCacheId="80129452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7167F90D-0FFA-487F-B507-EEFECB7AF7DB}" sourceName="race/ethnicity">
  <pivotTables>
    <pivotTable tabId="6" name="PivotTable4"/>
  </pivotTables>
  <data>
    <tabular pivotCacheId="801294526">
      <items count="5">
        <i x="2"/>
        <i x="0" s="1"/>
        <i x="1"/>
        <i x="3"/>
        <i x="4"/>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E97103D0-1E33-4520-B68C-6E01D25DC70E}" sourceName="lunch">
  <pivotTables>
    <pivotTable tabId="6" name="PivotTable4"/>
  </pivotTables>
  <data>
    <tabular pivotCacheId="801294526">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CCC35A3-844A-4133-9E59-16DF65133E1F}" sourceName="gender">
  <pivotTables>
    <pivotTable tabId="2" name="PivotTable14"/>
  </pivotTables>
  <data>
    <tabular pivotCacheId="10947707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B5BDFB9-694D-4AC8-855F-A0CC9D700401}" cache="Slicer_gender2"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B1B8E02-7080-4EF5-9CBD-FF170502AB06}" cache="Slicer_gender" caption="gender" style="SlicerStyleLight2" rowHeight="241300"/>
  <slicer name="education 1" xr10:uid="{1BA0017C-92D8-4139-99EE-DCAFD496818E}" cache="Slicer_parental_level_of_education1" caption="education"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1" xr10:uid="{12B8F303-7652-457E-9CD2-D4CCB3DAB805}" cache="Slicer_parental_level_of_education" caption="level of education" style="SlicerStyleLight2" rowHeight="241300"/>
  <slicer name="gender 4" xr10:uid="{573B0907-FF71-4509-92D0-5A81CDE15E3B}" cache="Slicer_gender" caption="gender" style="SlicerStyleLight2" rowHeight="241300"/>
  <slicer name="education 2" xr10:uid="{9FC7D7E0-FA22-446A-98FC-2A0C733F1E91}" cache="Slicer_parental_level_of_education1" caption="education" style="SlicerStyleLight2" rowHeight="241300"/>
  <slicer name="gender 5" xr10:uid="{80519A7F-E3BF-49F2-BA11-36D3A89A95A9}" cache="Slicer_gender1" caption="gender" style="SlicerStyleLight2" rowHeight="241300"/>
  <slicer name="race/ethnicity 1" xr10:uid="{21D8614C-D305-4D15-8727-4256C69414D8}" cache="Slicer_race_ethnicity" caption="race/ethnicity" style="SlicerStyleLight2" rowHeight="241300"/>
  <slicer name="lunch 1" xr10:uid="{C8565572-81D2-48E5-963D-979225C4875F}" cache="Slicer_lunch" caption="lunch" style="SlicerStyleLight2" rowHeight="241300"/>
  <slicer name="gender 6" xr10:uid="{D2DB8FF0-E386-4F71-9335-7D1E4F75196B}" cache="Slicer_gender2" caption="gender"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xr10:uid="{37F635D7-8696-4F0F-A2F1-6A45E991D9F5}" cache="Slicer_parental_level_of_education" caption="level of edu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ED2DF71-1D40-4DD6-87CF-C320749A137F}" cache="Slicer_gender" caption="gender" rowHeight="241300"/>
  <slicer name="education" xr10:uid="{5A59540C-42EB-4323-A8C3-23483CDDBB8F}" cache="Slicer_parental_level_of_education1" caption="educat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0520CC-2A3E-4350-B70C-49AE68697F57}" cache="Slicer_gender1" caption="gender" rowHeight="241300"/>
  <slicer name="race/ethnicity" xr10:uid="{A3CCED37-8466-430C-BCBB-F6D26B1FABF8}" cache="Slicer_race_ethnicity" caption="race/ethnicity" rowHeight="241300"/>
  <slicer name="lunch" xr10:uid="{DEFAE75C-DEB5-4F7D-8FFE-1DC8ABC1B2E9}" cache="Slicer_lunch" caption="lunc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1B92-DC5C-4FEE-804B-E0A00EE8D489}">
  <dimension ref="A3:D5"/>
  <sheetViews>
    <sheetView workbookViewId="0">
      <selection activeCell="A3" sqref="A3:D5"/>
    </sheetView>
  </sheetViews>
  <sheetFormatPr defaultRowHeight="15" x14ac:dyDescent="0.25"/>
  <cols>
    <col min="1" max="1" width="11.85546875" bestFit="1" customWidth="1"/>
    <col min="2" max="2" width="19.28515625" bestFit="1" customWidth="1"/>
    <col min="3" max="3" width="19.7109375" bestFit="1" customWidth="1"/>
    <col min="4" max="4" width="17.5703125" bestFit="1" customWidth="1"/>
  </cols>
  <sheetData>
    <row r="3" spans="1:4" x14ac:dyDescent="0.25">
      <c r="A3" s="27" t="s">
        <v>0</v>
      </c>
      <c r="B3" s="4" t="s">
        <v>1</v>
      </c>
      <c r="C3" s="4" t="s">
        <v>2</v>
      </c>
      <c r="D3" s="4" t="s">
        <v>3</v>
      </c>
    </row>
    <row r="4" spans="1:4" x14ac:dyDescent="0.25">
      <c r="A4" s="4" t="s">
        <v>4</v>
      </c>
      <c r="B4" s="28">
        <v>37538</v>
      </c>
      <c r="C4" s="28">
        <v>37611</v>
      </c>
      <c r="D4" s="28">
        <v>32962</v>
      </c>
    </row>
    <row r="5" spans="1:4" x14ac:dyDescent="0.25">
      <c r="A5" s="4" t="s">
        <v>5</v>
      </c>
      <c r="B5" s="28">
        <v>30516</v>
      </c>
      <c r="C5" s="28">
        <v>31558</v>
      </c>
      <c r="D5" s="28">
        <v>33127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CE3C-3127-4BDA-B063-5839222D16B8}">
  <dimension ref="A1:P1"/>
  <sheetViews>
    <sheetView showGridLines="0" zoomScale="115" zoomScaleNormal="115" workbookViewId="0">
      <selection activeCell="Q1" sqref="Q1"/>
    </sheetView>
  </sheetViews>
  <sheetFormatPr defaultRowHeight="15" x14ac:dyDescent="0.25"/>
  <cols>
    <col min="1" max="16"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675B-F5A8-4D6A-99C4-06DB2180B483}">
  <dimension ref="A1:Z1"/>
  <sheetViews>
    <sheetView showRowColHeaders="0" tabSelected="1" topLeftCell="A4" zoomScale="85" zoomScaleNormal="85" workbookViewId="0">
      <selection activeCell="AB35" sqref="AB35"/>
    </sheetView>
  </sheetViews>
  <sheetFormatPr defaultRowHeight="15" x14ac:dyDescent="0.25"/>
  <cols>
    <col min="1" max="26" width="7.85546875" style="31" customWidth="1"/>
    <col min="27" max="58" width="7.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4D3E-974D-49BA-B708-983A055894C2}">
  <dimension ref="A3:J10"/>
  <sheetViews>
    <sheetView topLeftCell="B1" workbookViewId="0">
      <selection activeCell="J30" sqref="J30"/>
    </sheetView>
  </sheetViews>
  <sheetFormatPr defaultRowHeight="15" x14ac:dyDescent="0.25"/>
  <cols>
    <col min="1" max="1" width="17.42578125" bestFit="1" customWidth="1"/>
    <col min="2" max="2" width="18.5703125" bestFit="1" customWidth="1"/>
    <col min="3" max="3" width="5.42578125" bestFit="1" customWidth="1"/>
    <col min="4" max="4" width="15.42578125" bestFit="1" customWidth="1"/>
    <col min="5" max="5" width="5.42578125" bestFit="1" customWidth="1"/>
    <col min="6" max="6" width="13.7109375" bestFit="1" customWidth="1"/>
    <col min="7" max="7" width="5.42578125" bestFit="1" customWidth="1"/>
    <col min="8" max="8" width="20.85546875" bestFit="1" customWidth="1"/>
    <col min="9" max="9" width="20.42578125" bestFit="1" customWidth="1"/>
    <col min="10" max="10" width="18.7109375" bestFit="1" customWidth="1"/>
    <col min="11" max="11" width="15.42578125" bestFit="1" customWidth="1"/>
    <col min="12" max="12" width="12.7109375" bestFit="1" customWidth="1"/>
    <col min="13" max="13" width="16.42578125" bestFit="1" customWidth="1"/>
    <col min="14" max="14" width="19.28515625" bestFit="1" customWidth="1"/>
    <col min="15" max="15" width="17" bestFit="1" customWidth="1"/>
    <col min="16" max="16" width="11" bestFit="1" customWidth="1"/>
    <col min="17" max="17" width="15.42578125" bestFit="1" customWidth="1"/>
    <col min="18" max="18" width="12.7109375" bestFit="1" customWidth="1"/>
    <col min="19" max="19" width="16.42578125" bestFit="1" customWidth="1"/>
    <col min="20" max="20" width="22.5703125" bestFit="1" customWidth="1"/>
    <col min="21" max="21" width="24.7109375" bestFit="1" customWidth="1"/>
    <col min="22" max="22" width="24.28515625" bestFit="1" customWidth="1"/>
    <col min="23" max="27" width="17.5703125" bestFit="1" customWidth="1"/>
    <col min="28" max="28" width="10.28515625" bestFit="1" customWidth="1"/>
    <col min="29" max="34" width="19.28515625" bestFit="1" customWidth="1"/>
    <col min="35" max="35" width="12.140625" bestFit="1" customWidth="1"/>
    <col min="36" max="41" width="17.5703125" bestFit="1" customWidth="1"/>
    <col min="42" max="42" width="10.28515625" bestFit="1" customWidth="1"/>
    <col min="43" max="43" width="22.5703125" bestFit="1" customWidth="1"/>
    <col min="44" max="44" width="24.7109375" bestFit="1" customWidth="1"/>
    <col min="45" max="46" width="24.28515625" bestFit="1" customWidth="1"/>
  </cols>
  <sheetData>
    <row r="3" spans="1:10" x14ac:dyDescent="0.25">
      <c r="A3" s="4"/>
      <c r="B3" s="27" t="s">
        <v>6</v>
      </c>
      <c r="C3" s="4"/>
      <c r="D3" s="4"/>
      <c r="E3" s="4"/>
      <c r="F3" s="4"/>
      <c r="G3" s="4"/>
      <c r="H3" s="4"/>
      <c r="I3" s="4"/>
      <c r="J3" s="4"/>
    </row>
    <row r="4" spans="1:10" x14ac:dyDescent="0.25">
      <c r="A4" s="4"/>
      <c r="B4" s="4" t="s">
        <v>7</v>
      </c>
      <c r="C4" s="4"/>
      <c r="D4" s="4" t="s">
        <v>8</v>
      </c>
      <c r="E4" s="4"/>
      <c r="F4" s="4" t="s">
        <v>9</v>
      </c>
      <c r="G4" s="4"/>
      <c r="H4" s="4" t="s">
        <v>10</v>
      </c>
      <c r="I4" s="4" t="s">
        <v>11</v>
      </c>
      <c r="J4" s="4" t="s">
        <v>12</v>
      </c>
    </row>
    <row r="5" spans="1:10" x14ac:dyDescent="0.25">
      <c r="A5" s="27" t="s">
        <v>13</v>
      </c>
      <c r="B5" s="4" t="s">
        <v>4</v>
      </c>
      <c r="C5" s="4" t="s">
        <v>5</v>
      </c>
      <c r="D5" s="4" t="s">
        <v>4</v>
      </c>
      <c r="E5" s="4" t="s">
        <v>5</v>
      </c>
      <c r="F5" s="4" t="s">
        <v>4</v>
      </c>
      <c r="G5" s="4" t="s">
        <v>5</v>
      </c>
      <c r="H5" s="4"/>
      <c r="I5" s="4"/>
      <c r="J5" s="4"/>
    </row>
    <row r="6" spans="1:10" x14ac:dyDescent="0.25">
      <c r="A6" s="4" t="s">
        <v>14</v>
      </c>
      <c r="B6" s="32">
        <v>116</v>
      </c>
      <c r="C6" s="32">
        <v>106</v>
      </c>
      <c r="D6" s="32">
        <v>116</v>
      </c>
      <c r="E6" s="32">
        <v>106</v>
      </c>
      <c r="F6" s="32">
        <v>116</v>
      </c>
      <c r="G6" s="32">
        <v>106</v>
      </c>
      <c r="H6" s="32">
        <v>222</v>
      </c>
      <c r="I6" s="32">
        <v>222</v>
      </c>
      <c r="J6" s="32">
        <v>222</v>
      </c>
    </row>
    <row r="7" spans="1:10" x14ac:dyDescent="0.25">
      <c r="A7" s="4" t="s">
        <v>16</v>
      </c>
      <c r="B7" s="32">
        <v>36</v>
      </c>
      <c r="C7" s="32">
        <v>23</v>
      </c>
      <c r="D7" s="32">
        <v>36</v>
      </c>
      <c r="E7" s="32">
        <v>23</v>
      </c>
      <c r="F7" s="32">
        <v>36</v>
      </c>
      <c r="G7" s="32">
        <v>23</v>
      </c>
      <c r="H7" s="32">
        <v>59</v>
      </c>
      <c r="I7" s="32">
        <v>59</v>
      </c>
      <c r="J7" s="32">
        <v>59</v>
      </c>
    </row>
    <row r="8" spans="1:10" x14ac:dyDescent="0.25">
      <c r="A8" s="4" t="s">
        <v>45</v>
      </c>
      <c r="B8" s="32">
        <v>118</v>
      </c>
      <c r="C8" s="32">
        <v>108</v>
      </c>
      <c r="D8" s="32">
        <v>118</v>
      </c>
      <c r="E8" s="32">
        <v>108</v>
      </c>
      <c r="F8" s="32">
        <v>118</v>
      </c>
      <c r="G8" s="32">
        <v>108</v>
      </c>
      <c r="H8" s="32">
        <v>226</v>
      </c>
      <c r="I8" s="32">
        <v>226</v>
      </c>
      <c r="J8" s="32">
        <v>226</v>
      </c>
    </row>
    <row r="9" spans="1:10" x14ac:dyDescent="0.25">
      <c r="A9" s="4" t="s">
        <v>17</v>
      </c>
      <c r="B9" s="32">
        <v>91</v>
      </c>
      <c r="C9" s="32">
        <v>88</v>
      </c>
      <c r="D9" s="32">
        <v>91</v>
      </c>
      <c r="E9" s="32">
        <v>88</v>
      </c>
      <c r="F9" s="32">
        <v>91</v>
      </c>
      <c r="G9" s="32">
        <v>88</v>
      </c>
      <c r="H9" s="32">
        <v>179</v>
      </c>
      <c r="I9" s="32">
        <v>179</v>
      </c>
      <c r="J9" s="32">
        <v>179</v>
      </c>
    </row>
    <row r="10" spans="1:10" x14ac:dyDescent="0.25">
      <c r="A10" s="4" t="s">
        <v>18</v>
      </c>
      <c r="B10" s="32">
        <v>361</v>
      </c>
      <c r="C10" s="32">
        <v>325</v>
      </c>
      <c r="D10" s="32">
        <v>361</v>
      </c>
      <c r="E10" s="32">
        <v>325</v>
      </c>
      <c r="F10" s="32">
        <v>361</v>
      </c>
      <c r="G10" s="32">
        <v>325</v>
      </c>
      <c r="H10" s="32">
        <v>686</v>
      </c>
      <c r="I10" s="32">
        <v>686</v>
      </c>
      <c r="J10" s="32">
        <v>686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E23D-C503-444B-842B-2B13DDBA6A85}">
  <dimension ref="A3:J12"/>
  <sheetViews>
    <sheetView topLeftCell="A11" zoomScale="88" workbookViewId="0">
      <selection activeCell="D26" sqref="D26"/>
    </sheetView>
  </sheetViews>
  <sheetFormatPr defaultRowHeight="15" x14ac:dyDescent="0.25"/>
  <cols>
    <col min="1" max="1" width="17.7109375" bestFit="1" customWidth="1"/>
    <col min="2" max="2" width="21.42578125" bestFit="1" customWidth="1"/>
    <col min="3" max="3" width="5.5703125" bestFit="1" customWidth="1"/>
    <col min="4" max="4" width="23.42578125" bestFit="1" customWidth="1"/>
    <col min="5" max="5" width="5.5703125" bestFit="1" customWidth="1"/>
    <col min="6" max="6" width="23" bestFit="1" customWidth="1"/>
    <col min="7" max="7" width="5.5703125" bestFit="1" customWidth="1"/>
    <col min="8" max="8" width="26.42578125" bestFit="1" customWidth="1"/>
    <col min="9" max="9" width="28.42578125" bestFit="1" customWidth="1"/>
    <col min="10" max="10" width="28" bestFit="1" customWidth="1"/>
  </cols>
  <sheetData>
    <row r="3" spans="1:10" x14ac:dyDescent="0.25">
      <c r="A3" s="4"/>
      <c r="B3" s="27" t="s">
        <v>6</v>
      </c>
      <c r="C3" s="4"/>
      <c r="D3" s="4"/>
      <c r="E3" s="4"/>
      <c r="F3" s="4"/>
      <c r="G3" s="4"/>
      <c r="H3" s="4"/>
      <c r="I3" s="4"/>
      <c r="J3" s="4"/>
    </row>
    <row r="4" spans="1:10" x14ac:dyDescent="0.25">
      <c r="A4" s="4"/>
      <c r="B4" s="4" t="s">
        <v>19</v>
      </c>
      <c r="C4" s="4"/>
      <c r="D4" s="4" t="s">
        <v>20</v>
      </c>
      <c r="E4" s="4"/>
      <c r="F4" s="4" t="s">
        <v>21</v>
      </c>
      <c r="G4" s="4"/>
      <c r="H4" s="4" t="s">
        <v>22</v>
      </c>
      <c r="I4" s="4" t="s">
        <v>23</v>
      </c>
      <c r="J4" s="4" t="s">
        <v>24</v>
      </c>
    </row>
    <row r="5" spans="1:10" x14ac:dyDescent="0.25">
      <c r="A5" s="27" t="s">
        <v>13</v>
      </c>
      <c r="B5" s="4" t="s">
        <v>4</v>
      </c>
      <c r="C5" s="4" t="s">
        <v>5</v>
      </c>
      <c r="D5" s="4" t="s">
        <v>4</v>
      </c>
      <c r="E5" s="4" t="s">
        <v>5</v>
      </c>
      <c r="F5" s="4" t="s">
        <v>4</v>
      </c>
      <c r="G5" s="4" t="s">
        <v>5</v>
      </c>
      <c r="H5" s="4"/>
      <c r="I5" s="4"/>
      <c r="J5" s="4"/>
    </row>
    <row r="6" spans="1:10" x14ac:dyDescent="0.25">
      <c r="A6" s="4" t="s">
        <v>14</v>
      </c>
      <c r="B6" s="29">
        <v>65.25</v>
      </c>
      <c r="C6" s="29">
        <v>70.764150943396231</v>
      </c>
      <c r="D6" s="29">
        <v>74.120689655172413</v>
      </c>
      <c r="E6" s="29">
        <v>67.433962264150949</v>
      </c>
      <c r="F6" s="29">
        <v>74</v>
      </c>
      <c r="G6" s="29">
        <v>65.405660377358487</v>
      </c>
      <c r="H6" s="29">
        <v>67.882882882882882</v>
      </c>
      <c r="I6" s="29">
        <v>70.927927927927925</v>
      </c>
      <c r="J6" s="29">
        <v>69.896396396396398</v>
      </c>
    </row>
    <row r="7" spans="1:10" x14ac:dyDescent="0.25">
      <c r="A7" s="4" t="s">
        <v>43</v>
      </c>
      <c r="B7" s="29">
        <v>68.349206349206355</v>
      </c>
      <c r="C7" s="29">
        <v>70.581818181818178</v>
      </c>
      <c r="D7" s="29">
        <v>77.285714285714292</v>
      </c>
      <c r="E7" s="29">
        <v>68.090909090909093</v>
      </c>
      <c r="F7" s="29">
        <v>78.38095238095238</v>
      </c>
      <c r="G7" s="29">
        <v>67.654545454545456</v>
      </c>
      <c r="H7" s="29">
        <v>69.389830508474574</v>
      </c>
      <c r="I7" s="29">
        <v>73</v>
      </c>
      <c r="J7" s="29">
        <v>73.381355932203391</v>
      </c>
    </row>
    <row r="8" spans="1:10" x14ac:dyDescent="0.25">
      <c r="A8" s="4" t="s">
        <v>15</v>
      </c>
      <c r="B8" s="29">
        <v>59.351063829787236</v>
      </c>
      <c r="C8" s="29">
        <v>64.705882352941174</v>
      </c>
      <c r="D8" s="29">
        <v>68.202127659574472</v>
      </c>
      <c r="E8" s="29">
        <v>61.480392156862742</v>
      </c>
      <c r="F8" s="29">
        <v>66.691489361702125</v>
      </c>
      <c r="G8" s="29">
        <v>58.53921568627451</v>
      </c>
      <c r="H8" s="29">
        <v>62.137755102040813</v>
      </c>
      <c r="I8" s="29">
        <v>64.704081632653057</v>
      </c>
      <c r="J8" s="29">
        <v>62.448979591836732</v>
      </c>
    </row>
    <row r="9" spans="1:10" x14ac:dyDescent="0.25">
      <c r="A9" s="4" t="s">
        <v>16</v>
      </c>
      <c r="B9" s="29">
        <v>66.5</v>
      </c>
      <c r="C9" s="29">
        <v>74.826086956521735</v>
      </c>
      <c r="D9" s="29">
        <v>76.805555555555557</v>
      </c>
      <c r="E9" s="29">
        <v>73.130434782608702</v>
      </c>
      <c r="F9" s="29">
        <v>77.638888888888886</v>
      </c>
      <c r="G9" s="29">
        <v>72.608695652173907</v>
      </c>
      <c r="H9" s="29">
        <v>69.745762711864401</v>
      </c>
      <c r="I9" s="29">
        <v>75.372881355932208</v>
      </c>
      <c r="J9" s="29">
        <v>75.677966101694921</v>
      </c>
    </row>
    <row r="10" spans="1:10" x14ac:dyDescent="0.25">
      <c r="A10" s="4" t="s">
        <v>45</v>
      </c>
      <c r="B10" s="29">
        <v>65.406779661016955</v>
      </c>
      <c r="C10" s="29">
        <v>69.009259259259252</v>
      </c>
      <c r="D10" s="29">
        <v>73.550847457627114</v>
      </c>
      <c r="E10" s="29">
        <v>64.990740740740748</v>
      </c>
      <c r="F10" s="29">
        <v>74.050847457627114</v>
      </c>
      <c r="G10" s="29">
        <v>63.148148148148145</v>
      </c>
      <c r="H10" s="29">
        <v>67.128318584070797</v>
      </c>
      <c r="I10" s="29">
        <v>69.460176991150448</v>
      </c>
      <c r="J10" s="29">
        <v>68.840707964601776</v>
      </c>
    </row>
    <row r="11" spans="1:10" x14ac:dyDescent="0.25">
      <c r="A11" s="4" t="s">
        <v>17</v>
      </c>
      <c r="B11" s="29">
        <v>59.296703296703299</v>
      </c>
      <c r="C11" s="29">
        <v>67.840909090909093</v>
      </c>
      <c r="D11" s="29">
        <v>69.109890109890117</v>
      </c>
      <c r="E11" s="29">
        <v>64.693181818181813</v>
      </c>
      <c r="F11" s="29">
        <v>68.285714285714292</v>
      </c>
      <c r="G11" s="29">
        <v>61.375</v>
      </c>
      <c r="H11" s="29">
        <v>63.497206703910614</v>
      </c>
      <c r="I11" s="29">
        <v>66.938547486033514</v>
      </c>
      <c r="J11" s="29">
        <v>64.888268156424587</v>
      </c>
    </row>
    <row r="12" spans="1:10" x14ac:dyDescent="0.25">
      <c r="A12" s="4" t="s">
        <v>18</v>
      </c>
      <c r="B12" s="29">
        <v>63.633204633204635</v>
      </c>
      <c r="C12" s="29">
        <v>68.72821576763485</v>
      </c>
      <c r="D12" s="29">
        <v>72.608108108108112</v>
      </c>
      <c r="E12" s="29">
        <v>65.473029045643159</v>
      </c>
      <c r="F12" s="29">
        <v>72.467181467181462</v>
      </c>
      <c r="G12" s="29">
        <v>63.311203319502077</v>
      </c>
      <c r="H12" s="29">
        <v>66.088999999999999</v>
      </c>
      <c r="I12" s="29">
        <v>69.168999999999997</v>
      </c>
      <c r="J12" s="29">
        <v>68.054000000000002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A42D-DD2F-4900-8A30-980D977CCDB0}">
  <dimension ref="A3:F12"/>
  <sheetViews>
    <sheetView topLeftCell="I1" workbookViewId="0">
      <selection activeCell="T24" sqref="T24"/>
    </sheetView>
  </sheetViews>
  <sheetFormatPr defaultRowHeight="15" x14ac:dyDescent="0.25"/>
  <cols>
    <col min="1" max="1" width="17.5703125" bestFit="1" customWidth="1"/>
    <col min="2" max="2" width="18.5703125" bestFit="1" customWidth="1"/>
    <col min="3" max="3" width="12.140625" bestFit="1" customWidth="1"/>
    <col min="4" max="4" width="7.7109375" bestFit="1" customWidth="1"/>
    <col min="5" max="5" width="10.28515625" bestFit="1" customWidth="1"/>
    <col min="6" max="8" width="11.28515625" bestFit="1" customWidth="1"/>
    <col min="9" max="10" width="7.7109375" bestFit="1" customWidth="1"/>
    <col min="11" max="11" width="7.85546875" bestFit="1" customWidth="1"/>
    <col min="12" max="12" width="7.5703125" bestFit="1" customWidth="1"/>
    <col min="13" max="13" width="10.28515625" bestFit="1" customWidth="1"/>
    <col min="14" max="14" width="11.28515625" bestFit="1" customWidth="1"/>
    <col min="15" max="15" width="18.85546875" bestFit="1" customWidth="1"/>
    <col min="16" max="17" width="7.7109375" bestFit="1" customWidth="1"/>
    <col min="18" max="18" width="7.85546875" bestFit="1" customWidth="1"/>
    <col min="19" max="19" width="7.5703125" bestFit="1" customWidth="1"/>
    <col min="20" max="20" width="12.140625" bestFit="1" customWidth="1"/>
    <col min="21" max="21" width="7.85546875" bestFit="1" customWidth="1"/>
    <col min="22" max="23" width="7.7109375" bestFit="1" customWidth="1"/>
    <col min="24" max="24" width="7.85546875" bestFit="1" customWidth="1"/>
    <col min="25" max="25" width="7.5703125" bestFit="1" customWidth="1"/>
    <col min="26" max="26" width="10.28515625" bestFit="1" customWidth="1"/>
    <col min="27" max="27" width="22.140625" bestFit="1" customWidth="1"/>
    <col min="28" max="28" width="12.85546875" bestFit="1" customWidth="1"/>
    <col min="29" max="30" width="7.7109375" bestFit="1" customWidth="1"/>
    <col min="31" max="31" width="7.85546875" bestFit="1" customWidth="1"/>
    <col min="32" max="32" width="7.5703125" bestFit="1" customWidth="1"/>
    <col min="33" max="33" width="12.140625" bestFit="1" customWidth="1"/>
    <col min="34" max="34" width="7.85546875" bestFit="1" customWidth="1"/>
    <col min="35" max="36" width="7.7109375" bestFit="1" customWidth="1"/>
    <col min="37" max="37" width="7.85546875" bestFit="1" customWidth="1"/>
    <col min="38" max="38" width="7.5703125" bestFit="1" customWidth="1"/>
    <col min="39" max="39" width="10.28515625" bestFit="1" customWidth="1"/>
    <col min="40" max="40" width="16" bestFit="1" customWidth="1"/>
    <col min="41" max="41" width="17.28515625" bestFit="1" customWidth="1"/>
    <col min="42" max="43" width="7.7109375" bestFit="1" customWidth="1"/>
    <col min="44" max="44" width="7.85546875" bestFit="1" customWidth="1"/>
    <col min="45" max="45" width="7.5703125" bestFit="1" customWidth="1"/>
    <col min="46" max="46" width="12.140625" bestFit="1" customWidth="1"/>
    <col min="47" max="47" width="7.85546875" bestFit="1" customWidth="1"/>
    <col min="48" max="49" width="7.7109375" bestFit="1" customWidth="1"/>
    <col min="50" max="50" width="7.85546875" bestFit="1" customWidth="1"/>
    <col min="51" max="51" width="7.5703125" bestFit="1" customWidth="1"/>
    <col min="52" max="52" width="10.28515625" bestFit="1" customWidth="1"/>
    <col min="53" max="53" width="20.42578125" bestFit="1" customWidth="1"/>
    <col min="54" max="54" width="14.5703125" bestFit="1" customWidth="1"/>
    <col min="55" max="56" width="7.7109375" bestFit="1" customWidth="1"/>
    <col min="57" max="57" width="7.85546875" bestFit="1" customWidth="1"/>
    <col min="58" max="58" width="7.5703125" bestFit="1" customWidth="1"/>
    <col min="59" max="59" width="12.140625" bestFit="1" customWidth="1"/>
    <col min="60" max="60" width="7.85546875" bestFit="1" customWidth="1"/>
    <col min="61" max="62" width="7.7109375" bestFit="1" customWidth="1"/>
    <col min="63" max="63" width="7.85546875" bestFit="1" customWidth="1"/>
    <col min="64" max="64" width="7.5703125" bestFit="1" customWidth="1"/>
    <col min="65" max="65" width="10.28515625" bestFit="1" customWidth="1"/>
    <col min="66" max="66" width="17.85546875" bestFit="1" customWidth="1"/>
    <col min="67" max="67" width="18.28515625" bestFit="1" customWidth="1"/>
    <col min="68" max="69" width="7.7109375" bestFit="1" customWidth="1"/>
    <col min="70" max="70" width="7.85546875" bestFit="1" customWidth="1"/>
    <col min="71" max="71" width="7.5703125" bestFit="1" customWidth="1"/>
    <col min="72" max="72" width="12.140625" bestFit="1" customWidth="1"/>
    <col min="73" max="73" width="7.85546875" bestFit="1" customWidth="1"/>
    <col min="74" max="75" width="7.7109375" bestFit="1" customWidth="1"/>
    <col min="76" max="76" width="7.85546875" bestFit="1" customWidth="1"/>
    <col min="77" max="77" width="7.5703125" bestFit="1" customWidth="1"/>
    <col min="78" max="78" width="10.28515625" bestFit="1" customWidth="1"/>
    <col min="79" max="79" width="21.5703125" bestFit="1" customWidth="1"/>
    <col min="80" max="80" width="11.28515625" bestFit="1" customWidth="1"/>
  </cols>
  <sheetData>
    <row r="3" spans="1:6" x14ac:dyDescent="0.25">
      <c r="A3" s="27" t="s">
        <v>3</v>
      </c>
      <c r="B3" s="27" t="s">
        <v>6</v>
      </c>
      <c r="C3" s="4"/>
      <c r="D3" s="4"/>
      <c r="E3" s="4"/>
      <c r="F3" s="4"/>
    </row>
    <row r="4" spans="1:6" x14ac:dyDescent="0.25">
      <c r="A4" s="4"/>
      <c r="B4" s="4" t="s">
        <v>4</v>
      </c>
      <c r="C4" s="4" t="s">
        <v>25</v>
      </c>
      <c r="D4" s="4" t="s">
        <v>5</v>
      </c>
      <c r="E4" s="4" t="s">
        <v>26</v>
      </c>
      <c r="F4" s="4" t="s">
        <v>18</v>
      </c>
    </row>
    <row r="5" spans="1:6" x14ac:dyDescent="0.25">
      <c r="A5" s="27" t="s">
        <v>13</v>
      </c>
      <c r="B5" s="4" t="s">
        <v>28</v>
      </c>
      <c r="C5" s="4"/>
      <c r="D5" s="4" t="s">
        <v>28</v>
      </c>
      <c r="E5" s="4"/>
      <c r="F5" s="4"/>
    </row>
    <row r="6" spans="1:6" x14ac:dyDescent="0.25">
      <c r="A6" s="4" t="s">
        <v>32</v>
      </c>
      <c r="B6" s="28">
        <v>2204</v>
      </c>
      <c r="C6" s="28">
        <v>2204</v>
      </c>
      <c r="D6" s="28">
        <v>1759</v>
      </c>
      <c r="E6" s="28">
        <v>1759</v>
      </c>
      <c r="F6" s="28">
        <v>3963</v>
      </c>
    </row>
    <row r="7" spans="1:6" x14ac:dyDescent="0.25">
      <c r="A7" s="4" t="s">
        <v>33</v>
      </c>
      <c r="B7" s="28">
        <v>1024</v>
      </c>
      <c r="C7" s="28">
        <v>1024</v>
      </c>
      <c r="D7" s="28">
        <v>538</v>
      </c>
      <c r="E7" s="28">
        <v>538</v>
      </c>
      <c r="F7" s="28">
        <v>1562</v>
      </c>
    </row>
    <row r="8" spans="1:6" x14ac:dyDescent="0.25">
      <c r="A8" s="4" t="s">
        <v>34</v>
      </c>
      <c r="B8" s="28">
        <v>1180</v>
      </c>
      <c r="C8" s="28">
        <v>1180</v>
      </c>
      <c r="D8" s="28">
        <v>1221</v>
      </c>
      <c r="E8" s="28">
        <v>1221</v>
      </c>
      <c r="F8" s="28">
        <v>2401</v>
      </c>
    </row>
    <row r="9" spans="1:6" x14ac:dyDescent="0.25">
      <c r="A9" s="4" t="s">
        <v>35</v>
      </c>
      <c r="B9" s="28">
        <v>4182</v>
      </c>
      <c r="C9" s="28">
        <v>4182</v>
      </c>
      <c r="D9" s="28">
        <v>3911</v>
      </c>
      <c r="E9" s="28">
        <v>3911</v>
      </c>
      <c r="F9" s="28">
        <v>8093</v>
      </c>
    </row>
    <row r="10" spans="1:6" x14ac:dyDescent="0.25">
      <c r="A10" s="4" t="s">
        <v>33</v>
      </c>
      <c r="B10" s="28">
        <v>1168</v>
      </c>
      <c r="C10" s="28">
        <v>1168</v>
      </c>
      <c r="D10" s="28">
        <v>1839</v>
      </c>
      <c r="E10" s="28">
        <v>1839</v>
      </c>
      <c r="F10" s="28">
        <v>3007</v>
      </c>
    </row>
    <row r="11" spans="1:6" x14ac:dyDescent="0.25">
      <c r="A11" s="4" t="s">
        <v>34</v>
      </c>
      <c r="B11" s="28">
        <v>3014</v>
      </c>
      <c r="C11" s="28">
        <v>3014</v>
      </c>
      <c r="D11" s="28">
        <v>2072</v>
      </c>
      <c r="E11" s="28">
        <v>2072</v>
      </c>
      <c r="F11" s="28">
        <v>5086</v>
      </c>
    </row>
    <row r="12" spans="1:6" x14ac:dyDescent="0.25">
      <c r="A12" s="4" t="s">
        <v>18</v>
      </c>
      <c r="B12" s="28">
        <v>6386</v>
      </c>
      <c r="C12" s="28">
        <v>6386</v>
      </c>
      <c r="D12" s="28">
        <v>5670</v>
      </c>
      <c r="E12" s="28">
        <v>5670</v>
      </c>
      <c r="F12" s="28">
        <v>12056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2197-AA71-47ED-A7DD-B702CAB45AA9}">
  <dimension ref="A1:AMJ6022"/>
  <sheetViews>
    <sheetView workbookViewId="0">
      <pane ySplit="1" topLeftCell="A485" activePane="bottomLeft" state="frozen"/>
      <selection activeCell="D33" sqref="D33"/>
      <selection pane="bottomLeft" activeCell="D33" sqref="D33"/>
    </sheetView>
  </sheetViews>
  <sheetFormatPr defaultRowHeight="15" x14ac:dyDescent="0.25"/>
  <cols>
    <col min="6" max="7" width="9.140625" style="4"/>
    <col min="8" max="8" width="14.140625" style="4" customWidth="1"/>
    <col min="18" max="18" width="9.5703125" bestFit="1" customWidth="1"/>
    <col min="22" max="22" width="10.140625" customWidth="1"/>
  </cols>
  <sheetData>
    <row r="1" spans="1:25" ht="15.75" x14ac:dyDescent="0.25">
      <c r="A1" s="2" t="s">
        <v>0</v>
      </c>
      <c r="B1" s="2" t="s">
        <v>36</v>
      </c>
      <c r="C1" s="2" t="s">
        <v>37</v>
      </c>
      <c r="D1" s="2" t="s">
        <v>38</v>
      </c>
      <c r="E1" s="2" t="s">
        <v>39</v>
      </c>
      <c r="F1" s="3" t="s">
        <v>40</v>
      </c>
      <c r="G1" s="3" t="s">
        <v>41</v>
      </c>
      <c r="H1" s="3" t="s">
        <v>42</v>
      </c>
    </row>
    <row r="2" spans="1:25" ht="26.25" x14ac:dyDescent="0.4">
      <c r="A2" s="21" t="s">
        <v>4</v>
      </c>
      <c r="B2" s="21" t="s">
        <v>28</v>
      </c>
      <c r="C2" s="21" t="s">
        <v>43</v>
      </c>
      <c r="D2" s="21" t="s">
        <v>35</v>
      </c>
      <c r="E2" s="21" t="s">
        <v>34</v>
      </c>
      <c r="F2" s="22">
        <v>72</v>
      </c>
      <c r="G2" s="22">
        <v>72</v>
      </c>
      <c r="H2" s="22">
        <v>74</v>
      </c>
      <c r="X2" s="5" t="s">
        <v>44</v>
      </c>
    </row>
    <row r="3" spans="1:25" ht="26.25" x14ac:dyDescent="0.4">
      <c r="A3" s="21" t="s">
        <v>4</v>
      </c>
      <c r="B3" s="21" t="s">
        <v>29</v>
      </c>
      <c r="C3" s="21" t="s">
        <v>45</v>
      </c>
      <c r="D3" s="21" t="s">
        <v>35</v>
      </c>
      <c r="E3" s="21" t="s">
        <v>33</v>
      </c>
      <c r="F3" s="22">
        <v>69</v>
      </c>
      <c r="G3" s="22">
        <v>90</v>
      </c>
      <c r="H3" s="22">
        <v>88</v>
      </c>
      <c r="J3" s="5" t="s">
        <v>46</v>
      </c>
      <c r="Q3" s="5" t="s">
        <v>47</v>
      </c>
      <c r="X3" s="17">
        <v>72</v>
      </c>
      <c r="Y3" s="17"/>
    </row>
    <row r="4" spans="1:25" ht="15.75" thickBot="1" x14ac:dyDescent="0.3">
      <c r="A4" s="21" t="s">
        <v>4</v>
      </c>
      <c r="B4" s="21" t="s">
        <v>28</v>
      </c>
      <c r="C4" s="21" t="s">
        <v>16</v>
      </c>
      <c r="D4" s="21" t="s">
        <v>35</v>
      </c>
      <c r="E4" s="21" t="s">
        <v>34</v>
      </c>
      <c r="F4" s="22">
        <v>90</v>
      </c>
      <c r="G4" s="22">
        <v>95</v>
      </c>
      <c r="H4" s="22">
        <v>93</v>
      </c>
      <c r="X4" s="9"/>
      <c r="Y4" s="9"/>
    </row>
    <row r="5" spans="1:25" ht="15.75" thickBot="1" x14ac:dyDescent="0.3">
      <c r="A5" s="21" t="s">
        <v>5</v>
      </c>
      <c r="B5" s="21" t="s">
        <v>27</v>
      </c>
      <c r="C5" s="21" t="s">
        <v>14</v>
      </c>
      <c r="D5" s="21" t="s">
        <v>32</v>
      </c>
      <c r="E5" s="21" t="s">
        <v>34</v>
      </c>
      <c r="F5" s="22">
        <v>47</v>
      </c>
      <c r="G5" s="22">
        <v>57</v>
      </c>
      <c r="H5" s="22">
        <v>44</v>
      </c>
      <c r="J5" s="6" t="s">
        <v>48</v>
      </c>
      <c r="Q5" s="16" t="s">
        <v>48</v>
      </c>
      <c r="R5" s="16" t="s">
        <v>41</v>
      </c>
      <c r="S5" s="16" t="s">
        <v>42</v>
      </c>
      <c r="T5" s="16" t="s">
        <v>49</v>
      </c>
      <c r="X5" s="9" t="s">
        <v>50</v>
      </c>
      <c r="Y5" s="9">
        <v>66.083083083083082</v>
      </c>
    </row>
    <row r="6" spans="1:25" x14ac:dyDescent="0.25">
      <c r="A6" s="21" t="s">
        <v>5</v>
      </c>
      <c r="B6" s="21" t="s">
        <v>29</v>
      </c>
      <c r="C6" s="21" t="s">
        <v>45</v>
      </c>
      <c r="D6" s="21" t="s">
        <v>35</v>
      </c>
      <c r="E6" s="21" t="s">
        <v>34</v>
      </c>
      <c r="F6" s="22">
        <v>76</v>
      </c>
      <c r="G6" s="22">
        <v>78</v>
      </c>
      <c r="H6" s="22">
        <v>75</v>
      </c>
      <c r="J6" s="8" t="s">
        <v>51</v>
      </c>
      <c r="K6" s="8" t="s">
        <v>52</v>
      </c>
      <c r="L6" s="8" t="s">
        <v>53</v>
      </c>
      <c r="M6" s="8" t="s">
        <v>54</v>
      </c>
      <c r="N6" s="8" t="s">
        <v>55</v>
      </c>
      <c r="Q6" s="15">
        <v>72</v>
      </c>
      <c r="R6" s="15"/>
      <c r="S6" s="15"/>
      <c r="T6" s="15"/>
      <c r="X6" s="9" t="s">
        <v>56</v>
      </c>
      <c r="Y6" s="9">
        <v>0.47994236888098435</v>
      </c>
    </row>
    <row r="7" spans="1:25" x14ac:dyDescent="0.25">
      <c r="A7" s="21" t="s">
        <v>4</v>
      </c>
      <c r="B7" s="21" t="s">
        <v>28</v>
      </c>
      <c r="C7" s="21" t="s">
        <v>14</v>
      </c>
      <c r="D7" s="21" t="s">
        <v>35</v>
      </c>
      <c r="E7" s="21" t="s">
        <v>34</v>
      </c>
      <c r="F7" s="22">
        <v>71</v>
      </c>
      <c r="G7" s="22">
        <v>83</v>
      </c>
      <c r="H7" s="22">
        <v>78</v>
      </c>
      <c r="J7" s="9">
        <v>72</v>
      </c>
      <c r="K7" s="9">
        <v>999</v>
      </c>
      <c r="L7" s="9">
        <v>66017</v>
      </c>
      <c r="M7" s="9">
        <v>66.083083083083082</v>
      </c>
      <c r="N7" s="9">
        <v>230.11433276964374</v>
      </c>
      <c r="Q7" s="9" t="s">
        <v>52</v>
      </c>
      <c r="R7" s="9">
        <v>2</v>
      </c>
      <c r="S7" s="9">
        <v>2</v>
      </c>
      <c r="T7" s="9">
        <v>4</v>
      </c>
      <c r="X7" s="9" t="s">
        <v>57</v>
      </c>
      <c r="Y7" s="9">
        <v>66</v>
      </c>
    </row>
    <row r="8" spans="1:25" x14ac:dyDescent="0.25">
      <c r="A8" s="21" t="s">
        <v>4</v>
      </c>
      <c r="B8" s="21" t="s">
        <v>28</v>
      </c>
      <c r="C8" s="21" t="s">
        <v>45</v>
      </c>
      <c r="D8" s="21" t="s">
        <v>35</v>
      </c>
      <c r="E8" s="21" t="s">
        <v>33</v>
      </c>
      <c r="F8" s="22">
        <v>88</v>
      </c>
      <c r="G8" s="22">
        <v>95</v>
      </c>
      <c r="H8" s="22">
        <v>92</v>
      </c>
      <c r="J8" s="9">
        <v>72</v>
      </c>
      <c r="K8" s="9">
        <v>999</v>
      </c>
      <c r="L8" s="9">
        <v>69097</v>
      </c>
      <c r="M8" s="9">
        <v>69.166166166166164</v>
      </c>
      <c r="N8" s="9">
        <v>213.37115873388464</v>
      </c>
      <c r="Q8" s="9" t="s">
        <v>53</v>
      </c>
      <c r="R8" s="9">
        <v>162</v>
      </c>
      <c r="S8" s="9">
        <v>162</v>
      </c>
      <c r="T8" s="9">
        <v>324</v>
      </c>
      <c r="X8" s="9" t="s">
        <v>58</v>
      </c>
      <c r="Y8" s="9">
        <v>65</v>
      </c>
    </row>
    <row r="9" spans="1:25" x14ac:dyDescent="0.25">
      <c r="A9" s="21" t="s">
        <v>5</v>
      </c>
      <c r="B9" s="21" t="s">
        <v>28</v>
      </c>
      <c r="C9" s="21" t="s">
        <v>45</v>
      </c>
      <c r="D9" s="21" t="s">
        <v>32</v>
      </c>
      <c r="E9" s="21" t="s">
        <v>34</v>
      </c>
      <c r="F9" s="22">
        <v>40</v>
      </c>
      <c r="G9" s="22">
        <v>43</v>
      </c>
      <c r="H9" s="22">
        <v>39</v>
      </c>
      <c r="J9" s="9">
        <v>74</v>
      </c>
      <c r="K9" s="9">
        <v>999</v>
      </c>
      <c r="L9" s="9">
        <v>67980</v>
      </c>
      <c r="M9" s="9">
        <v>68.048048048048045</v>
      </c>
      <c r="N9" s="9">
        <v>231.10390149668712</v>
      </c>
      <c r="Q9" s="9" t="s">
        <v>54</v>
      </c>
      <c r="R9" s="9">
        <v>81</v>
      </c>
      <c r="S9" s="9">
        <v>81</v>
      </c>
      <c r="T9" s="9">
        <v>81</v>
      </c>
      <c r="X9" s="9" t="s">
        <v>59</v>
      </c>
      <c r="Y9" s="9">
        <v>15.169519859561928</v>
      </c>
    </row>
    <row r="10" spans="1:25" x14ac:dyDescent="0.25">
      <c r="A10" s="21" t="s">
        <v>5</v>
      </c>
      <c r="B10" s="21" t="s">
        <v>30</v>
      </c>
      <c r="C10" s="21" t="s">
        <v>15</v>
      </c>
      <c r="D10" s="21" t="s">
        <v>32</v>
      </c>
      <c r="E10" s="21" t="s">
        <v>33</v>
      </c>
      <c r="F10" s="22">
        <v>64</v>
      </c>
      <c r="G10" s="22">
        <v>64</v>
      </c>
      <c r="H10" s="22">
        <v>67</v>
      </c>
      <c r="Q10" s="9" t="s">
        <v>55</v>
      </c>
      <c r="R10" s="9">
        <v>162</v>
      </c>
      <c r="S10" s="9">
        <v>98</v>
      </c>
      <c r="T10" s="9">
        <v>86.666666666666671</v>
      </c>
      <c r="X10" s="9" t="s">
        <v>60</v>
      </c>
      <c r="Y10" s="9">
        <v>230.11433276964374</v>
      </c>
    </row>
    <row r="11" spans="1:25" x14ac:dyDescent="0.25">
      <c r="A11" s="21" t="s">
        <v>4</v>
      </c>
      <c r="B11" s="21" t="s">
        <v>28</v>
      </c>
      <c r="C11" s="21" t="s">
        <v>15</v>
      </c>
      <c r="D11" s="21" t="s">
        <v>32</v>
      </c>
      <c r="E11" s="21" t="s">
        <v>34</v>
      </c>
      <c r="F11" s="22">
        <v>38</v>
      </c>
      <c r="G11" s="22">
        <v>60</v>
      </c>
      <c r="H11" s="22">
        <v>50</v>
      </c>
      <c r="Q11" s="9"/>
      <c r="R11" s="9"/>
      <c r="S11" s="9"/>
      <c r="T11" s="9"/>
      <c r="X11" s="9" t="s">
        <v>61</v>
      </c>
      <c r="Y11" s="9">
        <v>0.27222755256833153</v>
      </c>
    </row>
    <row r="12" spans="1:25" ht="15.75" thickBot="1" x14ac:dyDescent="0.3">
      <c r="A12" s="21" t="s">
        <v>5</v>
      </c>
      <c r="B12" s="21" t="s">
        <v>29</v>
      </c>
      <c r="C12" s="21" t="s">
        <v>14</v>
      </c>
      <c r="D12" s="21" t="s">
        <v>35</v>
      </c>
      <c r="E12" s="21" t="s">
        <v>34</v>
      </c>
      <c r="F12" s="22">
        <v>58</v>
      </c>
      <c r="G12" s="22">
        <v>54</v>
      </c>
      <c r="H12" s="22">
        <v>52</v>
      </c>
      <c r="J12" s="6" t="s">
        <v>62</v>
      </c>
      <c r="Q12" s="14">
        <v>90</v>
      </c>
      <c r="R12" s="14"/>
      <c r="S12" s="14"/>
      <c r="T12" s="14"/>
      <c r="X12" s="9" t="s">
        <v>63</v>
      </c>
      <c r="Y12" s="9">
        <v>-0.27774665339686161</v>
      </c>
    </row>
    <row r="13" spans="1:25" x14ac:dyDescent="0.25">
      <c r="A13" s="21" t="s">
        <v>5</v>
      </c>
      <c r="B13" s="21" t="s">
        <v>30</v>
      </c>
      <c r="C13" s="21" t="s">
        <v>14</v>
      </c>
      <c r="D13" s="21" t="s">
        <v>35</v>
      </c>
      <c r="E13" s="21" t="s">
        <v>34</v>
      </c>
      <c r="F13" s="22">
        <v>40</v>
      </c>
      <c r="G13" s="22">
        <v>52</v>
      </c>
      <c r="H13" s="22">
        <v>43</v>
      </c>
      <c r="J13" s="8" t="s">
        <v>64</v>
      </c>
      <c r="K13" s="8" t="s">
        <v>65</v>
      </c>
      <c r="L13" s="8" t="s">
        <v>66</v>
      </c>
      <c r="M13" s="8" t="s">
        <v>67</v>
      </c>
      <c r="N13" s="8" t="s">
        <v>68</v>
      </c>
      <c r="O13" s="8" t="s">
        <v>69</v>
      </c>
      <c r="P13" s="12" t="s">
        <v>70</v>
      </c>
      <c r="Q13" s="9" t="s">
        <v>52</v>
      </c>
      <c r="R13" s="9">
        <v>2</v>
      </c>
      <c r="S13" s="9">
        <v>2</v>
      </c>
      <c r="T13" s="9">
        <v>4</v>
      </c>
      <c r="X13" s="9" t="s">
        <v>71</v>
      </c>
      <c r="Y13" s="9">
        <v>100</v>
      </c>
    </row>
    <row r="14" spans="1:25" x14ac:dyDescent="0.25">
      <c r="A14" s="21" t="s">
        <v>4</v>
      </c>
      <c r="B14" s="21" t="s">
        <v>28</v>
      </c>
      <c r="C14" s="21" t="s">
        <v>15</v>
      </c>
      <c r="D14" s="21" t="s">
        <v>35</v>
      </c>
      <c r="E14" s="21" t="s">
        <v>34</v>
      </c>
      <c r="F14" s="22">
        <v>65</v>
      </c>
      <c r="G14" s="22">
        <v>81</v>
      </c>
      <c r="H14" s="22">
        <v>73</v>
      </c>
      <c r="J14" s="9" t="s">
        <v>72</v>
      </c>
      <c r="K14" s="9">
        <v>4867.3533533531008</v>
      </c>
      <c r="L14" s="9">
        <v>2</v>
      </c>
      <c r="M14" s="9">
        <v>2433.6766766765504</v>
      </c>
      <c r="N14" s="9">
        <v>10.822924442316779</v>
      </c>
      <c r="O14" s="9">
        <v>2.0728758630794708E-5</v>
      </c>
      <c r="P14" s="13">
        <v>2.9987317395706641</v>
      </c>
      <c r="Q14" s="9" t="s">
        <v>53</v>
      </c>
      <c r="R14" s="9">
        <v>152</v>
      </c>
      <c r="S14" s="9">
        <v>137</v>
      </c>
      <c r="T14" s="9">
        <v>289</v>
      </c>
      <c r="X14" s="9" t="s">
        <v>73</v>
      </c>
      <c r="Y14" s="9">
        <v>0</v>
      </c>
    </row>
    <row r="15" spans="1:25" x14ac:dyDescent="0.25">
      <c r="A15" s="21" t="s">
        <v>5</v>
      </c>
      <c r="B15" s="21" t="s">
        <v>27</v>
      </c>
      <c r="C15" s="21" t="s">
        <v>45</v>
      </c>
      <c r="D15" s="21" t="s">
        <v>35</v>
      </c>
      <c r="E15" s="21" t="s">
        <v>33</v>
      </c>
      <c r="F15" s="22">
        <v>78</v>
      </c>
      <c r="G15" s="22">
        <v>72</v>
      </c>
      <c r="H15" s="22">
        <v>70</v>
      </c>
      <c r="J15" s="9" t="s">
        <v>74</v>
      </c>
      <c r="K15" s="9">
        <v>673240.21421421308</v>
      </c>
      <c r="L15" s="9">
        <v>2994</v>
      </c>
      <c r="M15" s="9">
        <v>224.86313100007118</v>
      </c>
      <c r="N15" s="9"/>
      <c r="O15" s="9"/>
      <c r="P15" s="13"/>
      <c r="Q15" s="9" t="s">
        <v>54</v>
      </c>
      <c r="R15" s="9">
        <v>76</v>
      </c>
      <c r="S15" s="9">
        <v>68.5</v>
      </c>
      <c r="T15" s="9">
        <v>72.25</v>
      </c>
      <c r="X15" s="9" t="s">
        <v>75</v>
      </c>
      <c r="Y15" s="9">
        <v>100</v>
      </c>
    </row>
    <row r="16" spans="1:25" x14ac:dyDescent="0.25">
      <c r="A16" s="21" t="s">
        <v>4</v>
      </c>
      <c r="B16" s="21" t="s">
        <v>27</v>
      </c>
      <c r="C16" s="21" t="s">
        <v>16</v>
      </c>
      <c r="D16" s="21" t="s">
        <v>35</v>
      </c>
      <c r="E16" s="21" t="s">
        <v>34</v>
      </c>
      <c r="F16" s="22">
        <v>50</v>
      </c>
      <c r="G16" s="22">
        <v>53</v>
      </c>
      <c r="H16" s="22">
        <v>58</v>
      </c>
      <c r="J16" s="9"/>
      <c r="K16" s="9"/>
      <c r="L16" s="9"/>
      <c r="M16" s="9"/>
      <c r="N16" s="9"/>
      <c r="O16" s="9"/>
      <c r="P16" s="13"/>
      <c r="Q16" s="9" t="s">
        <v>55</v>
      </c>
      <c r="R16" s="9">
        <v>722</v>
      </c>
      <c r="S16" s="9">
        <v>1200.5</v>
      </c>
      <c r="T16" s="9">
        <v>659.58333333333337</v>
      </c>
      <c r="X16" s="9" t="s">
        <v>53</v>
      </c>
      <c r="Y16" s="9">
        <v>66017</v>
      </c>
    </row>
    <row r="17" spans="1:27" x14ac:dyDescent="0.25">
      <c r="A17" s="21" t="s">
        <v>4</v>
      </c>
      <c r="B17" s="21" t="s">
        <v>29</v>
      </c>
      <c r="C17" s="21" t="s">
        <v>17</v>
      </c>
      <c r="D17" s="21" t="s">
        <v>35</v>
      </c>
      <c r="E17" s="21" t="s">
        <v>34</v>
      </c>
      <c r="F17" s="22">
        <v>69</v>
      </c>
      <c r="G17" s="22">
        <v>75</v>
      </c>
      <c r="H17" s="22">
        <v>78</v>
      </c>
      <c r="J17" s="9" t="s">
        <v>49</v>
      </c>
      <c r="K17" s="9">
        <v>678107.56756756618</v>
      </c>
      <c r="L17" s="9">
        <v>2996</v>
      </c>
      <c r="M17" s="9"/>
      <c r="N17" s="9"/>
      <c r="O17" s="9"/>
      <c r="P17" s="13"/>
      <c r="Q17" s="9"/>
      <c r="R17" s="9"/>
      <c r="S17" s="9"/>
      <c r="T17" s="9"/>
      <c r="X17" s="9" t="s">
        <v>52</v>
      </c>
      <c r="Y17" s="9">
        <v>999</v>
      </c>
    </row>
    <row r="18" spans="1:27" x14ac:dyDescent="0.25">
      <c r="A18" s="21" t="s">
        <v>5</v>
      </c>
      <c r="B18" s="21" t="s">
        <v>29</v>
      </c>
      <c r="C18" s="21" t="s">
        <v>15</v>
      </c>
      <c r="D18" s="21" t="s">
        <v>35</v>
      </c>
      <c r="E18" s="21" t="s">
        <v>34</v>
      </c>
      <c r="F18" s="22">
        <v>88</v>
      </c>
      <c r="G18" s="22">
        <v>89</v>
      </c>
      <c r="H18" s="22">
        <v>86</v>
      </c>
      <c r="Q18" s="14">
        <v>76</v>
      </c>
      <c r="R18" s="14"/>
      <c r="S18" s="14"/>
      <c r="T18" s="14"/>
    </row>
    <row r="19" spans="1:27" x14ac:dyDescent="0.25">
      <c r="A19" s="21" t="s">
        <v>4</v>
      </c>
      <c r="B19" s="21" t="s">
        <v>28</v>
      </c>
      <c r="C19" s="21" t="s">
        <v>17</v>
      </c>
      <c r="D19" s="21" t="s">
        <v>32</v>
      </c>
      <c r="E19" s="21" t="s">
        <v>34</v>
      </c>
      <c r="F19" s="22">
        <v>18</v>
      </c>
      <c r="G19" s="22">
        <v>32</v>
      </c>
      <c r="H19" s="22">
        <v>28</v>
      </c>
      <c r="Q19" s="9" t="s">
        <v>52</v>
      </c>
      <c r="R19" s="9">
        <v>2</v>
      </c>
      <c r="S19" s="9">
        <v>2</v>
      </c>
      <c r="T19" s="9">
        <v>4</v>
      </c>
    </row>
    <row r="20" spans="1:27" ht="26.25" x14ac:dyDescent="0.4">
      <c r="A20" s="21" t="s">
        <v>5</v>
      </c>
      <c r="B20" s="21" t="s">
        <v>29</v>
      </c>
      <c r="C20" s="21" t="s">
        <v>16</v>
      </c>
      <c r="D20" s="21" t="s">
        <v>32</v>
      </c>
      <c r="E20" s="21" t="s">
        <v>33</v>
      </c>
      <c r="F20" s="22">
        <v>46</v>
      </c>
      <c r="G20" s="22">
        <v>42</v>
      </c>
      <c r="H20" s="22">
        <v>46</v>
      </c>
      <c r="Q20" s="9" t="s">
        <v>53</v>
      </c>
      <c r="R20" s="9">
        <v>161</v>
      </c>
      <c r="S20" s="9">
        <v>153</v>
      </c>
      <c r="T20" s="9">
        <v>314</v>
      </c>
      <c r="Y20" s="5" t="s">
        <v>76</v>
      </c>
    </row>
    <row r="21" spans="1:27" ht="26.25" x14ac:dyDescent="0.4">
      <c r="A21" s="21" t="s">
        <v>4</v>
      </c>
      <c r="B21" s="21" t="s">
        <v>29</v>
      </c>
      <c r="C21" s="21" t="s">
        <v>14</v>
      </c>
      <c r="D21" s="21" t="s">
        <v>32</v>
      </c>
      <c r="E21" s="21" t="s">
        <v>34</v>
      </c>
      <c r="F21" s="22">
        <v>54</v>
      </c>
      <c r="G21" s="22">
        <v>58</v>
      </c>
      <c r="H21" s="22">
        <v>61</v>
      </c>
      <c r="J21" s="5" t="s">
        <v>77</v>
      </c>
      <c r="Q21" s="9" t="s">
        <v>54</v>
      </c>
      <c r="R21" s="9">
        <v>80.5</v>
      </c>
      <c r="S21" s="9">
        <v>76.5</v>
      </c>
      <c r="T21" s="9">
        <v>78.5</v>
      </c>
      <c r="Y21" s="18"/>
      <c r="Z21" s="18">
        <v>72</v>
      </c>
      <c r="AA21" s="18">
        <v>74</v>
      </c>
    </row>
    <row r="22" spans="1:27" ht="15.75" thickBot="1" x14ac:dyDescent="0.3">
      <c r="A22" s="21" t="s">
        <v>5</v>
      </c>
      <c r="B22" s="21" t="s">
        <v>30</v>
      </c>
      <c r="C22" s="21" t="s">
        <v>15</v>
      </c>
      <c r="D22" s="21" t="s">
        <v>35</v>
      </c>
      <c r="E22" s="21" t="s">
        <v>34</v>
      </c>
      <c r="F22" s="22">
        <v>66</v>
      </c>
      <c r="G22" s="22">
        <v>69</v>
      </c>
      <c r="H22" s="22">
        <v>63</v>
      </c>
      <c r="Q22" s="9" t="s">
        <v>55</v>
      </c>
      <c r="R22" s="9">
        <v>12.5</v>
      </c>
      <c r="S22" s="9">
        <v>4.5</v>
      </c>
      <c r="T22" s="9">
        <v>11</v>
      </c>
      <c r="Y22" s="9">
        <v>72</v>
      </c>
      <c r="Z22" s="9">
        <v>1</v>
      </c>
      <c r="AA22" s="9"/>
    </row>
    <row r="23" spans="1:27" ht="23.25" x14ac:dyDescent="0.35">
      <c r="A23" s="21" t="s">
        <v>4</v>
      </c>
      <c r="B23" s="21" t="s">
        <v>28</v>
      </c>
      <c r="C23" s="21" t="s">
        <v>45</v>
      </c>
      <c r="D23" s="21" t="s">
        <v>32</v>
      </c>
      <c r="E23" s="21" t="s">
        <v>33</v>
      </c>
      <c r="F23" s="22">
        <v>65</v>
      </c>
      <c r="G23" s="22">
        <v>75</v>
      </c>
      <c r="H23" s="22">
        <v>70</v>
      </c>
      <c r="J23" s="8" t="s">
        <v>48</v>
      </c>
      <c r="K23" s="8" t="s">
        <v>52</v>
      </c>
      <c r="L23" s="8" t="s">
        <v>53</v>
      </c>
      <c r="M23" s="8" t="s">
        <v>54</v>
      </c>
      <c r="N23" s="8" t="s">
        <v>55</v>
      </c>
      <c r="Q23" s="9"/>
      <c r="R23" s="9"/>
      <c r="S23" s="9"/>
      <c r="T23" s="9"/>
      <c r="V23" s="19" t="s">
        <v>78</v>
      </c>
      <c r="Y23" s="9">
        <v>74</v>
      </c>
      <c r="Z23" s="9">
        <v>0.95461326352332221</v>
      </c>
      <c r="AA23" s="9">
        <v>1</v>
      </c>
    </row>
    <row r="24" spans="1:27" x14ac:dyDescent="0.25">
      <c r="A24" s="21" t="s">
        <v>5</v>
      </c>
      <c r="B24" s="21" t="s">
        <v>30</v>
      </c>
      <c r="C24" s="21" t="s">
        <v>45</v>
      </c>
      <c r="D24" s="21" t="s">
        <v>35</v>
      </c>
      <c r="E24" s="21" t="s">
        <v>34</v>
      </c>
      <c r="F24" s="22">
        <v>44</v>
      </c>
      <c r="G24" s="22">
        <v>54</v>
      </c>
      <c r="H24" s="22">
        <v>53</v>
      </c>
      <c r="J24" s="10">
        <v>72</v>
      </c>
      <c r="K24" s="10">
        <v>2</v>
      </c>
      <c r="L24" s="10">
        <v>146</v>
      </c>
      <c r="M24" s="10">
        <v>73</v>
      </c>
      <c r="N24" s="10">
        <v>2</v>
      </c>
      <c r="Q24" s="14">
        <v>88</v>
      </c>
      <c r="R24" s="14"/>
      <c r="S24" s="14"/>
      <c r="T24" s="14"/>
    </row>
    <row r="25" spans="1:27" x14ac:dyDescent="0.25">
      <c r="A25" s="21" t="s">
        <v>4</v>
      </c>
      <c r="B25" s="21" t="s">
        <v>29</v>
      </c>
      <c r="C25" s="21" t="s">
        <v>17</v>
      </c>
      <c r="D25" s="21" t="s">
        <v>35</v>
      </c>
      <c r="E25" s="21" t="s">
        <v>34</v>
      </c>
      <c r="F25" s="22">
        <v>69</v>
      </c>
      <c r="G25" s="22">
        <v>73</v>
      </c>
      <c r="H25" s="22">
        <v>73</v>
      </c>
      <c r="J25" s="10">
        <v>69</v>
      </c>
      <c r="K25" s="10">
        <v>2</v>
      </c>
      <c r="L25" s="10">
        <v>178</v>
      </c>
      <c r="M25" s="10">
        <v>89</v>
      </c>
      <c r="N25" s="10">
        <v>2</v>
      </c>
      <c r="Q25" s="9" t="s">
        <v>52</v>
      </c>
      <c r="R25" s="9">
        <v>2</v>
      </c>
      <c r="S25" s="9">
        <v>2</v>
      </c>
      <c r="T25" s="9">
        <v>4</v>
      </c>
      <c r="V25" s="20" t="s">
        <v>0</v>
      </c>
      <c r="W25" s="20" t="str" cm="1">
        <f t="array" ref="W25">INDEX(_xlfn.UNIQUE(A:A),MATCH(MAX(COUNTIF(A:A,_xlfn.UNIQUE(A:A))),COUNTIF(A:A,_xlfn.UNIQUE(A:A))))</f>
        <v>female</v>
      </c>
    </row>
    <row r="26" spans="1:27" x14ac:dyDescent="0.25">
      <c r="A26" s="21" t="s">
        <v>5</v>
      </c>
      <c r="B26" s="21" t="s">
        <v>30</v>
      </c>
      <c r="C26" s="21" t="s">
        <v>43</v>
      </c>
      <c r="D26" s="21" t="s">
        <v>32</v>
      </c>
      <c r="E26" s="21" t="s">
        <v>33</v>
      </c>
      <c r="F26" s="22">
        <v>74</v>
      </c>
      <c r="G26" s="22">
        <v>71</v>
      </c>
      <c r="H26" s="22">
        <v>80</v>
      </c>
      <c r="J26" s="10">
        <v>90</v>
      </c>
      <c r="K26" s="10">
        <v>2</v>
      </c>
      <c r="L26" s="10">
        <v>188</v>
      </c>
      <c r="M26" s="10">
        <v>94</v>
      </c>
      <c r="N26" s="10">
        <v>2</v>
      </c>
      <c r="Q26" s="9" t="s">
        <v>53</v>
      </c>
      <c r="R26" s="9">
        <v>138</v>
      </c>
      <c r="S26" s="9">
        <v>131</v>
      </c>
      <c r="T26" s="9">
        <v>269</v>
      </c>
      <c r="V26" s="20" t="s">
        <v>40</v>
      </c>
      <c r="W26" s="20">
        <f>MODE(F2:F1001)</f>
        <v>65</v>
      </c>
    </row>
    <row r="27" spans="1:27" x14ac:dyDescent="0.25">
      <c r="A27" s="21" t="s">
        <v>5</v>
      </c>
      <c r="B27" s="21" t="s">
        <v>27</v>
      </c>
      <c r="C27" s="21" t="s">
        <v>16</v>
      </c>
      <c r="D27" s="21" t="s">
        <v>32</v>
      </c>
      <c r="E27" s="21" t="s">
        <v>34</v>
      </c>
      <c r="F27" s="22">
        <v>73</v>
      </c>
      <c r="G27" s="22">
        <v>74</v>
      </c>
      <c r="H27" s="22">
        <v>72</v>
      </c>
      <c r="J27" s="10">
        <v>47</v>
      </c>
      <c r="K27" s="10">
        <v>2</v>
      </c>
      <c r="L27" s="10">
        <v>101</v>
      </c>
      <c r="M27" s="10">
        <v>50.5</v>
      </c>
      <c r="N27" s="10">
        <v>84.5</v>
      </c>
      <c r="Q27" s="9" t="s">
        <v>54</v>
      </c>
      <c r="R27" s="9">
        <v>69</v>
      </c>
      <c r="S27" s="9">
        <v>65.5</v>
      </c>
      <c r="T27" s="9">
        <v>67.25</v>
      </c>
      <c r="V27" s="20" t="s">
        <v>41</v>
      </c>
      <c r="W27" s="20">
        <f>MODE(G2:G1001)</f>
        <v>72</v>
      </c>
    </row>
    <row r="28" spans="1:27" x14ac:dyDescent="0.25">
      <c r="A28" s="21" t="s">
        <v>5</v>
      </c>
      <c r="B28" s="21" t="s">
        <v>28</v>
      </c>
      <c r="C28" s="21" t="s">
        <v>45</v>
      </c>
      <c r="D28" s="21" t="s">
        <v>35</v>
      </c>
      <c r="E28" s="21" t="s">
        <v>34</v>
      </c>
      <c r="F28" s="22">
        <v>69</v>
      </c>
      <c r="G28" s="22">
        <v>54</v>
      </c>
      <c r="H28" s="22">
        <v>55</v>
      </c>
      <c r="J28" s="10">
        <v>76</v>
      </c>
      <c r="K28" s="10">
        <v>2</v>
      </c>
      <c r="L28" s="10">
        <v>153</v>
      </c>
      <c r="M28" s="10">
        <v>76.5</v>
      </c>
      <c r="N28" s="10">
        <v>4.5</v>
      </c>
      <c r="Q28" s="9" t="s">
        <v>55</v>
      </c>
      <c r="R28" s="9">
        <v>1352</v>
      </c>
      <c r="S28" s="9">
        <v>1404.5</v>
      </c>
      <c r="T28" s="9">
        <v>922.91666666666663</v>
      </c>
      <c r="V28" s="20" t="s">
        <v>42</v>
      </c>
      <c r="W28" s="20">
        <f>MODE(H2:H1001)</f>
        <v>74</v>
      </c>
    </row>
    <row r="29" spans="1:27" x14ac:dyDescent="0.25">
      <c r="A29" s="21" t="s">
        <v>4</v>
      </c>
      <c r="B29" s="21" t="s">
        <v>29</v>
      </c>
      <c r="C29" s="21" t="s">
        <v>43</v>
      </c>
      <c r="D29" s="21" t="s">
        <v>35</v>
      </c>
      <c r="E29" s="21" t="s">
        <v>34</v>
      </c>
      <c r="F29" s="22">
        <v>67</v>
      </c>
      <c r="G29" s="22">
        <v>69</v>
      </c>
      <c r="H29" s="22">
        <v>75</v>
      </c>
      <c r="J29" s="10">
        <v>71</v>
      </c>
      <c r="K29" s="10">
        <v>2</v>
      </c>
      <c r="L29" s="10">
        <v>161</v>
      </c>
      <c r="M29" s="10">
        <v>80.5</v>
      </c>
      <c r="N29" s="10">
        <v>12.5</v>
      </c>
      <c r="Q29" s="9"/>
      <c r="R29" s="9"/>
      <c r="S29" s="9"/>
      <c r="T29" s="9"/>
    </row>
    <row r="30" spans="1:27" x14ac:dyDescent="0.25">
      <c r="A30" s="21" t="s">
        <v>5</v>
      </c>
      <c r="B30" s="21" t="s">
        <v>29</v>
      </c>
      <c r="C30" s="21" t="s">
        <v>15</v>
      </c>
      <c r="D30" s="21" t="s">
        <v>35</v>
      </c>
      <c r="E30" s="21" t="s">
        <v>34</v>
      </c>
      <c r="F30" s="22">
        <v>70</v>
      </c>
      <c r="G30" s="22">
        <v>70</v>
      </c>
      <c r="H30" s="22">
        <v>65</v>
      </c>
      <c r="J30" s="10">
        <v>88</v>
      </c>
      <c r="K30" s="10">
        <v>2</v>
      </c>
      <c r="L30" s="10">
        <v>187</v>
      </c>
      <c r="M30" s="10">
        <v>93.5</v>
      </c>
      <c r="N30" s="10">
        <v>4.5</v>
      </c>
      <c r="Q30" s="14">
        <v>64</v>
      </c>
      <c r="R30" s="14"/>
      <c r="S30" s="14"/>
      <c r="T30" s="14"/>
    </row>
    <row r="31" spans="1:27" x14ac:dyDescent="0.25">
      <c r="A31" s="21" t="s">
        <v>4</v>
      </c>
      <c r="B31" s="21" t="s">
        <v>30</v>
      </c>
      <c r="C31" s="21" t="s">
        <v>16</v>
      </c>
      <c r="D31" s="21" t="s">
        <v>35</v>
      </c>
      <c r="E31" s="21" t="s">
        <v>34</v>
      </c>
      <c r="F31" s="22">
        <v>62</v>
      </c>
      <c r="G31" s="22">
        <v>70</v>
      </c>
      <c r="H31" s="22">
        <v>75</v>
      </c>
      <c r="J31" s="10">
        <v>40</v>
      </c>
      <c r="K31" s="10">
        <v>2</v>
      </c>
      <c r="L31" s="10">
        <v>82</v>
      </c>
      <c r="M31" s="10">
        <v>41</v>
      </c>
      <c r="N31" s="10">
        <v>8</v>
      </c>
      <c r="Q31" s="9" t="s">
        <v>52</v>
      </c>
      <c r="R31" s="9">
        <v>2</v>
      </c>
      <c r="S31" s="9">
        <v>2</v>
      </c>
      <c r="T31" s="9">
        <v>4</v>
      </c>
    </row>
    <row r="32" spans="1:27" x14ac:dyDescent="0.25">
      <c r="A32" s="21" t="s">
        <v>4</v>
      </c>
      <c r="B32" s="21" t="s">
        <v>30</v>
      </c>
      <c r="C32" s="21" t="s">
        <v>45</v>
      </c>
      <c r="D32" s="21" t="s">
        <v>35</v>
      </c>
      <c r="E32" s="21" t="s">
        <v>34</v>
      </c>
      <c r="F32" s="22">
        <v>69</v>
      </c>
      <c r="G32" s="22">
        <v>74</v>
      </c>
      <c r="H32" s="22">
        <v>74</v>
      </c>
      <c r="J32" s="10">
        <v>64</v>
      </c>
      <c r="K32" s="10">
        <v>2</v>
      </c>
      <c r="L32" s="10">
        <v>131</v>
      </c>
      <c r="M32" s="10">
        <v>65.5</v>
      </c>
      <c r="N32" s="10">
        <v>4.5</v>
      </c>
      <c r="Q32" s="9" t="s">
        <v>53</v>
      </c>
      <c r="R32" s="9">
        <v>124</v>
      </c>
      <c r="S32" s="9">
        <v>117</v>
      </c>
      <c r="T32" s="9">
        <v>241</v>
      </c>
    </row>
    <row r="33" spans="1:20" x14ac:dyDescent="0.25">
      <c r="A33" s="21" t="s">
        <v>4</v>
      </c>
      <c r="B33" s="21" t="s">
        <v>28</v>
      </c>
      <c r="C33" s="21" t="s">
        <v>45</v>
      </c>
      <c r="D33" s="21" t="s">
        <v>35</v>
      </c>
      <c r="E33" s="21" t="s">
        <v>34</v>
      </c>
      <c r="F33" s="22">
        <v>63</v>
      </c>
      <c r="G33" s="22">
        <v>65</v>
      </c>
      <c r="H33" s="22">
        <v>61</v>
      </c>
      <c r="J33" s="10">
        <v>38</v>
      </c>
      <c r="K33" s="10">
        <v>2</v>
      </c>
      <c r="L33" s="10">
        <v>110</v>
      </c>
      <c r="M33" s="10">
        <v>55</v>
      </c>
      <c r="N33" s="10">
        <v>50</v>
      </c>
      <c r="Q33" s="9" t="s">
        <v>54</v>
      </c>
      <c r="R33" s="9">
        <v>62</v>
      </c>
      <c r="S33" s="9">
        <v>58.5</v>
      </c>
      <c r="T33" s="9">
        <v>60.25</v>
      </c>
    </row>
    <row r="34" spans="1:20" x14ac:dyDescent="0.25">
      <c r="A34" s="21" t="s">
        <v>4</v>
      </c>
      <c r="B34" s="21" t="s">
        <v>31</v>
      </c>
      <c r="C34" s="21" t="s">
        <v>16</v>
      </c>
      <c r="D34" s="21" t="s">
        <v>32</v>
      </c>
      <c r="E34" s="21" t="s">
        <v>34</v>
      </c>
      <c r="F34" s="22">
        <v>56</v>
      </c>
      <c r="G34" s="22">
        <v>72</v>
      </c>
      <c r="H34" s="22">
        <v>65</v>
      </c>
      <c r="J34" s="10">
        <v>58</v>
      </c>
      <c r="K34" s="10">
        <v>2</v>
      </c>
      <c r="L34" s="10">
        <v>106</v>
      </c>
      <c r="M34" s="10">
        <v>53</v>
      </c>
      <c r="N34" s="10">
        <v>2</v>
      </c>
      <c r="Q34" s="9" t="s">
        <v>55</v>
      </c>
      <c r="R34" s="9">
        <v>8</v>
      </c>
      <c r="S34" s="9">
        <v>144.5</v>
      </c>
      <c r="T34" s="9">
        <v>54.916666666666664</v>
      </c>
    </row>
    <row r="35" spans="1:20" x14ac:dyDescent="0.25">
      <c r="A35" s="21" t="s">
        <v>5</v>
      </c>
      <c r="B35" s="21" t="s">
        <v>30</v>
      </c>
      <c r="C35" s="21" t="s">
        <v>45</v>
      </c>
      <c r="D35" s="21" t="s">
        <v>35</v>
      </c>
      <c r="E35" s="21" t="s">
        <v>34</v>
      </c>
      <c r="F35" s="22">
        <v>40</v>
      </c>
      <c r="G35" s="22">
        <v>42</v>
      </c>
      <c r="H35" s="22">
        <v>38</v>
      </c>
      <c r="J35" s="10">
        <v>40</v>
      </c>
      <c r="K35" s="10">
        <v>2</v>
      </c>
      <c r="L35" s="10">
        <v>95</v>
      </c>
      <c r="M35" s="10">
        <v>47.5</v>
      </c>
      <c r="N35" s="10">
        <v>40.5</v>
      </c>
      <c r="Q35" s="9"/>
      <c r="R35" s="9"/>
      <c r="S35" s="9"/>
      <c r="T35" s="9"/>
    </row>
    <row r="36" spans="1:20" x14ac:dyDescent="0.25">
      <c r="A36" s="21" t="s">
        <v>5</v>
      </c>
      <c r="B36" s="21" t="s">
        <v>31</v>
      </c>
      <c r="C36" s="21" t="s">
        <v>45</v>
      </c>
      <c r="D36" s="21" t="s">
        <v>35</v>
      </c>
      <c r="E36" s="21" t="s">
        <v>34</v>
      </c>
      <c r="F36" s="22">
        <v>97</v>
      </c>
      <c r="G36" s="22">
        <v>87</v>
      </c>
      <c r="H36" s="22">
        <v>82</v>
      </c>
      <c r="J36" s="10">
        <v>65</v>
      </c>
      <c r="K36" s="10">
        <v>2</v>
      </c>
      <c r="L36" s="10">
        <v>154</v>
      </c>
      <c r="M36" s="10">
        <v>77</v>
      </c>
      <c r="N36" s="10">
        <v>32</v>
      </c>
      <c r="Q36" s="14">
        <v>58</v>
      </c>
      <c r="R36" s="14"/>
      <c r="S36" s="14"/>
      <c r="T36" s="14"/>
    </row>
    <row r="37" spans="1:20" x14ac:dyDescent="0.25">
      <c r="A37" s="21" t="s">
        <v>5</v>
      </c>
      <c r="B37" s="21" t="s">
        <v>31</v>
      </c>
      <c r="C37" s="21" t="s">
        <v>14</v>
      </c>
      <c r="D37" s="21" t="s">
        <v>35</v>
      </c>
      <c r="E37" s="21" t="s">
        <v>33</v>
      </c>
      <c r="F37" s="22">
        <v>81</v>
      </c>
      <c r="G37" s="22">
        <v>81</v>
      </c>
      <c r="H37" s="22">
        <v>79</v>
      </c>
      <c r="J37" s="10">
        <v>78</v>
      </c>
      <c r="K37" s="10">
        <v>2</v>
      </c>
      <c r="L37" s="10">
        <v>142</v>
      </c>
      <c r="M37" s="10">
        <v>71</v>
      </c>
      <c r="N37" s="10">
        <v>2</v>
      </c>
      <c r="Q37" s="9" t="s">
        <v>52</v>
      </c>
      <c r="R37" s="9">
        <v>2</v>
      </c>
      <c r="S37" s="9">
        <v>2</v>
      </c>
      <c r="T37" s="9">
        <v>4</v>
      </c>
    </row>
    <row r="38" spans="1:20" x14ac:dyDescent="0.25">
      <c r="A38" s="21" t="s">
        <v>4</v>
      </c>
      <c r="B38" s="21" t="s">
        <v>30</v>
      </c>
      <c r="C38" s="21" t="s">
        <v>14</v>
      </c>
      <c r="D38" s="21" t="s">
        <v>35</v>
      </c>
      <c r="E38" s="21" t="s">
        <v>34</v>
      </c>
      <c r="F38" s="22">
        <v>74</v>
      </c>
      <c r="G38" s="22">
        <v>81</v>
      </c>
      <c r="H38" s="22">
        <v>83</v>
      </c>
      <c r="J38" s="10">
        <v>50</v>
      </c>
      <c r="K38" s="10">
        <v>2</v>
      </c>
      <c r="L38" s="10">
        <v>111</v>
      </c>
      <c r="M38" s="10">
        <v>55.5</v>
      </c>
      <c r="N38" s="10">
        <v>12.5</v>
      </c>
      <c r="Q38" s="9" t="s">
        <v>53</v>
      </c>
      <c r="R38" s="9">
        <v>106</v>
      </c>
      <c r="S38" s="9">
        <v>95</v>
      </c>
      <c r="T38" s="9">
        <v>201</v>
      </c>
    </row>
    <row r="39" spans="1:20" x14ac:dyDescent="0.25">
      <c r="A39" s="21" t="s">
        <v>4</v>
      </c>
      <c r="B39" s="21" t="s">
        <v>30</v>
      </c>
      <c r="C39" s="21" t="s">
        <v>17</v>
      </c>
      <c r="D39" s="21" t="s">
        <v>32</v>
      </c>
      <c r="E39" s="21" t="s">
        <v>34</v>
      </c>
      <c r="F39" s="22">
        <v>50</v>
      </c>
      <c r="G39" s="22">
        <v>64</v>
      </c>
      <c r="H39" s="22">
        <v>59</v>
      </c>
      <c r="J39" s="10">
        <v>69</v>
      </c>
      <c r="K39" s="10">
        <v>2</v>
      </c>
      <c r="L39" s="10">
        <v>153</v>
      </c>
      <c r="M39" s="10">
        <v>76.5</v>
      </c>
      <c r="N39" s="10">
        <v>4.5</v>
      </c>
      <c r="Q39" s="9" t="s">
        <v>54</v>
      </c>
      <c r="R39" s="9">
        <v>53</v>
      </c>
      <c r="S39" s="9">
        <v>47.5</v>
      </c>
      <c r="T39" s="9">
        <v>50.25</v>
      </c>
    </row>
    <row r="40" spans="1:20" x14ac:dyDescent="0.25">
      <c r="A40" s="21" t="s">
        <v>4</v>
      </c>
      <c r="B40" s="21" t="s">
        <v>30</v>
      </c>
      <c r="C40" s="21" t="s">
        <v>14</v>
      </c>
      <c r="D40" s="21" t="s">
        <v>32</v>
      </c>
      <c r="E40" s="21" t="s">
        <v>33</v>
      </c>
      <c r="F40" s="22">
        <v>75</v>
      </c>
      <c r="G40" s="22">
        <v>90</v>
      </c>
      <c r="H40" s="22">
        <v>88</v>
      </c>
      <c r="J40" s="10">
        <v>88</v>
      </c>
      <c r="K40" s="10">
        <v>2</v>
      </c>
      <c r="L40" s="10">
        <v>175</v>
      </c>
      <c r="M40" s="10">
        <v>87.5</v>
      </c>
      <c r="N40" s="10">
        <v>4.5</v>
      </c>
      <c r="Q40" s="9" t="s">
        <v>55</v>
      </c>
      <c r="R40" s="9">
        <v>2</v>
      </c>
      <c r="S40" s="9">
        <v>40.5</v>
      </c>
      <c r="T40" s="9">
        <v>24.25</v>
      </c>
    </row>
    <row r="41" spans="1:20" x14ac:dyDescent="0.25">
      <c r="A41" s="21" t="s">
        <v>5</v>
      </c>
      <c r="B41" s="21" t="s">
        <v>28</v>
      </c>
      <c r="C41" s="21" t="s">
        <v>14</v>
      </c>
      <c r="D41" s="21" t="s">
        <v>32</v>
      </c>
      <c r="E41" s="21" t="s">
        <v>34</v>
      </c>
      <c r="F41" s="22">
        <v>57</v>
      </c>
      <c r="G41" s="22">
        <v>56</v>
      </c>
      <c r="H41" s="22">
        <v>57</v>
      </c>
      <c r="J41" s="10">
        <v>18</v>
      </c>
      <c r="K41" s="10">
        <v>2</v>
      </c>
      <c r="L41" s="10">
        <v>60</v>
      </c>
      <c r="M41" s="10">
        <v>30</v>
      </c>
      <c r="N41" s="10">
        <v>8</v>
      </c>
      <c r="Q41" s="9"/>
      <c r="R41" s="9"/>
      <c r="S41" s="9"/>
      <c r="T41" s="9"/>
    </row>
    <row r="42" spans="1:20" x14ac:dyDescent="0.25">
      <c r="A42" s="21" t="s">
        <v>5</v>
      </c>
      <c r="B42" s="21" t="s">
        <v>29</v>
      </c>
      <c r="C42" s="21" t="s">
        <v>14</v>
      </c>
      <c r="D42" s="21" t="s">
        <v>32</v>
      </c>
      <c r="E42" s="21" t="s">
        <v>34</v>
      </c>
      <c r="F42" s="22">
        <v>55</v>
      </c>
      <c r="G42" s="22">
        <v>61</v>
      </c>
      <c r="H42" s="22">
        <v>54</v>
      </c>
      <c r="J42" s="10">
        <v>46</v>
      </c>
      <c r="K42" s="10">
        <v>2</v>
      </c>
      <c r="L42" s="10">
        <v>88</v>
      </c>
      <c r="M42" s="10">
        <v>44</v>
      </c>
      <c r="N42" s="10">
        <v>8</v>
      </c>
      <c r="Q42" s="14">
        <v>65</v>
      </c>
      <c r="R42" s="14"/>
      <c r="S42" s="14"/>
      <c r="T42" s="14"/>
    </row>
    <row r="43" spans="1:20" x14ac:dyDescent="0.25">
      <c r="A43" s="21" t="s">
        <v>4</v>
      </c>
      <c r="B43" s="21" t="s">
        <v>29</v>
      </c>
      <c r="C43" s="21" t="s">
        <v>14</v>
      </c>
      <c r="D43" s="21" t="s">
        <v>35</v>
      </c>
      <c r="E43" s="21" t="s">
        <v>34</v>
      </c>
      <c r="F43" s="22">
        <v>58</v>
      </c>
      <c r="G43" s="22">
        <v>73</v>
      </c>
      <c r="H43" s="22">
        <v>68</v>
      </c>
      <c r="J43" s="10">
        <v>54</v>
      </c>
      <c r="K43" s="10">
        <v>2</v>
      </c>
      <c r="L43" s="10">
        <v>119</v>
      </c>
      <c r="M43" s="10">
        <v>59.5</v>
      </c>
      <c r="N43" s="10">
        <v>4.5</v>
      </c>
      <c r="Q43" s="9" t="s">
        <v>52</v>
      </c>
      <c r="R43" s="9">
        <v>2</v>
      </c>
      <c r="S43" s="9">
        <v>2</v>
      </c>
      <c r="T43" s="9">
        <v>4</v>
      </c>
    </row>
    <row r="44" spans="1:20" x14ac:dyDescent="0.25">
      <c r="A44" s="21" t="s">
        <v>4</v>
      </c>
      <c r="B44" s="21" t="s">
        <v>28</v>
      </c>
      <c r="C44" s="21" t="s">
        <v>14</v>
      </c>
      <c r="D44" s="21" t="s">
        <v>35</v>
      </c>
      <c r="E44" s="21" t="s">
        <v>34</v>
      </c>
      <c r="F44" s="22">
        <v>53</v>
      </c>
      <c r="G44" s="22">
        <v>58</v>
      </c>
      <c r="H44" s="22">
        <v>65</v>
      </c>
      <c r="J44" s="10">
        <v>66</v>
      </c>
      <c r="K44" s="10">
        <v>2</v>
      </c>
      <c r="L44" s="10">
        <v>132</v>
      </c>
      <c r="M44" s="10">
        <v>66</v>
      </c>
      <c r="N44" s="10">
        <v>18</v>
      </c>
      <c r="Q44" s="9" t="s">
        <v>53</v>
      </c>
      <c r="R44" s="9">
        <v>153</v>
      </c>
      <c r="S44" s="9">
        <v>143</v>
      </c>
      <c r="T44" s="9">
        <v>296</v>
      </c>
    </row>
    <row r="45" spans="1:20" x14ac:dyDescent="0.25">
      <c r="A45" s="21" t="s">
        <v>5</v>
      </c>
      <c r="B45" s="21" t="s">
        <v>28</v>
      </c>
      <c r="C45" s="21" t="s">
        <v>45</v>
      </c>
      <c r="D45" s="21" t="s">
        <v>32</v>
      </c>
      <c r="E45" s="21" t="s">
        <v>33</v>
      </c>
      <c r="F45" s="22">
        <v>59</v>
      </c>
      <c r="G45" s="22">
        <v>65</v>
      </c>
      <c r="H45" s="22">
        <v>66</v>
      </c>
      <c r="J45" s="10">
        <v>65</v>
      </c>
      <c r="K45" s="10">
        <v>2</v>
      </c>
      <c r="L45" s="10">
        <v>145</v>
      </c>
      <c r="M45" s="10">
        <v>72.5</v>
      </c>
      <c r="N45" s="10">
        <v>12.5</v>
      </c>
      <c r="Q45" s="9" t="s">
        <v>54</v>
      </c>
      <c r="R45" s="9">
        <v>76.5</v>
      </c>
      <c r="S45" s="9">
        <v>71.5</v>
      </c>
      <c r="T45" s="9">
        <v>74</v>
      </c>
    </row>
    <row r="46" spans="1:20" x14ac:dyDescent="0.25">
      <c r="A46" s="21" t="s">
        <v>4</v>
      </c>
      <c r="B46" s="21" t="s">
        <v>31</v>
      </c>
      <c r="C46" s="21" t="s">
        <v>14</v>
      </c>
      <c r="D46" s="21" t="s">
        <v>32</v>
      </c>
      <c r="E46" s="21" t="s">
        <v>34</v>
      </c>
      <c r="F46" s="22">
        <v>50</v>
      </c>
      <c r="G46" s="22">
        <v>56</v>
      </c>
      <c r="H46" s="22">
        <v>54</v>
      </c>
      <c r="J46" s="10">
        <v>44</v>
      </c>
      <c r="K46" s="10">
        <v>2</v>
      </c>
      <c r="L46" s="10">
        <v>107</v>
      </c>
      <c r="M46" s="10">
        <v>53.5</v>
      </c>
      <c r="N46" s="10">
        <v>0.5</v>
      </c>
      <c r="Q46" s="9" t="s">
        <v>55</v>
      </c>
      <c r="R46" s="9">
        <v>40.5</v>
      </c>
      <c r="S46" s="9">
        <v>4.5</v>
      </c>
      <c r="T46" s="9">
        <v>23.333333333333332</v>
      </c>
    </row>
    <row r="47" spans="1:20" x14ac:dyDescent="0.25">
      <c r="A47" s="21" t="s">
        <v>5</v>
      </c>
      <c r="B47" s="21" t="s">
        <v>28</v>
      </c>
      <c r="C47" s="21" t="s">
        <v>14</v>
      </c>
      <c r="D47" s="21" t="s">
        <v>35</v>
      </c>
      <c r="E47" s="21" t="s">
        <v>34</v>
      </c>
      <c r="F47" s="22">
        <v>65</v>
      </c>
      <c r="G47" s="22">
        <v>54</v>
      </c>
      <c r="H47" s="22">
        <v>57</v>
      </c>
      <c r="J47" s="10">
        <v>69</v>
      </c>
      <c r="K47" s="10">
        <v>2</v>
      </c>
      <c r="L47" s="10">
        <v>146</v>
      </c>
      <c r="M47" s="10">
        <v>73</v>
      </c>
      <c r="N47" s="10">
        <v>0</v>
      </c>
      <c r="Q47" s="9"/>
      <c r="R47" s="9"/>
      <c r="S47" s="9"/>
      <c r="T47" s="9"/>
    </row>
    <row r="48" spans="1:20" x14ac:dyDescent="0.25">
      <c r="A48" s="21" t="s">
        <v>4</v>
      </c>
      <c r="B48" s="21" t="s">
        <v>27</v>
      </c>
      <c r="C48" s="21" t="s">
        <v>14</v>
      </c>
      <c r="D48" s="21" t="s">
        <v>35</v>
      </c>
      <c r="E48" s="21" t="s">
        <v>33</v>
      </c>
      <c r="F48" s="22">
        <v>55</v>
      </c>
      <c r="G48" s="22">
        <v>65</v>
      </c>
      <c r="H48" s="22">
        <v>62</v>
      </c>
      <c r="J48" s="10">
        <v>74</v>
      </c>
      <c r="K48" s="10">
        <v>2</v>
      </c>
      <c r="L48" s="10">
        <v>151</v>
      </c>
      <c r="M48" s="10">
        <v>75.5</v>
      </c>
      <c r="N48" s="10">
        <v>40.5</v>
      </c>
      <c r="Q48" s="14">
        <v>50</v>
      </c>
      <c r="R48" s="14"/>
      <c r="S48" s="14"/>
      <c r="T48" s="14"/>
    </row>
    <row r="49" spans="1:20" x14ac:dyDescent="0.25">
      <c r="A49" s="21" t="s">
        <v>4</v>
      </c>
      <c r="B49" s="21" t="s">
        <v>29</v>
      </c>
      <c r="C49" s="21" t="s">
        <v>15</v>
      </c>
      <c r="D49" s="21" t="s">
        <v>35</v>
      </c>
      <c r="E49" s="21" t="s">
        <v>34</v>
      </c>
      <c r="F49" s="22">
        <v>66</v>
      </c>
      <c r="G49" s="22">
        <v>71</v>
      </c>
      <c r="H49" s="22">
        <v>76</v>
      </c>
      <c r="J49" s="10">
        <v>73</v>
      </c>
      <c r="K49" s="10">
        <v>2</v>
      </c>
      <c r="L49" s="10">
        <v>146</v>
      </c>
      <c r="M49" s="10">
        <v>73</v>
      </c>
      <c r="N49" s="10">
        <v>2</v>
      </c>
      <c r="Q49" s="9" t="s">
        <v>52</v>
      </c>
      <c r="R49" s="9">
        <v>2</v>
      </c>
      <c r="S49" s="9">
        <v>2</v>
      </c>
      <c r="T49" s="9">
        <v>4</v>
      </c>
    </row>
    <row r="50" spans="1:20" x14ac:dyDescent="0.25">
      <c r="A50" s="21" t="s">
        <v>4</v>
      </c>
      <c r="B50" s="21" t="s">
        <v>30</v>
      </c>
      <c r="C50" s="21" t="s">
        <v>14</v>
      </c>
      <c r="D50" s="21" t="s">
        <v>32</v>
      </c>
      <c r="E50" s="21" t="s">
        <v>33</v>
      </c>
      <c r="F50" s="22">
        <v>57</v>
      </c>
      <c r="G50" s="22">
        <v>74</v>
      </c>
      <c r="H50" s="22">
        <v>76</v>
      </c>
      <c r="J50" s="10">
        <v>69</v>
      </c>
      <c r="K50" s="10">
        <v>2</v>
      </c>
      <c r="L50" s="10">
        <v>109</v>
      </c>
      <c r="M50" s="10">
        <v>54.5</v>
      </c>
      <c r="N50" s="10">
        <v>0.5</v>
      </c>
      <c r="Q50" s="9" t="s">
        <v>53</v>
      </c>
      <c r="R50" s="9">
        <v>128</v>
      </c>
      <c r="S50" s="9">
        <v>136</v>
      </c>
      <c r="T50" s="9">
        <v>264</v>
      </c>
    </row>
    <row r="51" spans="1:20" x14ac:dyDescent="0.25">
      <c r="A51" s="21" t="s">
        <v>5</v>
      </c>
      <c r="B51" s="21" t="s">
        <v>29</v>
      </c>
      <c r="C51" s="21" t="s">
        <v>15</v>
      </c>
      <c r="D51" s="21" t="s">
        <v>35</v>
      </c>
      <c r="E51" s="21" t="s">
        <v>33</v>
      </c>
      <c r="F51" s="22">
        <v>82</v>
      </c>
      <c r="G51" s="22">
        <v>84</v>
      </c>
      <c r="H51" s="22">
        <v>82</v>
      </c>
      <c r="J51" s="10">
        <v>67</v>
      </c>
      <c r="K51" s="10">
        <v>2</v>
      </c>
      <c r="L51" s="10">
        <v>144</v>
      </c>
      <c r="M51" s="10">
        <v>72</v>
      </c>
      <c r="N51" s="10">
        <v>18</v>
      </c>
      <c r="Q51" s="9" t="s">
        <v>54</v>
      </c>
      <c r="R51" s="9">
        <v>64</v>
      </c>
      <c r="S51" s="9">
        <v>68</v>
      </c>
      <c r="T51" s="9">
        <v>66</v>
      </c>
    </row>
    <row r="52" spans="1:20" x14ac:dyDescent="0.25">
      <c r="A52" s="21" t="s">
        <v>5</v>
      </c>
      <c r="B52" s="21" t="s">
        <v>31</v>
      </c>
      <c r="C52" s="21" t="s">
        <v>45</v>
      </c>
      <c r="D52" s="21" t="s">
        <v>35</v>
      </c>
      <c r="E52" s="21" t="s">
        <v>34</v>
      </c>
      <c r="F52" s="22">
        <v>53</v>
      </c>
      <c r="G52" s="22">
        <v>55</v>
      </c>
      <c r="H52" s="22">
        <v>48</v>
      </c>
      <c r="J52" s="10">
        <v>70</v>
      </c>
      <c r="K52" s="10">
        <v>2</v>
      </c>
      <c r="L52" s="10">
        <v>135</v>
      </c>
      <c r="M52" s="10">
        <v>67.5</v>
      </c>
      <c r="N52" s="10">
        <v>12.5</v>
      </c>
      <c r="Q52" s="9" t="s">
        <v>55</v>
      </c>
      <c r="R52" s="9">
        <v>242</v>
      </c>
      <c r="S52" s="9">
        <v>200</v>
      </c>
      <c r="T52" s="9">
        <v>152.66666666666666</v>
      </c>
    </row>
    <row r="53" spans="1:20" x14ac:dyDescent="0.25">
      <c r="A53" s="21" t="s">
        <v>5</v>
      </c>
      <c r="B53" s="21" t="s">
        <v>31</v>
      </c>
      <c r="C53" s="21" t="s">
        <v>14</v>
      </c>
      <c r="D53" s="21" t="s">
        <v>32</v>
      </c>
      <c r="E53" s="21" t="s">
        <v>33</v>
      </c>
      <c r="F53" s="22">
        <v>77</v>
      </c>
      <c r="G53" s="22">
        <v>69</v>
      </c>
      <c r="H53" s="22">
        <v>68</v>
      </c>
      <c r="J53" s="10">
        <v>62</v>
      </c>
      <c r="K53" s="10">
        <v>2</v>
      </c>
      <c r="L53" s="10">
        <v>145</v>
      </c>
      <c r="M53" s="10">
        <v>72.5</v>
      </c>
      <c r="N53" s="10">
        <v>12.5</v>
      </c>
      <c r="Q53" s="9"/>
      <c r="R53" s="9"/>
      <c r="S53" s="9"/>
      <c r="T53" s="9"/>
    </row>
    <row r="54" spans="1:20" x14ac:dyDescent="0.25">
      <c r="A54" s="21" t="s">
        <v>5</v>
      </c>
      <c r="B54" s="21" t="s">
        <v>29</v>
      </c>
      <c r="C54" s="21" t="s">
        <v>45</v>
      </c>
      <c r="D54" s="21" t="s">
        <v>35</v>
      </c>
      <c r="E54" s="21" t="s">
        <v>34</v>
      </c>
      <c r="F54" s="22">
        <v>53</v>
      </c>
      <c r="G54" s="22">
        <v>44</v>
      </c>
      <c r="H54" s="22">
        <v>42</v>
      </c>
      <c r="J54" s="10">
        <v>69</v>
      </c>
      <c r="K54" s="10">
        <v>2</v>
      </c>
      <c r="L54" s="10">
        <v>148</v>
      </c>
      <c r="M54" s="10">
        <v>74</v>
      </c>
      <c r="N54" s="10">
        <v>0</v>
      </c>
      <c r="Q54" s="14">
        <v>88</v>
      </c>
      <c r="R54" s="14"/>
      <c r="S54" s="14"/>
      <c r="T54" s="14"/>
    </row>
    <row r="55" spans="1:20" x14ac:dyDescent="0.25">
      <c r="A55" s="21" t="s">
        <v>5</v>
      </c>
      <c r="B55" s="21" t="s">
        <v>30</v>
      </c>
      <c r="C55" s="21" t="s">
        <v>15</v>
      </c>
      <c r="D55" s="21" t="s">
        <v>35</v>
      </c>
      <c r="E55" s="21" t="s">
        <v>34</v>
      </c>
      <c r="F55" s="22">
        <v>88</v>
      </c>
      <c r="G55" s="22">
        <v>78</v>
      </c>
      <c r="H55" s="22">
        <v>75</v>
      </c>
      <c r="J55" s="10">
        <v>63</v>
      </c>
      <c r="K55" s="10">
        <v>2</v>
      </c>
      <c r="L55" s="10">
        <v>126</v>
      </c>
      <c r="M55" s="10">
        <v>63</v>
      </c>
      <c r="N55" s="10">
        <v>8</v>
      </c>
      <c r="Q55" s="9" t="s">
        <v>52</v>
      </c>
      <c r="R55" s="9">
        <v>2</v>
      </c>
      <c r="S55" s="9">
        <v>2</v>
      </c>
      <c r="T55" s="9">
        <v>4</v>
      </c>
    </row>
    <row r="56" spans="1:20" x14ac:dyDescent="0.25">
      <c r="A56" s="21" t="s">
        <v>4</v>
      </c>
      <c r="B56" s="21" t="s">
        <v>29</v>
      </c>
      <c r="C56" s="21" t="s">
        <v>17</v>
      </c>
      <c r="D56" s="21" t="s">
        <v>32</v>
      </c>
      <c r="E56" s="21" t="s">
        <v>33</v>
      </c>
      <c r="F56" s="22">
        <v>71</v>
      </c>
      <c r="G56" s="22">
        <v>84</v>
      </c>
      <c r="H56" s="22">
        <v>87</v>
      </c>
      <c r="J56" s="10">
        <v>56</v>
      </c>
      <c r="K56" s="10">
        <v>2</v>
      </c>
      <c r="L56" s="10">
        <v>137</v>
      </c>
      <c r="M56" s="10">
        <v>68.5</v>
      </c>
      <c r="N56" s="10">
        <v>24.5</v>
      </c>
      <c r="Q56" s="9" t="s">
        <v>53</v>
      </c>
      <c r="R56" s="9">
        <v>121</v>
      </c>
      <c r="S56" s="9">
        <v>114</v>
      </c>
      <c r="T56" s="9">
        <v>235</v>
      </c>
    </row>
    <row r="57" spans="1:20" x14ac:dyDescent="0.25">
      <c r="A57" s="21" t="s">
        <v>4</v>
      </c>
      <c r="B57" s="21" t="s">
        <v>29</v>
      </c>
      <c r="C57" s="21" t="s">
        <v>15</v>
      </c>
      <c r="D57" s="21" t="s">
        <v>32</v>
      </c>
      <c r="E57" s="21" t="s">
        <v>34</v>
      </c>
      <c r="F57" s="22">
        <v>33</v>
      </c>
      <c r="G57" s="22">
        <v>41</v>
      </c>
      <c r="H57" s="22">
        <v>43</v>
      </c>
      <c r="J57" s="10">
        <v>40</v>
      </c>
      <c r="K57" s="10">
        <v>2</v>
      </c>
      <c r="L57" s="10">
        <v>80</v>
      </c>
      <c r="M57" s="10">
        <v>40</v>
      </c>
      <c r="N57" s="10">
        <v>8</v>
      </c>
      <c r="Q57" s="9" t="s">
        <v>54</v>
      </c>
      <c r="R57" s="9">
        <v>60.5</v>
      </c>
      <c r="S57" s="9">
        <v>57</v>
      </c>
      <c r="T57" s="9">
        <v>58.75</v>
      </c>
    </row>
    <row r="58" spans="1:20" x14ac:dyDescent="0.25">
      <c r="A58" s="21" t="s">
        <v>4</v>
      </c>
      <c r="B58" s="21" t="s">
        <v>31</v>
      </c>
      <c r="C58" s="21" t="s">
        <v>14</v>
      </c>
      <c r="D58" s="21" t="s">
        <v>35</v>
      </c>
      <c r="E58" s="21" t="s">
        <v>33</v>
      </c>
      <c r="F58" s="22">
        <v>82</v>
      </c>
      <c r="G58" s="22">
        <v>85</v>
      </c>
      <c r="H58" s="22">
        <v>86</v>
      </c>
      <c r="J58" s="10">
        <v>97</v>
      </c>
      <c r="K58" s="10">
        <v>2</v>
      </c>
      <c r="L58" s="10">
        <v>169</v>
      </c>
      <c r="M58" s="10">
        <v>84.5</v>
      </c>
      <c r="N58" s="10">
        <v>12.5</v>
      </c>
      <c r="Q58" s="9" t="s">
        <v>55</v>
      </c>
      <c r="R58" s="9">
        <v>1624.5</v>
      </c>
      <c r="S58" s="9">
        <v>1682</v>
      </c>
      <c r="T58" s="9">
        <v>1106.25</v>
      </c>
    </row>
    <row r="59" spans="1:20" x14ac:dyDescent="0.25">
      <c r="A59" s="21" t="s">
        <v>5</v>
      </c>
      <c r="B59" s="21" t="s">
        <v>30</v>
      </c>
      <c r="C59" s="21" t="s">
        <v>14</v>
      </c>
      <c r="D59" s="21" t="s">
        <v>35</v>
      </c>
      <c r="E59" s="21" t="s">
        <v>34</v>
      </c>
      <c r="F59" s="22">
        <v>52</v>
      </c>
      <c r="G59" s="22">
        <v>55</v>
      </c>
      <c r="H59" s="22">
        <v>49</v>
      </c>
      <c r="J59" s="10">
        <v>81</v>
      </c>
      <c r="K59" s="10">
        <v>2</v>
      </c>
      <c r="L59" s="10">
        <v>160</v>
      </c>
      <c r="M59" s="10">
        <v>80</v>
      </c>
      <c r="N59" s="10">
        <v>2</v>
      </c>
      <c r="Q59" s="9"/>
      <c r="R59" s="9"/>
      <c r="S59" s="9"/>
      <c r="T59" s="9"/>
    </row>
    <row r="60" spans="1:20" x14ac:dyDescent="0.25">
      <c r="A60" s="21" t="s">
        <v>5</v>
      </c>
      <c r="B60" s="21" t="s">
        <v>30</v>
      </c>
      <c r="C60" s="21" t="s">
        <v>45</v>
      </c>
      <c r="D60" s="21" t="s">
        <v>35</v>
      </c>
      <c r="E60" s="21" t="s">
        <v>33</v>
      </c>
      <c r="F60" s="22">
        <v>58</v>
      </c>
      <c r="G60" s="22">
        <v>59</v>
      </c>
      <c r="H60" s="22">
        <v>58</v>
      </c>
      <c r="J60" s="10">
        <v>74</v>
      </c>
      <c r="K60" s="10">
        <v>2</v>
      </c>
      <c r="L60" s="10">
        <v>164</v>
      </c>
      <c r="M60" s="10">
        <v>82</v>
      </c>
      <c r="N60" s="10">
        <v>2</v>
      </c>
      <c r="Q60" s="14">
        <v>46</v>
      </c>
      <c r="R60" s="14"/>
      <c r="S60" s="14"/>
      <c r="T60" s="14"/>
    </row>
    <row r="61" spans="1:20" x14ac:dyDescent="0.25">
      <c r="A61" s="21" t="s">
        <v>4</v>
      </c>
      <c r="B61" s="21" t="s">
        <v>29</v>
      </c>
      <c r="C61" s="21" t="s">
        <v>17</v>
      </c>
      <c r="D61" s="21" t="s">
        <v>32</v>
      </c>
      <c r="E61" s="21" t="s">
        <v>34</v>
      </c>
      <c r="F61" s="22">
        <v>0</v>
      </c>
      <c r="G61" s="22">
        <v>17</v>
      </c>
      <c r="H61" s="22">
        <v>10</v>
      </c>
      <c r="J61" s="10">
        <v>50</v>
      </c>
      <c r="K61" s="10">
        <v>2</v>
      </c>
      <c r="L61" s="10">
        <v>123</v>
      </c>
      <c r="M61" s="10">
        <v>61.5</v>
      </c>
      <c r="N61" s="10">
        <v>12.5</v>
      </c>
      <c r="Q61" s="9" t="s">
        <v>52</v>
      </c>
      <c r="R61" s="9">
        <v>2</v>
      </c>
      <c r="S61" s="9">
        <v>2</v>
      </c>
      <c r="T61" s="9">
        <v>4</v>
      </c>
    </row>
    <row r="62" spans="1:20" x14ac:dyDescent="0.25">
      <c r="A62" s="21" t="s">
        <v>5</v>
      </c>
      <c r="B62" s="21" t="s">
        <v>31</v>
      </c>
      <c r="C62" s="21" t="s">
        <v>43</v>
      </c>
      <c r="D62" s="21" t="s">
        <v>32</v>
      </c>
      <c r="E62" s="21" t="s">
        <v>33</v>
      </c>
      <c r="F62" s="22">
        <v>79</v>
      </c>
      <c r="G62" s="22">
        <v>74</v>
      </c>
      <c r="H62" s="22">
        <v>72</v>
      </c>
      <c r="J62" s="10">
        <v>75</v>
      </c>
      <c r="K62" s="10">
        <v>2</v>
      </c>
      <c r="L62" s="10">
        <v>178</v>
      </c>
      <c r="M62" s="10">
        <v>89</v>
      </c>
      <c r="N62" s="10">
        <v>2</v>
      </c>
      <c r="Q62" s="9" t="s">
        <v>53</v>
      </c>
      <c r="R62" s="9">
        <v>100</v>
      </c>
      <c r="S62" s="9">
        <v>107</v>
      </c>
      <c r="T62" s="9">
        <v>207</v>
      </c>
    </row>
    <row r="63" spans="1:20" x14ac:dyDescent="0.25">
      <c r="A63" s="21" t="s">
        <v>5</v>
      </c>
      <c r="B63" s="21" t="s">
        <v>27</v>
      </c>
      <c r="C63" s="21" t="s">
        <v>17</v>
      </c>
      <c r="D63" s="21" t="s">
        <v>32</v>
      </c>
      <c r="E63" s="21" t="s">
        <v>34</v>
      </c>
      <c r="F63" s="22">
        <v>39</v>
      </c>
      <c r="G63" s="22">
        <v>39</v>
      </c>
      <c r="H63" s="22">
        <v>34</v>
      </c>
      <c r="J63" s="10">
        <v>57</v>
      </c>
      <c r="K63" s="10">
        <v>2</v>
      </c>
      <c r="L63" s="10">
        <v>113</v>
      </c>
      <c r="M63" s="10">
        <v>56.5</v>
      </c>
      <c r="N63" s="10">
        <v>0.5</v>
      </c>
      <c r="Q63" s="9" t="s">
        <v>54</v>
      </c>
      <c r="R63" s="9">
        <v>50</v>
      </c>
      <c r="S63" s="9">
        <v>53.5</v>
      </c>
      <c r="T63" s="9">
        <v>51.75</v>
      </c>
    </row>
    <row r="64" spans="1:20" x14ac:dyDescent="0.25">
      <c r="A64" s="21" t="s">
        <v>5</v>
      </c>
      <c r="B64" s="21" t="s">
        <v>27</v>
      </c>
      <c r="C64" s="21" t="s">
        <v>14</v>
      </c>
      <c r="D64" s="21" t="s">
        <v>32</v>
      </c>
      <c r="E64" s="21" t="s">
        <v>34</v>
      </c>
      <c r="F64" s="22">
        <v>62</v>
      </c>
      <c r="G64" s="22">
        <v>61</v>
      </c>
      <c r="H64" s="22">
        <v>55</v>
      </c>
      <c r="J64" s="10">
        <v>55</v>
      </c>
      <c r="K64" s="10">
        <v>2</v>
      </c>
      <c r="L64" s="10">
        <v>115</v>
      </c>
      <c r="M64" s="10">
        <v>57.5</v>
      </c>
      <c r="N64" s="10">
        <v>24.5</v>
      </c>
      <c r="Q64" s="9" t="s">
        <v>55</v>
      </c>
      <c r="R64" s="9">
        <v>128</v>
      </c>
      <c r="S64" s="9">
        <v>112.5</v>
      </c>
      <c r="T64" s="9">
        <v>84.25</v>
      </c>
    </row>
    <row r="65" spans="1:20" x14ac:dyDescent="0.25">
      <c r="A65" s="21" t="s">
        <v>4</v>
      </c>
      <c r="B65" s="21" t="s">
        <v>29</v>
      </c>
      <c r="C65" s="21" t="s">
        <v>14</v>
      </c>
      <c r="D65" s="21" t="s">
        <v>35</v>
      </c>
      <c r="E65" s="21" t="s">
        <v>34</v>
      </c>
      <c r="F65" s="22">
        <v>69</v>
      </c>
      <c r="G65" s="22">
        <v>80</v>
      </c>
      <c r="H65" s="22">
        <v>71</v>
      </c>
      <c r="J65" s="10">
        <v>58</v>
      </c>
      <c r="K65" s="10">
        <v>2</v>
      </c>
      <c r="L65" s="10">
        <v>141</v>
      </c>
      <c r="M65" s="10">
        <v>70.5</v>
      </c>
      <c r="N65" s="10">
        <v>12.5</v>
      </c>
      <c r="Q65" s="9"/>
      <c r="R65" s="9"/>
      <c r="S65" s="9"/>
      <c r="T65" s="9"/>
    </row>
    <row r="66" spans="1:20" x14ac:dyDescent="0.25">
      <c r="A66" s="21" t="s">
        <v>4</v>
      </c>
      <c r="B66" s="21" t="s">
        <v>30</v>
      </c>
      <c r="C66" s="21" t="s">
        <v>17</v>
      </c>
      <c r="D66" s="21" t="s">
        <v>35</v>
      </c>
      <c r="E66" s="21" t="s">
        <v>34</v>
      </c>
      <c r="F66" s="22">
        <v>59</v>
      </c>
      <c r="G66" s="22">
        <v>58</v>
      </c>
      <c r="H66" s="22">
        <v>59</v>
      </c>
      <c r="J66" s="10">
        <v>53</v>
      </c>
      <c r="K66" s="10">
        <v>2</v>
      </c>
      <c r="L66" s="10">
        <v>123</v>
      </c>
      <c r="M66" s="10">
        <v>61.5</v>
      </c>
      <c r="N66" s="10">
        <v>24.5</v>
      </c>
      <c r="Q66" s="14">
        <v>66</v>
      </c>
      <c r="R66" s="14"/>
      <c r="S66" s="14"/>
      <c r="T66" s="14"/>
    </row>
    <row r="67" spans="1:20" x14ac:dyDescent="0.25">
      <c r="A67" s="21" t="s">
        <v>5</v>
      </c>
      <c r="B67" s="21" t="s">
        <v>28</v>
      </c>
      <c r="C67" s="21" t="s">
        <v>17</v>
      </c>
      <c r="D67" s="21" t="s">
        <v>35</v>
      </c>
      <c r="E67" s="21" t="s">
        <v>34</v>
      </c>
      <c r="F67" s="22">
        <v>67</v>
      </c>
      <c r="G67" s="22">
        <v>64</v>
      </c>
      <c r="H67" s="22">
        <v>61</v>
      </c>
      <c r="J67" s="10">
        <v>59</v>
      </c>
      <c r="K67" s="10">
        <v>2</v>
      </c>
      <c r="L67" s="10">
        <v>131</v>
      </c>
      <c r="M67" s="10">
        <v>65.5</v>
      </c>
      <c r="N67" s="10">
        <v>0.5</v>
      </c>
      <c r="Q67" s="9" t="s">
        <v>52</v>
      </c>
      <c r="R67" s="9">
        <v>2</v>
      </c>
      <c r="S67" s="9">
        <v>2</v>
      </c>
      <c r="T67" s="9">
        <v>4</v>
      </c>
    </row>
    <row r="68" spans="1:20" x14ac:dyDescent="0.25">
      <c r="A68" s="21" t="s">
        <v>5</v>
      </c>
      <c r="B68" s="21" t="s">
        <v>30</v>
      </c>
      <c r="C68" s="21" t="s">
        <v>17</v>
      </c>
      <c r="D68" s="21" t="s">
        <v>32</v>
      </c>
      <c r="E68" s="21" t="s">
        <v>34</v>
      </c>
      <c r="F68" s="22">
        <v>45</v>
      </c>
      <c r="G68" s="22">
        <v>37</v>
      </c>
      <c r="H68" s="22">
        <v>37</v>
      </c>
      <c r="J68" s="10">
        <v>50</v>
      </c>
      <c r="K68" s="10">
        <v>2</v>
      </c>
      <c r="L68" s="10">
        <v>110</v>
      </c>
      <c r="M68" s="10">
        <v>55</v>
      </c>
      <c r="N68" s="10">
        <v>2</v>
      </c>
      <c r="Q68" s="9" t="s">
        <v>53</v>
      </c>
      <c r="R68" s="9">
        <v>144</v>
      </c>
      <c r="S68" s="9">
        <v>133</v>
      </c>
      <c r="T68" s="9">
        <v>277</v>
      </c>
    </row>
    <row r="69" spans="1:20" x14ac:dyDescent="0.25">
      <c r="A69" s="21" t="s">
        <v>4</v>
      </c>
      <c r="B69" s="21" t="s">
        <v>29</v>
      </c>
      <c r="C69" s="21" t="s">
        <v>45</v>
      </c>
      <c r="D69" s="21" t="s">
        <v>35</v>
      </c>
      <c r="E69" s="21" t="s">
        <v>34</v>
      </c>
      <c r="F69" s="22">
        <v>60</v>
      </c>
      <c r="G69" s="22">
        <v>72</v>
      </c>
      <c r="H69" s="22">
        <v>74</v>
      </c>
      <c r="J69" s="10">
        <v>65</v>
      </c>
      <c r="K69" s="10">
        <v>2</v>
      </c>
      <c r="L69" s="10">
        <v>111</v>
      </c>
      <c r="M69" s="10">
        <v>55.5</v>
      </c>
      <c r="N69" s="10">
        <v>4.5</v>
      </c>
      <c r="Q69" s="9" t="s">
        <v>54</v>
      </c>
      <c r="R69" s="9">
        <v>72</v>
      </c>
      <c r="S69" s="9">
        <v>66.5</v>
      </c>
      <c r="T69" s="9">
        <v>69.25</v>
      </c>
    </row>
    <row r="70" spans="1:20" x14ac:dyDescent="0.25">
      <c r="A70" s="21" t="s">
        <v>5</v>
      </c>
      <c r="B70" s="21" t="s">
        <v>28</v>
      </c>
      <c r="C70" s="21" t="s">
        <v>14</v>
      </c>
      <c r="D70" s="21" t="s">
        <v>32</v>
      </c>
      <c r="E70" s="21" t="s">
        <v>34</v>
      </c>
      <c r="F70" s="22">
        <v>61</v>
      </c>
      <c r="G70" s="22">
        <v>58</v>
      </c>
      <c r="H70" s="22">
        <v>56</v>
      </c>
      <c r="J70" s="10">
        <v>55</v>
      </c>
      <c r="K70" s="10">
        <v>2</v>
      </c>
      <c r="L70" s="10">
        <v>127</v>
      </c>
      <c r="M70" s="10">
        <v>63.5</v>
      </c>
      <c r="N70" s="10">
        <v>4.5</v>
      </c>
      <c r="Q70" s="9" t="s">
        <v>55</v>
      </c>
      <c r="R70" s="9">
        <v>18</v>
      </c>
      <c r="S70" s="9">
        <v>24.5</v>
      </c>
      <c r="T70" s="9">
        <v>24.25</v>
      </c>
    </row>
    <row r="71" spans="1:20" x14ac:dyDescent="0.25">
      <c r="A71" s="21" t="s">
        <v>4</v>
      </c>
      <c r="B71" s="21" t="s">
        <v>29</v>
      </c>
      <c r="C71" s="21" t="s">
        <v>14</v>
      </c>
      <c r="D71" s="21" t="s">
        <v>35</v>
      </c>
      <c r="E71" s="21" t="s">
        <v>34</v>
      </c>
      <c r="F71" s="22">
        <v>39</v>
      </c>
      <c r="G71" s="22">
        <v>64</v>
      </c>
      <c r="H71" s="22">
        <v>57</v>
      </c>
      <c r="J71" s="10">
        <v>66</v>
      </c>
      <c r="K71" s="10">
        <v>2</v>
      </c>
      <c r="L71" s="10">
        <v>147</v>
      </c>
      <c r="M71" s="10">
        <v>73.5</v>
      </c>
      <c r="N71" s="10">
        <v>12.5</v>
      </c>
      <c r="Q71" s="9"/>
      <c r="R71" s="9"/>
      <c r="S71" s="9"/>
      <c r="T71" s="9"/>
    </row>
    <row r="72" spans="1:20" x14ac:dyDescent="0.25">
      <c r="A72" s="21" t="s">
        <v>4</v>
      </c>
      <c r="B72" s="21" t="s">
        <v>30</v>
      </c>
      <c r="C72" s="21" t="s">
        <v>45</v>
      </c>
      <c r="D72" s="21" t="s">
        <v>32</v>
      </c>
      <c r="E72" s="21" t="s">
        <v>33</v>
      </c>
      <c r="F72" s="22">
        <v>58</v>
      </c>
      <c r="G72" s="22">
        <v>63</v>
      </c>
      <c r="H72" s="22">
        <v>73</v>
      </c>
      <c r="J72" s="10">
        <v>57</v>
      </c>
      <c r="K72" s="10">
        <v>2</v>
      </c>
      <c r="L72" s="10">
        <v>150</v>
      </c>
      <c r="M72" s="10">
        <v>75</v>
      </c>
      <c r="N72" s="10">
        <v>2</v>
      </c>
      <c r="Q72" s="14">
        <v>44</v>
      </c>
      <c r="R72" s="14"/>
      <c r="S72" s="14"/>
      <c r="T72" s="14"/>
    </row>
    <row r="73" spans="1:20" x14ac:dyDescent="0.25">
      <c r="A73" s="21" t="s">
        <v>5</v>
      </c>
      <c r="B73" s="21" t="s">
        <v>30</v>
      </c>
      <c r="C73" s="21" t="s">
        <v>45</v>
      </c>
      <c r="D73" s="21" t="s">
        <v>35</v>
      </c>
      <c r="E73" s="21" t="s">
        <v>33</v>
      </c>
      <c r="F73" s="22">
        <v>63</v>
      </c>
      <c r="G73" s="22">
        <v>55</v>
      </c>
      <c r="H73" s="22">
        <v>63</v>
      </c>
      <c r="J73" s="10">
        <v>82</v>
      </c>
      <c r="K73" s="10">
        <v>2</v>
      </c>
      <c r="L73" s="10">
        <v>166</v>
      </c>
      <c r="M73" s="10">
        <v>83</v>
      </c>
      <c r="N73" s="10">
        <v>2</v>
      </c>
      <c r="Q73" s="9" t="s">
        <v>52</v>
      </c>
      <c r="R73" s="9">
        <v>2</v>
      </c>
      <c r="S73" s="9">
        <v>2</v>
      </c>
      <c r="T73" s="9">
        <v>4</v>
      </c>
    </row>
    <row r="74" spans="1:20" x14ac:dyDescent="0.25">
      <c r="A74" s="21" t="s">
        <v>4</v>
      </c>
      <c r="B74" s="21" t="s">
        <v>27</v>
      </c>
      <c r="C74" s="21" t="s">
        <v>14</v>
      </c>
      <c r="D74" s="21" t="s">
        <v>32</v>
      </c>
      <c r="E74" s="21" t="s">
        <v>34</v>
      </c>
      <c r="F74" s="22">
        <v>41</v>
      </c>
      <c r="G74" s="22">
        <v>51</v>
      </c>
      <c r="H74" s="22">
        <v>48</v>
      </c>
      <c r="J74" s="10">
        <v>53</v>
      </c>
      <c r="K74" s="10">
        <v>2</v>
      </c>
      <c r="L74" s="10">
        <v>103</v>
      </c>
      <c r="M74" s="10">
        <v>51.5</v>
      </c>
      <c r="N74" s="10">
        <v>24.5</v>
      </c>
      <c r="Q74" s="9" t="s">
        <v>53</v>
      </c>
      <c r="R74" s="9">
        <v>127</v>
      </c>
      <c r="S74" s="9">
        <v>126</v>
      </c>
      <c r="T74" s="9">
        <v>253</v>
      </c>
    </row>
    <row r="75" spans="1:20" x14ac:dyDescent="0.25">
      <c r="A75" s="21" t="s">
        <v>5</v>
      </c>
      <c r="B75" s="21" t="s">
        <v>29</v>
      </c>
      <c r="C75" s="21" t="s">
        <v>17</v>
      </c>
      <c r="D75" s="21" t="s">
        <v>32</v>
      </c>
      <c r="E75" s="21" t="s">
        <v>34</v>
      </c>
      <c r="F75" s="22">
        <v>61</v>
      </c>
      <c r="G75" s="22">
        <v>57</v>
      </c>
      <c r="H75" s="22">
        <v>56</v>
      </c>
      <c r="J75" s="10">
        <v>77</v>
      </c>
      <c r="K75" s="10">
        <v>2</v>
      </c>
      <c r="L75" s="10">
        <v>137</v>
      </c>
      <c r="M75" s="10">
        <v>68.5</v>
      </c>
      <c r="N75" s="10">
        <v>0.5</v>
      </c>
      <c r="Q75" s="9" t="s">
        <v>54</v>
      </c>
      <c r="R75" s="9">
        <v>63.5</v>
      </c>
      <c r="S75" s="9">
        <v>63</v>
      </c>
      <c r="T75" s="9">
        <v>63.25</v>
      </c>
    </row>
    <row r="76" spans="1:20" x14ac:dyDescent="0.25">
      <c r="A76" s="21" t="s">
        <v>5</v>
      </c>
      <c r="B76" s="21" t="s">
        <v>29</v>
      </c>
      <c r="C76" s="21" t="s">
        <v>17</v>
      </c>
      <c r="D76" s="21" t="s">
        <v>35</v>
      </c>
      <c r="E76" s="21" t="s">
        <v>34</v>
      </c>
      <c r="F76" s="22">
        <v>49</v>
      </c>
      <c r="G76" s="22">
        <v>49</v>
      </c>
      <c r="H76" s="22">
        <v>41</v>
      </c>
      <c r="J76" s="10">
        <v>53</v>
      </c>
      <c r="K76" s="10">
        <v>2</v>
      </c>
      <c r="L76" s="10">
        <v>86</v>
      </c>
      <c r="M76" s="10">
        <v>43</v>
      </c>
      <c r="N76" s="10">
        <v>2</v>
      </c>
      <c r="Q76" s="9" t="s">
        <v>55</v>
      </c>
      <c r="R76" s="9">
        <v>180.5</v>
      </c>
      <c r="S76" s="9">
        <v>200</v>
      </c>
      <c r="T76" s="9">
        <v>126.91666666666667</v>
      </c>
    </row>
    <row r="77" spans="1:20" x14ac:dyDescent="0.25">
      <c r="A77" s="21" t="s">
        <v>5</v>
      </c>
      <c r="B77" s="21" t="s">
        <v>28</v>
      </c>
      <c r="C77" s="21" t="s">
        <v>14</v>
      </c>
      <c r="D77" s="21" t="s">
        <v>32</v>
      </c>
      <c r="E77" s="21" t="s">
        <v>34</v>
      </c>
      <c r="F77" s="22">
        <v>44</v>
      </c>
      <c r="G77" s="22">
        <v>41</v>
      </c>
      <c r="H77" s="22">
        <v>38</v>
      </c>
      <c r="J77" s="10">
        <v>88</v>
      </c>
      <c r="K77" s="10">
        <v>2</v>
      </c>
      <c r="L77" s="10">
        <v>153</v>
      </c>
      <c r="M77" s="10">
        <v>76.5</v>
      </c>
      <c r="N77" s="10">
        <v>4.5</v>
      </c>
      <c r="Q77" s="9"/>
      <c r="R77" s="9"/>
      <c r="S77" s="9"/>
      <c r="T77" s="9"/>
    </row>
    <row r="78" spans="1:20" x14ac:dyDescent="0.25">
      <c r="A78" s="21" t="s">
        <v>5</v>
      </c>
      <c r="B78" s="21" t="s">
        <v>31</v>
      </c>
      <c r="C78" s="21" t="s">
        <v>17</v>
      </c>
      <c r="D78" s="21" t="s">
        <v>35</v>
      </c>
      <c r="E78" s="21" t="s">
        <v>34</v>
      </c>
      <c r="F78" s="22">
        <v>30</v>
      </c>
      <c r="G78" s="22">
        <v>26</v>
      </c>
      <c r="H78" s="22">
        <v>22</v>
      </c>
      <c r="J78" s="10">
        <v>71</v>
      </c>
      <c r="K78" s="10">
        <v>2</v>
      </c>
      <c r="L78" s="10">
        <v>171</v>
      </c>
      <c r="M78" s="10">
        <v>85.5</v>
      </c>
      <c r="N78" s="10">
        <v>4.5</v>
      </c>
      <c r="Q78" s="14">
        <v>74</v>
      </c>
      <c r="R78" s="14"/>
      <c r="S78" s="14"/>
      <c r="T78" s="14"/>
    </row>
    <row r="79" spans="1:20" x14ac:dyDescent="0.25">
      <c r="A79" s="21" t="s">
        <v>5</v>
      </c>
      <c r="B79" s="21" t="s">
        <v>27</v>
      </c>
      <c r="C79" s="21" t="s">
        <v>43</v>
      </c>
      <c r="D79" s="21" t="s">
        <v>35</v>
      </c>
      <c r="E79" s="21" t="s">
        <v>33</v>
      </c>
      <c r="F79" s="22">
        <v>80</v>
      </c>
      <c r="G79" s="22">
        <v>78</v>
      </c>
      <c r="H79" s="22">
        <v>81</v>
      </c>
      <c r="J79" s="10">
        <v>33</v>
      </c>
      <c r="K79" s="10">
        <v>2</v>
      </c>
      <c r="L79" s="10">
        <v>84</v>
      </c>
      <c r="M79" s="10">
        <v>42</v>
      </c>
      <c r="N79" s="10">
        <v>2</v>
      </c>
      <c r="Q79" s="9" t="s">
        <v>52</v>
      </c>
      <c r="R79" s="9">
        <v>2</v>
      </c>
      <c r="S79" s="9">
        <v>2</v>
      </c>
      <c r="T79" s="9">
        <v>4</v>
      </c>
    </row>
    <row r="80" spans="1:20" x14ac:dyDescent="0.25">
      <c r="A80" s="21" t="s">
        <v>4</v>
      </c>
      <c r="B80" s="21" t="s">
        <v>30</v>
      </c>
      <c r="C80" s="21" t="s">
        <v>17</v>
      </c>
      <c r="D80" s="21" t="s">
        <v>35</v>
      </c>
      <c r="E80" s="21" t="s">
        <v>33</v>
      </c>
      <c r="F80" s="22">
        <v>61</v>
      </c>
      <c r="G80" s="22">
        <v>74</v>
      </c>
      <c r="H80" s="22">
        <v>72</v>
      </c>
      <c r="J80" s="10">
        <v>82</v>
      </c>
      <c r="K80" s="10">
        <v>2</v>
      </c>
      <c r="L80" s="10">
        <v>171</v>
      </c>
      <c r="M80" s="10">
        <v>85.5</v>
      </c>
      <c r="N80" s="10">
        <v>0.5</v>
      </c>
      <c r="Q80" s="9" t="s">
        <v>53</v>
      </c>
      <c r="R80" s="9">
        <v>145</v>
      </c>
      <c r="S80" s="9">
        <v>152</v>
      </c>
      <c r="T80" s="9">
        <v>297</v>
      </c>
    </row>
    <row r="81" spans="1:20" x14ac:dyDescent="0.25">
      <c r="A81" s="21" t="s">
        <v>4</v>
      </c>
      <c r="B81" s="21" t="s">
        <v>31</v>
      </c>
      <c r="C81" s="21" t="s">
        <v>16</v>
      </c>
      <c r="D81" s="21" t="s">
        <v>35</v>
      </c>
      <c r="E81" s="21" t="s">
        <v>34</v>
      </c>
      <c r="F81" s="22">
        <v>62</v>
      </c>
      <c r="G81" s="22">
        <v>68</v>
      </c>
      <c r="H81" s="22">
        <v>68</v>
      </c>
      <c r="J81" s="10">
        <v>52</v>
      </c>
      <c r="K81" s="10">
        <v>2</v>
      </c>
      <c r="L81" s="10">
        <v>104</v>
      </c>
      <c r="M81" s="10">
        <v>52</v>
      </c>
      <c r="N81" s="10">
        <v>18</v>
      </c>
      <c r="Q81" s="9" t="s">
        <v>54</v>
      </c>
      <c r="R81" s="9">
        <v>72.5</v>
      </c>
      <c r="S81" s="9">
        <v>76</v>
      </c>
      <c r="T81" s="9">
        <v>74.25</v>
      </c>
    </row>
    <row r="82" spans="1:20" x14ac:dyDescent="0.25">
      <c r="A82" s="21" t="s">
        <v>4</v>
      </c>
      <c r="B82" s="21" t="s">
        <v>28</v>
      </c>
      <c r="C82" s="21" t="s">
        <v>14</v>
      </c>
      <c r="D82" s="21" t="s">
        <v>35</v>
      </c>
      <c r="E82" s="21" t="s">
        <v>34</v>
      </c>
      <c r="F82" s="22">
        <v>47</v>
      </c>
      <c r="G82" s="22">
        <v>49</v>
      </c>
      <c r="H82" s="22">
        <v>50</v>
      </c>
      <c r="J82" s="10">
        <v>58</v>
      </c>
      <c r="K82" s="10">
        <v>2</v>
      </c>
      <c r="L82" s="10">
        <v>117</v>
      </c>
      <c r="M82" s="10">
        <v>58.5</v>
      </c>
      <c r="N82" s="10">
        <v>0.5</v>
      </c>
      <c r="Q82" s="9" t="s">
        <v>55</v>
      </c>
      <c r="R82" s="9">
        <v>4.5</v>
      </c>
      <c r="S82" s="9">
        <v>32</v>
      </c>
      <c r="T82" s="9">
        <v>16.25</v>
      </c>
    </row>
    <row r="83" spans="1:20" x14ac:dyDescent="0.25">
      <c r="A83" s="21" t="s">
        <v>5</v>
      </c>
      <c r="B83" s="21" t="s">
        <v>28</v>
      </c>
      <c r="C83" s="21" t="s">
        <v>15</v>
      </c>
      <c r="D83" s="21" t="s">
        <v>32</v>
      </c>
      <c r="E83" s="21" t="s">
        <v>34</v>
      </c>
      <c r="F83" s="22">
        <v>49</v>
      </c>
      <c r="G83" s="22">
        <v>45</v>
      </c>
      <c r="H83" s="22">
        <v>45</v>
      </c>
      <c r="J83" s="10">
        <v>0</v>
      </c>
      <c r="K83" s="10">
        <v>2</v>
      </c>
      <c r="L83" s="10">
        <v>27</v>
      </c>
      <c r="M83" s="10">
        <v>13.5</v>
      </c>
      <c r="N83" s="10">
        <v>24.5</v>
      </c>
      <c r="Q83" s="9"/>
      <c r="R83" s="9"/>
      <c r="S83" s="9"/>
      <c r="T83" s="9"/>
    </row>
    <row r="84" spans="1:20" x14ac:dyDescent="0.25">
      <c r="A84" s="21" t="s">
        <v>5</v>
      </c>
      <c r="B84" s="21" t="s">
        <v>27</v>
      </c>
      <c r="C84" s="21" t="s">
        <v>45</v>
      </c>
      <c r="D84" s="21" t="s">
        <v>32</v>
      </c>
      <c r="E84" s="21" t="s">
        <v>33</v>
      </c>
      <c r="F84" s="22">
        <v>50</v>
      </c>
      <c r="G84" s="22">
        <v>47</v>
      </c>
      <c r="H84" s="22">
        <v>54</v>
      </c>
      <c r="J84" s="10">
        <v>79</v>
      </c>
      <c r="K84" s="10">
        <v>2</v>
      </c>
      <c r="L84" s="10">
        <v>146</v>
      </c>
      <c r="M84" s="10">
        <v>73</v>
      </c>
      <c r="N84" s="10">
        <v>2</v>
      </c>
      <c r="Q84" s="14">
        <v>69</v>
      </c>
      <c r="R84" s="14"/>
      <c r="S84" s="14"/>
      <c r="T84" s="14"/>
    </row>
    <row r="85" spans="1:20" x14ac:dyDescent="0.25">
      <c r="A85" s="21" t="s">
        <v>5</v>
      </c>
      <c r="B85" s="21" t="s">
        <v>31</v>
      </c>
      <c r="C85" s="21" t="s">
        <v>14</v>
      </c>
      <c r="D85" s="21" t="s">
        <v>35</v>
      </c>
      <c r="E85" s="21" t="s">
        <v>34</v>
      </c>
      <c r="F85" s="22">
        <v>72</v>
      </c>
      <c r="G85" s="22">
        <v>64</v>
      </c>
      <c r="H85" s="22">
        <v>63</v>
      </c>
      <c r="J85" s="10">
        <v>39</v>
      </c>
      <c r="K85" s="10">
        <v>2</v>
      </c>
      <c r="L85" s="10">
        <v>73</v>
      </c>
      <c r="M85" s="10">
        <v>36.5</v>
      </c>
      <c r="N85" s="10">
        <v>12.5</v>
      </c>
      <c r="Q85" s="9" t="s">
        <v>52</v>
      </c>
      <c r="R85" s="9">
        <v>2</v>
      </c>
      <c r="S85" s="9">
        <v>2</v>
      </c>
      <c r="T85" s="9">
        <v>4</v>
      </c>
    </row>
    <row r="86" spans="1:20" x14ac:dyDescent="0.25">
      <c r="A86" s="21" t="s">
        <v>5</v>
      </c>
      <c r="B86" s="21" t="s">
        <v>30</v>
      </c>
      <c r="C86" s="21" t="s">
        <v>15</v>
      </c>
      <c r="D86" s="21" t="s">
        <v>32</v>
      </c>
      <c r="E86" s="21" t="s">
        <v>34</v>
      </c>
      <c r="F86" s="22">
        <v>42</v>
      </c>
      <c r="G86" s="22">
        <v>39</v>
      </c>
      <c r="H86" s="22">
        <v>34</v>
      </c>
      <c r="J86" s="10">
        <v>62</v>
      </c>
      <c r="K86" s="10">
        <v>2</v>
      </c>
      <c r="L86" s="10">
        <v>116</v>
      </c>
      <c r="M86" s="10">
        <v>58</v>
      </c>
      <c r="N86" s="10">
        <v>18</v>
      </c>
      <c r="Q86" s="9" t="s">
        <v>53</v>
      </c>
      <c r="R86" s="9">
        <v>123</v>
      </c>
      <c r="S86" s="9">
        <v>130</v>
      </c>
      <c r="T86" s="9">
        <v>253</v>
      </c>
    </row>
    <row r="87" spans="1:20" x14ac:dyDescent="0.25">
      <c r="A87" s="21" t="s">
        <v>4</v>
      </c>
      <c r="B87" s="21" t="s">
        <v>29</v>
      </c>
      <c r="C87" s="21" t="s">
        <v>45</v>
      </c>
      <c r="D87" s="21" t="s">
        <v>35</v>
      </c>
      <c r="E87" s="21" t="s">
        <v>34</v>
      </c>
      <c r="F87" s="22">
        <v>73</v>
      </c>
      <c r="G87" s="22">
        <v>80</v>
      </c>
      <c r="H87" s="22">
        <v>82</v>
      </c>
      <c r="J87" s="10">
        <v>69</v>
      </c>
      <c r="K87" s="10">
        <v>2</v>
      </c>
      <c r="L87" s="10">
        <v>151</v>
      </c>
      <c r="M87" s="10">
        <v>75.5</v>
      </c>
      <c r="N87" s="10">
        <v>40.5</v>
      </c>
      <c r="Q87" s="9" t="s">
        <v>54</v>
      </c>
      <c r="R87" s="9">
        <v>61.5</v>
      </c>
      <c r="S87" s="9">
        <v>65</v>
      </c>
      <c r="T87" s="9">
        <v>63.25</v>
      </c>
    </row>
    <row r="88" spans="1:20" x14ac:dyDescent="0.25">
      <c r="A88" s="21" t="s">
        <v>4</v>
      </c>
      <c r="B88" s="21" t="s">
        <v>29</v>
      </c>
      <c r="C88" s="21" t="s">
        <v>45</v>
      </c>
      <c r="D88" s="21" t="s">
        <v>32</v>
      </c>
      <c r="E88" s="21" t="s">
        <v>34</v>
      </c>
      <c r="F88" s="22">
        <v>76</v>
      </c>
      <c r="G88" s="22">
        <v>83</v>
      </c>
      <c r="H88" s="22">
        <v>88</v>
      </c>
      <c r="J88" s="10">
        <v>59</v>
      </c>
      <c r="K88" s="10">
        <v>2</v>
      </c>
      <c r="L88" s="10">
        <v>117</v>
      </c>
      <c r="M88" s="10">
        <v>58.5</v>
      </c>
      <c r="N88" s="10">
        <v>0.5</v>
      </c>
      <c r="Q88" s="9" t="s">
        <v>55</v>
      </c>
      <c r="R88" s="9">
        <v>112.5</v>
      </c>
      <c r="S88" s="9">
        <v>200</v>
      </c>
      <c r="T88" s="9">
        <v>108.25</v>
      </c>
    </row>
    <row r="89" spans="1:20" x14ac:dyDescent="0.25">
      <c r="A89" s="21" t="s">
        <v>4</v>
      </c>
      <c r="B89" s="21" t="s">
        <v>30</v>
      </c>
      <c r="C89" s="21" t="s">
        <v>14</v>
      </c>
      <c r="D89" s="21" t="s">
        <v>35</v>
      </c>
      <c r="E89" s="21" t="s">
        <v>34</v>
      </c>
      <c r="F89" s="22">
        <v>71</v>
      </c>
      <c r="G89" s="22">
        <v>71</v>
      </c>
      <c r="H89" s="22">
        <v>74</v>
      </c>
      <c r="J89" s="10">
        <v>67</v>
      </c>
      <c r="K89" s="10">
        <v>2</v>
      </c>
      <c r="L89" s="10">
        <v>125</v>
      </c>
      <c r="M89" s="10">
        <v>62.5</v>
      </c>
      <c r="N89" s="10">
        <v>4.5</v>
      </c>
      <c r="Q89" s="9"/>
      <c r="R89" s="9"/>
      <c r="S89" s="9"/>
      <c r="T89" s="9"/>
    </row>
    <row r="90" spans="1:20" x14ac:dyDescent="0.25">
      <c r="A90" s="21" t="s">
        <v>4</v>
      </c>
      <c r="B90" s="21" t="s">
        <v>27</v>
      </c>
      <c r="C90" s="21" t="s">
        <v>45</v>
      </c>
      <c r="D90" s="21" t="s">
        <v>35</v>
      </c>
      <c r="E90" s="21" t="s">
        <v>34</v>
      </c>
      <c r="F90" s="22">
        <v>58</v>
      </c>
      <c r="G90" s="22">
        <v>70</v>
      </c>
      <c r="H90" s="22">
        <v>67</v>
      </c>
      <c r="J90" s="10">
        <v>45</v>
      </c>
      <c r="K90" s="10">
        <v>2</v>
      </c>
      <c r="L90" s="10">
        <v>74</v>
      </c>
      <c r="M90" s="10">
        <v>37</v>
      </c>
      <c r="N90" s="10">
        <v>0</v>
      </c>
      <c r="Q90" s="14">
        <v>70</v>
      </c>
      <c r="R90" s="14"/>
      <c r="S90" s="14"/>
      <c r="T90" s="14"/>
    </row>
    <row r="91" spans="1:20" x14ac:dyDescent="0.25">
      <c r="A91" s="21" t="s">
        <v>4</v>
      </c>
      <c r="B91" s="21" t="s">
        <v>30</v>
      </c>
      <c r="C91" s="21" t="s">
        <v>17</v>
      </c>
      <c r="D91" s="21" t="s">
        <v>35</v>
      </c>
      <c r="E91" s="21" t="s">
        <v>34</v>
      </c>
      <c r="F91" s="22">
        <v>73</v>
      </c>
      <c r="G91" s="22">
        <v>86</v>
      </c>
      <c r="H91" s="22">
        <v>82</v>
      </c>
      <c r="J91" s="10">
        <v>60</v>
      </c>
      <c r="K91" s="10">
        <v>2</v>
      </c>
      <c r="L91" s="10">
        <v>146</v>
      </c>
      <c r="M91" s="10">
        <v>73</v>
      </c>
      <c r="N91" s="10">
        <v>2</v>
      </c>
      <c r="Q91" s="9" t="s">
        <v>52</v>
      </c>
      <c r="R91" s="9">
        <v>2</v>
      </c>
      <c r="S91" s="9">
        <v>2</v>
      </c>
      <c r="T91" s="9">
        <v>4</v>
      </c>
    </row>
    <row r="92" spans="1:20" x14ac:dyDescent="0.25">
      <c r="A92" s="21" t="s">
        <v>4</v>
      </c>
      <c r="B92" s="21" t="s">
        <v>29</v>
      </c>
      <c r="C92" s="21" t="s">
        <v>43</v>
      </c>
      <c r="D92" s="21" t="s">
        <v>35</v>
      </c>
      <c r="E92" s="21" t="s">
        <v>34</v>
      </c>
      <c r="F92" s="22">
        <v>65</v>
      </c>
      <c r="G92" s="22">
        <v>72</v>
      </c>
      <c r="H92" s="22">
        <v>74</v>
      </c>
      <c r="J92" s="10">
        <v>61</v>
      </c>
      <c r="K92" s="10">
        <v>2</v>
      </c>
      <c r="L92" s="10">
        <v>114</v>
      </c>
      <c r="M92" s="10">
        <v>57</v>
      </c>
      <c r="N92" s="10">
        <v>2</v>
      </c>
      <c r="Q92" s="9" t="s">
        <v>53</v>
      </c>
      <c r="R92" s="9">
        <v>140</v>
      </c>
      <c r="S92" s="9">
        <v>140</v>
      </c>
      <c r="T92" s="9">
        <v>280</v>
      </c>
    </row>
    <row r="93" spans="1:20" x14ac:dyDescent="0.25">
      <c r="A93" s="21" t="s">
        <v>5</v>
      </c>
      <c r="B93" s="21" t="s">
        <v>29</v>
      </c>
      <c r="C93" s="21" t="s">
        <v>15</v>
      </c>
      <c r="D93" s="21" t="s">
        <v>32</v>
      </c>
      <c r="E93" s="21" t="s">
        <v>34</v>
      </c>
      <c r="F93" s="22">
        <v>27</v>
      </c>
      <c r="G93" s="22">
        <v>34</v>
      </c>
      <c r="H93" s="22">
        <v>36</v>
      </c>
      <c r="J93" s="10">
        <v>39</v>
      </c>
      <c r="K93" s="10">
        <v>2</v>
      </c>
      <c r="L93" s="10">
        <v>121</v>
      </c>
      <c r="M93" s="10">
        <v>60.5</v>
      </c>
      <c r="N93" s="10">
        <v>24.5</v>
      </c>
      <c r="Q93" s="9" t="s">
        <v>54</v>
      </c>
      <c r="R93" s="9">
        <v>70</v>
      </c>
      <c r="S93" s="9">
        <v>70</v>
      </c>
      <c r="T93" s="9">
        <v>70</v>
      </c>
    </row>
    <row r="94" spans="1:20" x14ac:dyDescent="0.25">
      <c r="A94" s="21" t="s">
        <v>5</v>
      </c>
      <c r="B94" s="21" t="s">
        <v>29</v>
      </c>
      <c r="C94" s="21" t="s">
        <v>15</v>
      </c>
      <c r="D94" s="21" t="s">
        <v>35</v>
      </c>
      <c r="E94" s="21" t="s">
        <v>34</v>
      </c>
      <c r="F94" s="22">
        <v>71</v>
      </c>
      <c r="G94" s="22">
        <v>79</v>
      </c>
      <c r="H94" s="22">
        <v>71</v>
      </c>
      <c r="J94" s="10">
        <v>58</v>
      </c>
      <c r="K94" s="10">
        <v>2</v>
      </c>
      <c r="L94" s="10">
        <v>136</v>
      </c>
      <c r="M94" s="10">
        <v>68</v>
      </c>
      <c r="N94" s="10">
        <v>50</v>
      </c>
      <c r="Q94" s="9" t="s">
        <v>55</v>
      </c>
      <c r="R94" s="9">
        <v>0</v>
      </c>
      <c r="S94" s="9">
        <v>50</v>
      </c>
      <c r="T94" s="9">
        <v>16.666666666666668</v>
      </c>
    </row>
    <row r="95" spans="1:20" x14ac:dyDescent="0.25">
      <c r="A95" s="21" t="s">
        <v>5</v>
      </c>
      <c r="B95" s="21" t="s">
        <v>29</v>
      </c>
      <c r="C95" s="21" t="s">
        <v>14</v>
      </c>
      <c r="D95" s="21" t="s">
        <v>32</v>
      </c>
      <c r="E95" s="21" t="s">
        <v>33</v>
      </c>
      <c r="F95" s="22">
        <v>43</v>
      </c>
      <c r="G95" s="22">
        <v>45</v>
      </c>
      <c r="H95" s="22">
        <v>50</v>
      </c>
      <c r="J95" s="10">
        <v>63</v>
      </c>
      <c r="K95" s="10">
        <v>2</v>
      </c>
      <c r="L95" s="10">
        <v>118</v>
      </c>
      <c r="M95" s="10">
        <v>59</v>
      </c>
      <c r="N95" s="10">
        <v>32</v>
      </c>
      <c r="Q95" s="9"/>
      <c r="R95" s="9"/>
      <c r="S95" s="9"/>
      <c r="T95" s="9"/>
    </row>
    <row r="96" spans="1:20" x14ac:dyDescent="0.25">
      <c r="A96" s="21" t="s">
        <v>4</v>
      </c>
      <c r="B96" s="21" t="s">
        <v>28</v>
      </c>
      <c r="C96" s="21" t="s">
        <v>45</v>
      </c>
      <c r="D96" s="21" t="s">
        <v>35</v>
      </c>
      <c r="E96" s="21" t="s">
        <v>34</v>
      </c>
      <c r="F96" s="22">
        <v>79</v>
      </c>
      <c r="G96" s="22">
        <v>86</v>
      </c>
      <c r="H96" s="22">
        <v>92</v>
      </c>
      <c r="J96" s="10">
        <v>41</v>
      </c>
      <c r="K96" s="10">
        <v>2</v>
      </c>
      <c r="L96" s="10">
        <v>99</v>
      </c>
      <c r="M96" s="10">
        <v>49.5</v>
      </c>
      <c r="N96" s="10">
        <v>4.5</v>
      </c>
      <c r="Q96" s="14">
        <v>69</v>
      </c>
      <c r="R96" s="14"/>
      <c r="S96" s="14"/>
      <c r="T96" s="14"/>
    </row>
    <row r="97" spans="1:20" x14ac:dyDescent="0.25">
      <c r="A97" s="21" t="s">
        <v>5</v>
      </c>
      <c r="B97" s="21" t="s">
        <v>29</v>
      </c>
      <c r="C97" s="21" t="s">
        <v>14</v>
      </c>
      <c r="D97" s="21" t="s">
        <v>32</v>
      </c>
      <c r="E97" s="21" t="s">
        <v>33</v>
      </c>
      <c r="F97" s="22">
        <v>78</v>
      </c>
      <c r="G97" s="22">
        <v>81</v>
      </c>
      <c r="H97" s="22">
        <v>82</v>
      </c>
      <c r="J97" s="10">
        <v>61</v>
      </c>
      <c r="K97" s="10">
        <v>2</v>
      </c>
      <c r="L97" s="10">
        <v>113</v>
      </c>
      <c r="M97" s="10">
        <v>56.5</v>
      </c>
      <c r="N97" s="10">
        <v>0.5</v>
      </c>
      <c r="Q97" s="9" t="s">
        <v>52</v>
      </c>
      <c r="R97" s="9">
        <v>2</v>
      </c>
      <c r="S97" s="9">
        <v>2</v>
      </c>
      <c r="T97" s="9">
        <v>4</v>
      </c>
    </row>
    <row r="98" spans="1:20" x14ac:dyDescent="0.25">
      <c r="A98" s="21" t="s">
        <v>5</v>
      </c>
      <c r="B98" s="21" t="s">
        <v>28</v>
      </c>
      <c r="C98" s="21" t="s">
        <v>17</v>
      </c>
      <c r="D98" s="21" t="s">
        <v>35</v>
      </c>
      <c r="E98" s="21" t="s">
        <v>33</v>
      </c>
      <c r="F98" s="22">
        <v>65</v>
      </c>
      <c r="G98" s="22">
        <v>66</v>
      </c>
      <c r="H98" s="22">
        <v>62</v>
      </c>
      <c r="J98" s="10">
        <v>49</v>
      </c>
      <c r="K98" s="10">
        <v>2</v>
      </c>
      <c r="L98" s="10">
        <v>90</v>
      </c>
      <c r="M98" s="10">
        <v>45</v>
      </c>
      <c r="N98" s="10">
        <v>32</v>
      </c>
      <c r="Q98" s="9" t="s">
        <v>53</v>
      </c>
      <c r="R98" s="9">
        <v>139</v>
      </c>
      <c r="S98" s="9">
        <v>135</v>
      </c>
      <c r="T98" s="9">
        <v>274</v>
      </c>
    </row>
    <row r="99" spans="1:20" x14ac:dyDescent="0.25">
      <c r="A99" s="21" t="s">
        <v>4</v>
      </c>
      <c r="B99" s="21" t="s">
        <v>31</v>
      </c>
      <c r="C99" s="21" t="s">
        <v>45</v>
      </c>
      <c r="D99" s="21" t="s">
        <v>35</v>
      </c>
      <c r="E99" s="21" t="s">
        <v>33</v>
      </c>
      <c r="F99" s="22">
        <v>63</v>
      </c>
      <c r="G99" s="22">
        <v>72</v>
      </c>
      <c r="H99" s="22">
        <v>70</v>
      </c>
      <c r="J99" s="10">
        <v>44</v>
      </c>
      <c r="K99" s="10">
        <v>2</v>
      </c>
      <c r="L99" s="10">
        <v>79</v>
      </c>
      <c r="M99" s="10">
        <v>39.5</v>
      </c>
      <c r="N99" s="10">
        <v>4.5</v>
      </c>
      <c r="Q99" s="9" t="s">
        <v>54</v>
      </c>
      <c r="R99" s="9">
        <v>69.5</v>
      </c>
      <c r="S99" s="9">
        <v>67.5</v>
      </c>
      <c r="T99" s="9">
        <v>68.5</v>
      </c>
    </row>
    <row r="100" spans="1:20" x14ac:dyDescent="0.25">
      <c r="A100" s="21" t="s">
        <v>4</v>
      </c>
      <c r="B100" s="21" t="s">
        <v>30</v>
      </c>
      <c r="C100" s="21" t="s">
        <v>45</v>
      </c>
      <c r="D100" s="21" t="s">
        <v>32</v>
      </c>
      <c r="E100" s="21" t="s">
        <v>34</v>
      </c>
      <c r="F100" s="22">
        <v>58</v>
      </c>
      <c r="G100" s="22">
        <v>67</v>
      </c>
      <c r="H100" s="22">
        <v>62</v>
      </c>
      <c r="J100" s="10">
        <v>30</v>
      </c>
      <c r="K100" s="10">
        <v>2</v>
      </c>
      <c r="L100" s="10">
        <v>48</v>
      </c>
      <c r="M100" s="10">
        <v>24</v>
      </c>
      <c r="N100" s="10">
        <v>8</v>
      </c>
      <c r="Q100" s="9" t="s">
        <v>55</v>
      </c>
      <c r="R100" s="9">
        <v>40.5</v>
      </c>
      <c r="S100" s="9">
        <v>84.5</v>
      </c>
      <c r="T100" s="9">
        <v>43</v>
      </c>
    </row>
    <row r="101" spans="1:20" x14ac:dyDescent="0.25">
      <c r="A101" s="21" t="s">
        <v>4</v>
      </c>
      <c r="B101" s="21" t="s">
        <v>30</v>
      </c>
      <c r="C101" s="21" t="s">
        <v>43</v>
      </c>
      <c r="D101" s="21" t="s">
        <v>35</v>
      </c>
      <c r="E101" s="21" t="s">
        <v>34</v>
      </c>
      <c r="F101" s="22">
        <v>65</v>
      </c>
      <c r="G101" s="22">
        <v>67</v>
      </c>
      <c r="H101" s="22">
        <v>62</v>
      </c>
      <c r="J101" s="10">
        <v>80</v>
      </c>
      <c r="K101" s="10">
        <v>2</v>
      </c>
      <c r="L101" s="10">
        <v>159</v>
      </c>
      <c r="M101" s="10">
        <v>79.5</v>
      </c>
      <c r="N101" s="10">
        <v>4.5</v>
      </c>
      <c r="Q101" s="9"/>
      <c r="R101" s="9"/>
      <c r="S101" s="9"/>
      <c r="T101" s="9"/>
    </row>
    <row r="102" spans="1:20" x14ac:dyDescent="0.25">
      <c r="A102" s="21" t="s">
        <v>5</v>
      </c>
      <c r="B102" s="21" t="s">
        <v>28</v>
      </c>
      <c r="C102" s="21" t="s">
        <v>45</v>
      </c>
      <c r="D102" s="21" t="s">
        <v>35</v>
      </c>
      <c r="E102" s="21" t="s">
        <v>34</v>
      </c>
      <c r="F102" s="22">
        <v>79</v>
      </c>
      <c r="G102" s="22">
        <v>67</v>
      </c>
      <c r="H102" s="22">
        <v>67</v>
      </c>
      <c r="J102" s="10">
        <v>61</v>
      </c>
      <c r="K102" s="10">
        <v>2</v>
      </c>
      <c r="L102" s="10">
        <v>146</v>
      </c>
      <c r="M102" s="10">
        <v>73</v>
      </c>
      <c r="N102" s="10">
        <v>2</v>
      </c>
      <c r="Q102" s="14">
        <v>56</v>
      </c>
      <c r="R102" s="14"/>
      <c r="S102" s="14"/>
      <c r="T102" s="14"/>
    </row>
    <row r="103" spans="1:20" x14ac:dyDescent="0.25">
      <c r="A103" s="21" t="s">
        <v>5</v>
      </c>
      <c r="B103" s="21" t="s">
        <v>30</v>
      </c>
      <c r="C103" s="21" t="s">
        <v>43</v>
      </c>
      <c r="D103" s="21" t="s">
        <v>35</v>
      </c>
      <c r="E103" s="21" t="s">
        <v>33</v>
      </c>
      <c r="F103" s="22">
        <v>68</v>
      </c>
      <c r="G103" s="22">
        <v>74</v>
      </c>
      <c r="H103" s="22">
        <v>74</v>
      </c>
      <c r="J103" s="10">
        <v>62</v>
      </c>
      <c r="K103" s="10">
        <v>2</v>
      </c>
      <c r="L103" s="10">
        <v>136</v>
      </c>
      <c r="M103" s="10">
        <v>68</v>
      </c>
      <c r="N103" s="10">
        <v>0</v>
      </c>
      <c r="Q103" s="9" t="s">
        <v>52</v>
      </c>
      <c r="R103" s="9">
        <v>2</v>
      </c>
      <c r="S103" s="9">
        <v>2</v>
      </c>
      <c r="T103" s="9">
        <v>4</v>
      </c>
    </row>
    <row r="104" spans="1:20" x14ac:dyDescent="0.25">
      <c r="A104" s="21" t="s">
        <v>4</v>
      </c>
      <c r="B104" s="21" t="s">
        <v>30</v>
      </c>
      <c r="C104" s="21" t="s">
        <v>14</v>
      </c>
      <c r="D104" s="21" t="s">
        <v>35</v>
      </c>
      <c r="E104" s="21" t="s">
        <v>34</v>
      </c>
      <c r="F104" s="22">
        <v>85</v>
      </c>
      <c r="G104" s="22">
        <v>91</v>
      </c>
      <c r="H104" s="22">
        <v>89</v>
      </c>
      <c r="J104" s="10">
        <v>47</v>
      </c>
      <c r="K104" s="10">
        <v>2</v>
      </c>
      <c r="L104" s="10">
        <v>99</v>
      </c>
      <c r="M104" s="10">
        <v>49.5</v>
      </c>
      <c r="N104" s="10">
        <v>0.5</v>
      </c>
      <c r="Q104" s="9" t="s">
        <v>53</v>
      </c>
      <c r="R104" s="9">
        <v>114</v>
      </c>
      <c r="S104" s="9">
        <v>103</v>
      </c>
      <c r="T104" s="9">
        <v>217</v>
      </c>
    </row>
    <row r="105" spans="1:20" x14ac:dyDescent="0.25">
      <c r="A105" s="21" t="s">
        <v>5</v>
      </c>
      <c r="B105" s="21" t="s">
        <v>28</v>
      </c>
      <c r="C105" s="21" t="s">
        <v>15</v>
      </c>
      <c r="D105" s="21" t="s">
        <v>35</v>
      </c>
      <c r="E105" s="21" t="s">
        <v>33</v>
      </c>
      <c r="F105" s="22">
        <v>60</v>
      </c>
      <c r="G105" s="22">
        <v>44</v>
      </c>
      <c r="H105" s="22">
        <v>47</v>
      </c>
      <c r="J105" s="10">
        <v>49</v>
      </c>
      <c r="K105" s="10">
        <v>2</v>
      </c>
      <c r="L105" s="10">
        <v>90</v>
      </c>
      <c r="M105" s="10">
        <v>45</v>
      </c>
      <c r="N105" s="10">
        <v>0</v>
      </c>
      <c r="Q105" s="9" t="s">
        <v>54</v>
      </c>
      <c r="R105" s="9">
        <v>57</v>
      </c>
      <c r="S105" s="9">
        <v>51.5</v>
      </c>
      <c r="T105" s="9">
        <v>54.25</v>
      </c>
    </row>
    <row r="106" spans="1:20" x14ac:dyDescent="0.25">
      <c r="A106" s="21" t="s">
        <v>5</v>
      </c>
      <c r="B106" s="21" t="s">
        <v>29</v>
      </c>
      <c r="C106" s="21" t="s">
        <v>45</v>
      </c>
      <c r="D106" s="21" t="s">
        <v>35</v>
      </c>
      <c r="E106" s="21" t="s">
        <v>33</v>
      </c>
      <c r="F106" s="22">
        <v>98</v>
      </c>
      <c r="G106" s="22">
        <v>86</v>
      </c>
      <c r="H106" s="22">
        <v>90</v>
      </c>
      <c r="J106" s="10">
        <v>50</v>
      </c>
      <c r="K106" s="10">
        <v>2</v>
      </c>
      <c r="L106" s="10">
        <v>101</v>
      </c>
      <c r="M106" s="10">
        <v>50.5</v>
      </c>
      <c r="N106" s="10">
        <v>24.5</v>
      </c>
      <c r="Q106" s="9" t="s">
        <v>55</v>
      </c>
      <c r="R106" s="9">
        <v>450</v>
      </c>
      <c r="S106" s="9">
        <v>364.5</v>
      </c>
      <c r="T106" s="9">
        <v>281.58333333333331</v>
      </c>
    </row>
    <row r="107" spans="1:20" x14ac:dyDescent="0.25">
      <c r="A107" s="21" t="s">
        <v>4</v>
      </c>
      <c r="B107" s="21" t="s">
        <v>29</v>
      </c>
      <c r="C107" s="21" t="s">
        <v>45</v>
      </c>
      <c r="D107" s="21" t="s">
        <v>35</v>
      </c>
      <c r="E107" s="21" t="s">
        <v>34</v>
      </c>
      <c r="F107" s="22">
        <v>58</v>
      </c>
      <c r="G107" s="22">
        <v>67</v>
      </c>
      <c r="H107" s="22">
        <v>72</v>
      </c>
      <c r="J107" s="10">
        <v>72</v>
      </c>
      <c r="K107" s="10">
        <v>2</v>
      </c>
      <c r="L107" s="10">
        <v>127</v>
      </c>
      <c r="M107" s="10">
        <v>63.5</v>
      </c>
      <c r="N107" s="10">
        <v>0.5</v>
      </c>
      <c r="Q107" s="9"/>
      <c r="R107" s="9"/>
      <c r="S107" s="9"/>
      <c r="T107" s="9"/>
    </row>
    <row r="108" spans="1:20" x14ac:dyDescent="0.25">
      <c r="A108" s="21" t="s">
        <v>4</v>
      </c>
      <c r="B108" s="21" t="s">
        <v>30</v>
      </c>
      <c r="C108" s="21" t="s">
        <v>16</v>
      </c>
      <c r="D108" s="21" t="s">
        <v>35</v>
      </c>
      <c r="E108" s="21" t="s">
        <v>34</v>
      </c>
      <c r="F108" s="22">
        <v>87</v>
      </c>
      <c r="G108" s="22">
        <v>100</v>
      </c>
      <c r="H108" s="22">
        <v>100</v>
      </c>
      <c r="J108" s="10">
        <v>42</v>
      </c>
      <c r="K108" s="10">
        <v>2</v>
      </c>
      <c r="L108" s="10">
        <v>73</v>
      </c>
      <c r="M108" s="10">
        <v>36.5</v>
      </c>
      <c r="N108" s="10">
        <v>12.5</v>
      </c>
      <c r="Q108" s="14">
        <v>97</v>
      </c>
      <c r="R108" s="14"/>
      <c r="S108" s="14"/>
      <c r="T108" s="14"/>
    </row>
    <row r="109" spans="1:20" x14ac:dyDescent="0.25">
      <c r="A109" s="21" t="s">
        <v>5</v>
      </c>
      <c r="B109" s="21" t="s">
        <v>31</v>
      </c>
      <c r="C109" s="21" t="s">
        <v>14</v>
      </c>
      <c r="D109" s="21" t="s">
        <v>35</v>
      </c>
      <c r="E109" s="21" t="s">
        <v>33</v>
      </c>
      <c r="F109" s="22">
        <v>66</v>
      </c>
      <c r="G109" s="22">
        <v>63</v>
      </c>
      <c r="H109" s="22">
        <v>64</v>
      </c>
      <c r="J109" s="10">
        <v>73</v>
      </c>
      <c r="K109" s="10">
        <v>2</v>
      </c>
      <c r="L109" s="10">
        <v>162</v>
      </c>
      <c r="M109" s="10">
        <v>81</v>
      </c>
      <c r="N109" s="10">
        <v>2</v>
      </c>
      <c r="Q109" s="9" t="s">
        <v>52</v>
      </c>
      <c r="R109" s="9">
        <v>2</v>
      </c>
      <c r="S109" s="9">
        <v>2</v>
      </c>
      <c r="T109" s="9">
        <v>4</v>
      </c>
    </row>
    <row r="110" spans="1:20" x14ac:dyDescent="0.25">
      <c r="A110" s="21" t="s">
        <v>4</v>
      </c>
      <c r="B110" s="21" t="s">
        <v>28</v>
      </c>
      <c r="C110" s="21" t="s">
        <v>14</v>
      </c>
      <c r="D110" s="21" t="s">
        <v>32</v>
      </c>
      <c r="E110" s="21" t="s">
        <v>34</v>
      </c>
      <c r="F110" s="22">
        <v>52</v>
      </c>
      <c r="G110" s="22">
        <v>76</v>
      </c>
      <c r="H110" s="22">
        <v>70</v>
      </c>
      <c r="J110" s="10">
        <v>76</v>
      </c>
      <c r="K110" s="10">
        <v>2</v>
      </c>
      <c r="L110" s="10">
        <v>171</v>
      </c>
      <c r="M110" s="10">
        <v>85.5</v>
      </c>
      <c r="N110" s="10">
        <v>12.5</v>
      </c>
      <c r="Q110" s="9" t="s">
        <v>53</v>
      </c>
      <c r="R110" s="9">
        <v>168</v>
      </c>
      <c r="S110" s="9">
        <v>161</v>
      </c>
      <c r="T110" s="9">
        <v>329</v>
      </c>
    </row>
    <row r="111" spans="1:20" x14ac:dyDescent="0.25">
      <c r="A111" s="21" t="s">
        <v>4</v>
      </c>
      <c r="B111" s="21" t="s">
        <v>28</v>
      </c>
      <c r="C111" s="21" t="s">
        <v>17</v>
      </c>
      <c r="D111" s="21" t="s">
        <v>35</v>
      </c>
      <c r="E111" s="21" t="s">
        <v>34</v>
      </c>
      <c r="F111" s="22">
        <v>70</v>
      </c>
      <c r="G111" s="22">
        <v>64</v>
      </c>
      <c r="H111" s="22">
        <v>72</v>
      </c>
      <c r="J111" s="10">
        <v>71</v>
      </c>
      <c r="K111" s="10">
        <v>2</v>
      </c>
      <c r="L111" s="10">
        <v>145</v>
      </c>
      <c r="M111" s="10">
        <v>72.5</v>
      </c>
      <c r="N111" s="10">
        <v>4.5</v>
      </c>
      <c r="Q111" s="9" t="s">
        <v>54</v>
      </c>
      <c r="R111" s="9">
        <v>84</v>
      </c>
      <c r="S111" s="9">
        <v>80.5</v>
      </c>
      <c r="T111" s="9">
        <v>82.25</v>
      </c>
    </row>
    <row r="112" spans="1:20" x14ac:dyDescent="0.25">
      <c r="A112" s="21" t="s">
        <v>4</v>
      </c>
      <c r="B112" s="21" t="s">
        <v>30</v>
      </c>
      <c r="C112" s="21" t="s">
        <v>14</v>
      </c>
      <c r="D112" s="21" t="s">
        <v>32</v>
      </c>
      <c r="E112" s="21" t="s">
        <v>33</v>
      </c>
      <c r="F112" s="22">
        <v>77</v>
      </c>
      <c r="G112" s="22">
        <v>89</v>
      </c>
      <c r="H112" s="22">
        <v>98</v>
      </c>
      <c r="J112" s="10">
        <v>58</v>
      </c>
      <c r="K112" s="10">
        <v>2</v>
      </c>
      <c r="L112" s="10">
        <v>137</v>
      </c>
      <c r="M112" s="10">
        <v>68.5</v>
      </c>
      <c r="N112" s="10">
        <v>4.5</v>
      </c>
      <c r="Q112" s="9" t="s">
        <v>55</v>
      </c>
      <c r="R112" s="9">
        <v>18</v>
      </c>
      <c r="S112" s="9">
        <v>4.5</v>
      </c>
      <c r="T112" s="9">
        <v>11.583333333333334</v>
      </c>
    </row>
    <row r="113" spans="1:20" x14ac:dyDescent="0.25">
      <c r="A113" s="21" t="s">
        <v>5</v>
      </c>
      <c r="B113" s="21" t="s">
        <v>29</v>
      </c>
      <c r="C113" s="21" t="s">
        <v>15</v>
      </c>
      <c r="D113" s="21" t="s">
        <v>35</v>
      </c>
      <c r="E113" s="21" t="s">
        <v>34</v>
      </c>
      <c r="F113" s="22">
        <v>62</v>
      </c>
      <c r="G113" s="22">
        <v>55</v>
      </c>
      <c r="H113" s="22">
        <v>49</v>
      </c>
      <c r="J113" s="10">
        <v>73</v>
      </c>
      <c r="K113" s="10">
        <v>2</v>
      </c>
      <c r="L113" s="10">
        <v>168</v>
      </c>
      <c r="M113" s="10">
        <v>84</v>
      </c>
      <c r="N113" s="10">
        <v>8</v>
      </c>
      <c r="Q113" s="9"/>
      <c r="R113" s="9"/>
      <c r="S113" s="9"/>
      <c r="T113" s="9"/>
    </row>
    <row r="114" spans="1:20" x14ac:dyDescent="0.25">
      <c r="A114" s="21" t="s">
        <v>5</v>
      </c>
      <c r="B114" s="21" t="s">
        <v>27</v>
      </c>
      <c r="C114" s="21" t="s">
        <v>14</v>
      </c>
      <c r="D114" s="21" t="s">
        <v>35</v>
      </c>
      <c r="E114" s="21" t="s">
        <v>34</v>
      </c>
      <c r="F114" s="22">
        <v>54</v>
      </c>
      <c r="G114" s="22">
        <v>53</v>
      </c>
      <c r="H114" s="22">
        <v>47</v>
      </c>
      <c r="J114" s="10">
        <v>65</v>
      </c>
      <c r="K114" s="10">
        <v>2</v>
      </c>
      <c r="L114" s="10">
        <v>146</v>
      </c>
      <c r="M114" s="10">
        <v>73</v>
      </c>
      <c r="N114" s="10">
        <v>2</v>
      </c>
      <c r="Q114" s="14">
        <v>74</v>
      </c>
      <c r="R114" s="14"/>
      <c r="S114" s="14"/>
      <c r="T114" s="14"/>
    </row>
    <row r="115" spans="1:20" x14ac:dyDescent="0.25">
      <c r="A115" s="21" t="s">
        <v>4</v>
      </c>
      <c r="B115" s="21" t="s">
        <v>30</v>
      </c>
      <c r="C115" s="21" t="s">
        <v>45</v>
      </c>
      <c r="D115" s="21" t="s">
        <v>35</v>
      </c>
      <c r="E115" s="21" t="s">
        <v>34</v>
      </c>
      <c r="F115" s="22">
        <v>51</v>
      </c>
      <c r="G115" s="22">
        <v>58</v>
      </c>
      <c r="H115" s="22">
        <v>54</v>
      </c>
      <c r="J115" s="10">
        <v>27</v>
      </c>
      <c r="K115" s="10">
        <v>2</v>
      </c>
      <c r="L115" s="10">
        <v>70</v>
      </c>
      <c r="M115" s="10">
        <v>35</v>
      </c>
      <c r="N115" s="10">
        <v>2</v>
      </c>
      <c r="Q115" s="9" t="s">
        <v>52</v>
      </c>
      <c r="R115" s="9">
        <v>2</v>
      </c>
      <c r="S115" s="9">
        <v>2</v>
      </c>
      <c r="T115" s="9">
        <v>4</v>
      </c>
    </row>
    <row r="116" spans="1:20" x14ac:dyDescent="0.25">
      <c r="A116" s="21" t="s">
        <v>4</v>
      </c>
      <c r="B116" s="21" t="s">
        <v>31</v>
      </c>
      <c r="C116" s="21" t="s">
        <v>43</v>
      </c>
      <c r="D116" s="21" t="s">
        <v>35</v>
      </c>
      <c r="E116" s="21" t="s">
        <v>33</v>
      </c>
      <c r="F116" s="22">
        <v>99</v>
      </c>
      <c r="G116" s="22">
        <v>100</v>
      </c>
      <c r="H116" s="22">
        <v>100</v>
      </c>
      <c r="J116" s="10">
        <v>71</v>
      </c>
      <c r="K116" s="10">
        <v>2</v>
      </c>
      <c r="L116" s="10">
        <v>150</v>
      </c>
      <c r="M116" s="10">
        <v>75</v>
      </c>
      <c r="N116" s="10">
        <v>32</v>
      </c>
      <c r="Q116" s="9" t="s">
        <v>53</v>
      </c>
      <c r="R116" s="9">
        <v>145</v>
      </c>
      <c r="S116" s="9">
        <v>142</v>
      </c>
      <c r="T116" s="9">
        <v>287</v>
      </c>
    </row>
    <row r="117" spans="1:20" x14ac:dyDescent="0.25">
      <c r="A117" s="21" t="s">
        <v>5</v>
      </c>
      <c r="B117" s="21" t="s">
        <v>29</v>
      </c>
      <c r="C117" s="21" t="s">
        <v>15</v>
      </c>
      <c r="D117" s="21" t="s">
        <v>35</v>
      </c>
      <c r="E117" s="21" t="s">
        <v>34</v>
      </c>
      <c r="F117" s="22">
        <v>84</v>
      </c>
      <c r="G117" s="22">
        <v>77</v>
      </c>
      <c r="H117" s="22">
        <v>74</v>
      </c>
      <c r="J117" s="10">
        <v>43</v>
      </c>
      <c r="K117" s="10">
        <v>2</v>
      </c>
      <c r="L117" s="10">
        <v>95</v>
      </c>
      <c r="M117" s="10">
        <v>47.5</v>
      </c>
      <c r="N117" s="10">
        <v>12.5</v>
      </c>
      <c r="Q117" s="9" t="s">
        <v>54</v>
      </c>
      <c r="R117" s="9">
        <v>72.5</v>
      </c>
      <c r="S117" s="9">
        <v>71</v>
      </c>
      <c r="T117" s="9">
        <v>71.75</v>
      </c>
    </row>
    <row r="118" spans="1:20" x14ac:dyDescent="0.25">
      <c r="A118" s="21" t="s">
        <v>4</v>
      </c>
      <c r="B118" s="21" t="s">
        <v>28</v>
      </c>
      <c r="C118" s="21" t="s">
        <v>43</v>
      </c>
      <c r="D118" s="21" t="s">
        <v>32</v>
      </c>
      <c r="E118" s="21" t="s">
        <v>34</v>
      </c>
      <c r="F118" s="22">
        <v>75</v>
      </c>
      <c r="G118" s="22">
        <v>85</v>
      </c>
      <c r="H118" s="22">
        <v>82</v>
      </c>
      <c r="J118" s="10">
        <v>79</v>
      </c>
      <c r="K118" s="10">
        <v>2</v>
      </c>
      <c r="L118" s="10">
        <v>178</v>
      </c>
      <c r="M118" s="10">
        <v>89</v>
      </c>
      <c r="N118" s="10">
        <v>18</v>
      </c>
      <c r="Q118" s="9" t="s">
        <v>55</v>
      </c>
      <c r="R118" s="9">
        <v>144.5</v>
      </c>
      <c r="S118" s="9">
        <v>288</v>
      </c>
      <c r="T118" s="9">
        <v>144.91666666666666</v>
      </c>
    </row>
    <row r="119" spans="1:20" x14ac:dyDescent="0.25">
      <c r="A119" s="21" t="s">
        <v>4</v>
      </c>
      <c r="B119" s="21" t="s">
        <v>30</v>
      </c>
      <c r="C119" s="21" t="s">
        <v>43</v>
      </c>
      <c r="D119" s="21" t="s">
        <v>35</v>
      </c>
      <c r="E119" s="21" t="s">
        <v>34</v>
      </c>
      <c r="F119" s="22">
        <v>78</v>
      </c>
      <c r="G119" s="22">
        <v>82</v>
      </c>
      <c r="H119" s="22">
        <v>79</v>
      </c>
      <c r="J119" s="10">
        <v>78</v>
      </c>
      <c r="K119" s="10">
        <v>2</v>
      </c>
      <c r="L119" s="10">
        <v>163</v>
      </c>
      <c r="M119" s="10">
        <v>81.5</v>
      </c>
      <c r="N119" s="10">
        <v>0.5</v>
      </c>
      <c r="Q119" s="9"/>
      <c r="R119" s="9"/>
      <c r="S119" s="9"/>
      <c r="T119" s="9"/>
    </row>
    <row r="120" spans="1:20" x14ac:dyDescent="0.25">
      <c r="A120" s="21" t="s">
        <v>4</v>
      </c>
      <c r="B120" s="21" t="s">
        <v>30</v>
      </c>
      <c r="C120" s="21" t="s">
        <v>17</v>
      </c>
      <c r="D120" s="21" t="s">
        <v>35</v>
      </c>
      <c r="E120" s="21" t="s">
        <v>34</v>
      </c>
      <c r="F120" s="22">
        <v>51</v>
      </c>
      <c r="G120" s="22">
        <v>63</v>
      </c>
      <c r="H120" s="22">
        <v>61</v>
      </c>
      <c r="J120" s="10">
        <v>65</v>
      </c>
      <c r="K120" s="10">
        <v>2</v>
      </c>
      <c r="L120" s="10">
        <v>128</v>
      </c>
      <c r="M120" s="10">
        <v>64</v>
      </c>
      <c r="N120" s="10">
        <v>8</v>
      </c>
      <c r="Q120" s="14">
        <v>75</v>
      </c>
      <c r="R120" s="14"/>
      <c r="S120" s="14"/>
      <c r="T120" s="14"/>
    </row>
    <row r="121" spans="1:20" x14ac:dyDescent="0.25">
      <c r="A121" s="21" t="s">
        <v>4</v>
      </c>
      <c r="B121" s="21" t="s">
        <v>29</v>
      </c>
      <c r="C121" s="21" t="s">
        <v>45</v>
      </c>
      <c r="D121" s="21" t="s">
        <v>35</v>
      </c>
      <c r="E121" s="21" t="s">
        <v>34</v>
      </c>
      <c r="F121" s="22">
        <v>55</v>
      </c>
      <c r="G121" s="22">
        <v>69</v>
      </c>
      <c r="H121" s="22">
        <v>65</v>
      </c>
      <c r="J121" s="10">
        <v>63</v>
      </c>
      <c r="K121" s="10">
        <v>2</v>
      </c>
      <c r="L121" s="10">
        <v>142</v>
      </c>
      <c r="M121" s="10">
        <v>71</v>
      </c>
      <c r="N121" s="10">
        <v>2</v>
      </c>
      <c r="Q121" s="9" t="s">
        <v>52</v>
      </c>
      <c r="R121" s="9">
        <v>2</v>
      </c>
      <c r="S121" s="9">
        <v>2</v>
      </c>
      <c r="T121" s="9">
        <v>4</v>
      </c>
    </row>
    <row r="122" spans="1:20" x14ac:dyDescent="0.25">
      <c r="A122" s="21" t="s">
        <v>4</v>
      </c>
      <c r="B122" s="21" t="s">
        <v>29</v>
      </c>
      <c r="C122" s="21" t="s">
        <v>43</v>
      </c>
      <c r="D122" s="21" t="s">
        <v>35</v>
      </c>
      <c r="E122" s="21" t="s">
        <v>33</v>
      </c>
      <c r="F122" s="22">
        <v>79</v>
      </c>
      <c r="G122" s="22">
        <v>92</v>
      </c>
      <c r="H122" s="22">
        <v>89</v>
      </c>
      <c r="J122" s="10">
        <v>58</v>
      </c>
      <c r="K122" s="10">
        <v>2</v>
      </c>
      <c r="L122" s="10">
        <v>129</v>
      </c>
      <c r="M122" s="10">
        <v>64.5</v>
      </c>
      <c r="N122" s="10">
        <v>12.5</v>
      </c>
      <c r="Q122" s="9" t="s">
        <v>53</v>
      </c>
      <c r="R122" s="9">
        <v>146</v>
      </c>
      <c r="S122" s="9">
        <v>145</v>
      </c>
      <c r="T122" s="9">
        <v>291</v>
      </c>
    </row>
    <row r="123" spans="1:20" x14ac:dyDescent="0.25">
      <c r="A123" s="21" t="s">
        <v>5</v>
      </c>
      <c r="B123" s="21" t="s">
        <v>28</v>
      </c>
      <c r="C123" s="21" t="s">
        <v>14</v>
      </c>
      <c r="D123" s="21" t="s">
        <v>35</v>
      </c>
      <c r="E123" s="21" t="s">
        <v>33</v>
      </c>
      <c r="F123" s="22">
        <v>91</v>
      </c>
      <c r="G123" s="22">
        <v>89</v>
      </c>
      <c r="H123" s="22">
        <v>92</v>
      </c>
      <c r="J123" s="10">
        <v>65</v>
      </c>
      <c r="K123" s="10">
        <v>2</v>
      </c>
      <c r="L123" s="10">
        <v>129</v>
      </c>
      <c r="M123" s="10">
        <v>64.5</v>
      </c>
      <c r="N123" s="10">
        <v>12.5</v>
      </c>
      <c r="Q123" s="9" t="s">
        <v>54</v>
      </c>
      <c r="R123" s="9">
        <v>73</v>
      </c>
      <c r="S123" s="9">
        <v>72.5</v>
      </c>
      <c r="T123" s="9">
        <v>72.75</v>
      </c>
    </row>
    <row r="124" spans="1:20" x14ac:dyDescent="0.25">
      <c r="A124" s="21" t="s">
        <v>4</v>
      </c>
      <c r="B124" s="21" t="s">
        <v>29</v>
      </c>
      <c r="C124" s="21" t="s">
        <v>45</v>
      </c>
      <c r="D124" s="21" t="s">
        <v>35</v>
      </c>
      <c r="E124" s="21" t="s">
        <v>33</v>
      </c>
      <c r="F124" s="22">
        <v>88</v>
      </c>
      <c r="G124" s="22">
        <v>93</v>
      </c>
      <c r="H124" s="22">
        <v>93</v>
      </c>
      <c r="J124" s="10">
        <v>79</v>
      </c>
      <c r="K124" s="10">
        <v>2</v>
      </c>
      <c r="L124" s="10">
        <v>134</v>
      </c>
      <c r="M124" s="10">
        <v>67</v>
      </c>
      <c r="N124" s="10">
        <v>0</v>
      </c>
      <c r="Q124" s="9" t="s">
        <v>55</v>
      </c>
      <c r="R124" s="9">
        <v>578</v>
      </c>
      <c r="S124" s="9">
        <v>480.5</v>
      </c>
      <c r="T124" s="9">
        <v>352.91666666666669</v>
      </c>
    </row>
    <row r="125" spans="1:20" x14ac:dyDescent="0.25">
      <c r="A125" s="21" t="s">
        <v>5</v>
      </c>
      <c r="B125" s="21" t="s">
        <v>30</v>
      </c>
      <c r="C125" s="21" t="s">
        <v>15</v>
      </c>
      <c r="D125" s="21" t="s">
        <v>32</v>
      </c>
      <c r="E125" s="21" t="s">
        <v>34</v>
      </c>
      <c r="F125" s="22">
        <v>63</v>
      </c>
      <c r="G125" s="22">
        <v>57</v>
      </c>
      <c r="H125" s="22">
        <v>56</v>
      </c>
      <c r="J125" s="10">
        <v>68</v>
      </c>
      <c r="K125" s="10">
        <v>2</v>
      </c>
      <c r="L125" s="10">
        <v>148</v>
      </c>
      <c r="M125" s="10">
        <v>74</v>
      </c>
      <c r="N125" s="10">
        <v>0</v>
      </c>
      <c r="Q125" s="9"/>
      <c r="R125" s="9"/>
      <c r="S125" s="9"/>
      <c r="T125" s="9"/>
    </row>
    <row r="126" spans="1:20" x14ac:dyDescent="0.25">
      <c r="A126" s="21" t="s">
        <v>5</v>
      </c>
      <c r="B126" s="21" t="s">
        <v>31</v>
      </c>
      <c r="C126" s="21" t="s">
        <v>45</v>
      </c>
      <c r="D126" s="21" t="s">
        <v>35</v>
      </c>
      <c r="E126" s="21" t="s">
        <v>34</v>
      </c>
      <c r="F126" s="22">
        <v>83</v>
      </c>
      <c r="G126" s="22">
        <v>80</v>
      </c>
      <c r="H126" s="22">
        <v>73</v>
      </c>
      <c r="J126" s="10">
        <v>85</v>
      </c>
      <c r="K126" s="10">
        <v>2</v>
      </c>
      <c r="L126" s="10">
        <v>180</v>
      </c>
      <c r="M126" s="10">
        <v>90</v>
      </c>
      <c r="N126" s="10">
        <v>2</v>
      </c>
      <c r="Q126" s="14">
        <v>55</v>
      </c>
      <c r="R126" s="14"/>
      <c r="S126" s="14"/>
      <c r="T126" s="14"/>
    </row>
    <row r="127" spans="1:20" x14ac:dyDescent="0.25">
      <c r="A127" s="21" t="s">
        <v>4</v>
      </c>
      <c r="B127" s="21" t="s">
        <v>28</v>
      </c>
      <c r="C127" s="21" t="s">
        <v>15</v>
      </c>
      <c r="D127" s="21" t="s">
        <v>35</v>
      </c>
      <c r="E127" s="21" t="s">
        <v>34</v>
      </c>
      <c r="F127" s="22">
        <v>87</v>
      </c>
      <c r="G127" s="22">
        <v>95</v>
      </c>
      <c r="H127" s="22">
        <v>86</v>
      </c>
      <c r="J127" s="10">
        <v>60</v>
      </c>
      <c r="K127" s="10">
        <v>2</v>
      </c>
      <c r="L127" s="10">
        <v>91</v>
      </c>
      <c r="M127" s="10">
        <v>45.5</v>
      </c>
      <c r="N127" s="10">
        <v>4.5</v>
      </c>
      <c r="Q127" s="9" t="s">
        <v>52</v>
      </c>
      <c r="R127" s="9">
        <v>2</v>
      </c>
      <c r="S127" s="9">
        <v>2</v>
      </c>
      <c r="T127" s="9">
        <v>4</v>
      </c>
    </row>
    <row r="128" spans="1:20" x14ac:dyDescent="0.25">
      <c r="A128" s="21" t="s">
        <v>5</v>
      </c>
      <c r="B128" s="21" t="s">
        <v>28</v>
      </c>
      <c r="C128" s="21" t="s">
        <v>17</v>
      </c>
      <c r="D128" s="21" t="s">
        <v>35</v>
      </c>
      <c r="E128" s="21" t="s">
        <v>34</v>
      </c>
      <c r="F128" s="22">
        <v>72</v>
      </c>
      <c r="G128" s="22">
        <v>68</v>
      </c>
      <c r="H128" s="22">
        <v>67</v>
      </c>
      <c r="J128" s="10">
        <v>98</v>
      </c>
      <c r="K128" s="10">
        <v>2</v>
      </c>
      <c r="L128" s="10">
        <v>176</v>
      </c>
      <c r="M128" s="10">
        <v>88</v>
      </c>
      <c r="N128" s="10">
        <v>8</v>
      </c>
      <c r="Q128" s="9" t="s">
        <v>53</v>
      </c>
      <c r="R128" s="9">
        <v>134</v>
      </c>
      <c r="S128" s="9">
        <v>122</v>
      </c>
      <c r="T128" s="9">
        <v>256</v>
      </c>
    </row>
    <row r="129" spans="1:20" x14ac:dyDescent="0.25">
      <c r="A129" s="21" t="s">
        <v>5</v>
      </c>
      <c r="B129" s="21" t="s">
        <v>30</v>
      </c>
      <c r="C129" s="21" t="s">
        <v>45</v>
      </c>
      <c r="D129" s="21" t="s">
        <v>35</v>
      </c>
      <c r="E129" s="21" t="s">
        <v>33</v>
      </c>
      <c r="F129" s="22">
        <v>65</v>
      </c>
      <c r="G129" s="22">
        <v>77</v>
      </c>
      <c r="H129" s="22">
        <v>74</v>
      </c>
      <c r="J129" s="10">
        <v>58</v>
      </c>
      <c r="K129" s="10">
        <v>2</v>
      </c>
      <c r="L129" s="10">
        <v>139</v>
      </c>
      <c r="M129" s="10">
        <v>69.5</v>
      </c>
      <c r="N129" s="10">
        <v>12.5</v>
      </c>
      <c r="Q129" s="9" t="s">
        <v>54</v>
      </c>
      <c r="R129" s="9">
        <v>67</v>
      </c>
      <c r="S129" s="9">
        <v>61</v>
      </c>
      <c r="T129" s="9">
        <v>64</v>
      </c>
    </row>
    <row r="130" spans="1:20" x14ac:dyDescent="0.25">
      <c r="A130" s="21" t="s">
        <v>5</v>
      </c>
      <c r="B130" s="21" t="s">
        <v>30</v>
      </c>
      <c r="C130" s="21" t="s">
        <v>16</v>
      </c>
      <c r="D130" s="21" t="s">
        <v>35</v>
      </c>
      <c r="E130" s="21" t="s">
        <v>34</v>
      </c>
      <c r="F130" s="22">
        <v>82</v>
      </c>
      <c r="G130" s="22">
        <v>82</v>
      </c>
      <c r="H130" s="22">
        <v>74</v>
      </c>
      <c r="J130" s="10">
        <v>87</v>
      </c>
      <c r="K130" s="10">
        <v>2</v>
      </c>
      <c r="L130" s="10">
        <v>200</v>
      </c>
      <c r="M130" s="10">
        <v>100</v>
      </c>
      <c r="N130" s="10">
        <v>0</v>
      </c>
      <c r="Q130" s="9" t="s">
        <v>55</v>
      </c>
      <c r="R130" s="9">
        <v>72</v>
      </c>
      <c r="S130" s="9">
        <v>98</v>
      </c>
      <c r="T130" s="9">
        <v>68.666666666666671</v>
      </c>
    </row>
    <row r="131" spans="1:20" x14ac:dyDescent="0.25">
      <c r="A131" s="21" t="s">
        <v>4</v>
      </c>
      <c r="B131" s="21" t="s">
        <v>27</v>
      </c>
      <c r="C131" s="21" t="s">
        <v>43</v>
      </c>
      <c r="D131" s="21" t="s">
        <v>35</v>
      </c>
      <c r="E131" s="21" t="s">
        <v>34</v>
      </c>
      <c r="F131" s="22">
        <v>51</v>
      </c>
      <c r="G131" s="22">
        <v>49</v>
      </c>
      <c r="H131" s="22">
        <v>51</v>
      </c>
      <c r="J131" s="10">
        <v>66</v>
      </c>
      <c r="K131" s="10">
        <v>2</v>
      </c>
      <c r="L131" s="10">
        <v>127</v>
      </c>
      <c r="M131" s="10">
        <v>63.5</v>
      </c>
      <c r="N131" s="10">
        <v>0.5</v>
      </c>
      <c r="Q131" s="9"/>
      <c r="R131" s="9"/>
      <c r="S131" s="9"/>
      <c r="T131" s="9"/>
    </row>
    <row r="132" spans="1:20" x14ac:dyDescent="0.25">
      <c r="A132" s="21" t="s">
        <v>5</v>
      </c>
      <c r="B132" s="21" t="s">
        <v>30</v>
      </c>
      <c r="C132" s="21" t="s">
        <v>16</v>
      </c>
      <c r="D132" s="21" t="s">
        <v>35</v>
      </c>
      <c r="E132" s="21" t="s">
        <v>34</v>
      </c>
      <c r="F132" s="22">
        <v>89</v>
      </c>
      <c r="G132" s="22">
        <v>84</v>
      </c>
      <c r="H132" s="22">
        <v>82</v>
      </c>
      <c r="J132" s="10">
        <v>52</v>
      </c>
      <c r="K132" s="10">
        <v>2</v>
      </c>
      <c r="L132" s="10">
        <v>146</v>
      </c>
      <c r="M132" s="10">
        <v>73</v>
      </c>
      <c r="N132" s="10">
        <v>18</v>
      </c>
      <c r="Q132" s="14">
        <v>53</v>
      </c>
      <c r="R132" s="14"/>
      <c r="S132" s="14"/>
      <c r="T132" s="14"/>
    </row>
    <row r="133" spans="1:20" x14ac:dyDescent="0.25">
      <c r="A133" s="21" t="s">
        <v>5</v>
      </c>
      <c r="B133" s="21" t="s">
        <v>29</v>
      </c>
      <c r="C133" s="21" t="s">
        <v>17</v>
      </c>
      <c r="D133" s="21" t="s">
        <v>32</v>
      </c>
      <c r="E133" s="21" t="s">
        <v>33</v>
      </c>
      <c r="F133" s="22">
        <v>53</v>
      </c>
      <c r="G133" s="22">
        <v>37</v>
      </c>
      <c r="H133" s="22">
        <v>40</v>
      </c>
      <c r="J133" s="10">
        <v>70</v>
      </c>
      <c r="K133" s="10">
        <v>2</v>
      </c>
      <c r="L133" s="10">
        <v>136</v>
      </c>
      <c r="M133" s="10">
        <v>68</v>
      </c>
      <c r="N133" s="10">
        <v>32</v>
      </c>
      <c r="Q133" s="9" t="s">
        <v>52</v>
      </c>
      <c r="R133" s="9">
        <v>2</v>
      </c>
      <c r="S133" s="9">
        <v>2</v>
      </c>
      <c r="T133" s="9">
        <v>4</v>
      </c>
    </row>
    <row r="134" spans="1:20" x14ac:dyDescent="0.25">
      <c r="A134" s="21" t="s">
        <v>5</v>
      </c>
      <c r="B134" s="21" t="s">
        <v>31</v>
      </c>
      <c r="C134" s="21" t="s">
        <v>45</v>
      </c>
      <c r="D134" s="21" t="s">
        <v>32</v>
      </c>
      <c r="E134" s="21" t="s">
        <v>33</v>
      </c>
      <c r="F134" s="22">
        <v>87</v>
      </c>
      <c r="G134" s="22">
        <v>74</v>
      </c>
      <c r="H134" s="22">
        <v>70</v>
      </c>
      <c r="J134" s="10">
        <v>77</v>
      </c>
      <c r="K134" s="10">
        <v>2</v>
      </c>
      <c r="L134" s="10">
        <v>187</v>
      </c>
      <c r="M134" s="10">
        <v>93.5</v>
      </c>
      <c r="N134" s="10">
        <v>40.5</v>
      </c>
      <c r="Q134" s="9" t="s">
        <v>53</v>
      </c>
      <c r="R134" s="9">
        <v>123</v>
      </c>
      <c r="S134" s="9">
        <v>131</v>
      </c>
      <c r="T134" s="9">
        <v>254</v>
      </c>
    </row>
    <row r="135" spans="1:20" x14ac:dyDescent="0.25">
      <c r="A135" s="21" t="s">
        <v>4</v>
      </c>
      <c r="B135" s="21" t="s">
        <v>29</v>
      </c>
      <c r="C135" s="21" t="s">
        <v>45</v>
      </c>
      <c r="D135" s="21" t="s">
        <v>35</v>
      </c>
      <c r="E135" s="21" t="s">
        <v>33</v>
      </c>
      <c r="F135" s="22">
        <v>75</v>
      </c>
      <c r="G135" s="22">
        <v>81</v>
      </c>
      <c r="H135" s="22">
        <v>84</v>
      </c>
      <c r="J135" s="10">
        <v>62</v>
      </c>
      <c r="K135" s="10">
        <v>2</v>
      </c>
      <c r="L135" s="10">
        <v>104</v>
      </c>
      <c r="M135" s="10">
        <v>52</v>
      </c>
      <c r="N135" s="10">
        <v>18</v>
      </c>
      <c r="Q135" s="9" t="s">
        <v>54</v>
      </c>
      <c r="R135" s="9">
        <v>61.5</v>
      </c>
      <c r="S135" s="9">
        <v>65.5</v>
      </c>
      <c r="T135" s="9">
        <v>63.5</v>
      </c>
    </row>
    <row r="136" spans="1:20" x14ac:dyDescent="0.25">
      <c r="A136" s="21" t="s">
        <v>5</v>
      </c>
      <c r="B136" s="21" t="s">
        <v>30</v>
      </c>
      <c r="C136" s="21" t="s">
        <v>43</v>
      </c>
      <c r="D136" s="21" t="s">
        <v>32</v>
      </c>
      <c r="E136" s="21" t="s">
        <v>33</v>
      </c>
      <c r="F136" s="22">
        <v>74</v>
      </c>
      <c r="G136" s="22">
        <v>79</v>
      </c>
      <c r="H136" s="22">
        <v>75</v>
      </c>
      <c r="J136" s="10">
        <v>54</v>
      </c>
      <c r="K136" s="10">
        <v>2</v>
      </c>
      <c r="L136" s="10">
        <v>100</v>
      </c>
      <c r="M136" s="10">
        <v>50</v>
      </c>
      <c r="N136" s="10">
        <v>18</v>
      </c>
      <c r="Q136" s="9" t="s">
        <v>55</v>
      </c>
      <c r="R136" s="9">
        <v>24.5</v>
      </c>
      <c r="S136" s="9">
        <v>0.5</v>
      </c>
      <c r="T136" s="9">
        <v>13.666666666666666</v>
      </c>
    </row>
    <row r="137" spans="1:20" x14ac:dyDescent="0.25">
      <c r="A137" s="21" t="s">
        <v>5</v>
      </c>
      <c r="B137" s="21" t="s">
        <v>29</v>
      </c>
      <c r="C137" s="21" t="s">
        <v>43</v>
      </c>
      <c r="D137" s="21" t="s">
        <v>35</v>
      </c>
      <c r="E137" s="21" t="s">
        <v>34</v>
      </c>
      <c r="F137" s="22">
        <v>58</v>
      </c>
      <c r="G137" s="22">
        <v>55</v>
      </c>
      <c r="H137" s="22">
        <v>48</v>
      </c>
      <c r="J137" s="10">
        <v>51</v>
      </c>
      <c r="K137" s="10">
        <v>2</v>
      </c>
      <c r="L137" s="10">
        <v>112</v>
      </c>
      <c r="M137" s="10">
        <v>56</v>
      </c>
      <c r="N137" s="10">
        <v>8</v>
      </c>
      <c r="Q137" s="9"/>
      <c r="R137" s="9"/>
      <c r="S137" s="9"/>
      <c r="T137" s="9"/>
    </row>
    <row r="138" spans="1:20" x14ac:dyDescent="0.25">
      <c r="A138" s="21" t="s">
        <v>5</v>
      </c>
      <c r="B138" s="21" t="s">
        <v>28</v>
      </c>
      <c r="C138" s="21" t="s">
        <v>17</v>
      </c>
      <c r="D138" s="21" t="s">
        <v>35</v>
      </c>
      <c r="E138" s="21" t="s">
        <v>33</v>
      </c>
      <c r="F138" s="22">
        <v>51</v>
      </c>
      <c r="G138" s="22">
        <v>54</v>
      </c>
      <c r="H138" s="22">
        <v>41</v>
      </c>
      <c r="J138" s="10">
        <v>99</v>
      </c>
      <c r="K138" s="10">
        <v>2</v>
      </c>
      <c r="L138" s="10">
        <v>200</v>
      </c>
      <c r="M138" s="10">
        <v>100</v>
      </c>
      <c r="N138" s="10">
        <v>0</v>
      </c>
      <c r="Q138" s="14">
        <v>50</v>
      </c>
      <c r="R138" s="14"/>
      <c r="S138" s="14"/>
      <c r="T138" s="14"/>
    </row>
    <row r="139" spans="1:20" x14ac:dyDescent="0.25">
      <c r="A139" s="21" t="s">
        <v>5</v>
      </c>
      <c r="B139" s="21" t="s">
        <v>31</v>
      </c>
      <c r="C139" s="21" t="s">
        <v>15</v>
      </c>
      <c r="D139" s="21" t="s">
        <v>35</v>
      </c>
      <c r="E139" s="21" t="s">
        <v>34</v>
      </c>
      <c r="F139" s="22">
        <v>70</v>
      </c>
      <c r="G139" s="22">
        <v>55</v>
      </c>
      <c r="H139" s="22">
        <v>56</v>
      </c>
      <c r="J139" s="10">
        <v>84</v>
      </c>
      <c r="K139" s="10">
        <v>2</v>
      </c>
      <c r="L139" s="10">
        <v>151</v>
      </c>
      <c r="M139" s="10">
        <v>75.5</v>
      </c>
      <c r="N139" s="10">
        <v>4.5</v>
      </c>
      <c r="Q139" s="9" t="s">
        <v>52</v>
      </c>
      <c r="R139" s="9">
        <v>2</v>
      </c>
      <c r="S139" s="9">
        <v>2</v>
      </c>
      <c r="T139" s="9">
        <v>4</v>
      </c>
    </row>
    <row r="140" spans="1:20" x14ac:dyDescent="0.25">
      <c r="A140" s="21" t="s">
        <v>4</v>
      </c>
      <c r="B140" s="21" t="s">
        <v>29</v>
      </c>
      <c r="C140" s="21" t="s">
        <v>14</v>
      </c>
      <c r="D140" s="21" t="s">
        <v>35</v>
      </c>
      <c r="E140" s="21" t="s">
        <v>34</v>
      </c>
      <c r="F140" s="22">
        <v>59</v>
      </c>
      <c r="G140" s="22">
        <v>66</v>
      </c>
      <c r="H140" s="22">
        <v>67</v>
      </c>
      <c r="J140" s="10">
        <v>75</v>
      </c>
      <c r="K140" s="10">
        <v>2</v>
      </c>
      <c r="L140" s="10">
        <v>167</v>
      </c>
      <c r="M140" s="10">
        <v>83.5</v>
      </c>
      <c r="N140" s="10">
        <v>4.5</v>
      </c>
      <c r="Q140" s="9" t="s">
        <v>53</v>
      </c>
      <c r="R140" s="9">
        <v>110</v>
      </c>
      <c r="S140" s="9">
        <v>111</v>
      </c>
      <c r="T140" s="9">
        <v>221</v>
      </c>
    </row>
    <row r="141" spans="1:20" x14ac:dyDescent="0.25">
      <c r="A141" s="21" t="s">
        <v>5</v>
      </c>
      <c r="B141" s="21" t="s">
        <v>30</v>
      </c>
      <c r="C141" s="21" t="s">
        <v>45</v>
      </c>
      <c r="D141" s="21" t="s">
        <v>35</v>
      </c>
      <c r="E141" s="21" t="s">
        <v>33</v>
      </c>
      <c r="F141" s="22">
        <v>71</v>
      </c>
      <c r="G141" s="22">
        <v>61</v>
      </c>
      <c r="H141" s="22">
        <v>69</v>
      </c>
      <c r="J141" s="10">
        <v>78</v>
      </c>
      <c r="K141" s="10">
        <v>2</v>
      </c>
      <c r="L141" s="10">
        <v>161</v>
      </c>
      <c r="M141" s="10">
        <v>80.5</v>
      </c>
      <c r="N141" s="10">
        <v>4.5</v>
      </c>
      <c r="Q141" s="9" t="s">
        <v>54</v>
      </c>
      <c r="R141" s="9">
        <v>55</v>
      </c>
      <c r="S141" s="9">
        <v>55.5</v>
      </c>
      <c r="T141" s="9">
        <v>55.25</v>
      </c>
    </row>
    <row r="142" spans="1:20" x14ac:dyDescent="0.25">
      <c r="A142" s="21" t="s">
        <v>4</v>
      </c>
      <c r="B142" s="21" t="s">
        <v>30</v>
      </c>
      <c r="C142" s="21" t="s">
        <v>17</v>
      </c>
      <c r="D142" s="21" t="s">
        <v>35</v>
      </c>
      <c r="E142" s="21" t="s">
        <v>34</v>
      </c>
      <c r="F142" s="22">
        <v>76</v>
      </c>
      <c r="G142" s="22">
        <v>72</v>
      </c>
      <c r="H142" s="22">
        <v>71</v>
      </c>
      <c r="J142" s="10">
        <v>51</v>
      </c>
      <c r="K142" s="10">
        <v>2</v>
      </c>
      <c r="L142" s="10">
        <v>124</v>
      </c>
      <c r="M142" s="10">
        <v>62</v>
      </c>
      <c r="N142" s="10">
        <v>2</v>
      </c>
      <c r="Q142" s="9" t="s">
        <v>55</v>
      </c>
      <c r="R142" s="9">
        <v>2</v>
      </c>
      <c r="S142" s="9">
        <v>4.5</v>
      </c>
      <c r="T142" s="9">
        <v>2.25</v>
      </c>
    </row>
    <row r="143" spans="1:20" x14ac:dyDescent="0.25">
      <c r="A143" s="21" t="s">
        <v>4</v>
      </c>
      <c r="B143" s="21" t="s">
        <v>29</v>
      </c>
      <c r="C143" s="21" t="s">
        <v>45</v>
      </c>
      <c r="D143" s="21" t="s">
        <v>32</v>
      </c>
      <c r="E143" s="21" t="s">
        <v>34</v>
      </c>
      <c r="F143" s="22">
        <v>59</v>
      </c>
      <c r="G143" s="22">
        <v>62</v>
      </c>
      <c r="H143" s="22">
        <v>64</v>
      </c>
      <c r="J143" s="10">
        <v>55</v>
      </c>
      <c r="K143" s="10">
        <v>2</v>
      </c>
      <c r="L143" s="10">
        <v>134</v>
      </c>
      <c r="M143" s="10">
        <v>67</v>
      </c>
      <c r="N143" s="10">
        <v>8</v>
      </c>
      <c r="Q143" s="9"/>
      <c r="R143" s="9"/>
      <c r="S143" s="9"/>
      <c r="T143" s="9"/>
    </row>
    <row r="144" spans="1:20" x14ac:dyDescent="0.25">
      <c r="A144" s="21" t="s">
        <v>4</v>
      </c>
      <c r="B144" s="21" t="s">
        <v>31</v>
      </c>
      <c r="C144" s="21" t="s">
        <v>45</v>
      </c>
      <c r="D144" s="21" t="s">
        <v>32</v>
      </c>
      <c r="E144" s="21" t="s">
        <v>33</v>
      </c>
      <c r="F144" s="22">
        <v>42</v>
      </c>
      <c r="G144" s="22">
        <v>55</v>
      </c>
      <c r="H144" s="22">
        <v>54</v>
      </c>
      <c r="J144" s="10">
        <v>79</v>
      </c>
      <c r="K144" s="10">
        <v>2</v>
      </c>
      <c r="L144" s="10">
        <v>181</v>
      </c>
      <c r="M144" s="10">
        <v>90.5</v>
      </c>
      <c r="N144" s="10">
        <v>4.5</v>
      </c>
      <c r="Q144" s="14">
        <v>55</v>
      </c>
      <c r="R144" s="14"/>
      <c r="S144" s="14"/>
      <c r="T144" s="14"/>
    </row>
    <row r="145" spans="1:20" x14ac:dyDescent="0.25">
      <c r="A145" s="21" t="s">
        <v>5</v>
      </c>
      <c r="B145" s="21" t="s">
        <v>27</v>
      </c>
      <c r="C145" s="21" t="s">
        <v>15</v>
      </c>
      <c r="D145" s="21" t="s">
        <v>35</v>
      </c>
      <c r="E145" s="21" t="s">
        <v>34</v>
      </c>
      <c r="F145" s="22">
        <v>57</v>
      </c>
      <c r="G145" s="22">
        <v>43</v>
      </c>
      <c r="H145" s="22">
        <v>47</v>
      </c>
      <c r="J145" s="10">
        <v>91</v>
      </c>
      <c r="K145" s="10">
        <v>2</v>
      </c>
      <c r="L145" s="10">
        <v>181</v>
      </c>
      <c r="M145" s="10">
        <v>90.5</v>
      </c>
      <c r="N145" s="10">
        <v>4.5</v>
      </c>
      <c r="Q145" s="9" t="s">
        <v>52</v>
      </c>
      <c r="R145" s="9">
        <v>2</v>
      </c>
      <c r="S145" s="9">
        <v>2</v>
      </c>
      <c r="T145" s="9">
        <v>4</v>
      </c>
    </row>
    <row r="146" spans="1:20" x14ac:dyDescent="0.25">
      <c r="A146" s="21" t="s">
        <v>5</v>
      </c>
      <c r="B146" s="21" t="s">
        <v>30</v>
      </c>
      <c r="C146" s="21" t="s">
        <v>45</v>
      </c>
      <c r="D146" s="21" t="s">
        <v>35</v>
      </c>
      <c r="E146" s="21" t="s">
        <v>34</v>
      </c>
      <c r="F146" s="22">
        <v>88</v>
      </c>
      <c r="G146" s="22">
        <v>73</v>
      </c>
      <c r="H146" s="22">
        <v>78</v>
      </c>
      <c r="J146" s="10">
        <v>88</v>
      </c>
      <c r="K146" s="10">
        <v>2</v>
      </c>
      <c r="L146" s="10">
        <v>186</v>
      </c>
      <c r="M146" s="10">
        <v>93</v>
      </c>
      <c r="N146" s="10">
        <v>0</v>
      </c>
      <c r="Q146" s="9" t="s">
        <v>53</v>
      </c>
      <c r="R146" s="9">
        <v>136</v>
      </c>
      <c r="S146" s="9">
        <v>138</v>
      </c>
      <c r="T146" s="9">
        <v>274</v>
      </c>
    </row>
    <row r="147" spans="1:20" x14ac:dyDescent="0.25">
      <c r="A147" s="21" t="s">
        <v>4</v>
      </c>
      <c r="B147" s="21" t="s">
        <v>29</v>
      </c>
      <c r="C147" s="21" t="s">
        <v>45</v>
      </c>
      <c r="D147" s="21" t="s">
        <v>32</v>
      </c>
      <c r="E147" s="21" t="s">
        <v>34</v>
      </c>
      <c r="F147" s="22">
        <v>22</v>
      </c>
      <c r="G147" s="22">
        <v>39</v>
      </c>
      <c r="H147" s="22">
        <v>33</v>
      </c>
      <c r="J147" s="10">
        <v>63</v>
      </c>
      <c r="K147" s="10">
        <v>2</v>
      </c>
      <c r="L147" s="10">
        <v>113</v>
      </c>
      <c r="M147" s="10">
        <v>56.5</v>
      </c>
      <c r="N147" s="10">
        <v>0.5</v>
      </c>
      <c r="Q147" s="9" t="s">
        <v>54</v>
      </c>
      <c r="R147" s="9">
        <v>68</v>
      </c>
      <c r="S147" s="9">
        <v>69</v>
      </c>
      <c r="T147" s="9">
        <v>68.5</v>
      </c>
    </row>
    <row r="148" spans="1:20" x14ac:dyDescent="0.25">
      <c r="A148" s="21" t="s">
        <v>5</v>
      </c>
      <c r="B148" s="21" t="s">
        <v>28</v>
      </c>
      <c r="C148" s="21" t="s">
        <v>17</v>
      </c>
      <c r="D148" s="21" t="s">
        <v>35</v>
      </c>
      <c r="E148" s="21" t="s">
        <v>34</v>
      </c>
      <c r="F148" s="22">
        <v>88</v>
      </c>
      <c r="G148" s="22">
        <v>84</v>
      </c>
      <c r="H148" s="22">
        <v>75</v>
      </c>
      <c r="J148" s="10">
        <v>83</v>
      </c>
      <c r="K148" s="10">
        <v>2</v>
      </c>
      <c r="L148" s="10">
        <v>153</v>
      </c>
      <c r="M148" s="10">
        <v>76.5</v>
      </c>
      <c r="N148" s="10">
        <v>24.5</v>
      </c>
      <c r="Q148" s="9" t="s">
        <v>55</v>
      </c>
      <c r="R148" s="9">
        <v>18</v>
      </c>
      <c r="S148" s="9">
        <v>98</v>
      </c>
      <c r="T148" s="9">
        <v>39</v>
      </c>
    </row>
    <row r="149" spans="1:20" x14ac:dyDescent="0.25">
      <c r="A149" s="21" t="s">
        <v>5</v>
      </c>
      <c r="B149" s="21" t="s">
        <v>29</v>
      </c>
      <c r="C149" s="21" t="s">
        <v>14</v>
      </c>
      <c r="D149" s="21" t="s">
        <v>32</v>
      </c>
      <c r="E149" s="21" t="s">
        <v>34</v>
      </c>
      <c r="F149" s="22">
        <v>73</v>
      </c>
      <c r="G149" s="22">
        <v>68</v>
      </c>
      <c r="H149" s="22">
        <v>66</v>
      </c>
      <c r="J149" s="10">
        <v>87</v>
      </c>
      <c r="K149" s="10">
        <v>2</v>
      </c>
      <c r="L149" s="10">
        <v>181</v>
      </c>
      <c r="M149" s="10">
        <v>90.5</v>
      </c>
      <c r="N149" s="10">
        <v>40.5</v>
      </c>
      <c r="Q149" s="9"/>
      <c r="R149" s="9"/>
      <c r="S149" s="9"/>
      <c r="T149" s="9"/>
    </row>
    <row r="150" spans="1:20" x14ac:dyDescent="0.25">
      <c r="A150" s="21" t="s">
        <v>4</v>
      </c>
      <c r="B150" s="21" t="s">
        <v>30</v>
      </c>
      <c r="C150" s="21" t="s">
        <v>43</v>
      </c>
      <c r="D150" s="21" t="s">
        <v>35</v>
      </c>
      <c r="E150" s="21" t="s">
        <v>33</v>
      </c>
      <c r="F150" s="22">
        <v>68</v>
      </c>
      <c r="G150" s="22">
        <v>75</v>
      </c>
      <c r="H150" s="22">
        <v>81</v>
      </c>
      <c r="J150" s="10">
        <v>72</v>
      </c>
      <c r="K150" s="10">
        <v>2</v>
      </c>
      <c r="L150" s="10">
        <v>135</v>
      </c>
      <c r="M150" s="10">
        <v>67.5</v>
      </c>
      <c r="N150" s="10">
        <v>0.5</v>
      </c>
      <c r="Q150" s="14">
        <v>57</v>
      </c>
      <c r="R150" s="14"/>
      <c r="S150" s="14"/>
      <c r="T150" s="14"/>
    </row>
    <row r="151" spans="1:20" x14ac:dyDescent="0.25">
      <c r="A151" s="21" t="s">
        <v>5</v>
      </c>
      <c r="B151" s="21" t="s">
        <v>31</v>
      </c>
      <c r="C151" s="21" t="s">
        <v>14</v>
      </c>
      <c r="D151" s="21" t="s">
        <v>32</v>
      </c>
      <c r="E151" s="21" t="s">
        <v>33</v>
      </c>
      <c r="F151" s="22">
        <v>100</v>
      </c>
      <c r="G151" s="22">
        <v>100</v>
      </c>
      <c r="H151" s="22">
        <v>93</v>
      </c>
      <c r="J151" s="10">
        <v>65</v>
      </c>
      <c r="K151" s="10">
        <v>2</v>
      </c>
      <c r="L151" s="10">
        <v>151</v>
      </c>
      <c r="M151" s="10">
        <v>75.5</v>
      </c>
      <c r="N151" s="10">
        <v>4.5</v>
      </c>
      <c r="Q151" s="9" t="s">
        <v>52</v>
      </c>
      <c r="R151" s="9">
        <v>2</v>
      </c>
      <c r="S151" s="9">
        <v>2</v>
      </c>
      <c r="T151" s="9">
        <v>4</v>
      </c>
    </row>
    <row r="152" spans="1:20" x14ac:dyDescent="0.25">
      <c r="A152" s="21" t="s">
        <v>5</v>
      </c>
      <c r="B152" s="21" t="s">
        <v>27</v>
      </c>
      <c r="C152" s="21" t="s">
        <v>17</v>
      </c>
      <c r="D152" s="21" t="s">
        <v>35</v>
      </c>
      <c r="E152" s="21" t="s">
        <v>33</v>
      </c>
      <c r="F152" s="22">
        <v>62</v>
      </c>
      <c r="G152" s="22">
        <v>67</v>
      </c>
      <c r="H152" s="22">
        <v>69</v>
      </c>
      <c r="J152" s="10">
        <v>82</v>
      </c>
      <c r="K152" s="10">
        <v>2</v>
      </c>
      <c r="L152" s="10">
        <v>156</v>
      </c>
      <c r="M152" s="10">
        <v>78</v>
      </c>
      <c r="N152" s="10">
        <v>32</v>
      </c>
      <c r="Q152" s="9" t="s">
        <v>53</v>
      </c>
      <c r="R152" s="9">
        <v>158</v>
      </c>
      <c r="S152" s="9">
        <v>158</v>
      </c>
      <c r="T152" s="9">
        <v>316</v>
      </c>
    </row>
    <row r="153" spans="1:20" x14ac:dyDescent="0.25">
      <c r="A153" s="21" t="s">
        <v>5</v>
      </c>
      <c r="B153" s="21" t="s">
        <v>27</v>
      </c>
      <c r="C153" s="21" t="s">
        <v>43</v>
      </c>
      <c r="D153" s="21" t="s">
        <v>35</v>
      </c>
      <c r="E153" s="21" t="s">
        <v>34</v>
      </c>
      <c r="F153" s="22">
        <v>77</v>
      </c>
      <c r="G153" s="22">
        <v>67</v>
      </c>
      <c r="H153" s="22">
        <v>68</v>
      </c>
      <c r="J153" s="10">
        <v>51</v>
      </c>
      <c r="K153" s="10">
        <v>2</v>
      </c>
      <c r="L153" s="10">
        <v>100</v>
      </c>
      <c r="M153" s="10">
        <v>50</v>
      </c>
      <c r="N153" s="10">
        <v>2</v>
      </c>
      <c r="Q153" s="9" t="s">
        <v>54</v>
      </c>
      <c r="R153" s="9">
        <v>79</v>
      </c>
      <c r="S153" s="9">
        <v>79</v>
      </c>
      <c r="T153" s="9">
        <v>79</v>
      </c>
    </row>
    <row r="154" spans="1:20" x14ac:dyDescent="0.25">
      <c r="A154" s="21" t="s">
        <v>4</v>
      </c>
      <c r="B154" s="21" t="s">
        <v>28</v>
      </c>
      <c r="C154" s="21" t="s">
        <v>14</v>
      </c>
      <c r="D154" s="21" t="s">
        <v>35</v>
      </c>
      <c r="E154" s="21" t="s">
        <v>33</v>
      </c>
      <c r="F154" s="22">
        <v>59</v>
      </c>
      <c r="G154" s="22">
        <v>70</v>
      </c>
      <c r="H154" s="22">
        <v>66</v>
      </c>
      <c r="J154" s="10">
        <v>89</v>
      </c>
      <c r="K154" s="10">
        <v>2</v>
      </c>
      <c r="L154" s="10">
        <v>166</v>
      </c>
      <c r="M154" s="10">
        <v>83</v>
      </c>
      <c r="N154" s="10">
        <v>2</v>
      </c>
      <c r="Q154" s="9" t="s">
        <v>55</v>
      </c>
      <c r="R154" s="9">
        <v>50</v>
      </c>
      <c r="S154" s="9">
        <v>18</v>
      </c>
      <c r="T154" s="9">
        <v>22.666666666666668</v>
      </c>
    </row>
    <row r="155" spans="1:20" x14ac:dyDescent="0.25">
      <c r="A155" s="21" t="s">
        <v>5</v>
      </c>
      <c r="B155" s="21" t="s">
        <v>30</v>
      </c>
      <c r="C155" s="21" t="s">
        <v>43</v>
      </c>
      <c r="D155" s="21" t="s">
        <v>35</v>
      </c>
      <c r="E155" s="21" t="s">
        <v>34</v>
      </c>
      <c r="F155" s="22">
        <v>54</v>
      </c>
      <c r="G155" s="22">
        <v>49</v>
      </c>
      <c r="H155" s="22">
        <v>47</v>
      </c>
      <c r="J155" s="10">
        <v>53</v>
      </c>
      <c r="K155" s="10">
        <v>2</v>
      </c>
      <c r="L155" s="10">
        <v>77</v>
      </c>
      <c r="M155" s="10">
        <v>38.5</v>
      </c>
      <c r="N155" s="10">
        <v>4.5</v>
      </c>
      <c r="Q155" s="9"/>
      <c r="R155" s="9"/>
      <c r="S155" s="9"/>
      <c r="T155" s="9"/>
    </row>
    <row r="156" spans="1:20" x14ac:dyDescent="0.25">
      <c r="A156" s="21" t="s">
        <v>5</v>
      </c>
      <c r="B156" s="21" t="s">
        <v>30</v>
      </c>
      <c r="C156" s="21" t="s">
        <v>17</v>
      </c>
      <c r="D156" s="21" t="s">
        <v>35</v>
      </c>
      <c r="E156" s="21" t="s">
        <v>34</v>
      </c>
      <c r="F156" s="22">
        <v>62</v>
      </c>
      <c r="G156" s="22">
        <v>67</v>
      </c>
      <c r="H156" s="22">
        <v>61</v>
      </c>
      <c r="J156" s="10">
        <v>87</v>
      </c>
      <c r="K156" s="10">
        <v>2</v>
      </c>
      <c r="L156" s="10">
        <v>144</v>
      </c>
      <c r="M156" s="10">
        <v>72</v>
      </c>
      <c r="N156" s="10">
        <v>8</v>
      </c>
      <c r="Q156" s="14">
        <v>53</v>
      </c>
      <c r="R156" s="14"/>
      <c r="S156" s="14"/>
      <c r="T156" s="14"/>
    </row>
    <row r="157" spans="1:20" x14ac:dyDescent="0.25">
      <c r="A157" s="21" t="s">
        <v>4</v>
      </c>
      <c r="B157" s="21" t="s">
        <v>29</v>
      </c>
      <c r="C157" s="21" t="s">
        <v>45</v>
      </c>
      <c r="D157" s="21" t="s">
        <v>35</v>
      </c>
      <c r="E157" s="21" t="s">
        <v>33</v>
      </c>
      <c r="F157" s="22">
        <v>70</v>
      </c>
      <c r="G157" s="22">
        <v>89</v>
      </c>
      <c r="H157" s="22">
        <v>88</v>
      </c>
      <c r="J157" s="10">
        <v>75</v>
      </c>
      <c r="K157" s="10">
        <v>2</v>
      </c>
      <c r="L157" s="10">
        <v>165</v>
      </c>
      <c r="M157" s="10">
        <v>82.5</v>
      </c>
      <c r="N157" s="10">
        <v>4.5</v>
      </c>
      <c r="Q157" s="9" t="s">
        <v>52</v>
      </c>
      <c r="R157" s="9">
        <v>2</v>
      </c>
      <c r="S157" s="9">
        <v>2</v>
      </c>
      <c r="T157" s="9">
        <v>4</v>
      </c>
    </row>
    <row r="158" spans="1:20" x14ac:dyDescent="0.25">
      <c r="A158" s="21" t="s">
        <v>4</v>
      </c>
      <c r="B158" s="21" t="s">
        <v>31</v>
      </c>
      <c r="C158" s="21" t="s">
        <v>15</v>
      </c>
      <c r="D158" s="21" t="s">
        <v>32</v>
      </c>
      <c r="E158" s="21" t="s">
        <v>33</v>
      </c>
      <c r="F158" s="22">
        <v>66</v>
      </c>
      <c r="G158" s="22">
        <v>74</v>
      </c>
      <c r="H158" s="22">
        <v>78</v>
      </c>
      <c r="J158" s="10">
        <v>74</v>
      </c>
      <c r="K158" s="10">
        <v>2</v>
      </c>
      <c r="L158" s="10">
        <v>154</v>
      </c>
      <c r="M158" s="10">
        <v>77</v>
      </c>
      <c r="N158" s="10">
        <v>8</v>
      </c>
      <c r="Q158" s="9" t="s">
        <v>53</v>
      </c>
      <c r="R158" s="9">
        <v>124</v>
      </c>
      <c r="S158" s="9">
        <v>116</v>
      </c>
      <c r="T158" s="9">
        <v>240</v>
      </c>
    </row>
    <row r="159" spans="1:20" x14ac:dyDescent="0.25">
      <c r="A159" s="21" t="s">
        <v>5</v>
      </c>
      <c r="B159" s="21" t="s">
        <v>28</v>
      </c>
      <c r="C159" s="21" t="s">
        <v>45</v>
      </c>
      <c r="D159" s="21" t="s">
        <v>32</v>
      </c>
      <c r="E159" s="21" t="s">
        <v>34</v>
      </c>
      <c r="F159" s="22">
        <v>60</v>
      </c>
      <c r="G159" s="22">
        <v>60</v>
      </c>
      <c r="H159" s="22">
        <v>60</v>
      </c>
      <c r="J159" s="10">
        <v>58</v>
      </c>
      <c r="K159" s="10">
        <v>2</v>
      </c>
      <c r="L159" s="10">
        <v>103</v>
      </c>
      <c r="M159" s="10">
        <v>51.5</v>
      </c>
      <c r="N159" s="10">
        <v>24.5</v>
      </c>
      <c r="Q159" s="9" t="s">
        <v>54</v>
      </c>
      <c r="R159" s="9">
        <v>62</v>
      </c>
      <c r="S159" s="9">
        <v>58</v>
      </c>
      <c r="T159" s="9">
        <v>60</v>
      </c>
    </row>
    <row r="160" spans="1:20" x14ac:dyDescent="0.25">
      <c r="A160" s="21" t="s">
        <v>4</v>
      </c>
      <c r="B160" s="21" t="s">
        <v>28</v>
      </c>
      <c r="C160" s="21" t="s">
        <v>14</v>
      </c>
      <c r="D160" s="21" t="s">
        <v>35</v>
      </c>
      <c r="E160" s="21" t="s">
        <v>33</v>
      </c>
      <c r="F160" s="22">
        <v>61</v>
      </c>
      <c r="G160" s="22">
        <v>86</v>
      </c>
      <c r="H160" s="22">
        <v>87</v>
      </c>
      <c r="J160" s="10">
        <v>51</v>
      </c>
      <c r="K160" s="10">
        <v>2</v>
      </c>
      <c r="L160" s="10">
        <v>95</v>
      </c>
      <c r="M160" s="10">
        <v>47.5</v>
      </c>
      <c r="N160" s="10">
        <v>84.5</v>
      </c>
      <c r="Q160" s="9" t="s">
        <v>55</v>
      </c>
      <c r="R160" s="9">
        <v>98</v>
      </c>
      <c r="S160" s="9">
        <v>200</v>
      </c>
      <c r="T160" s="9">
        <v>104.66666666666667</v>
      </c>
    </row>
    <row r="161" spans="1:20" x14ac:dyDescent="0.25">
      <c r="A161" s="21" t="s">
        <v>5</v>
      </c>
      <c r="B161" s="21" t="s">
        <v>30</v>
      </c>
      <c r="C161" s="21" t="s">
        <v>14</v>
      </c>
      <c r="D161" s="21" t="s">
        <v>32</v>
      </c>
      <c r="E161" s="21" t="s">
        <v>34</v>
      </c>
      <c r="F161" s="22">
        <v>66</v>
      </c>
      <c r="G161" s="22">
        <v>62</v>
      </c>
      <c r="H161" s="22">
        <v>64</v>
      </c>
      <c r="J161" s="10">
        <v>70</v>
      </c>
      <c r="K161" s="10">
        <v>2</v>
      </c>
      <c r="L161" s="10">
        <v>111</v>
      </c>
      <c r="M161" s="10">
        <v>55.5</v>
      </c>
      <c r="N161" s="10">
        <v>0.5</v>
      </c>
      <c r="Q161" s="9"/>
      <c r="R161" s="9"/>
      <c r="S161" s="9"/>
      <c r="T161" s="9"/>
    </row>
    <row r="162" spans="1:20" x14ac:dyDescent="0.25">
      <c r="A162" s="21" t="s">
        <v>5</v>
      </c>
      <c r="B162" s="21" t="s">
        <v>28</v>
      </c>
      <c r="C162" s="21" t="s">
        <v>14</v>
      </c>
      <c r="D162" s="21" t="s">
        <v>32</v>
      </c>
      <c r="E162" s="21" t="s">
        <v>33</v>
      </c>
      <c r="F162" s="22">
        <v>82</v>
      </c>
      <c r="G162" s="22">
        <v>78</v>
      </c>
      <c r="H162" s="22">
        <v>74</v>
      </c>
      <c r="J162" s="10">
        <v>59</v>
      </c>
      <c r="K162" s="10">
        <v>2</v>
      </c>
      <c r="L162" s="10">
        <v>133</v>
      </c>
      <c r="M162" s="10">
        <v>66.5</v>
      </c>
      <c r="N162" s="10">
        <v>0.5</v>
      </c>
      <c r="Q162" s="14">
        <v>53</v>
      </c>
      <c r="R162" s="14"/>
      <c r="S162" s="14"/>
      <c r="T162" s="14"/>
    </row>
    <row r="163" spans="1:20" x14ac:dyDescent="0.25">
      <c r="A163" s="21" t="s">
        <v>4</v>
      </c>
      <c r="B163" s="21" t="s">
        <v>31</v>
      </c>
      <c r="C163" s="21" t="s">
        <v>45</v>
      </c>
      <c r="D163" s="21" t="s">
        <v>32</v>
      </c>
      <c r="E163" s="21" t="s">
        <v>33</v>
      </c>
      <c r="F163" s="22">
        <v>75</v>
      </c>
      <c r="G163" s="22">
        <v>88</v>
      </c>
      <c r="H163" s="22">
        <v>85</v>
      </c>
      <c r="J163" s="10">
        <v>71</v>
      </c>
      <c r="K163" s="10">
        <v>2</v>
      </c>
      <c r="L163" s="10">
        <v>130</v>
      </c>
      <c r="M163" s="10">
        <v>65</v>
      </c>
      <c r="N163" s="10">
        <v>32</v>
      </c>
      <c r="Q163" s="9" t="s">
        <v>52</v>
      </c>
      <c r="R163" s="9">
        <v>2</v>
      </c>
      <c r="S163" s="9">
        <v>2</v>
      </c>
      <c r="T163" s="9">
        <v>4</v>
      </c>
    </row>
    <row r="164" spans="1:20" x14ac:dyDescent="0.25">
      <c r="A164" s="21" t="s">
        <v>5</v>
      </c>
      <c r="B164" s="21" t="s">
        <v>28</v>
      </c>
      <c r="C164" s="21" t="s">
        <v>16</v>
      </c>
      <c r="D164" s="21" t="s">
        <v>32</v>
      </c>
      <c r="E164" s="21" t="s">
        <v>34</v>
      </c>
      <c r="F164" s="22">
        <v>49</v>
      </c>
      <c r="G164" s="22">
        <v>53</v>
      </c>
      <c r="H164" s="22">
        <v>52</v>
      </c>
      <c r="J164" s="10">
        <v>76</v>
      </c>
      <c r="K164" s="10">
        <v>2</v>
      </c>
      <c r="L164" s="10">
        <v>143</v>
      </c>
      <c r="M164" s="10">
        <v>71.5</v>
      </c>
      <c r="N164" s="10">
        <v>0.5</v>
      </c>
      <c r="Q164" s="9" t="s">
        <v>53</v>
      </c>
      <c r="R164" s="9">
        <v>122</v>
      </c>
      <c r="S164" s="9">
        <v>117</v>
      </c>
      <c r="T164" s="9">
        <v>239</v>
      </c>
    </row>
    <row r="165" spans="1:20" x14ac:dyDescent="0.25">
      <c r="A165" s="21" t="s">
        <v>5</v>
      </c>
      <c r="B165" s="21" t="s">
        <v>29</v>
      </c>
      <c r="C165" s="21" t="s">
        <v>15</v>
      </c>
      <c r="D165" s="21" t="s">
        <v>35</v>
      </c>
      <c r="E165" s="21" t="s">
        <v>34</v>
      </c>
      <c r="F165" s="22">
        <v>52</v>
      </c>
      <c r="G165" s="22">
        <v>53</v>
      </c>
      <c r="H165" s="22">
        <v>49</v>
      </c>
      <c r="J165" s="10">
        <v>59</v>
      </c>
      <c r="K165" s="10">
        <v>2</v>
      </c>
      <c r="L165" s="10">
        <v>126</v>
      </c>
      <c r="M165" s="10">
        <v>63</v>
      </c>
      <c r="N165" s="10">
        <v>2</v>
      </c>
      <c r="Q165" s="9" t="s">
        <v>54</v>
      </c>
      <c r="R165" s="9">
        <v>61</v>
      </c>
      <c r="S165" s="9">
        <v>58.5</v>
      </c>
      <c r="T165" s="9">
        <v>59.75</v>
      </c>
    </row>
    <row r="166" spans="1:20" x14ac:dyDescent="0.25">
      <c r="A166" s="21" t="s">
        <v>4</v>
      </c>
      <c r="B166" s="21" t="s">
        <v>31</v>
      </c>
      <c r="C166" s="21" t="s">
        <v>16</v>
      </c>
      <c r="D166" s="21" t="s">
        <v>35</v>
      </c>
      <c r="E166" s="21" t="s">
        <v>34</v>
      </c>
      <c r="F166" s="22">
        <v>81</v>
      </c>
      <c r="G166" s="22">
        <v>92</v>
      </c>
      <c r="H166" s="22">
        <v>91</v>
      </c>
      <c r="J166" s="10">
        <v>42</v>
      </c>
      <c r="K166" s="10">
        <v>2</v>
      </c>
      <c r="L166" s="10">
        <v>109</v>
      </c>
      <c r="M166" s="10">
        <v>54.5</v>
      </c>
      <c r="N166" s="10">
        <v>0.5</v>
      </c>
      <c r="Q166" s="9" t="s">
        <v>55</v>
      </c>
      <c r="R166" s="9">
        <v>578</v>
      </c>
      <c r="S166" s="9">
        <v>544.5</v>
      </c>
      <c r="T166" s="9">
        <v>376.25</v>
      </c>
    </row>
    <row r="167" spans="1:20" x14ac:dyDescent="0.25">
      <c r="A167" s="21" t="s">
        <v>4</v>
      </c>
      <c r="B167" s="21" t="s">
        <v>29</v>
      </c>
      <c r="C167" s="21" t="s">
        <v>43</v>
      </c>
      <c r="D167" s="21" t="s">
        <v>35</v>
      </c>
      <c r="E167" s="21" t="s">
        <v>33</v>
      </c>
      <c r="F167" s="22">
        <v>96</v>
      </c>
      <c r="G167" s="22">
        <v>100</v>
      </c>
      <c r="H167" s="22">
        <v>100</v>
      </c>
      <c r="J167" s="10">
        <v>57</v>
      </c>
      <c r="K167" s="10">
        <v>2</v>
      </c>
      <c r="L167" s="10">
        <v>90</v>
      </c>
      <c r="M167" s="10">
        <v>45</v>
      </c>
      <c r="N167" s="10">
        <v>8</v>
      </c>
      <c r="Q167" s="9"/>
      <c r="R167" s="9"/>
      <c r="S167" s="9"/>
      <c r="T167" s="9"/>
    </row>
    <row r="168" spans="1:20" x14ac:dyDescent="0.25">
      <c r="A168" s="21" t="s">
        <v>5</v>
      </c>
      <c r="B168" s="21" t="s">
        <v>29</v>
      </c>
      <c r="C168" s="21" t="s">
        <v>15</v>
      </c>
      <c r="D168" s="21" t="s">
        <v>32</v>
      </c>
      <c r="E168" s="21" t="s">
        <v>33</v>
      </c>
      <c r="F168" s="22">
        <v>53</v>
      </c>
      <c r="G168" s="22">
        <v>51</v>
      </c>
      <c r="H168" s="22">
        <v>51</v>
      </c>
      <c r="J168" s="10">
        <v>88</v>
      </c>
      <c r="K168" s="10">
        <v>2</v>
      </c>
      <c r="L168" s="10">
        <v>151</v>
      </c>
      <c r="M168" s="10">
        <v>75.5</v>
      </c>
      <c r="N168" s="10">
        <v>12.5</v>
      </c>
      <c r="Q168" s="14">
        <v>71</v>
      </c>
      <c r="R168" s="14"/>
      <c r="S168" s="14"/>
      <c r="T168" s="14"/>
    </row>
    <row r="169" spans="1:20" x14ac:dyDescent="0.25">
      <c r="A169" s="21" t="s">
        <v>4</v>
      </c>
      <c r="B169" s="21" t="s">
        <v>28</v>
      </c>
      <c r="C169" s="21" t="s">
        <v>16</v>
      </c>
      <c r="D169" s="21" t="s">
        <v>32</v>
      </c>
      <c r="E169" s="21" t="s">
        <v>33</v>
      </c>
      <c r="F169" s="22">
        <v>58</v>
      </c>
      <c r="G169" s="22">
        <v>76</v>
      </c>
      <c r="H169" s="22">
        <v>78</v>
      </c>
      <c r="J169" s="10">
        <v>22</v>
      </c>
      <c r="K169" s="10">
        <v>2</v>
      </c>
      <c r="L169" s="10">
        <v>72</v>
      </c>
      <c r="M169" s="10">
        <v>36</v>
      </c>
      <c r="N169" s="10">
        <v>18</v>
      </c>
      <c r="Q169" s="9" t="s">
        <v>52</v>
      </c>
      <c r="R169" s="9">
        <v>2</v>
      </c>
      <c r="S169" s="9">
        <v>2</v>
      </c>
      <c r="T169" s="9">
        <v>4</v>
      </c>
    </row>
    <row r="170" spans="1:20" x14ac:dyDescent="0.25">
      <c r="A170" s="21" t="s">
        <v>4</v>
      </c>
      <c r="B170" s="21" t="s">
        <v>28</v>
      </c>
      <c r="C170" s="21" t="s">
        <v>15</v>
      </c>
      <c r="D170" s="21" t="s">
        <v>35</v>
      </c>
      <c r="E170" s="21" t="s">
        <v>33</v>
      </c>
      <c r="F170" s="22">
        <v>68</v>
      </c>
      <c r="G170" s="22">
        <v>83</v>
      </c>
      <c r="H170" s="22">
        <v>78</v>
      </c>
      <c r="J170" s="10">
        <v>88</v>
      </c>
      <c r="K170" s="10">
        <v>2</v>
      </c>
      <c r="L170" s="10">
        <v>159</v>
      </c>
      <c r="M170" s="10">
        <v>79.5</v>
      </c>
      <c r="N170" s="10">
        <v>40.5</v>
      </c>
      <c r="Q170" s="9" t="s">
        <v>53</v>
      </c>
      <c r="R170" s="9">
        <v>125</v>
      </c>
      <c r="S170" s="9">
        <v>130</v>
      </c>
      <c r="T170" s="9">
        <v>255</v>
      </c>
    </row>
    <row r="171" spans="1:20" x14ac:dyDescent="0.25">
      <c r="A171" s="21" t="s">
        <v>4</v>
      </c>
      <c r="B171" s="21" t="s">
        <v>29</v>
      </c>
      <c r="C171" s="21" t="s">
        <v>45</v>
      </c>
      <c r="D171" s="21" t="s">
        <v>32</v>
      </c>
      <c r="E171" s="21" t="s">
        <v>33</v>
      </c>
      <c r="F171" s="22">
        <v>67</v>
      </c>
      <c r="G171" s="22">
        <v>75</v>
      </c>
      <c r="H171" s="22">
        <v>70</v>
      </c>
      <c r="J171" s="10">
        <v>73</v>
      </c>
      <c r="K171" s="10">
        <v>2</v>
      </c>
      <c r="L171" s="10">
        <v>134</v>
      </c>
      <c r="M171" s="10">
        <v>67</v>
      </c>
      <c r="N171" s="10">
        <v>2</v>
      </c>
      <c r="Q171" s="9" t="s">
        <v>54</v>
      </c>
      <c r="R171" s="9">
        <v>62.5</v>
      </c>
      <c r="S171" s="9">
        <v>65</v>
      </c>
      <c r="T171" s="9">
        <v>63.75</v>
      </c>
    </row>
    <row r="172" spans="1:20" x14ac:dyDescent="0.25">
      <c r="A172" s="21" t="s">
        <v>5</v>
      </c>
      <c r="B172" s="21" t="s">
        <v>27</v>
      </c>
      <c r="C172" s="21" t="s">
        <v>15</v>
      </c>
      <c r="D172" s="21" t="s">
        <v>35</v>
      </c>
      <c r="E172" s="21" t="s">
        <v>33</v>
      </c>
      <c r="F172" s="22">
        <v>72</v>
      </c>
      <c r="G172" s="22">
        <v>73</v>
      </c>
      <c r="H172" s="22">
        <v>74</v>
      </c>
      <c r="J172" s="10">
        <v>68</v>
      </c>
      <c r="K172" s="10">
        <v>2</v>
      </c>
      <c r="L172" s="10">
        <v>156</v>
      </c>
      <c r="M172" s="10">
        <v>78</v>
      </c>
      <c r="N172" s="10">
        <v>18</v>
      </c>
      <c r="Q172" s="9" t="s">
        <v>55</v>
      </c>
      <c r="R172" s="9">
        <v>924.5</v>
      </c>
      <c r="S172" s="9">
        <v>968</v>
      </c>
      <c r="T172" s="9">
        <v>632.91666666666663</v>
      </c>
    </row>
    <row r="173" spans="1:20" x14ac:dyDescent="0.25">
      <c r="A173" s="21" t="s">
        <v>5</v>
      </c>
      <c r="B173" s="21" t="s">
        <v>31</v>
      </c>
      <c r="C173" s="21" t="s">
        <v>17</v>
      </c>
      <c r="D173" s="21" t="s">
        <v>35</v>
      </c>
      <c r="E173" s="21" t="s">
        <v>34</v>
      </c>
      <c r="F173" s="22">
        <v>94</v>
      </c>
      <c r="G173" s="22">
        <v>88</v>
      </c>
      <c r="H173" s="22">
        <v>78</v>
      </c>
      <c r="J173" s="10">
        <v>100</v>
      </c>
      <c r="K173" s="10">
        <v>2</v>
      </c>
      <c r="L173" s="10">
        <v>193</v>
      </c>
      <c r="M173" s="10">
        <v>96.5</v>
      </c>
      <c r="N173" s="10">
        <v>24.5</v>
      </c>
      <c r="Q173" s="9"/>
      <c r="R173" s="9"/>
      <c r="S173" s="9"/>
      <c r="T173" s="9"/>
    </row>
    <row r="174" spans="1:20" x14ac:dyDescent="0.25">
      <c r="A174" s="21" t="s">
        <v>4</v>
      </c>
      <c r="B174" s="21" t="s">
        <v>30</v>
      </c>
      <c r="C174" s="21" t="s">
        <v>45</v>
      </c>
      <c r="D174" s="21" t="s">
        <v>35</v>
      </c>
      <c r="E174" s="21" t="s">
        <v>34</v>
      </c>
      <c r="F174" s="22">
        <v>79</v>
      </c>
      <c r="G174" s="22">
        <v>86</v>
      </c>
      <c r="H174" s="22">
        <v>81</v>
      </c>
      <c r="J174" s="10">
        <v>62</v>
      </c>
      <c r="K174" s="10">
        <v>2</v>
      </c>
      <c r="L174" s="10">
        <v>136</v>
      </c>
      <c r="M174" s="10">
        <v>68</v>
      </c>
      <c r="N174" s="10">
        <v>2</v>
      </c>
      <c r="Q174" s="14">
        <v>82</v>
      </c>
      <c r="R174" s="14"/>
      <c r="S174" s="14"/>
      <c r="T174" s="14"/>
    </row>
    <row r="175" spans="1:20" x14ac:dyDescent="0.25">
      <c r="A175" s="21" t="s">
        <v>4</v>
      </c>
      <c r="B175" s="21" t="s">
        <v>29</v>
      </c>
      <c r="C175" s="21" t="s">
        <v>14</v>
      </c>
      <c r="D175" s="21" t="s">
        <v>35</v>
      </c>
      <c r="E175" s="21" t="s">
        <v>34</v>
      </c>
      <c r="F175" s="22">
        <v>63</v>
      </c>
      <c r="G175" s="22">
        <v>67</v>
      </c>
      <c r="H175" s="22">
        <v>70</v>
      </c>
      <c r="J175" s="10">
        <v>77</v>
      </c>
      <c r="K175" s="10">
        <v>2</v>
      </c>
      <c r="L175" s="10">
        <v>135</v>
      </c>
      <c r="M175" s="10">
        <v>67.5</v>
      </c>
      <c r="N175" s="10">
        <v>0.5</v>
      </c>
      <c r="Q175" s="9" t="s">
        <v>52</v>
      </c>
      <c r="R175" s="9">
        <v>2</v>
      </c>
      <c r="S175" s="9">
        <v>2</v>
      </c>
      <c r="T175" s="9">
        <v>4</v>
      </c>
    </row>
    <row r="176" spans="1:20" x14ac:dyDescent="0.25">
      <c r="A176" s="21" t="s">
        <v>4</v>
      </c>
      <c r="B176" s="21" t="s">
        <v>29</v>
      </c>
      <c r="C176" s="21" t="s">
        <v>43</v>
      </c>
      <c r="D176" s="21" t="s">
        <v>32</v>
      </c>
      <c r="E176" s="21" t="s">
        <v>33</v>
      </c>
      <c r="F176" s="22">
        <v>43</v>
      </c>
      <c r="G176" s="22">
        <v>51</v>
      </c>
      <c r="H176" s="22">
        <v>54</v>
      </c>
      <c r="J176" s="10">
        <v>59</v>
      </c>
      <c r="K176" s="10">
        <v>2</v>
      </c>
      <c r="L176" s="10">
        <v>136</v>
      </c>
      <c r="M176" s="10">
        <v>68</v>
      </c>
      <c r="N176" s="10">
        <v>8</v>
      </c>
      <c r="Q176" s="9" t="s">
        <v>53</v>
      </c>
      <c r="R176" s="9">
        <v>140</v>
      </c>
      <c r="S176" s="9">
        <v>135</v>
      </c>
      <c r="T176" s="9">
        <v>275</v>
      </c>
    </row>
    <row r="177" spans="1:20" x14ac:dyDescent="0.25">
      <c r="A177" s="21" t="s">
        <v>4</v>
      </c>
      <c r="B177" s="21" t="s">
        <v>29</v>
      </c>
      <c r="C177" s="21" t="s">
        <v>16</v>
      </c>
      <c r="D177" s="21" t="s">
        <v>35</v>
      </c>
      <c r="E177" s="21" t="s">
        <v>33</v>
      </c>
      <c r="F177" s="22">
        <v>81</v>
      </c>
      <c r="G177" s="22">
        <v>91</v>
      </c>
      <c r="H177" s="22">
        <v>87</v>
      </c>
      <c r="J177" s="10">
        <v>54</v>
      </c>
      <c r="K177" s="10">
        <v>2</v>
      </c>
      <c r="L177" s="10">
        <v>96</v>
      </c>
      <c r="M177" s="10">
        <v>48</v>
      </c>
      <c r="N177" s="10">
        <v>2</v>
      </c>
      <c r="Q177" s="9" t="s">
        <v>54</v>
      </c>
      <c r="R177" s="9">
        <v>70</v>
      </c>
      <c r="S177" s="9">
        <v>67.5</v>
      </c>
      <c r="T177" s="9">
        <v>68.75</v>
      </c>
    </row>
    <row r="178" spans="1:20" x14ac:dyDescent="0.25">
      <c r="A178" s="21" t="s">
        <v>4</v>
      </c>
      <c r="B178" s="21" t="s">
        <v>28</v>
      </c>
      <c r="C178" s="21" t="s">
        <v>15</v>
      </c>
      <c r="D178" s="21" t="s">
        <v>32</v>
      </c>
      <c r="E178" s="21" t="s">
        <v>33</v>
      </c>
      <c r="F178" s="22">
        <v>46</v>
      </c>
      <c r="G178" s="22">
        <v>54</v>
      </c>
      <c r="H178" s="22">
        <v>58</v>
      </c>
      <c r="J178" s="10">
        <v>62</v>
      </c>
      <c r="K178" s="10">
        <v>2</v>
      </c>
      <c r="L178" s="10">
        <v>128</v>
      </c>
      <c r="M178" s="10">
        <v>64</v>
      </c>
      <c r="N178" s="10">
        <v>18</v>
      </c>
      <c r="Q178" s="9" t="s">
        <v>55</v>
      </c>
      <c r="R178" s="9">
        <v>450</v>
      </c>
      <c r="S178" s="9">
        <v>684.5</v>
      </c>
      <c r="T178" s="9">
        <v>380.25</v>
      </c>
    </row>
    <row r="179" spans="1:20" x14ac:dyDescent="0.25">
      <c r="A179" s="21" t="s">
        <v>4</v>
      </c>
      <c r="B179" s="21" t="s">
        <v>29</v>
      </c>
      <c r="C179" s="21" t="s">
        <v>14</v>
      </c>
      <c r="D179" s="21" t="s">
        <v>35</v>
      </c>
      <c r="E179" s="21" t="s">
        <v>33</v>
      </c>
      <c r="F179" s="22">
        <v>71</v>
      </c>
      <c r="G179" s="22">
        <v>77</v>
      </c>
      <c r="H179" s="22">
        <v>77</v>
      </c>
      <c r="J179" s="10">
        <v>70</v>
      </c>
      <c r="K179" s="10">
        <v>2</v>
      </c>
      <c r="L179" s="10">
        <v>177</v>
      </c>
      <c r="M179" s="10">
        <v>88.5</v>
      </c>
      <c r="N179" s="10">
        <v>0.5</v>
      </c>
      <c r="Q179" s="9"/>
      <c r="R179" s="9"/>
      <c r="S179" s="9"/>
      <c r="T179" s="9"/>
    </row>
    <row r="180" spans="1:20" x14ac:dyDescent="0.25">
      <c r="A180" s="21" t="s">
        <v>4</v>
      </c>
      <c r="B180" s="21" t="s">
        <v>28</v>
      </c>
      <c r="C180" s="21" t="s">
        <v>16</v>
      </c>
      <c r="D180" s="21" t="s">
        <v>32</v>
      </c>
      <c r="E180" s="21" t="s">
        <v>33</v>
      </c>
      <c r="F180" s="22">
        <v>52</v>
      </c>
      <c r="G180" s="22">
        <v>70</v>
      </c>
      <c r="H180" s="22">
        <v>62</v>
      </c>
      <c r="J180" s="10">
        <v>66</v>
      </c>
      <c r="K180" s="10">
        <v>2</v>
      </c>
      <c r="L180" s="10">
        <v>152</v>
      </c>
      <c r="M180" s="10">
        <v>76</v>
      </c>
      <c r="N180" s="10">
        <v>8</v>
      </c>
      <c r="Q180" s="14">
        <v>58</v>
      </c>
      <c r="R180" s="14"/>
      <c r="S180" s="14"/>
      <c r="T180" s="14"/>
    </row>
    <row r="181" spans="1:20" x14ac:dyDescent="0.25">
      <c r="A181" s="21" t="s">
        <v>4</v>
      </c>
      <c r="B181" s="21" t="s">
        <v>30</v>
      </c>
      <c r="C181" s="21" t="s">
        <v>17</v>
      </c>
      <c r="D181" s="21" t="s">
        <v>35</v>
      </c>
      <c r="E181" s="21" t="s">
        <v>33</v>
      </c>
      <c r="F181" s="22">
        <v>97</v>
      </c>
      <c r="G181" s="22">
        <v>100</v>
      </c>
      <c r="H181" s="22">
        <v>100</v>
      </c>
      <c r="J181" s="10">
        <v>60</v>
      </c>
      <c r="K181" s="10">
        <v>2</v>
      </c>
      <c r="L181" s="10">
        <v>120</v>
      </c>
      <c r="M181" s="10">
        <v>60</v>
      </c>
      <c r="N181" s="10">
        <v>0</v>
      </c>
      <c r="Q181" s="9" t="s">
        <v>52</v>
      </c>
      <c r="R181" s="9">
        <v>2</v>
      </c>
      <c r="S181" s="9">
        <v>2</v>
      </c>
      <c r="T181" s="9">
        <v>4</v>
      </c>
    </row>
    <row r="182" spans="1:20" x14ac:dyDescent="0.25">
      <c r="A182" s="21" t="s">
        <v>5</v>
      </c>
      <c r="B182" s="21" t="s">
        <v>29</v>
      </c>
      <c r="C182" s="21" t="s">
        <v>16</v>
      </c>
      <c r="D182" s="21" t="s">
        <v>32</v>
      </c>
      <c r="E182" s="21" t="s">
        <v>33</v>
      </c>
      <c r="F182" s="22">
        <v>62</v>
      </c>
      <c r="G182" s="22">
        <v>68</v>
      </c>
      <c r="H182" s="22">
        <v>75</v>
      </c>
      <c r="J182" s="10">
        <v>61</v>
      </c>
      <c r="K182" s="10">
        <v>2</v>
      </c>
      <c r="L182" s="10">
        <v>173</v>
      </c>
      <c r="M182" s="10">
        <v>86.5</v>
      </c>
      <c r="N182" s="10">
        <v>0.5</v>
      </c>
      <c r="Q182" s="9" t="s">
        <v>53</v>
      </c>
      <c r="R182" s="9">
        <v>76</v>
      </c>
      <c r="S182" s="9">
        <v>68</v>
      </c>
      <c r="T182" s="9">
        <v>144</v>
      </c>
    </row>
    <row r="183" spans="1:20" x14ac:dyDescent="0.25">
      <c r="A183" s="21" t="s">
        <v>4</v>
      </c>
      <c r="B183" s="21" t="s">
        <v>29</v>
      </c>
      <c r="C183" s="21" t="s">
        <v>45</v>
      </c>
      <c r="D183" s="21" t="s">
        <v>32</v>
      </c>
      <c r="E183" s="21" t="s">
        <v>34</v>
      </c>
      <c r="F183" s="22">
        <v>46</v>
      </c>
      <c r="G183" s="22">
        <v>64</v>
      </c>
      <c r="H183" s="22">
        <v>66</v>
      </c>
      <c r="J183" s="10">
        <v>66</v>
      </c>
      <c r="K183" s="10">
        <v>2</v>
      </c>
      <c r="L183" s="10">
        <v>126</v>
      </c>
      <c r="M183" s="10">
        <v>63</v>
      </c>
      <c r="N183" s="10">
        <v>2</v>
      </c>
      <c r="Q183" s="9" t="s">
        <v>54</v>
      </c>
      <c r="R183" s="9">
        <v>38</v>
      </c>
      <c r="S183" s="9">
        <v>34</v>
      </c>
      <c r="T183" s="9">
        <v>36</v>
      </c>
    </row>
    <row r="184" spans="1:20" x14ac:dyDescent="0.25">
      <c r="A184" s="21" t="s">
        <v>4</v>
      </c>
      <c r="B184" s="21" t="s">
        <v>31</v>
      </c>
      <c r="C184" s="21" t="s">
        <v>15</v>
      </c>
      <c r="D184" s="21" t="s">
        <v>35</v>
      </c>
      <c r="E184" s="21" t="s">
        <v>34</v>
      </c>
      <c r="F184" s="22">
        <v>50</v>
      </c>
      <c r="G184" s="22">
        <v>50</v>
      </c>
      <c r="H184" s="22">
        <v>47</v>
      </c>
      <c r="J184" s="10">
        <v>82</v>
      </c>
      <c r="K184" s="10">
        <v>2</v>
      </c>
      <c r="L184" s="10">
        <v>152</v>
      </c>
      <c r="M184" s="10">
        <v>76</v>
      </c>
      <c r="N184" s="10">
        <v>8</v>
      </c>
      <c r="Q184" s="9" t="s">
        <v>55</v>
      </c>
      <c r="R184" s="9">
        <v>882</v>
      </c>
      <c r="S184" s="9">
        <v>1152</v>
      </c>
      <c r="T184" s="9">
        <v>683.33333333333337</v>
      </c>
    </row>
    <row r="185" spans="1:20" x14ac:dyDescent="0.25">
      <c r="A185" s="21" t="s">
        <v>4</v>
      </c>
      <c r="B185" s="21" t="s">
        <v>30</v>
      </c>
      <c r="C185" s="21" t="s">
        <v>14</v>
      </c>
      <c r="D185" s="21" t="s">
        <v>35</v>
      </c>
      <c r="E185" s="21" t="s">
        <v>34</v>
      </c>
      <c r="F185" s="22">
        <v>65</v>
      </c>
      <c r="G185" s="22">
        <v>69</v>
      </c>
      <c r="H185" s="22">
        <v>70</v>
      </c>
      <c r="J185" s="10">
        <v>75</v>
      </c>
      <c r="K185" s="10">
        <v>2</v>
      </c>
      <c r="L185" s="10">
        <v>173</v>
      </c>
      <c r="M185" s="10">
        <v>86.5</v>
      </c>
      <c r="N185" s="10">
        <v>4.5</v>
      </c>
      <c r="Q185" s="9"/>
      <c r="R185" s="9"/>
      <c r="S185" s="9"/>
      <c r="T185" s="9"/>
    </row>
    <row r="186" spans="1:20" x14ac:dyDescent="0.25">
      <c r="A186" s="21" t="s">
        <v>5</v>
      </c>
      <c r="B186" s="21" t="s">
        <v>29</v>
      </c>
      <c r="C186" s="21" t="s">
        <v>17</v>
      </c>
      <c r="D186" s="21" t="s">
        <v>32</v>
      </c>
      <c r="E186" s="21" t="s">
        <v>33</v>
      </c>
      <c r="F186" s="22">
        <v>45</v>
      </c>
      <c r="G186" s="22">
        <v>52</v>
      </c>
      <c r="H186" s="22">
        <v>49</v>
      </c>
      <c r="J186" s="10">
        <v>49</v>
      </c>
      <c r="K186" s="10">
        <v>2</v>
      </c>
      <c r="L186" s="10">
        <v>105</v>
      </c>
      <c r="M186" s="10">
        <v>52.5</v>
      </c>
      <c r="N186" s="10">
        <v>0.5</v>
      </c>
      <c r="Q186" s="14">
        <v>79</v>
      </c>
      <c r="R186" s="14"/>
      <c r="S186" s="14"/>
      <c r="T186" s="14"/>
    </row>
    <row r="187" spans="1:20" x14ac:dyDescent="0.25">
      <c r="A187" s="21" t="s">
        <v>5</v>
      </c>
      <c r="B187" s="21" t="s">
        <v>29</v>
      </c>
      <c r="C187" s="21" t="s">
        <v>14</v>
      </c>
      <c r="D187" s="21" t="s">
        <v>32</v>
      </c>
      <c r="E187" s="21" t="s">
        <v>33</v>
      </c>
      <c r="F187" s="22">
        <v>65</v>
      </c>
      <c r="G187" s="22">
        <v>67</v>
      </c>
      <c r="H187" s="22">
        <v>65</v>
      </c>
      <c r="J187" s="10">
        <v>52</v>
      </c>
      <c r="K187" s="10">
        <v>2</v>
      </c>
      <c r="L187" s="10">
        <v>102</v>
      </c>
      <c r="M187" s="10">
        <v>51</v>
      </c>
      <c r="N187" s="10">
        <v>8</v>
      </c>
      <c r="Q187" s="9" t="s">
        <v>52</v>
      </c>
      <c r="R187" s="9">
        <v>2</v>
      </c>
      <c r="S187" s="9">
        <v>2</v>
      </c>
      <c r="T187" s="9">
        <v>4</v>
      </c>
    </row>
    <row r="188" spans="1:20" x14ac:dyDescent="0.25">
      <c r="A188" s="21" t="s">
        <v>5</v>
      </c>
      <c r="B188" s="21" t="s">
        <v>31</v>
      </c>
      <c r="C188" s="21" t="s">
        <v>15</v>
      </c>
      <c r="D188" s="21" t="s">
        <v>35</v>
      </c>
      <c r="E188" s="21" t="s">
        <v>34</v>
      </c>
      <c r="F188" s="22">
        <v>80</v>
      </c>
      <c r="G188" s="22">
        <v>76</v>
      </c>
      <c r="H188" s="22">
        <v>65</v>
      </c>
      <c r="J188" s="10">
        <v>81</v>
      </c>
      <c r="K188" s="10">
        <v>2</v>
      </c>
      <c r="L188" s="10">
        <v>183</v>
      </c>
      <c r="M188" s="10">
        <v>91.5</v>
      </c>
      <c r="N188" s="10">
        <v>0.5</v>
      </c>
      <c r="Q188" s="9" t="s">
        <v>53</v>
      </c>
      <c r="R188" s="9">
        <v>113</v>
      </c>
      <c r="S188" s="9">
        <v>106</v>
      </c>
      <c r="T188" s="9">
        <v>219</v>
      </c>
    </row>
    <row r="189" spans="1:20" x14ac:dyDescent="0.25">
      <c r="A189" s="21" t="s">
        <v>5</v>
      </c>
      <c r="B189" s="21" t="s">
        <v>30</v>
      </c>
      <c r="C189" s="21" t="s">
        <v>17</v>
      </c>
      <c r="D189" s="21" t="s">
        <v>35</v>
      </c>
      <c r="E189" s="21" t="s">
        <v>33</v>
      </c>
      <c r="F189" s="22">
        <v>62</v>
      </c>
      <c r="G189" s="22">
        <v>66</v>
      </c>
      <c r="H189" s="22">
        <v>68</v>
      </c>
      <c r="J189" s="10">
        <v>96</v>
      </c>
      <c r="K189" s="10">
        <v>2</v>
      </c>
      <c r="L189" s="10">
        <v>200</v>
      </c>
      <c r="M189" s="10">
        <v>100</v>
      </c>
      <c r="N189" s="10">
        <v>0</v>
      </c>
      <c r="Q189" s="9" t="s">
        <v>54</v>
      </c>
      <c r="R189" s="9">
        <v>56.5</v>
      </c>
      <c r="S189" s="9">
        <v>53</v>
      </c>
      <c r="T189" s="9">
        <v>54.75</v>
      </c>
    </row>
    <row r="190" spans="1:20" x14ac:dyDescent="0.25">
      <c r="A190" s="21" t="s">
        <v>5</v>
      </c>
      <c r="B190" s="21" t="s">
        <v>28</v>
      </c>
      <c r="C190" s="21" t="s">
        <v>17</v>
      </c>
      <c r="D190" s="21" t="s">
        <v>32</v>
      </c>
      <c r="E190" s="21" t="s">
        <v>34</v>
      </c>
      <c r="F190" s="22">
        <v>48</v>
      </c>
      <c r="G190" s="22">
        <v>52</v>
      </c>
      <c r="H190" s="22">
        <v>45</v>
      </c>
      <c r="J190" s="10">
        <v>53</v>
      </c>
      <c r="K190" s="10">
        <v>2</v>
      </c>
      <c r="L190" s="10">
        <v>102</v>
      </c>
      <c r="M190" s="10">
        <v>51</v>
      </c>
      <c r="N190" s="10">
        <v>0</v>
      </c>
      <c r="Q190" s="9" t="s">
        <v>55</v>
      </c>
      <c r="R190" s="9">
        <v>612.5</v>
      </c>
      <c r="S190" s="9">
        <v>722</v>
      </c>
      <c r="T190" s="9">
        <v>448.91666666666669</v>
      </c>
    </row>
    <row r="191" spans="1:20" x14ac:dyDescent="0.25">
      <c r="A191" s="21" t="s">
        <v>4</v>
      </c>
      <c r="B191" s="21" t="s">
        <v>29</v>
      </c>
      <c r="C191" s="21" t="s">
        <v>43</v>
      </c>
      <c r="D191" s="21" t="s">
        <v>35</v>
      </c>
      <c r="E191" s="21" t="s">
        <v>34</v>
      </c>
      <c r="F191" s="22">
        <v>77</v>
      </c>
      <c r="G191" s="22">
        <v>88</v>
      </c>
      <c r="H191" s="22">
        <v>87</v>
      </c>
      <c r="J191" s="10">
        <v>58</v>
      </c>
      <c r="K191" s="10">
        <v>2</v>
      </c>
      <c r="L191" s="10">
        <v>154</v>
      </c>
      <c r="M191" s="10">
        <v>77</v>
      </c>
      <c r="N191" s="10">
        <v>2</v>
      </c>
      <c r="Q191" s="9"/>
      <c r="R191" s="9"/>
      <c r="S191" s="9"/>
      <c r="T191" s="9"/>
    </row>
    <row r="192" spans="1:20" x14ac:dyDescent="0.25">
      <c r="A192" s="21" t="s">
        <v>4</v>
      </c>
      <c r="B192" s="21" t="s">
        <v>31</v>
      </c>
      <c r="C192" s="21" t="s">
        <v>14</v>
      </c>
      <c r="D192" s="21" t="s">
        <v>35</v>
      </c>
      <c r="E192" s="21" t="s">
        <v>34</v>
      </c>
      <c r="F192" s="22">
        <v>66</v>
      </c>
      <c r="G192" s="22">
        <v>65</v>
      </c>
      <c r="H192" s="22">
        <v>69</v>
      </c>
      <c r="J192" s="10">
        <v>68</v>
      </c>
      <c r="K192" s="10">
        <v>2</v>
      </c>
      <c r="L192" s="10">
        <v>161</v>
      </c>
      <c r="M192" s="10">
        <v>80.5</v>
      </c>
      <c r="N192" s="10">
        <v>12.5</v>
      </c>
      <c r="Q192" s="14">
        <v>62</v>
      </c>
      <c r="R192" s="14"/>
      <c r="S192" s="14"/>
      <c r="T192" s="14"/>
    </row>
    <row r="193" spans="1:20" x14ac:dyDescent="0.25">
      <c r="A193" s="21" t="s">
        <v>5</v>
      </c>
      <c r="B193" s="21" t="s">
        <v>30</v>
      </c>
      <c r="C193" s="21" t="s">
        <v>45</v>
      </c>
      <c r="D193" s="21" t="s">
        <v>35</v>
      </c>
      <c r="E193" s="21" t="s">
        <v>33</v>
      </c>
      <c r="F193" s="22">
        <v>76</v>
      </c>
      <c r="G193" s="22">
        <v>83</v>
      </c>
      <c r="H193" s="22">
        <v>79</v>
      </c>
      <c r="J193" s="10">
        <v>67</v>
      </c>
      <c r="K193" s="10">
        <v>2</v>
      </c>
      <c r="L193" s="10">
        <v>145</v>
      </c>
      <c r="M193" s="10">
        <v>72.5</v>
      </c>
      <c r="N193" s="10">
        <v>12.5</v>
      </c>
      <c r="Q193" s="9" t="s">
        <v>52</v>
      </c>
      <c r="R193" s="9">
        <v>2</v>
      </c>
      <c r="S193" s="9">
        <v>2</v>
      </c>
      <c r="T193" s="9">
        <v>4</v>
      </c>
    </row>
    <row r="194" spans="1:20" x14ac:dyDescent="0.25">
      <c r="A194" s="21" t="s">
        <v>4</v>
      </c>
      <c r="B194" s="21" t="s">
        <v>28</v>
      </c>
      <c r="C194" s="21" t="s">
        <v>17</v>
      </c>
      <c r="D194" s="21" t="s">
        <v>35</v>
      </c>
      <c r="E194" s="21" t="s">
        <v>34</v>
      </c>
      <c r="F194" s="22">
        <v>62</v>
      </c>
      <c r="G194" s="22">
        <v>64</v>
      </c>
      <c r="H194" s="22">
        <v>66</v>
      </c>
      <c r="J194" s="10">
        <v>72</v>
      </c>
      <c r="K194" s="10">
        <v>2</v>
      </c>
      <c r="L194" s="10">
        <v>147</v>
      </c>
      <c r="M194" s="10">
        <v>73.5</v>
      </c>
      <c r="N194" s="10">
        <v>0.5</v>
      </c>
      <c r="Q194" s="9" t="s">
        <v>53</v>
      </c>
      <c r="R194" s="9">
        <v>141</v>
      </c>
      <c r="S194" s="9">
        <v>126</v>
      </c>
      <c r="T194" s="9">
        <v>267</v>
      </c>
    </row>
    <row r="195" spans="1:20" x14ac:dyDescent="0.25">
      <c r="A195" s="21" t="s">
        <v>5</v>
      </c>
      <c r="B195" s="21" t="s">
        <v>30</v>
      </c>
      <c r="C195" s="21" t="s">
        <v>45</v>
      </c>
      <c r="D195" s="21" t="s">
        <v>35</v>
      </c>
      <c r="E195" s="21" t="s">
        <v>33</v>
      </c>
      <c r="F195" s="22">
        <v>77</v>
      </c>
      <c r="G195" s="22">
        <v>62</v>
      </c>
      <c r="H195" s="22">
        <v>62</v>
      </c>
      <c r="J195" s="10">
        <v>94</v>
      </c>
      <c r="K195" s="10">
        <v>2</v>
      </c>
      <c r="L195" s="10">
        <v>166</v>
      </c>
      <c r="M195" s="10">
        <v>83</v>
      </c>
      <c r="N195" s="10">
        <v>50</v>
      </c>
      <c r="Q195" s="9" t="s">
        <v>54</v>
      </c>
      <c r="R195" s="9">
        <v>70.5</v>
      </c>
      <c r="S195" s="9">
        <v>63</v>
      </c>
      <c r="T195" s="9">
        <v>66.75</v>
      </c>
    </row>
    <row r="196" spans="1:20" x14ac:dyDescent="0.25">
      <c r="A196" s="21" t="s">
        <v>4</v>
      </c>
      <c r="B196" s="21" t="s">
        <v>29</v>
      </c>
      <c r="C196" s="21" t="s">
        <v>16</v>
      </c>
      <c r="D196" s="21" t="s">
        <v>35</v>
      </c>
      <c r="E196" s="21" t="s">
        <v>33</v>
      </c>
      <c r="F196" s="22">
        <v>69</v>
      </c>
      <c r="G196" s="22">
        <v>84</v>
      </c>
      <c r="H196" s="22">
        <v>85</v>
      </c>
      <c r="J196" s="10">
        <v>79</v>
      </c>
      <c r="K196" s="10">
        <v>2</v>
      </c>
      <c r="L196" s="10">
        <v>167</v>
      </c>
      <c r="M196" s="10">
        <v>83.5</v>
      </c>
      <c r="N196" s="10">
        <v>12.5</v>
      </c>
      <c r="Q196" s="9" t="s">
        <v>55</v>
      </c>
      <c r="R196" s="9">
        <v>180.5</v>
      </c>
      <c r="S196" s="9">
        <v>128</v>
      </c>
      <c r="T196" s="9">
        <v>121.58333333333333</v>
      </c>
    </row>
    <row r="197" spans="1:20" x14ac:dyDescent="0.25">
      <c r="A197" s="21" t="s">
        <v>5</v>
      </c>
      <c r="B197" s="21" t="s">
        <v>30</v>
      </c>
      <c r="C197" s="21" t="s">
        <v>14</v>
      </c>
      <c r="D197" s="21" t="s">
        <v>35</v>
      </c>
      <c r="E197" s="21" t="s">
        <v>34</v>
      </c>
      <c r="F197" s="22">
        <v>61</v>
      </c>
      <c r="G197" s="22">
        <v>55</v>
      </c>
      <c r="H197" s="22">
        <v>52</v>
      </c>
      <c r="J197" s="10">
        <v>63</v>
      </c>
      <c r="K197" s="10">
        <v>2</v>
      </c>
      <c r="L197" s="10">
        <v>137</v>
      </c>
      <c r="M197" s="10">
        <v>68.5</v>
      </c>
      <c r="N197" s="10">
        <v>4.5</v>
      </c>
      <c r="Q197" s="9"/>
      <c r="R197" s="9"/>
      <c r="S197" s="9"/>
      <c r="T197" s="9"/>
    </row>
    <row r="198" spans="1:20" x14ac:dyDescent="0.25">
      <c r="A198" s="21" t="s">
        <v>5</v>
      </c>
      <c r="B198" s="21" t="s">
        <v>29</v>
      </c>
      <c r="C198" s="21" t="s">
        <v>17</v>
      </c>
      <c r="D198" s="21" t="s">
        <v>32</v>
      </c>
      <c r="E198" s="21" t="s">
        <v>33</v>
      </c>
      <c r="F198" s="22">
        <v>59</v>
      </c>
      <c r="G198" s="22">
        <v>69</v>
      </c>
      <c r="H198" s="22">
        <v>65</v>
      </c>
      <c r="J198" s="10">
        <v>43</v>
      </c>
      <c r="K198" s="10">
        <v>2</v>
      </c>
      <c r="L198" s="10">
        <v>105</v>
      </c>
      <c r="M198" s="10">
        <v>52.5</v>
      </c>
      <c r="N198" s="10">
        <v>4.5</v>
      </c>
      <c r="Q198" s="14">
        <v>59</v>
      </c>
      <c r="R198" s="14"/>
      <c r="S198" s="14"/>
      <c r="T198" s="14"/>
    </row>
    <row r="199" spans="1:20" x14ac:dyDescent="0.25">
      <c r="A199" s="21" t="s">
        <v>5</v>
      </c>
      <c r="B199" s="21" t="s">
        <v>31</v>
      </c>
      <c r="C199" s="21" t="s">
        <v>15</v>
      </c>
      <c r="D199" s="21" t="s">
        <v>32</v>
      </c>
      <c r="E199" s="21" t="s">
        <v>34</v>
      </c>
      <c r="F199" s="22">
        <v>55</v>
      </c>
      <c r="G199" s="22">
        <v>56</v>
      </c>
      <c r="H199" s="22">
        <v>51</v>
      </c>
      <c r="J199" s="10">
        <v>81</v>
      </c>
      <c r="K199" s="10">
        <v>2</v>
      </c>
      <c r="L199" s="10">
        <v>178</v>
      </c>
      <c r="M199" s="10">
        <v>89</v>
      </c>
      <c r="N199" s="10">
        <v>8</v>
      </c>
      <c r="Q199" s="9" t="s">
        <v>52</v>
      </c>
      <c r="R199" s="9">
        <v>2</v>
      </c>
      <c r="S199" s="9">
        <v>2</v>
      </c>
      <c r="T199" s="9">
        <v>4</v>
      </c>
    </row>
    <row r="200" spans="1:20" x14ac:dyDescent="0.25">
      <c r="A200" s="21" t="s">
        <v>4</v>
      </c>
      <c r="B200" s="21" t="s">
        <v>28</v>
      </c>
      <c r="C200" s="21" t="s">
        <v>45</v>
      </c>
      <c r="D200" s="21" t="s">
        <v>32</v>
      </c>
      <c r="E200" s="21" t="s">
        <v>34</v>
      </c>
      <c r="F200" s="22">
        <v>45</v>
      </c>
      <c r="G200" s="22">
        <v>53</v>
      </c>
      <c r="H200" s="22">
        <v>55</v>
      </c>
      <c r="J200" s="10">
        <v>46</v>
      </c>
      <c r="K200" s="10">
        <v>2</v>
      </c>
      <c r="L200" s="10">
        <v>112</v>
      </c>
      <c r="M200" s="10">
        <v>56</v>
      </c>
      <c r="N200" s="10">
        <v>8</v>
      </c>
      <c r="Q200" s="9" t="s">
        <v>53</v>
      </c>
      <c r="R200" s="9">
        <v>122</v>
      </c>
      <c r="S200" s="9">
        <v>120</v>
      </c>
      <c r="T200" s="9">
        <v>242</v>
      </c>
    </row>
    <row r="201" spans="1:20" x14ac:dyDescent="0.25">
      <c r="A201" s="21" t="s">
        <v>4</v>
      </c>
      <c r="B201" s="21" t="s">
        <v>28</v>
      </c>
      <c r="C201" s="21" t="s">
        <v>43</v>
      </c>
      <c r="D201" s="21" t="s">
        <v>32</v>
      </c>
      <c r="E201" s="21" t="s">
        <v>34</v>
      </c>
      <c r="F201" s="22">
        <v>78</v>
      </c>
      <c r="G201" s="22">
        <v>79</v>
      </c>
      <c r="H201" s="22">
        <v>76</v>
      </c>
      <c r="J201" s="10">
        <v>71</v>
      </c>
      <c r="K201" s="10">
        <v>2</v>
      </c>
      <c r="L201" s="10">
        <v>154</v>
      </c>
      <c r="M201" s="10">
        <v>77</v>
      </c>
      <c r="N201" s="10">
        <v>0</v>
      </c>
      <c r="Q201" s="9" t="s">
        <v>54</v>
      </c>
      <c r="R201" s="9">
        <v>61</v>
      </c>
      <c r="S201" s="9">
        <v>60</v>
      </c>
      <c r="T201" s="9">
        <v>60.5</v>
      </c>
    </row>
    <row r="202" spans="1:20" x14ac:dyDescent="0.25">
      <c r="A202" s="21" t="s">
        <v>4</v>
      </c>
      <c r="B202" s="21" t="s">
        <v>29</v>
      </c>
      <c r="C202" s="21" t="s">
        <v>14</v>
      </c>
      <c r="D202" s="21" t="s">
        <v>35</v>
      </c>
      <c r="E202" s="21" t="s">
        <v>33</v>
      </c>
      <c r="F202" s="22">
        <v>67</v>
      </c>
      <c r="G202" s="22">
        <v>84</v>
      </c>
      <c r="H202" s="22">
        <v>86</v>
      </c>
      <c r="J202" s="10">
        <v>52</v>
      </c>
      <c r="K202" s="10">
        <v>2</v>
      </c>
      <c r="L202" s="10">
        <v>132</v>
      </c>
      <c r="M202" s="10">
        <v>66</v>
      </c>
      <c r="N202" s="10">
        <v>32</v>
      </c>
      <c r="Q202" s="9" t="s">
        <v>55</v>
      </c>
      <c r="R202" s="9">
        <v>18</v>
      </c>
      <c r="S202" s="9">
        <v>2</v>
      </c>
      <c r="T202" s="9">
        <v>7</v>
      </c>
    </row>
    <row r="203" spans="1:20" x14ac:dyDescent="0.25">
      <c r="A203" s="21" t="s">
        <v>4</v>
      </c>
      <c r="B203" s="21" t="s">
        <v>30</v>
      </c>
      <c r="C203" s="21" t="s">
        <v>45</v>
      </c>
      <c r="D203" s="21" t="s">
        <v>32</v>
      </c>
      <c r="E203" s="21" t="s">
        <v>34</v>
      </c>
      <c r="F203" s="22">
        <v>65</v>
      </c>
      <c r="G203" s="22">
        <v>81</v>
      </c>
      <c r="H203" s="22">
        <v>77</v>
      </c>
      <c r="J203" s="10">
        <v>97</v>
      </c>
      <c r="K203" s="10">
        <v>2</v>
      </c>
      <c r="L203" s="10">
        <v>200</v>
      </c>
      <c r="M203" s="10">
        <v>100</v>
      </c>
      <c r="N203" s="10">
        <v>0</v>
      </c>
      <c r="Q203" s="9"/>
      <c r="R203" s="9"/>
      <c r="S203" s="9"/>
      <c r="T203" s="9"/>
    </row>
    <row r="204" spans="1:20" x14ac:dyDescent="0.25">
      <c r="A204" s="21" t="s">
        <v>5</v>
      </c>
      <c r="B204" s="21" t="s">
        <v>29</v>
      </c>
      <c r="C204" s="21" t="s">
        <v>14</v>
      </c>
      <c r="D204" s="21" t="s">
        <v>35</v>
      </c>
      <c r="E204" s="21" t="s">
        <v>34</v>
      </c>
      <c r="F204" s="22">
        <v>69</v>
      </c>
      <c r="G204" s="22">
        <v>77</v>
      </c>
      <c r="H204" s="22">
        <v>69</v>
      </c>
      <c r="J204" s="10">
        <v>62</v>
      </c>
      <c r="K204" s="10">
        <v>2</v>
      </c>
      <c r="L204" s="10">
        <v>143</v>
      </c>
      <c r="M204" s="10">
        <v>71.5</v>
      </c>
      <c r="N204" s="10">
        <v>24.5</v>
      </c>
      <c r="Q204" s="14">
        <v>45</v>
      </c>
      <c r="R204" s="14"/>
      <c r="S204" s="14"/>
      <c r="T204" s="14"/>
    </row>
    <row r="205" spans="1:20" x14ac:dyDescent="0.25">
      <c r="A205" s="21" t="s">
        <v>4</v>
      </c>
      <c r="B205" s="21" t="s">
        <v>28</v>
      </c>
      <c r="C205" s="21" t="s">
        <v>14</v>
      </c>
      <c r="D205" s="21" t="s">
        <v>35</v>
      </c>
      <c r="E205" s="21" t="s">
        <v>34</v>
      </c>
      <c r="F205" s="22">
        <v>57</v>
      </c>
      <c r="G205" s="22">
        <v>69</v>
      </c>
      <c r="H205" s="22">
        <v>68</v>
      </c>
      <c r="J205" s="10">
        <v>46</v>
      </c>
      <c r="K205" s="10">
        <v>2</v>
      </c>
      <c r="L205" s="10">
        <v>130</v>
      </c>
      <c r="M205" s="10">
        <v>65</v>
      </c>
      <c r="N205" s="10">
        <v>2</v>
      </c>
      <c r="Q205" s="9" t="s">
        <v>52</v>
      </c>
      <c r="R205" s="9">
        <v>2</v>
      </c>
      <c r="S205" s="9">
        <v>2</v>
      </c>
      <c r="T205" s="9">
        <v>4</v>
      </c>
    </row>
    <row r="206" spans="1:20" x14ac:dyDescent="0.25">
      <c r="A206" s="21" t="s">
        <v>5</v>
      </c>
      <c r="B206" s="21" t="s">
        <v>29</v>
      </c>
      <c r="C206" s="21" t="s">
        <v>45</v>
      </c>
      <c r="D206" s="21" t="s">
        <v>35</v>
      </c>
      <c r="E206" s="21" t="s">
        <v>34</v>
      </c>
      <c r="F206" s="22">
        <v>59</v>
      </c>
      <c r="G206" s="22">
        <v>41</v>
      </c>
      <c r="H206" s="22">
        <v>42</v>
      </c>
      <c r="J206" s="10">
        <v>50</v>
      </c>
      <c r="K206" s="10">
        <v>2</v>
      </c>
      <c r="L206" s="10">
        <v>97</v>
      </c>
      <c r="M206" s="10">
        <v>48.5</v>
      </c>
      <c r="N206" s="10">
        <v>4.5</v>
      </c>
      <c r="Q206" s="9" t="s">
        <v>53</v>
      </c>
      <c r="R206" s="9">
        <v>109</v>
      </c>
      <c r="S206" s="9">
        <v>111</v>
      </c>
      <c r="T206" s="9">
        <v>220</v>
      </c>
    </row>
    <row r="207" spans="1:20" x14ac:dyDescent="0.25">
      <c r="A207" s="21" t="s">
        <v>5</v>
      </c>
      <c r="B207" s="21" t="s">
        <v>30</v>
      </c>
      <c r="C207" s="21" t="s">
        <v>17</v>
      </c>
      <c r="D207" s="21" t="s">
        <v>35</v>
      </c>
      <c r="E207" s="21" t="s">
        <v>33</v>
      </c>
      <c r="F207" s="22">
        <v>74</v>
      </c>
      <c r="G207" s="22">
        <v>71</v>
      </c>
      <c r="H207" s="22">
        <v>78</v>
      </c>
      <c r="J207" s="10">
        <v>65</v>
      </c>
      <c r="K207" s="10">
        <v>2</v>
      </c>
      <c r="L207" s="10">
        <v>139</v>
      </c>
      <c r="M207" s="10">
        <v>69.5</v>
      </c>
      <c r="N207" s="10">
        <v>0.5</v>
      </c>
      <c r="Q207" s="9" t="s">
        <v>54</v>
      </c>
      <c r="R207" s="9">
        <v>54.5</v>
      </c>
      <c r="S207" s="9">
        <v>55.5</v>
      </c>
      <c r="T207" s="9">
        <v>55</v>
      </c>
    </row>
    <row r="208" spans="1:20" x14ac:dyDescent="0.25">
      <c r="A208" s="21" t="s">
        <v>5</v>
      </c>
      <c r="B208" s="21" t="s">
        <v>31</v>
      </c>
      <c r="C208" s="21" t="s">
        <v>43</v>
      </c>
      <c r="D208" s="21" t="s">
        <v>35</v>
      </c>
      <c r="E208" s="21" t="s">
        <v>34</v>
      </c>
      <c r="F208" s="22">
        <v>82</v>
      </c>
      <c r="G208" s="22">
        <v>62</v>
      </c>
      <c r="H208" s="22">
        <v>62</v>
      </c>
      <c r="J208" s="10">
        <v>45</v>
      </c>
      <c r="K208" s="10">
        <v>2</v>
      </c>
      <c r="L208" s="10">
        <v>101</v>
      </c>
      <c r="M208" s="10">
        <v>50.5</v>
      </c>
      <c r="N208" s="10">
        <v>4.5</v>
      </c>
      <c r="Q208" s="9" t="s">
        <v>55</v>
      </c>
      <c r="R208" s="9">
        <v>612.5</v>
      </c>
      <c r="S208" s="9">
        <v>684.5</v>
      </c>
      <c r="T208" s="9">
        <v>432.66666666666669</v>
      </c>
    </row>
    <row r="209" spans="1:20" x14ac:dyDescent="0.25">
      <c r="A209" s="21" t="s">
        <v>5</v>
      </c>
      <c r="B209" s="21" t="s">
        <v>31</v>
      </c>
      <c r="C209" s="21" t="s">
        <v>15</v>
      </c>
      <c r="D209" s="21" t="s">
        <v>35</v>
      </c>
      <c r="E209" s="21" t="s">
        <v>33</v>
      </c>
      <c r="F209" s="22">
        <v>81</v>
      </c>
      <c r="G209" s="22">
        <v>80</v>
      </c>
      <c r="H209" s="22">
        <v>76</v>
      </c>
      <c r="J209" s="10">
        <v>65</v>
      </c>
      <c r="K209" s="10">
        <v>2</v>
      </c>
      <c r="L209" s="10">
        <v>132</v>
      </c>
      <c r="M209" s="10">
        <v>66</v>
      </c>
      <c r="N209" s="10">
        <v>2</v>
      </c>
      <c r="Q209" s="9"/>
      <c r="R209" s="9"/>
      <c r="S209" s="9"/>
      <c r="T209" s="9"/>
    </row>
    <row r="210" spans="1:20" x14ac:dyDescent="0.25">
      <c r="A210" s="21" t="s">
        <v>4</v>
      </c>
      <c r="B210" s="21" t="s">
        <v>28</v>
      </c>
      <c r="C210" s="21" t="s">
        <v>45</v>
      </c>
      <c r="D210" s="21" t="s">
        <v>32</v>
      </c>
      <c r="E210" s="21" t="s">
        <v>34</v>
      </c>
      <c r="F210" s="22">
        <v>74</v>
      </c>
      <c r="G210" s="22">
        <v>81</v>
      </c>
      <c r="H210" s="22">
        <v>76</v>
      </c>
      <c r="J210" s="10">
        <v>80</v>
      </c>
      <c r="K210" s="10">
        <v>2</v>
      </c>
      <c r="L210" s="10">
        <v>141</v>
      </c>
      <c r="M210" s="10">
        <v>70.5</v>
      </c>
      <c r="N210" s="10">
        <v>60.5</v>
      </c>
      <c r="Q210" s="14">
        <v>61</v>
      </c>
      <c r="R210" s="14"/>
      <c r="S210" s="14"/>
      <c r="T210" s="14"/>
    </row>
    <row r="211" spans="1:20" x14ac:dyDescent="0.25">
      <c r="A211" s="21" t="s">
        <v>4</v>
      </c>
      <c r="B211" s="21" t="s">
        <v>28</v>
      </c>
      <c r="C211" s="21" t="s">
        <v>45</v>
      </c>
      <c r="D211" s="21" t="s">
        <v>32</v>
      </c>
      <c r="E211" s="21" t="s">
        <v>34</v>
      </c>
      <c r="F211" s="22">
        <v>58</v>
      </c>
      <c r="G211" s="22">
        <v>61</v>
      </c>
      <c r="H211" s="22">
        <v>66</v>
      </c>
      <c r="J211" s="10">
        <v>62</v>
      </c>
      <c r="K211" s="10">
        <v>2</v>
      </c>
      <c r="L211" s="10">
        <v>134</v>
      </c>
      <c r="M211" s="10">
        <v>67</v>
      </c>
      <c r="N211" s="10">
        <v>2</v>
      </c>
      <c r="Q211" s="9" t="s">
        <v>52</v>
      </c>
      <c r="R211" s="9">
        <v>2</v>
      </c>
      <c r="S211" s="9">
        <v>2</v>
      </c>
      <c r="T211" s="9">
        <v>4</v>
      </c>
    </row>
    <row r="212" spans="1:20" x14ac:dyDescent="0.25">
      <c r="A212" s="21" t="s">
        <v>5</v>
      </c>
      <c r="B212" s="21" t="s">
        <v>30</v>
      </c>
      <c r="C212" s="21" t="s">
        <v>17</v>
      </c>
      <c r="D212" s="21" t="s">
        <v>32</v>
      </c>
      <c r="E212" s="21" t="s">
        <v>33</v>
      </c>
      <c r="F212" s="22">
        <v>80</v>
      </c>
      <c r="G212" s="22">
        <v>79</v>
      </c>
      <c r="H212" s="22">
        <v>79</v>
      </c>
      <c r="J212" s="10">
        <v>48</v>
      </c>
      <c r="K212" s="10">
        <v>2</v>
      </c>
      <c r="L212" s="10">
        <v>97</v>
      </c>
      <c r="M212" s="10">
        <v>48.5</v>
      </c>
      <c r="N212" s="10">
        <v>24.5</v>
      </c>
      <c r="Q212" s="9" t="s">
        <v>53</v>
      </c>
      <c r="R212" s="9">
        <v>122</v>
      </c>
      <c r="S212" s="9">
        <v>113</v>
      </c>
      <c r="T212" s="9">
        <v>235</v>
      </c>
    </row>
    <row r="213" spans="1:20" x14ac:dyDescent="0.25">
      <c r="A213" s="21" t="s">
        <v>5</v>
      </c>
      <c r="B213" s="21" t="s">
        <v>29</v>
      </c>
      <c r="C213" s="21" t="s">
        <v>45</v>
      </c>
      <c r="D213" s="21" t="s">
        <v>32</v>
      </c>
      <c r="E213" s="21" t="s">
        <v>34</v>
      </c>
      <c r="F213" s="22">
        <v>35</v>
      </c>
      <c r="G213" s="22">
        <v>28</v>
      </c>
      <c r="H213" s="22">
        <v>27</v>
      </c>
      <c r="J213" s="10">
        <v>77</v>
      </c>
      <c r="K213" s="10">
        <v>2</v>
      </c>
      <c r="L213" s="10">
        <v>175</v>
      </c>
      <c r="M213" s="10">
        <v>87.5</v>
      </c>
      <c r="N213" s="10">
        <v>0.5</v>
      </c>
      <c r="Q213" s="9" t="s">
        <v>54</v>
      </c>
      <c r="R213" s="9">
        <v>61</v>
      </c>
      <c r="S213" s="9">
        <v>56.5</v>
      </c>
      <c r="T213" s="9">
        <v>58.75</v>
      </c>
    </row>
    <row r="214" spans="1:20" x14ac:dyDescent="0.25">
      <c r="A214" s="21" t="s">
        <v>4</v>
      </c>
      <c r="B214" s="21" t="s">
        <v>29</v>
      </c>
      <c r="C214" s="21" t="s">
        <v>15</v>
      </c>
      <c r="D214" s="21" t="s">
        <v>32</v>
      </c>
      <c r="E214" s="21" t="s">
        <v>34</v>
      </c>
      <c r="F214" s="22">
        <v>42</v>
      </c>
      <c r="G214" s="22">
        <v>62</v>
      </c>
      <c r="H214" s="22">
        <v>60</v>
      </c>
      <c r="J214" s="10">
        <v>66</v>
      </c>
      <c r="K214" s="10">
        <v>2</v>
      </c>
      <c r="L214" s="10">
        <v>134</v>
      </c>
      <c r="M214" s="10">
        <v>67</v>
      </c>
      <c r="N214" s="10">
        <v>8</v>
      </c>
      <c r="Q214" s="9" t="s">
        <v>55</v>
      </c>
      <c r="R214" s="9">
        <v>18</v>
      </c>
      <c r="S214" s="9">
        <v>0.5</v>
      </c>
      <c r="T214" s="9">
        <v>12.916666666666666</v>
      </c>
    </row>
    <row r="215" spans="1:20" x14ac:dyDescent="0.25">
      <c r="A215" s="21" t="s">
        <v>5</v>
      </c>
      <c r="B215" s="21" t="s">
        <v>29</v>
      </c>
      <c r="C215" s="21" t="s">
        <v>14</v>
      </c>
      <c r="D215" s="21" t="s">
        <v>32</v>
      </c>
      <c r="E215" s="21" t="s">
        <v>33</v>
      </c>
      <c r="F215" s="22">
        <v>60</v>
      </c>
      <c r="G215" s="22">
        <v>51</v>
      </c>
      <c r="H215" s="22">
        <v>56</v>
      </c>
      <c r="J215" s="10">
        <v>76</v>
      </c>
      <c r="K215" s="10">
        <v>2</v>
      </c>
      <c r="L215" s="10">
        <v>162</v>
      </c>
      <c r="M215" s="10">
        <v>81</v>
      </c>
      <c r="N215" s="10">
        <v>8</v>
      </c>
      <c r="Q215" s="9"/>
      <c r="R215" s="9"/>
      <c r="S215" s="9"/>
      <c r="T215" s="9"/>
    </row>
    <row r="216" spans="1:20" x14ac:dyDescent="0.25">
      <c r="A216" s="21" t="s">
        <v>5</v>
      </c>
      <c r="B216" s="21" t="s">
        <v>31</v>
      </c>
      <c r="C216" s="21" t="s">
        <v>15</v>
      </c>
      <c r="D216" s="21" t="s">
        <v>35</v>
      </c>
      <c r="E216" s="21" t="s">
        <v>33</v>
      </c>
      <c r="F216" s="22">
        <v>87</v>
      </c>
      <c r="G216" s="22">
        <v>91</v>
      </c>
      <c r="H216" s="22">
        <v>81</v>
      </c>
      <c r="J216" s="10">
        <v>62</v>
      </c>
      <c r="K216" s="10">
        <v>2</v>
      </c>
      <c r="L216" s="10">
        <v>130</v>
      </c>
      <c r="M216" s="10">
        <v>65</v>
      </c>
      <c r="N216" s="10">
        <v>2</v>
      </c>
      <c r="Q216" s="14">
        <v>58</v>
      </c>
      <c r="R216" s="14"/>
      <c r="S216" s="14"/>
      <c r="T216" s="14"/>
    </row>
    <row r="217" spans="1:20" x14ac:dyDescent="0.25">
      <c r="A217" s="21" t="s">
        <v>5</v>
      </c>
      <c r="B217" s="21" t="s">
        <v>28</v>
      </c>
      <c r="C217" s="21" t="s">
        <v>17</v>
      </c>
      <c r="D217" s="21" t="s">
        <v>35</v>
      </c>
      <c r="E217" s="21" t="s">
        <v>33</v>
      </c>
      <c r="F217" s="22">
        <v>84</v>
      </c>
      <c r="G217" s="22">
        <v>83</v>
      </c>
      <c r="H217" s="22">
        <v>75</v>
      </c>
      <c r="J217" s="10">
        <v>77</v>
      </c>
      <c r="K217" s="10">
        <v>2</v>
      </c>
      <c r="L217" s="10">
        <v>124</v>
      </c>
      <c r="M217" s="10">
        <v>62</v>
      </c>
      <c r="N217" s="10">
        <v>0</v>
      </c>
      <c r="Q217" s="9" t="s">
        <v>52</v>
      </c>
      <c r="R217" s="9">
        <v>2</v>
      </c>
      <c r="S217" s="9">
        <v>2</v>
      </c>
      <c r="T217" s="9">
        <v>4</v>
      </c>
    </row>
    <row r="218" spans="1:20" x14ac:dyDescent="0.25">
      <c r="A218" s="21" t="s">
        <v>4</v>
      </c>
      <c r="B218" s="21" t="s">
        <v>31</v>
      </c>
      <c r="C218" s="21" t="s">
        <v>14</v>
      </c>
      <c r="D218" s="21" t="s">
        <v>32</v>
      </c>
      <c r="E218" s="21" t="s">
        <v>33</v>
      </c>
      <c r="F218" s="22">
        <v>83</v>
      </c>
      <c r="G218" s="22">
        <v>86</v>
      </c>
      <c r="H218" s="22">
        <v>88</v>
      </c>
      <c r="J218" s="10">
        <v>69</v>
      </c>
      <c r="K218" s="10">
        <v>2</v>
      </c>
      <c r="L218" s="10">
        <v>169</v>
      </c>
      <c r="M218" s="10">
        <v>84.5</v>
      </c>
      <c r="N218" s="10">
        <v>0.5</v>
      </c>
      <c r="Q218" s="9" t="s">
        <v>53</v>
      </c>
      <c r="R218" s="9">
        <v>118</v>
      </c>
      <c r="S218" s="9">
        <v>136</v>
      </c>
      <c r="T218" s="9">
        <v>254</v>
      </c>
    </row>
    <row r="219" spans="1:20" x14ac:dyDescent="0.25">
      <c r="A219" s="21" t="s">
        <v>4</v>
      </c>
      <c r="B219" s="21" t="s">
        <v>29</v>
      </c>
      <c r="C219" s="21" t="s">
        <v>15</v>
      </c>
      <c r="D219" s="21" t="s">
        <v>32</v>
      </c>
      <c r="E219" s="21" t="s">
        <v>34</v>
      </c>
      <c r="F219" s="22">
        <v>34</v>
      </c>
      <c r="G219" s="22">
        <v>42</v>
      </c>
      <c r="H219" s="22">
        <v>39</v>
      </c>
      <c r="J219" s="10">
        <v>61</v>
      </c>
      <c r="K219" s="10">
        <v>2</v>
      </c>
      <c r="L219" s="10">
        <v>107</v>
      </c>
      <c r="M219" s="10">
        <v>53.5</v>
      </c>
      <c r="N219" s="10">
        <v>4.5</v>
      </c>
      <c r="Q219" s="9" t="s">
        <v>54</v>
      </c>
      <c r="R219" s="9">
        <v>59</v>
      </c>
      <c r="S219" s="9">
        <v>68</v>
      </c>
      <c r="T219" s="9">
        <v>63.5</v>
      </c>
    </row>
    <row r="220" spans="1:20" x14ac:dyDescent="0.25">
      <c r="A220" s="21" t="s">
        <v>5</v>
      </c>
      <c r="B220" s="21" t="s">
        <v>28</v>
      </c>
      <c r="C220" s="21" t="s">
        <v>15</v>
      </c>
      <c r="D220" s="21" t="s">
        <v>32</v>
      </c>
      <c r="E220" s="21" t="s">
        <v>34</v>
      </c>
      <c r="F220" s="22">
        <v>66</v>
      </c>
      <c r="G220" s="22">
        <v>77</v>
      </c>
      <c r="H220" s="22">
        <v>70</v>
      </c>
      <c r="J220" s="10">
        <v>59</v>
      </c>
      <c r="K220" s="10">
        <v>2</v>
      </c>
      <c r="L220" s="10">
        <v>134</v>
      </c>
      <c r="M220" s="10">
        <v>67</v>
      </c>
      <c r="N220" s="10">
        <v>8</v>
      </c>
      <c r="Q220" s="9" t="s">
        <v>55</v>
      </c>
      <c r="R220" s="9">
        <v>32</v>
      </c>
      <c r="S220" s="9">
        <v>50</v>
      </c>
      <c r="T220" s="9">
        <v>54.333333333333336</v>
      </c>
    </row>
    <row r="221" spans="1:20" x14ac:dyDescent="0.25">
      <c r="A221" s="21" t="s">
        <v>5</v>
      </c>
      <c r="B221" s="21" t="s">
        <v>28</v>
      </c>
      <c r="C221" s="21" t="s">
        <v>17</v>
      </c>
      <c r="D221" s="21" t="s">
        <v>35</v>
      </c>
      <c r="E221" s="21" t="s">
        <v>33</v>
      </c>
      <c r="F221" s="22">
        <v>61</v>
      </c>
      <c r="G221" s="22">
        <v>56</v>
      </c>
      <c r="H221" s="22">
        <v>56</v>
      </c>
      <c r="J221" s="10">
        <v>55</v>
      </c>
      <c r="K221" s="10">
        <v>2</v>
      </c>
      <c r="L221" s="10">
        <v>107</v>
      </c>
      <c r="M221" s="10">
        <v>53.5</v>
      </c>
      <c r="N221" s="10">
        <v>12.5</v>
      </c>
      <c r="Q221" s="9"/>
      <c r="R221" s="9"/>
      <c r="S221" s="9"/>
      <c r="T221" s="9"/>
    </row>
    <row r="222" spans="1:20" x14ac:dyDescent="0.25">
      <c r="A222" s="21" t="s">
        <v>4</v>
      </c>
      <c r="B222" s="21" t="s">
        <v>30</v>
      </c>
      <c r="C222" s="21" t="s">
        <v>15</v>
      </c>
      <c r="D222" s="21" t="s">
        <v>35</v>
      </c>
      <c r="E222" s="21" t="s">
        <v>33</v>
      </c>
      <c r="F222" s="22">
        <v>56</v>
      </c>
      <c r="G222" s="22">
        <v>68</v>
      </c>
      <c r="H222" s="22">
        <v>74</v>
      </c>
      <c r="J222" s="10">
        <v>45</v>
      </c>
      <c r="K222" s="10">
        <v>2</v>
      </c>
      <c r="L222" s="10">
        <v>108</v>
      </c>
      <c r="M222" s="10">
        <v>54</v>
      </c>
      <c r="N222" s="10">
        <v>2</v>
      </c>
      <c r="Q222" s="14">
        <v>41</v>
      </c>
      <c r="R222" s="14"/>
      <c r="S222" s="14"/>
      <c r="T222" s="14"/>
    </row>
    <row r="223" spans="1:20" x14ac:dyDescent="0.25">
      <c r="A223" s="21" t="s">
        <v>5</v>
      </c>
      <c r="B223" s="21" t="s">
        <v>28</v>
      </c>
      <c r="C223" s="21" t="s">
        <v>14</v>
      </c>
      <c r="D223" s="21" t="s">
        <v>35</v>
      </c>
      <c r="E223" s="21" t="s">
        <v>34</v>
      </c>
      <c r="F223" s="22">
        <v>87</v>
      </c>
      <c r="G223" s="22">
        <v>85</v>
      </c>
      <c r="H223" s="22">
        <v>73</v>
      </c>
      <c r="J223" s="10">
        <v>78</v>
      </c>
      <c r="K223" s="10">
        <v>2</v>
      </c>
      <c r="L223" s="10">
        <v>155</v>
      </c>
      <c r="M223" s="10">
        <v>77.5</v>
      </c>
      <c r="N223" s="10">
        <v>4.5</v>
      </c>
      <c r="Q223" s="9" t="s">
        <v>52</v>
      </c>
      <c r="R223" s="9">
        <v>2</v>
      </c>
      <c r="S223" s="9">
        <v>2</v>
      </c>
      <c r="T223" s="9">
        <v>4</v>
      </c>
    </row>
    <row r="224" spans="1:20" x14ac:dyDescent="0.25">
      <c r="A224" s="21" t="s">
        <v>4</v>
      </c>
      <c r="B224" s="21" t="s">
        <v>29</v>
      </c>
      <c r="C224" s="21" t="s">
        <v>17</v>
      </c>
      <c r="D224" s="21" t="s">
        <v>32</v>
      </c>
      <c r="E224" s="21" t="s">
        <v>34</v>
      </c>
      <c r="F224" s="22">
        <v>55</v>
      </c>
      <c r="G224" s="22">
        <v>65</v>
      </c>
      <c r="H224" s="22">
        <v>62</v>
      </c>
      <c r="J224" s="10">
        <v>67</v>
      </c>
      <c r="K224" s="10">
        <v>2</v>
      </c>
      <c r="L224" s="10">
        <v>170</v>
      </c>
      <c r="M224" s="10">
        <v>85</v>
      </c>
      <c r="N224" s="10">
        <v>2</v>
      </c>
      <c r="Q224" s="9" t="s">
        <v>53</v>
      </c>
      <c r="R224" s="9">
        <v>108</v>
      </c>
      <c r="S224" s="9">
        <v>104</v>
      </c>
      <c r="T224" s="9">
        <v>212</v>
      </c>
    </row>
    <row r="225" spans="1:20" x14ac:dyDescent="0.25">
      <c r="A225" s="21" t="s">
        <v>5</v>
      </c>
      <c r="B225" s="21" t="s">
        <v>30</v>
      </c>
      <c r="C225" s="21" t="s">
        <v>17</v>
      </c>
      <c r="D225" s="21" t="s">
        <v>35</v>
      </c>
      <c r="E225" s="21" t="s">
        <v>34</v>
      </c>
      <c r="F225" s="22">
        <v>86</v>
      </c>
      <c r="G225" s="22">
        <v>80</v>
      </c>
      <c r="H225" s="22">
        <v>75</v>
      </c>
      <c r="J225" s="10">
        <v>65</v>
      </c>
      <c r="K225" s="10">
        <v>2</v>
      </c>
      <c r="L225" s="10">
        <v>158</v>
      </c>
      <c r="M225" s="10">
        <v>79</v>
      </c>
      <c r="N225" s="10">
        <v>8</v>
      </c>
      <c r="Q225" s="9" t="s">
        <v>54</v>
      </c>
      <c r="R225" s="9">
        <v>54</v>
      </c>
      <c r="S225" s="9">
        <v>52</v>
      </c>
      <c r="T225" s="9">
        <v>53</v>
      </c>
    </row>
    <row r="226" spans="1:20" x14ac:dyDescent="0.25">
      <c r="A226" s="21" t="s">
        <v>4</v>
      </c>
      <c r="B226" s="21" t="s">
        <v>28</v>
      </c>
      <c r="C226" s="21" t="s">
        <v>14</v>
      </c>
      <c r="D226" s="21" t="s">
        <v>35</v>
      </c>
      <c r="E226" s="21" t="s">
        <v>33</v>
      </c>
      <c r="F226" s="22">
        <v>52</v>
      </c>
      <c r="G226" s="22">
        <v>66</v>
      </c>
      <c r="H226" s="22">
        <v>73</v>
      </c>
      <c r="J226" s="10">
        <v>69</v>
      </c>
      <c r="K226" s="10">
        <v>2</v>
      </c>
      <c r="L226" s="10">
        <v>146</v>
      </c>
      <c r="M226" s="10">
        <v>73</v>
      </c>
      <c r="N226" s="10">
        <v>32</v>
      </c>
      <c r="Q226" s="9" t="s">
        <v>55</v>
      </c>
      <c r="R226" s="9">
        <v>18</v>
      </c>
      <c r="S226" s="9">
        <v>32</v>
      </c>
      <c r="T226" s="9">
        <v>18</v>
      </c>
    </row>
    <row r="227" spans="1:20" x14ac:dyDescent="0.25">
      <c r="A227" s="21" t="s">
        <v>4</v>
      </c>
      <c r="B227" s="21" t="s">
        <v>31</v>
      </c>
      <c r="C227" s="21" t="s">
        <v>16</v>
      </c>
      <c r="D227" s="21" t="s">
        <v>32</v>
      </c>
      <c r="E227" s="21" t="s">
        <v>34</v>
      </c>
      <c r="F227" s="22">
        <v>45</v>
      </c>
      <c r="G227" s="22">
        <v>56</v>
      </c>
      <c r="H227" s="22">
        <v>54</v>
      </c>
      <c r="J227" s="10">
        <v>57</v>
      </c>
      <c r="K227" s="10">
        <v>2</v>
      </c>
      <c r="L227" s="10">
        <v>137</v>
      </c>
      <c r="M227" s="10">
        <v>68.5</v>
      </c>
      <c r="N227" s="10">
        <v>0.5</v>
      </c>
      <c r="Q227" s="9"/>
      <c r="R227" s="9"/>
      <c r="S227" s="9"/>
      <c r="T227" s="9"/>
    </row>
    <row r="228" spans="1:20" x14ac:dyDescent="0.25">
      <c r="A228" s="21" t="s">
        <v>4</v>
      </c>
      <c r="B228" s="21" t="s">
        <v>29</v>
      </c>
      <c r="C228" s="21" t="s">
        <v>45</v>
      </c>
      <c r="D228" s="21" t="s">
        <v>35</v>
      </c>
      <c r="E228" s="21" t="s">
        <v>34</v>
      </c>
      <c r="F228" s="22">
        <v>72</v>
      </c>
      <c r="G228" s="22">
        <v>72</v>
      </c>
      <c r="H228" s="22">
        <v>71</v>
      </c>
      <c r="J228" s="10">
        <v>59</v>
      </c>
      <c r="K228" s="10">
        <v>2</v>
      </c>
      <c r="L228" s="10">
        <v>83</v>
      </c>
      <c r="M228" s="10">
        <v>41.5</v>
      </c>
      <c r="N228" s="10">
        <v>0.5</v>
      </c>
      <c r="Q228" s="14">
        <v>49</v>
      </c>
      <c r="R228" s="14"/>
      <c r="S228" s="14"/>
      <c r="T228" s="14"/>
    </row>
    <row r="229" spans="1:20" x14ac:dyDescent="0.25">
      <c r="A229" s="21" t="s">
        <v>5</v>
      </c>
      <c r="B229" s="21" t="s">
        <v>30</v>
      </c>
      <c r="C229" s="21" t="s">
        <v>15</v>
      </c>
      <c r="D229" s="21" t="s">
        <v>35</v>
      </c>
      <c r="E229" s="21" t="s">
        <v>34</v>
      </c>
      <c r="F229" s="22">
        <v>57</v>
      </c>
      <c r="G229" s="22">
        <v>50</v>
      </c>
      <c r="H229" s="22">
        <v>54</v>
      </c>
      <c r="J229" s="10">
        <v>74</v>
      </c>
      <c r="K229" s="10">
        <v>2</v>
      </c>
      <c r="L229" s="10">
        <v>149</v>
      </c>
      <c r="M229" s="10">
        <v>74.5</v>
      </c>
      <c r="N229" s="10">
        <v>24.5</v>
      </c>
      <c r="Q229" s="9" t="s">
        <v>52</v>
      </c>
      <c r="R229" s="9">
        <v>2</v>
      </c>
      <c r="S229" s="9">
        <v>2</v>
      </c>
      <c r="T229" s="9">
        <v>4</v>
      </c>
    </row>
    <row r="230" spans="1:20" x14ac:dyDescent="0.25">
      <c r="A230" s="21" t="s">
        <v>5</v>
      </c>
      <c r="B230" s="21" t="s">
        <v>27</v>
      </c>
      <c r="C230" s="21" t="s">
        <v>17</v>
      </c>
      <c r="D230" s="21" t="s">
        <v>32</v>
      </c>
      <c r="E230" s="21" t="s">
        <v>34</v>
      </c>
      <c r="F230" s="22">
        <v>68</v>
      </c>
      <c r="G230" s="22">
        <v>72</v>
      </c>
      <c r="H230" s="22">
        <v>64</v>
      </c>
      <c r="J230" s="10">
        <v>82</v>
      </c>
      <c r="K230" s="10">
        <v>2</v>
      </c>
      <c r="L230" s="10">
        <v>124</v>
      </c>
      <c r="M230" s="10">
        <v>62</v>
      </c>
      <c r="N230" s="10">
        <v>0</v>
      </c>
      <c r="Q230" s="9" t="s">
        <v>53</v>
      </c>
      <c r="R230" s="9">
        <v>90</v>
      </c>
      <c r="S230" s="9">
        <v>79</v>
      </c>
      <c r="T230" s="9">
        <v>169</v>
      </c>
    </row>
    <row r="231" spans="1:20" x14ac:dyDescent="0.25">
      <c r="A231" s="21" t="s">
        <v>4</v>
      </c>
      <c r="B231" s="21" t="s">
        <v>29</v>
      </c>
      <c r="C231" s="21" t="s">
        <v>45</v>
      </c>
      <c r="D231" s="21" t="s">
        <v>35</v>
      </c>
      <c r="E231" s="21" t="s">
        <v>33</v>
      </c>
      <c r="F231" s="22">
        <v>88</v>
      </c>
      <c r="G231" s="22">
        <v>95</v>
      </c>
      <c r="H231" s="22">
        <v>94</v>
      </c>
      <c r="J231" s="10">
        <v>81</v>
      </c>
      <c r="K231" s="10">
        <v>2</v>
      </c>
      <c r="L231" s="10">
        <v>156</v>
      </c>
      <c r="M231" s="10">
        <v>78</v>
      </c>
      <c r="N231" s="10">
        <v>8</v>
      </c>
      <c r="Q231" s="9" t="s">
        <v>54</v>
      </c>
      <c r="R231" s="9">
        <v>45</v>
      </c>
      <c r="S231" s="9">
        <v>39.5</v>
      </c>
      <c r="T231" s="9">
        <v>42.25</v>
      </c>
    </row>
    <row r="232" spans="1:20" x14ac:dyDescent="0.25">
      <c r="A232" s="21" t="s">
        <v>5</v>
      </c>
      <c r="B232" s="21" t="s">
        <v>30</v>
      </c>
      <c r="C232" s="21" t="s">
        <v>45</v>
      </c>
      <c r="D232" s="21" t="s">
        <v>35</v>
      </c>
      <c r="E232" s="21" t="s">
        <v>34</v>
      </c>
      <c r="F232" s="22">
        <v>76</v>
      </c>
      <c r="G232" s="22">
        <v>64</v>
      </c>
      <c r="H232" s="22">
        <v>66</v>
      </c>
      <c r="J232" s="10">
        <v>74</v>
      </c>
      <c r="K232" s="10">
        <v>2</v>
      </c>
      <c r="L232" s="10">
        <v>157</v>
      </c>
      <c r="M232" s="10">
        <v>78.5</v>
      </c>
      <c r="N232" s="10">
        <v>12.5</v>
      </c>
      <c r="Q232" s="9" t="s">
        <v>55</v>
      </c>
      <c r="R232" s="9">
        <v>32</v>
      </c>
      <c r="S232" s="9">
        <v>4.5</v>
      </c>
      <c r="T232" s="9">
        <v>22.25</v>
      </c>
    </row>
    <row r="233" spans="1:20" x14ac:dyDescent="0.25">
      <c r="A233" s="21" t="s">
        <v>5</v>
      </c>
      <c r="B233" s="21" t="s">
        <v>29</v>
      </c>
      <c r="C233" s="21" t="s">
        <v>14</v>
      </c>
      <c r="D233" s="21" t="s">
        <v>35</v>
      </c>
      <c r="E233" s="21" t="s">
        <v>34</v>
      </c>
      <c r="F233" s="22">
        <v>46</v>
      </c>
      <c r="G233" s="22">
        <v>43</v>
      </c>
      <c r="H233" s="22">
        <v>42</v>
      </c>
      <c r="J233" s="10">
        <v>58</v>
      </c>
      <c r="K233" s="10">
        <v>2</v>
      </c>
      <c r="L233" s="10">
        <v>127</v>
      </c>
      <c r="M233" s="10">
        <v>63.5</v>
      </c>
      <c r="N233" s="10">
        <v>12.5</v>
      </c>
      <c r="Q233" s="9"/>
      <c r="R233" s="9"/>
      <c r="S233" s="9"/>
      <c r="T233" s="9"/>
    </row>
    <row r="234" spans="1:20" x14ac:dyDescent="0.25">
      <c r="A234" s="21" t="s">
        <v>4</v>
      </c>
      <c r="B234" s="21" t="s">
        <v>28</v>
      </c>
      <c r="C234" s="21" t="s">
        <v>43</v>
      </c>
      <c r="D234" s="21" t="s">
        <v>35</v>
      </c>
      <c r="E234" s="21" t="s">
        <v>34</v>
      </c>
      <c r="F234" s="22">
        <v>67</v>
      </c>
      <c r="G234" s="22">
        <v>86</v>
      </c>
      <c r="H234" s="22">
        <v>83</v>
      </c>
      <c r="J234" s="10">
        <v>80</v>
      </c>
      <c r="K234" s="10">
        <v>2</v>
      </c>
      <c r="L234" s="10">
        <v>158</v>
      </c>
      <c r="M234" s="10">
        <v>79</v>
      </c>
      <c r="N234" s="10">
        <v>0</v>
      </c>
      <c r="Q234" s="14">
        <v>30</v>
      </c>
      <c r="R234" s="14"/>
      <c r="S234" s="14"/>
      <c r="T234" s="14"/>
    </row>
    <row r="235" spans="1:20" x14ac:dyDescent="0.25">
      <c r="A235" s="21" t="s">
        <v>5</v>
      </c>
      <c r="B235" s="21" t="s">
        <v>31</v>
      </c>
      <c r="C235" s="21" t="s">
        <v>17</v>
      </c>
      <c r="D235" s="21" t="s">
        <v>35</v>
      </c>
      <c r="E235" s="21" t="s">
        <v>34</v>
      </c>
      <c r="F235" s="22">
        <v>92</v>
      </c>
      <c r="G235" s="22">
        <v>87</v>
      </c>
      <c r="H235" s="22">
        <v>78</v>
      </c>
      <c r="J235" s="10">
        <v>35</v>
      </c>
      <c r="K235" s="10">
        <v>2</v>
      </c>
      <c r="L235" s="10">
        <v>55</v>
      </c>
      <c r="M235" s="10">
        <v>27.5</v>
      </c>
      <c r="N235" s="10">
        <v>0.5</v>
      </c>
      <c r="Q235" s="9" t="s">
        <v>52</v>
      </c>
      <c r="R235" s="9">
        <v>2</v>
      </c>
      <c r="S235" s="9">
        <v>2</v>
      </c>
      <c r="T235" s="9">
        <v>4</v>
      </c>
    </row>
    <row r="236" spans="1:20" x14ac:dyDescent="0.25">
      <c r="A236" s="21" t="s">
        <v>5</v>
      </c>
      <c r="B236" s="21" t="s">
        <v>29</v>
      </c>
      <c r="C236" s="21" t="s">
        <v>43</v>
      </c>
      <c r="D236" s="21" t="s">
        <v>35</v>
      </c>
      <c r="E236" s="21" t="s">
        <v>33</v>
      </c>
      <c r="F236" s="22">
        <v>83</v>
      </c>
      <c r="G236" s="22">
        <v>82</v>
      </c>
      <c r="H236" s="22">
        <v>84</v>
      </c>
      <c r="J236" s="10">
        <v>42</v>
      </c>
      <c r="K236" s="10">
        <v>2</v>
      </c>
      <c r="L236" s="10">
        <v>122</v>
      </c>
      <c r="M236" s="10">
        <v>61</v>
      </c>
      <c r="N236" s="10">
        <v>2</v>
      </c>
      <c r="Q236" s="9" t="s">
        <v>53</v>
      </c>
      <c r="R236" s="9">
        <v>104</v>
      </c>
      <c r="S236" s="9">
        <v>103</v>
      </c>
      <c r="T236" s="9">
        <v>207</v>
      </c>
    </row>
    <row r="237" spans="1:20" x14ac:dyDescent="0.25">
      <c r="A237" s="21" t="s">
        <v>5</v>
      </c>
      <c r="B237" s="21" t="s">
        <v>30</v>
      </c>
      <c r="C237" s="21" t="s">
        <v>14</v>
      </c>
      <c r="D237" s="21" t="s">
        <v>35</v>
      </c>
      <c r="E237" s="21" t="s">
        <v>34</v>
      </c>
      <c r="F237" s="22">
        <v>80</v>
      </c>
      <c r="G237" s="22">
        <v>75</v>
      </c>
      <c r="H237" s="22">
        <v>77</v>
      </c>
      <c r="J237" s="10">
        <v>60</v>
      </c>
      <c r="K237" s="10">
        <v>2</v>
      </c>
      <c r="L237" s="10">
        <v>107</v>
      </c>
      <c r="M237" s="10">
        <v>53.5</v>
      </c>
      <c r="N237" s="10">
        <v>12.5</v>
      </c>
      <c r="Q237" s="9" t="s">
        <v>54</v>
      </c>
      <c r="R237" s="9">
        <v>52</v>
      </c>
      <c r="S237" s="9">
        <v>51.5</v>
      </c>
      <c r="T237" s="9">
        <v>51.75</v>
      </c>
    </row>
    <row r="238" spans="1:20" x14ac:dyDescent="0.25">
      <c r="A238" s="21" t="s">
        <v>5</v>
      </c>
      <c r="B238" s="21" t="s">
        <v>30</v>
      </c>
      <c r="C238" s="21" t="s">
        <v>43</v>
      </c>
      <c r="D238" s="21" t="s">
        <v>32</v>
      </c>
      <c r="E238" s="21" t="s">
        <v>34</v>
      </c>
      <c r="F238" s="22">
        <v>63</v>
      </c>
      <c r="G238" s="22">
        <v>66</v>
      </c>
      <c r="H238" s="22">
        <v>67</v>
      </c>
      <c r="J238" s="10">
        <v>87</v>
      </c>
      <c r="K238" s="10">
        <v>2</v>
      </c>
      <c r="L238" s="10">
        <v>172</v>
      </c>
      <c r="M238" s="10">
        <v>86</v>
      </c>
      <c r="N238" s="10">
        <v>50</v>
      </c>
      <c r="Q238" s="9" t="s">
        <v>55</v>
      </c>
      <c r="R238" s="9">
        <v>1352</v>
      </c>
      <c r="S238" s="9">
        <v>1740.5</v>
      </c>
      <c r="T238" s="9">
        <v>1030.9166666666667</v>
      </c>
    </row>
    <row r="239" spans="1:20" x14ac:dyDescent="0.25">
      <c r="A239" s="21" t="s">
        <v>4</v>
      </c>
      <c r="B239" s="21" t="s">
        <v>30</v>
      </c>
      <c r="C239" s="21" t="s">
        <v>17</v>
      </c>
      <c r="D239" s="21" t="s">
        <v>35</v>
      </c>
      <c r="E239" s="21" t="s">
        <v>33</v>
      </c>
      <c r="F239" s="22">
        <v>64</v>
      </c>
      <c r="G239" s="22">
        <v>60</v>
      </c>
      <c r="H239" s="22">
        <v>74</v>
      </c>
      <c r="J239" s="10">
        <v>84</v>
      </c>
      <c r="K239" s="10">
        <v>2</v>
      </c>
      <c r="L239" s="10">
        <v>158</v>
      </c>
      <c r="M239" s="10">
        <v>79</v>
      </c>
      <c r="N239" s="10">
        <v>32</v>
      </c>
      <c r="Q239" s="9"/>
      <c r="R239" s="9"/>
      <c r="S239" s="9"/>
      <c r="T239" s="9"/>
    </row>
    <row r="240" spans="1:20" x14ac:dyDescent="0.25">
      <c r="A240" s="21" t="s">
        <v>5</v>
      </c>
      <c r="B240" s="21" t="s">
        <v>28</v>
      </c>
      <c r="C240" s="21" t="s">
        <v>45</v>
      </c>
      <c r="D240" s="21" t="s">
        <v>35</v>
      </c>
      <c r="E240" s="21" t="s">
        <v>34</v>
      </c>
      <c r="F240" s="22">
        <v>54</v>
      </c>
      <c r="G240" s="22">
        <v>52</v>
      </c>
      <c r="H240" s="22">
        <v>51</v>
      </c>
      <c r="J240" s="10">
        <v>83</v>
      </c>
      <c r="K240" s="10">
        <v>2</v>
      </c>
      <c r="L240" s="10">
        <v>174</v>
      </c>
      <c r="M240" s="10">
        <v>87</v>
      </c>
      <c r="N240" s="10">
        <v>2</v>
      </c>
      <c r="Q240" s="14">
        <v>61</v>
      </c>
      <c r="R240" s="14"/>
      <c r="S240" s="14"/>
      <c r="T240" s="14"/>
    </row>
    <row r="241" spans="1:20" x14ac:dyDescent="0.25">
      <c r="A241" s="21" t="s">
        <v>5</v>
      </c>
      <c r="B241" s="21" t="s">
        <v>29</v>
      </c>
      <c r="C241" s="21" t="s">
        <v>14</v>
      </c>
      <c r="D241" s="21" t="s">
        <v>35</v>
      </c>
      <c r="E241" s="21" t="s">
        <v>34</v>
      </c>
      <c r="F241" s="22">
        <v>84</v>
      </c>
      <c r="G241" s="22">
        <v>80</v>
      </c>
      <c r="H241" s="22">
        <v>80</v>
      </c>
      <c r="J241" s="10">
        <v>34</v>
      </c>
      <c r="K241" s="10">
        <v>2</v>
      </c>
      <c r="L241" s="10">
        <v>81</v>
      </c>
      <c r="M241" s="10">
        <v>40.5</v>
      </c>
      <c r="N241" s="10">
        <v>4.5</v>
      </c>
      <c r="Q241" s="9" t="s">
        <v>52</v>
      </c>
      <c r="R241" s="9">
        <v>2</v>
      </c>
      <c r="S241" s="9">
        <v>2</v>
      </c>
      <c r="T241" s="9">
        <v>4</v>
      </c>
    </row>
    <row r="242" spans="1:20" x14ac:dyDescent="0.25">
      <c r="A242" s="21" t="s">
        <v>5</v>
      </c>
      <c r="B242" s="21" t="s">
        <v>30</v>
      </c>
      <c r="C242" s="21" t="s">
        <v>15</v>
      </c>
      <c r="D242" s="21" t="s">
        <v>32</v>
      </c>
      <c r="E242" s="21" t="s">
        <v>33</v>
      </c>
      <c r="F242" s="22">
        <v>73</v>
      </c>
      <c r="G242" s="22">
        <v>68</v>
      </c>
      <c r="H242" s="22">
        <v>66</v>
      </c>
      <c r="J242" s="10">
        <v>66</v>
      </c>
      <c r="K242" s="10">
        <v>2</v>
      </c>
      <c r="L242" s="10">
        <v>147</v>
      </c>
      <c r="M242" s="10">
        <v>73.5</v>
      </c>
      <c r="N242" s="10">
        <v>24.5</v>
      </c>
      <c r="Q242" s="9" t="s">
        <v>53</v>
      </c>
      <c r="R242" s="9">
        <v>142</v>
      </c>
      <c r="S242" s="9">
        <v>140</v>
      </c>
      <c r="T242" s="9">
        <v>282</v>
      </c>
    </row>
    <row r="243" spans="1:20" x14ac:dyDescent="0.25">
      <c r="A243" s="21" t="s">
        <v>4</v>
      </c>
      <c r="B243" s="21" t="s">
        <v>31</v>
      </c>
      <c r="C243" s="21" t="s">
        <v>43</v>
      </c>
      <c r="D243" s="21" t="s">
        <v>35</v>
      </c>
      <c r="E243" s="21" t="s">
        <v>34</v>
      </c>
      <c r="F243" s="22">
        <v>80</v>
      </c>
      <c r="G243" s="22">
        <v>83</v>
      </c>
      <c r="H243" s="22">
        <v>83</v>
      </c>
      <c r="J243" s="10">
        <v>61</v>
      </c>
      <c r="K243" s="10">
        <v>2</v>
      </c>
      <c r="L243" s="10">
        <v>112</v>
      </c>
      <c r="M243" s="10">
        <v>56</v>
      </c>
      <c r="N243" s="10">
        <v>0</v>
      </c>
      <c r="Q243" s="9" t="s">
        <v>54</v>
      </c>
      <c r="R243" s="9">
        <v>71</v>
      </c>
      <c r="S243" s="9">
        <v>70</v>
      </c>
      <c r="T243" s="9">
        <v>70.5</v>
      </c>
    </row>
    <row r="244" spans="1:20" x14ac:dyDescent="0.25">
      <c r="A244" s="21" t="s">
        <v>4</v>
      </c>
      <c r="B244" s="21" t="s">
        <v>30</v>
      </c>
      <c r="C244" s="21" t="s">
        <v>15</v>
      </c>
      <c r="D244" s="21" t="s">
        <v>35</v>
      </c>
      <c r="E244" s="21" t="s">
        <v>34</v>
      </c>
      <c r="F244" s="22">
        <v>56</v>
      </c>
      <c r="G244" s="22">
        <v>52</v>
      </c>
      <c r="H244" s="22">
        <v>55</v>
      </c>
      <c r="J244" s="10">
        <v>56</v>
      </c>
      <c r="K244" s="10">
        <v>2</v>
      </c>
      <c r="L244" s="10">
        <v>142</v>
      </c>
      <c r="M244" s="10">
        <v>71</v>
      </c>
      <c r="N244" s="10">
        <v>18</v>
      </c>
      <c r="Q244" s="9" t="s">
        <v>55</v>
      </c>
      <c r="R244" s="9">
        <v>18</v>
      </c>
      <c r="S244" s="9">
        <v>8</v>
      </c>
      <c r="T244" s="9">
        <v>9</v>
      </c>
    </row>
    <row r="245" spans="1:20" x14ac:dyDescent="0.25">
      <c r="A245" s="21" t="s">
        <v>5</v>
      </c>
      <c r="B245" s="21" t="s">
        <v>31</v>
      </c>
      <c r="C245" s="21" t="s">
        <v>45</v>
      </c>
      <c r="D245" s="21" t="s">
        <v>35</v>
      </c>
      <c r="E245" s="21" t="s">
        <v>34</v>
      </c>
      <c r="F245" s="22">
        <v>59</v>
      </c>
      <c r="G245" s="22">
        <v>51</v>
      </c>
      <c r="H245" s="22">
        <v>43</v>
      </c>
      <c r="J245" s="10">
        <v>87</v>
      </c>
      <c r="K245" s="10">
        <v>2</v>
      </c>
      <c r="L245" s="10">
        <v>158</v>
      </c>
      <c r="M245" s="10">
        <v>79</v>
      </c>
      <c r="N245" s="10">
        <v>72</v>
      </c>
      <c r="Q245" s="9"/>
      <c r="R245" s="9"/>
      <c r="S245" s="9"/>
      <c r="T245" s="9"/>
    </row>
    <row r="246" spans="1:20" x14ac:dyDescent="0.25">
      <c r="A246" s="21" t="s">
        <v>5</v>
      </c>
      <c r="B246" s="21" t="s">
        <v>30</v>
      </c>
      <c r="C246" s="21" t="s">
        <v>17</v>
      </c>
      <c r="D246" s="21" t="s">
        <v>35</v>
      </c>
      <c r="E246" s="21" t="s">
        <v>34</v>
      </c>
      <c r="F246" s="22">
        <v>75</v>
      </c>
      <c r="G246" s="22">
        <v>74</v>
      </c>
      <c r="H246" s="22">
        <v>69</v>
      </c>
      <c r="J246" s="10">
        <v>55</v>
      </c>
      <c r="K246" s="10">
        <v>2</v>
      </c>
      <c r="L246" s="10">
        <v>127</v>
      </c>
      <c r="M246" s="10">
        <v>63.5</v>
      </c>
      <c r="N246" s="10">
        <v>4.5</v>
      </c>
      <c r="Q246" s="14">
        <v>47</v>
      </c>
      <c r="R246" s="14"/>
      <c r="S246" s="14"/>
      <c r="T246" s="14"/>
    </row>
    <row r="247" spans="1:20" x14ac:dyDescent="0.25">
      <c r="A247" s="21" t="s">
        <v>5</v>
      </c>
      <c r="B247" s="21" t="s">
        <v>29</v>
      </c>
      <c r="C247" s="21" t="s">
        <v>14</v>
      </c>
      <c r="D247" s="21" t="s">
        <v>35</v>
      </c>
      <c r="E247" s="21" t="s">
        <v>34</v>
      </c>
      <c r="F247" s="22">
        <v>85</v>
      </c>
      <c r="G247" s="22">
        <v>76</v>
      </c>
      <c r="H247" s="22">
        <v>71</v>
      </c>
      <c r="J247" s="10">
        <v>86</v>
      </c>
      <c r="K247" s="10">
        <v>2</v>
      </c>
      <c r="L247" s="10">
        <v>155</v>
      </c>
      <c r="M247" s="10">
        <v>77.5</v>
      </c>
      <c r="N247" s="10">
        <v>12.5</v>
      </c>
      <c r="Q247" s="9" t="s">
        <v>52</v>
      </c>
      <c r="R247" s="9">
        <v>2</v>
      </c>
      <c r="S247" s="9">
        <v>2</v>
      </c>
      <c r="T247" s="9">
        <v>4</v>
      </c>
    </row>
    <row r="248" spans="1:20" x14ac:dyDescent="0.25">
      <c r="A248" s="21" t="s">
        <v>5</v>
      </c>
      <c r="B248" s="21" t="s">
        <v>31</v>
      </c>
      <c r="C248" s="21" t="s">
        <v>14</v>
      </c>
      <c r="D248" s="21" t="s">
        <v>35</v>
      </c>
      <c r="E248" s="21" t="s">
        <v>34</v>
      </c>
      <c r="F248" s="22">
        <v>89</v>
      </c>
      <c r="G248" s="22">
        <v>76</v>
      </c>
      <c r="H248" s="22">
        <v>74</v>
      </c>
      <c r="J248" s="10">
        <v>52</v>
      </c>
      <c r="K248" s="10">
        <v>2</v>
      </c>
      <c r="L248" s="10">
        <v>139</v>
      </c>
      <c r="M248" s="10">
        <v>69.5</v>
      </c>
      <c r="N248" s="10">
        <v>24.5</v>
      </c>
      <c r="Q248" s="9" t="s">
        <v>53</v>
      </c>
      <c r="R248" s="9">
        <v>94</v>
      </c>
      <c r="S248" s="9">
        <v>95</v>
      </c>
      <c r="T248" s="9">
        <v>189</v>
      </c>
    </row>
    <row r="249" spans="1:20" x14ac:dyDescent="0.25">
      <c r="A249" s="21" t="s">
        <v>4</v>
      </c>
      <c r="B249" s="21" t="s">
        <v>28</v>
      </c>
      <c r="C249" s="21" t="s">
        <v>15</v>
      </c>
      <c r="D249" s="21" t="s">
        <v>35</v>
      </c>
      <c r="E249" s="21" t="s">
        <v>33</v>
      </c>
      <c r="F249" s="22">
        <v>58</v>
      </c>
      <c r="G249" s="22">
        <v>70</v>
      </c>
      <c r="H249" s="22">
        <v>68</v>
      </c>
      <c r="J249" s="10">
        <v>45</v>
      </c>
      <c r="K249" s="10">
        <v>2</v>
      </c>
      <c r="L249" s="10">
        <v>110</v>
      </c>
      <c r="M249" s="10">
        <v>55</v>
      </c>
      <c r="N249" s="10">
        <v>2</v>
      </c>
      <c r="Q249" s="9" t="s">
        <v>54</v>
      </c>
      <c r="R249" s="9">
        <v>47</v>
      </c>
      <c r="S249" s="9">
        <v>47.5</v>
      </c>
      <c r="T249" s="9">
        <v>47.25</v>
      </c>
    </row>
    <row r="250" spans="1:20" x14ac:dyDescent="0.25">
      <c r="A250" s="21" t="s">
        <v>4</v>
      </c>
      <c r="B250" s="21" t="s">
        <v>28</v>
      </c>
      <c r="C250" s="21" t="s">
        <v>15</v>
      </c>
      <c r="D250" s="21" t="s">
        <v>35</v>
      </c>
      <c r="E250" s="21" t="s">
        <v>34</v>
      </c>
      <c r="F250" s="22">
        <v>65</v>
      </c>
      <c r="G250" s="22">
        <v>64</v>
      </c>
      <c r="H250" s="22">
        <v>62</v>
      </c>
      <c r="J250" s="10">
        <v>72</v>
      </c>
      <c r="K250" s="10">
        <v>2</v>
      </c>
      <c r="L250" s="10">
        <v>143</v>
      </c>
      <c r="M250" s="10">
        <v>71.5</v>
      </c>
      <c r="N250" s="10">
        <v>0.5</v>
      </c>
      <c r="Q250" s="9" t="s">
        <v>55</v>
      </c>
      <c r="R250" s="9">
        <v>8</v>
      </c>
      <c r="S250" s="9">
        <v>12.5</v>
      </c>
      <c r="T250" s="9">
        <v>6.916666666666667</v>
      </c>
    </row>
    <row r="251" spans="1:20" x14ac:dyDescent="0.25">
      <c r="A251" s="21" t="s">
        <v>5</v>
      </c>
      <c r="B251" s="21" t="s">
        <v>29</v>
      </c>
      <c r="C251" s="21" t="s">
        <v>15</v>
      </c>
      <c r="D251" s="21" t="s">
        <v>35</v>
      </c>
      <c r="E251" s="21" t="s">
        <v>34</v>
      </c>
      <c r="F251" s="22">
        <v>68</v>
      </c>
      <c r="G251" s="22">
        <v>60</v>
      </c>
      <c r="H251" s="22">
        <v>53</v>
      </c>
      <c r="J251" s="10">
        <v>57</v>
      </c>
      <c r="K251" s="10">
        <v>2</v>
      </c>
      <c r="L251" s="10">
        <v>104</v>
      </c>
      <c r="M251" s="10">
        <v>52</v>
      </c>
      <c r="N251" s="10">
        <v>8</v>
      </c>
      <c r="Q251" s="9"/>
      <c r="R251" s="9"/>
      <c r="S251" s="9"/>
      <c r="T251" s="9"/>
    </row>
    <row r="252" spans="1:20" x14ac:dyDescent="0.25">
      <c r="A252" s="21" t="s">
        <v>5</v>
      </c>
      <c r="B252" s="21" t="s">
        <v>27</v>
      </c>
      <c r="C252" s="21" t="s">
        <v>17</v>
      </c>
      <c r="D252" s="21" t="s">
        <v>35</v>
      </c>
      <c r="E252" s="21" t="s">
        <v>33</v>
      </c>
      <c r="F252" s="22">
        <v>47</v>
      </c>
      <c r="G252" s="22">
        <v>49</v>
      </c>
      <c r="H252" s="22">
        <v>49</v>
      </c>
      <c r="J252" s="10">
        <v>68</v>
      </c>
      <c r="K252" s="10">
        <v>2</v>
      </c>
      <c r="L252" s="10">
        <v>136</v>
      </c>
      <c r="M252" s="10">
        <v>68</v>
      </c>
      <c r="N252" s="10">
        <v>32</v>
      </c>
      <c r="Q252" s="14">
        <v>50</v>
      </c>
      <c r="R252" s="14"/>
      <c r="S252" s="14"/>
      <c r="T252" s="14"/>
    </row>
    <row r="253" spans="1:20" x14ac:dyDescent="0.25">
      <c r="A253" s="21" t="s">
        <v>4</v>
      </c>
      <c r="B253" s="21" t="s">
        <v>30</v>
      </c>
      <c r="C253" s="21" t="s">
        <v>45</v>
      </c>
      <c r="D253" s="21" t="s">
        <v>32</v>
      </c>
      <c r="E253" s="21" t="s">
        <v>34</v>
      </c>
      <c r="F253" s="22">
        <v>71</v>
      </c>
      <c r="G253" s="22">
        <v>83</v>
      </c>
      <c r="H253" s="22">
        <v>83</v>
      </c>
      <c r="J253" s="10">
        <v>88</v>
      </c>
      <c r="K253" s="10">
        <v>2</v>
      </c>
      <c r="L253" s="10">
        <v>189</v>
      </c>
      <c r="M253" s="10">
        <v>94.5</v>
      </c>
      <c r="N253" s="10">
        <v>0.5</v>
      </c>
      <c r="Q253" s="9" t="s">
        <v>52</v>
      </c>
      <c r="R253" s="9">
        <v>2</v>
      </c>
      <c r="S253" s="9">
        <v>2</v>
      </c>
      <c r="T253" s="9">
        <v>4</v>
      </c>
    </row>
    <row r="254" spans="1:20" x14ac:dyDescent="0.25">
      <c r="A254" s="21" t="s">
        <v>4</v>
      </c>
      <c r="B254" s="21" t="s">
        <v>28</v>
      </c>
      <c r="C254" s="21" t="s">
        <v>17</v>
      </c>
      <c r="D254" s="21" t="s">
        <v>35</v>
      </c>
      <c r="E254" s="21" t="s">
        <v>33</v>
      </c>
      <c r="F254" s="22">
        <v>60</v>
      </c>
      <c r="G254" s="22">
        <v>70</v>
      </c>
      <c r="H254" s="22">
        <v>70</v>
      </c>
      <c r="J254" s="10">
        <v>76</v>
      </c>
      <c r="K254" s="10">
        <v>2</v>
      </c>
      <c r="L254" s="10">
        <v>130</v>
      </c>
      <c r="M254" s="10">
        <v>65</v>
      </c>
      <c r="N254" s="10">
        <v>2</v>
      </c>
      <c r="Q254" s="9" t="s">
        <v>53</v>
      </c>
      <c r="R254" s="9">
        <v>111</v>
      </c>
      <c r="S254" s="9">
        <v>117</v>
      </c>
      <c r="T254" s="9">
        <v>228</v>
      </c>
    </row>
    <row r="255" spans="1:20" x14ac:dyDescent="0.25">
      <c r="A255" s="21" t="s">
        <v>5</v>
      </c>
      <c r="B255" s="21" t="s">
        <v>30</v>
      </c>
      <c r="C255" s="21" t="s">
        <v>16</v>
      </c>
      <c r="D255" s="21" t="s">
        <v>35</v>
      </c>
      <c r="E255" s="21" t="s">
        <v>34</v>
      </c>
      <c r="F255" s="22">
        <v>80</v>
      </c>
      <c r="G255" s="22">
        <v>80</v>
      </c>
      <c r="H255" s="22">
        <v>72</v>
      </c>
      <c r="J255" s="10">
        <v>46</v>
      </c>
      <c r="K255" s="10">
        <v>2</v>
      </c>
      <c r="L255" s="10">
        <v>85</v>
      </c>
      <c r="M255" s="10">
        <v>42.5</v>
      </c>
      <c r="N255" s="10">
        <v>0.5</v>
      </c>
      <c r="Q255" s="9" t="s">
        <v>54</v>
      </c>
      <c r="R255" s="9">
        <v>55.5</v>
      </c>
      <c r="S255" s="9">
        <v>58.5</v>
      </c>
      <c r="T255" s="9">
        <v>57</v>
      </c>
    </row>
    <row r="256" spans="1:20" x14ac:dyDescent="0.25">
      <c r="A256" s="21" t="s">
        <v>5</v>
      </c>
      <c r="B256" s="21" t="s">
        <v>30</v>
      </c>
      <c r="C256" s="21" t="s">
        <v>15</v>
      </c>
      <c r="D256" s="21" t="s">
        <v>35</v>
      </c>
      <c r="E256" s="21" t="s">
        <v>34</v>
      </c>
      <c r="F256" s="22">
        <v>54</v>
      </c>
      <c r="G256" s="22">
        <v>52</v>
      </c>
      <c r="H256" s="22">
        <v>52</v>
      </c>
      <c r="J256" s="10">
        <v>67</v>
      </c>
      <c r="K256" s="10">
        <v>2</v>
      </c>
      <c r="L256" s="10">
        <v>169</v>
      </c>
      <c r="M256" s="10">
        <v>84.5</v>
      </c>
      <c r="N256" s="10">
        <v>4.5</v>
      </c>
      <c r="Q256" s="9" t="s">
        <v>55</v>
      </c>
      <c r="R256" s="9">
        <v>144.5</v>
      </c>
      <c r="S256" s="9">
        <v>40.5</v>
      </c>
      <c r="T256" s="9">
        <v>64.666666666666671</v>
      </c>
    </row>
    <row r="257" spans="1:20" x14ac:dyDescent="0.25">
      <c r="A257" s="21" t="s">
        <v>4</v>
      </c>
      <c r="B257" s="21" t="s">
        <v>31</v>
      </c>
      <c r="C257" s="21" t="s">
        <v>45</v>
      </c>
      <c r="D257" s="21" t="s">
        <v>35</v>
      </c>
      <c r="E257" s="21" t="s">
        <v>34</v>
      </c>
      <c r="F257" s="22">
        <v>62</v>
      </c>
      <c r="G257" s="22">
        <v>73</v>
      </c>
      <c r="H257" s="22">
        <v>70</v>
      </c>
      <c r="J257" s="10">
        <v>92</v>
      </c>
      <c r="K257" s="10">
        <v>2</v>
      </c>
      <c r="L257" s="10">
        <v>165</v>
      </c>
      <c r="M257" s="10">
        <v>82.5</v>
      </c>
      <c r="N257" s="10">
        <v>40.5</v>
      </c>
      <c r="Q257" s="9"/>
      <c r="R257" s="9"/>
      <c r="S257" s="9"/>
      <c r="T257" s="9"/>
    </row>
    <row r="258" spans="1:20" x14ac:dyDescent="0.25">
      <c r="A258" s="21" t="s">
        <v>4</v>
      </c>
      <c r="B258" s="21" t="s">
        <v>29</v>
      </c>
      <c r="C258" s="21" t="s">
        <v>14</v>
      </c>
      <c r="D258" s="21" t="s">
        <v>32</v>
      </c>
      <c r="E258" s="21" t="s">
        <v>34</v>
      </c>
      <c r="F258" s="22">
        <v>64</v>
      </c>
      <c r="G258" s="22">
        <v>73</v>
      </c>
      <c r="H258" s="22">
        <v>68</v>
      </c>
      <c r="J258" s="10">
        <v>83</v>
      </c>
      <c r="K258" s="10">
        <v>2</v>
      </c>
      <c r="L258" s="10">
        <v>166</v>
      </c>
      <c r="M258" s="10">
        <v>83</v>
      </c>
      <c r="N258" s="10">
        <v>2</v>
      </c>
      <c r="Q258" s="14">
        <v>42</v>
      </c>
      <c r="R258" s="14"/>
      <c r="S258" s="14"/>
      <c r="T258" s="14"/>
    </row>
    <row r="259" spans="1:20" x14ac:dyDescent="0.25">
      <c r="A259" s="21" t="s">
        <v>5</v>
      </c>
      <c r="B259" s="21" t="s">
        <v>29</v>
      </c>
      <c r="C259" s="21" t="s">
        <v>14</v>
      </c>
      <c r="D259" s="21" t="s">
        <v>35</v>
      </c>
      <c r="E259" s="21" t="s">
        <v>33</v>
      </c>
      <c r="F259" s="22">
        <v>78</v>
      </c>
      <c r="G259" s="22">
        <v>77</v>
      </c>
      <c r="H259" s="22">
        <v>77</v>
      </c>
      <c r="J259" s="10">
        <v>80</v>
      </c>
      <c r="K259" s="10">
        <v>2</v>
      </c>
      <c r="L259" s="10">
        <v>152</v>
      </c>
      <c r="M259" s="10">
        <v>76</v>
      </c>
      <c r="N259" s="10">
        <v>2</v>
      </c>
      <c r="Q259" s="9" t="s">
        <v>52</v>
      </c>
      <c r="R259" s="9">
        <v>2</v>
      </c>
      <c r="S259" s="9">
        <v>2</v>
      </c>
      <c r="T259" s="9">
        <v>4</v>
      </c>
    </row>
    <row r="260" spans="1:20" x14ac:dyDescent="0.25">
      <c r="A260" s="21" t="s">
        <v>4</v>
      </c>
      <c r="B260" s="21" t="s">
        <v>28</v>
      </c>
      <c r="C260" s="21" t="s">
        <v>45</v>
      </c>
      <c r="D260" s="21" t="s">
        <v>35</v>
      </c>
      <c r="E260" s="21" t="s">
        <v>34</v>
      </c>
      <c r="F260" s="22">
        <v>70</v>
      </c>
      <c r="G260" s="22">
        <v>75</v>
      </c>
      <c r="H260" s="22">
        <v>78</v>
      </c>
      <c r="J260" s="10">
        <v>63</v>
      </c>
      <c r="K260" s="10">
        <v>2</v>
      </c>
      <c r="L260" s="10">
        <v>133</v>
      </c>
      <c r="M260" s="10">
        <v>66.5</v>
      </c>
      <c r="N260" s="10">
        <v>0.5</v>
      </c>
      <c r="Q260" s="9" t="s">
        <v>53</v>
      </c>
      <c r="R260" s="9">
        <v>119</v>
      </c>
      <c r="S260" s="9">
        <v>116</v>
      </c>
      <c r="T260" s="9">
        <v>235</v>
      </c>
    </row>
    <row r="261" spans="1:20" x14ac:dyDescent="0.25">
      <c r="A261" s="21" t="s">
        <v>4</v>
      </c>
      <c r="B261" s="21" t="s">
        <v>29</v>
      </c>
      <c r="C261" s="21" t="s">
        <v>16</v>
      </c>
      <c r="D261" s="21" t="s">
        <v>32</v>
      </c>
      <c r="E261" s="21" t="s">
        <v>33</v>
      </c>
      <c r="F261" s="22">
        <v>65</v>
      </c>
      <c r="G261" s="22">
        <v>81</v>
      </c>
      <c r="H261" s="22">
        <v>81</v>
      </c>
      <c r="J261" s="10">
        <v>64</v>
      </c>
      <c r="K261" s="10">
        <v>2</v>
      </c>
      <c r="L261" s="10">
        <v>134</v>
      </c>
      <c r="M261" s="10">
        <v>67</v>
      </c>
      <c r="N261" s="10">
        <v>98</v>
      </c>
      <c r="Q261" s="9" t="s">
        <v>54</v>
      </c>
      <c r="R261" s="9">
        <v>59.5</v>
      </c>
      <c r="S261" s="9">
        <v>58</v>
      </c>
      <c r="T261" s="9">
        <v>58.75</v>
      </c>
    </row>
    <row r="262" spans="1:20" x14ac:dyDescent="0.25">
      <c r="A262" s="21" t="s">
        <v>4</v>
      </c>
      <c r="B262" s="21" t="s">
        <v>29</v>
      </c>
      <c r="C262" s="21" t="s">
        <v>17</v>
      </c>
      <c r="D262" s="21" t="s">
        <v>32</v>
      </c>
      <c r="E262" s="21" t="s">
        <v>33</v>
      </c>
      <c r="F262" s="22">
        <v>64</v>
      </c>
      <c r="G262" s="22">
        <v>79</v>
      </c>
      <c r="H262" s="22">
        <v>77</v>
      </c>
      <c r="J262" s="10">
        <v>54</v>
      </c>
      <c r="K262" s="10">
        <v>2</v>
      </c>
      <c r="L262" s="10">
        <v>103</v>
      </c>
      <c r="M262" s="10">
        <v>51.5</v>
      </c>
      <c r="N262" s="10">
        <v>0.5</v>
      </c>
      <c r="Q262" s="9" t="s">
        <v>55</v>
      </c>
      <c r="R262" s="9">
        <v>840.5</v>
      </c>
      <c r="S262" s="9">
        <v>1152</v>
      </c>
      <c r="T262" s="9">
        <v>664.91666666666663</v>
      </c>
    </row>
    <row r="263" spans="1:20" x14ac:dyDescent="0.25">
      <c r="A263" s="21" t="s">
        <v>5</v>
      </c>
      <c r="B263" s="21" t="s">
        <v>29</v>
      </c>
      <c r="C263" s="21" t="s">
        <v>45</v>
      </c>
      <c r="D263" s="21" t="s">
        <v>35</v>
      </c>
      <c r="E263" s="21" t="s">
        <v>33</v>
      </c>
      <c r="F263" s="22">
        <v>79</v>
      </c>
      <c r="G263" s="22">
        <v>79</v>
      </c>
      <c r="H263" s="22">
        <v>78</v>
      </c>
      <c r="J263" s="10">
        <v>84</v>
      </c>
      <c r="K263" s="10">
        <v>2</v>
      </c>
      <c r="L263" s="10">
        <v>160</v>
      </c>
      <c r="M263" s="10">
        <v>80</v>
      </c>
      <c r="N263" s="10">
        <v>0</v>
      </c>
      <c r="Q263" s="9"/>
      <c r="R263" s="9"/>
      <c r="S263" s="9"/>
      <c r="T263" s="9"/>
    </row>
    <row r="264" spans="1:20" x14ac:dyDescent="0.25">
      <c r="A264" s="21" t="s">
        <v>4</v>
      </c>
      <c r="B264" s="21" t="s">
        <v>29</v>
      </c>
      <c r="C264" s="21" t="s">
        <v>17</v>
      </c>
      <c r="D264" s="21" t="s">
        <v>32</v>
      </c>
      <c r="E264" s="21" t="s">
        <v>34</v>
      </c>
      <c r="F264" s="22">
        <v>44</v>
      </c>
      <c r="G264" s="22">
        <v>50</v>
      </c>
      <c r="H264" s="22">
        <v>51</v>
      </c>
      <c r="J264" s="10">
        <v>73</v>
      </c>
      <c r="K264" s="10">
        <v>2</v>
      </c>
      <c r="L264" s="10">
        <v>134</v>
      </c>
      <c r="M264" s="10">
        <v>67</v>
      </c>
      <c r="N264" s="10">
        <v>2</v>
      </c>
      <c r="Q264" s="14">
        <v>76</v>
      </c>
      <c r="R264" s="14"/>
      <c r="S264" s="14"/>
      <c r="T264" s="14"/>
    </row>
    <row r="265" spans="1:20" x14ac:dyDescent="0.25">
      <c r="A265" s="21" t="s">
        <v>4</v>
      </c>
      <c r="B265" s="21" t="s">
        <v>31</v>
      </c>
      <c r="C265" s="21" t="s">
        <v>15</v>
      </c>
      <c r="D265" s="21" t="s">
        <v>35</v>
      </c>
      <c r="E265" s="21" t="s">
        <v>34</v>
      </c>
      <c r="F265" s="22">
        <v>99</v>
      </c>
      <c r="G265" s="22">
        <v>93</v>
      </c>
      <c r="H265" s="22">
        <v>90</v>
      </c>
      <c r="J265" s="10">
        <v>80</v>
      </c>
      <c r="K265" s="10">
        <v>2</v>
      </c>
      <c r="L265" s="10">
        <v>166</v>
      </c>
      <c r="M265" s="10">
        <v>83</v>
      </c>
      <c r="N265" s="10">
        <v>0</v>
      </c>
      <c r="Q265" s="9" t="s">
        <v>52</v>
      </c>
      <c r="R265" s="9">
        <v>2</v>
      </c>
      <c r="S265" s="9">
        <v>2</v>
      </c>
      <c r="T265" s="9">
        <v>4</v>
      </c>
    </row>
    <row r="266" spans="1:20" x14ac:dyDescent="0.25">
      <c r="A266" s="21" t="s">
        <v>5</v>
      </c>
      <c r="B266" s="21" t="s">
        <v>30</v>
      </c>
      <c r="C266" s="21" t="s">
        <v>15</v>
      </c>
      <c r="D266" s="21" t="s">
        <v>35</v>
      </c>
      <c r="E266" s="21" t="s">
        <v>34</v>
      </c>
      <c r="F266" s="22">
        <v>76</v>
      </c>
      <c r="G266" s="22">
        <v>73</v>
      </c>
      <c r="H266" s="22">
        <v>68</v>
      </c>
      <c r="J266" s="10">
        <v>56</v>
      </c>
      <c r="K266" s="10">
        <v>2</v>
      </c>
      <c r="L266" s="10">
        <v>107</v>
      </c>
      <c r="M266" s="10">
        <v>53.5</v>
      </c>
      <c r="N266" s="10">
        <v>4.5</v>
      </c>
      <c r="Q266" s="9" t="s">
        <v>53</v>
      </c>
      <c r="R266" s="9">
        <v>154</v>
      </c>
      <c r="S266" s="9">
        <v>162</v>
      </c>
      <c r="T266" s="9">
        <v>316</v>
      </c>
    </row>
    <row r="267" spans="1:20" x14ac:dyDescent="0.25">
      <c r="A267" s="21" t="s">
        <v>5</v>
      </c>
      <c r="B267" s="21" t="s">
        <v>30</v>
      </c>
      <c r="C267" s="21" t="s">
        <v>17</v>
      </c>
      <c r="D267" s="21" t="s">
        <v>32</v>
      </c>
      <c r="E267" s="21" t="s">
        <v>34</v>
      </c>
      <c r="F267" s="22">
        <v>59</v>
      </c>
      <c r="G267" s="22">
        <v>42</v>
      </c>
      <c r="H267" s="22">
        <v>41</v>
      </c>
      <c r="J267" s="10">
        <v>59</v>
      </c>
      <c r="K267" s="10">
        <v>2</v>
      </c>
      <c r="L267" s="10">
        <v>94</v>
      </c>
      <c r="M267" s="10">
        <v>47</v>
      </c>
      <c r="N267" s="10">
        <v>32</v>
      </c>
      <c r="Q267" s="9" t="s">
        <v>54</v>
      </c>
      <c r="R267" s="9">
        <v>77</v>
      </c>
      <c r="S267" s="9">
        <v>81</v>
      </c>
      <c r="T267" s="9">
        <v>79</v>
      </c>
    </row>
    <row r="268" spans="1:20" x14ac:dyDescent="0.25">
      <c r="A268" s="21" t="s">
        <v>4</v>
      </c>
      <c r="B268" s="21" t="s">
        <v>29</v>
      </c>
      <c r="C268" s="21" t="s">
        <v>43</v>
      </c>
      <c r="D268" s="21" t="s">
        <v>35</v>
      </c>
      <c r="E268" s="21" t="s">
        <v>34</v>
      </c>
      <c r="F268" s="22">
        <v>63</v>
      </c>
      <c r="G268" s="22">
        <v>75</v>
      </c>
      <c r="H268" s="22">
        <v>81</v>
      </c>
      <c r="J268" s="10">
        <v>75</v>
      </c>
      <c r="K268" s="10">
        <v>2</v>
      </c>
      <c r="L268" s="10">
        <v>143</v>
      </c>
      <c r="M268" s="10">
        <v>71.5</v>
      </c>
      <c r="N268" s="10">
        <v>12.5</v>
      </c>
      <c r="Q268" s="9" t="s">
        <v>55</v>
      </c>
      <c r="R268" s="9">
        <v>72</v>
      </c>
      <c r="S268" s="9">
        <v>98</v>
      </c>
      <c r="T268" s="9">
        <v>62</v>
      </c>
    </row>
    <row r="269" spans="1:20" x14ac:dyDescent="0.25">
      <c r="A269" s="21" t="s">
        <v>4</v>
      </c>
      <c r="B269" s="21" t="s">
        <v>30</v>
      </c>
      <c r="C269" s="21" t="s">
        <v>15</v>
      </c>
      <c r="D269" s="21" t="s">
        <v>35</v>
      </c>
      <c r="E269" s="21" t="s">
        <v>34</v>
      </c>
      <c r="F269" s="22">
        <v>69</v>
      </c>
      <c r="G269" s="22">
        <v>72</v>
      </c>
      <c r="H269" s="22">
        <v>77</v>
      </c>
      <c r="J269" s="10">
        <v>85</v>
      </c>
      <c r="K269" s="10">
        <v>2</v>
      </c>
      <c r="L269" s="10">
        <v>147</v>
      </c>
      <c r="M269" s="10">
        <v>73.5</v>
      </c>
      <c r="N269" s="10">
        <v>12.5</v>
      </c>
      <c r="Q269" s="9"/>
      <c r="R269" s="9"/>
      <c r="S269" s="9"/>
      <c r="T269" s="9"/>
    </row>
    <row r="270" spans="1:20" x14ac:dyDescent="0.25">
      <c r="A270" s="21" t="s">
        <v>4</v>
      </c>
      <c r="B270" s="21" t="s">
        <v>30</v>
      </c>
      <c r="C270" s="21" t="s">
        <v>14</v>
      </c>
      <c r="D270" s="21" t="s">
        <v>35</v>
      </c>
      <c r="E270" s="21" t="s">
        <v>33</v>
      </c>
      <c r="F270" s="22">
        <v>88</v>
      </c>
      <c r="G270" s="22">
        <v>92</v>
      </c>
      <c r="H270" s="22">
        <v>95</v>
      </c>
      <c r="J270" s="10">
        <v>89</v>
      </c>
      <c r="K270" s="10">
        <v>2</v>
      </c>
      <c r="L270" s="10">
        <v>150</v>
      </c>
      <c r="M270" s="10">
        <v>75</v>
      </c>
      <c r="N270" s="10">
        <v>2</v>
      </c>
      <c r="Q270" s="14">
        <v>58</v>
      </c>
      <c r="R270" s="14"/>
      <c r="S270" s="14"/>
      <c r="T270" s="14"/>
    </row>
    <row r="271" spans="1:20" x14ac:dyDescent="0.25">
      <c r="A271" s="21" t="s">
        <v>4</v>
      </c>
      <c r="B271" s="21" t="s">
        <v>31</v>
      </c>
      <c r="C271" s="21" t="s">
        <v>45</v>
      </c>
      <c r="D271" s="21" t="s">
        <v>32</v>
      </c>
      <c r="E271" s="21" t="s">
        <v>34</v>
      </c>
      <c r="F271" s="22">
        <v>71</v>
      </c>
      <c r="G271" s="22">
        <v>76</v>
      </c>
      <c r="H271" s="22">
        <v>70</v>
      </c>
      <c r="J271" s="10">
        <v>58</v>
      </c>
      <c r="K271" s="10">
        <v>2</v>
      </c>
      <c r="L271" s="10">
        <v>138</v>
      </c>
      <c r="M271" s="10">
        <v>69</v>
      </c>
      <c r="N271" s="10">
        <v>2</v>
      </c>
      <c r="Q271" s="9" t="s">
        <v>52</v>
      </c>
      <c r="R271" s="9">
        <v>2</v>
      </c>
      <c r="S271" s="9">
        <v>2</v>
      </c>
      <c r="T271" s="9">
        <v>4</v>
      </c>
    </row>
    <row r="272" spans="1:20" x14ac:dyDescent="0.25">
      <c r="A272" s="21" t="s">
        <v>5</v>
      </c>
      <c r="B272" s="21" t="s">
        <v>29</v>
      </c>
      <c r="C272" s="21" t="s">
        <v>43</v>
      </c>
      <c r="D272" s="21" t="s">
        <v>35</v>
      </c>
      <c r="E272" s="21" t="s">
        <v>34</v>
      </c>
      <c r="F272" s="22">
        <v>69</v>
      </c>
      <c r="G272" s="22">
        <v>63</v>
      </c>
      <c r="H272" s="22">
        <v>61</v>
      </c>
      <c r="J272" s="10">
        <v>65</v>
      </c>
      <c r="K272" s="10">
        <v>2</v>
      </c>
      <c r="L272" s="10">
        <v>126</v>
      </c>
      <c r="M272" s="10">
        <v>63</v>
      </c>
      <c r="N272" s="10">
        <v>2</v>
      </c>
      <c r="Q272" s="9" t="s">
        <v>53</v>
      </c>
      <c r="R272" s="9">
        <v>156</v>
      </c>
      <c r="S272" s="9">
        <v>149</v>
      </c>
      <c r="T272" s="9">
        <v>305</v>
      </c>
    </row>
    <row r="273" spans="1:20" x14ac:dyDescent="0.25">
      <c r="A273" s="21" t="s">
        <v>5</v>
      </c>
      <c r="B273" s="21" t="s">
        <v>29</v>
      </c>
      <c r="C273" s="21" t="s">
        <v>45</v>
      </c>
      <c r="D273" s="21" t="s">
        <v>35</v>
      </c>
      <c r="E273" s="21" t="s">
        <v>34</v>
      </c>
      <c r="F273" s="22">
        <v>58</v>
      </c>
      <c r="G273" s="22">
        <v>49</v>
      </c>
      <c r="H273" s="22">
        <v>42</v>
      </c>
      <c r="J273" s="10">
        <v>68</v>
      </c>
      <c r="K273" s="10">
        <v>2</v>
      </c>
      <c r="L273" s="10">
        <v>113</v>
      </c>
      <c r="M273" s="10">
        <v>56.5</v>
      </c>
      <c r="N273" s="10">
        <v>24.5</v>
      </c>
      <c r="Q273" s="9" t="s">
        <v>54</v>
      </c>
      <c r="R273" s="9">
        <v>78</v>
      </c>
      <c r="S273" s="9">
        <v>74.5</v>
      </c>
      <c r="T273" s="9">
        <v>76.25</v>
      </c>
    </row>
    <row r="274" spans="1:20" x14ac:dyDescent="0.25">
      <c r="A274" s="21" t="s">
        <v>4</v>
      </c>
      <c r="B274" s="21" t="s">
        <v>30</v>
      </c>
      <c r="C274" s="21" t="s">
        <v>14</v>
      </c>
      <c r="D274" s="21" t="s">
        <v>32</v>
      </c>
      <c r="E274" s="21" t="s">
        <v>34</v>
      </c>
      <c r="F274" s="22">
        <v>47</v>
      </c>
      <c r="G274" s="22">
        <v>53</v>
      </c>
      <c r="H274" s="22">
        <v>58</v>
      </c>
      <c r="J274" s="10">
        <v>47</v>
      </c>
      <c r="K274" s="10">
        <v>2</v>
      </c>
      <c r="L274" s="10">
        <v>98</v>
      </c>
      <c r="M274" s="10">
        <v>49</v>
      </c>
      <c r="N274" s="10">
        <v>0</v>
      </c>
      <c r="Q274" s="9" t="s">
        <v>55</v>
      </c>
      <c r="R274" s="9">
        <v>128</v>
      </c>
      <c r="S274" s="9">
        <v>112.5</v>
      </c>
      <c r="T274" s="9">
        <v>84.25</v>
      </c>
    </row>
    <row r="275" spans="1:20" x14ac:dyDescent="0.25">
      <c r="A275" s="21" t="s">
        <v>4</v>
      </c>
      <c r="B275" s="21" t="s">
        <v>30</v>
      </c>
      <c r="C275" s="21" t="s">
        <v>45</v>
      </c>
      <c r="D275" s="21" t="s">
        <v>35</v>
      </c>
      <c r="E275" s="21" t="s">
        <v>34</v>
      </c>
      <c r="F275" s="22">
        <v>65</v>
      </c>
      <c r="G275" s="22">
        <v>70</v>
      </c>
      <c r="H275" s="22">
        <v>71</v>
      </c>
      <c r="J275" s="10">
        <v>71</v>
      </c>
      <c r="K275" s="10">
        <v>2</v>
      </c>
      <c r="L275" s="10">
        <v>166</v>
      </c>
      <c r="M275" s="10">
        <v>83</v>
      </c>
      <c r="N275" s="10">
        <v>0</v>
      </c>
      <c r="Q275" s="9"/>
      <c r="R275" s="9"/>
      <c r="S275" s="9"/>
      <c r="T275" s="9"/>
    </row>
    <row r="276" spans="1:20" x14ac:dyDescent="0.25">
      <c r="A276" s="21" t="s">
        <v>5</v>
      </c>
      <c r="B276" s="21" t="s">
        <v>28</v>
      </c>
      <c r="C276" s="21" t="s">
        <v>45</v>
      </c>
      <c r="D276" s="21" t="s">
        <v>35</v>
      </c>
      <c r="E276" s="21" t="s">
        <v>33</v>
      </c>
      <c r="F276" s="22">
        <v>88</v>
      </c>
      <c r="G276" s="22">
        <v>85</v>
      </c>
      <c r="H276" s="22">
        <v>76</v>
      </c>
      <c r="J276" s="10">
        <v>60</v>
      </c>
      <c r="K276" s="10">
        <v>2</v>
      </c>
      <c r="L276" s="10">
        <v>140</v>
      </c>
      <c r="M276" s="10">
        <v>70</v>
      </c>
      <c r="N276" s="10">
        <v>0</v>
      </c>
      <c r="Q276" s="14">
        <v>65</v>
      </c>
      <c r="R276" s="14"/>
      <c r="S276" s="14"/>
      <c r="T276" s="14"/>
    </row>
    <row r="277" spans="1:20" x14ac:dyDescent="0.25">
      <c r="A277" s="21" t="s">
        <v>5</v>
      </c>
      <c r="B277" s="21" t="s">
        <v>29</v>
      </c>
      <c r="C277" s="21" t="s">
        <v>43</v>
      </c>
      <c r="D277" s="21" t="s">
        <v>35</v>
      </c>
      <c r="E277" s="21" t="s">
        <v>34</v>
      </c>
      <c r="F277" s="22">
        <v>83</v>
      </c>
      <c r="G277" s="22">
        <v>78</v>
      </c>
      <c r="H277" s="22">
        <v>73</v>
      </c>
      <c r="J277" s="10">
        <v>80</v>
      </c>
      <c r="K277" s="10">
        <v>2</v>
      </c>
      <c r="L277" s="10">
        <v>152</v>
      </c>
      <c r="M277" s="10">
        <v>76</v>
      </c>
      <c r="N277" s="10">
        <v>32</v>
      </c>
      <c r="Q277" s="9" t="s">
        <v>52</v>
      </c>
      <c r="R277" s="9">
        <v>2</v>
      </c>
      <c r="S277" s="9">
        <v>2</v>
      </c>
      <c r="T277" s="9">
        <v>4</v>
      </c>
    </row>
    <row r="278" spans="1:20" x14ac:dyDescent="0.25">
      <c r="A278" s="21" t="s">
        <v>4</v>
      </c>
      <c r="B278" s="21" t="s">
        <v>29</v>
      </c>
      <c r="C278" s="21" t="s">
        <v>17</v>
      </c>
      <c r="D278" s="21" t="s">
        <v>35</v>
      </c>
      <c r="E278" s="21" t="s">
        <v>33</v>
      </c>
      <c r="F278" s="22">
        <v>85</v>
      </c>
      <c r="G278" s="22">
        <v>92</v>
      </c>
      <c r="H278" s="22">
        <v>93</v>
      </c>
      <c r="J278" s="10">
        <v>54</v>
      </c>
      <c r="K278" s="10">
        <v>2</v>
      </c>
      <c r="L278" s="10">
        <v>104</v>
      </c>
      <c r="M278" s="10">
        <v>52</v>
      </c>
      <c r="N278" s="10">
        <v>0</v>
      </c>
      <c r="Q278" s="9" t="s">
        <v>53</v>
      </c>
      <c r="R278" s="9">
        <v>106</v>
      </c>
      <c r="S278" s="9">
        <v>110</v>
      </c>
      <c r="T278" s="9">
        <v>216</v>
      </c>
    </row>
    <row r="279" spans="1:20" x14ac:dyDescent="0.25">
      <c r="A279" s="21" t="s">
        <v>4</v>
      </c>
      <c r="B279" s="21" t="s">
        <v>31</v>
      </c>
      <c r="C279" s="21" t="s">
        <v>15</v>
      </c>
      <c r="D279" s="21" t="s">
        <v>35</v>
      </c>
      <c r="E279" s="21" t="s">
        <v>33</v>
      </c>
      <c r="F279" s="22">
        <v>59</v>
      </c>
      <c r="G279" s="22">
        <v>63</v>
      </c>
      <c r="H279" s="22">
        <v>75</v>
      </c>
      <c r="J279" s="10">
        <v>62</v>
      </c>
      <c r="K279" s="10">
        <v>2</v>
      </c>
      <c r="L279" s="10">
        <v>143</v>
      </c>
      <c r="M279" s="10">
        <v>71.5</v>
      </c>
      <c r="N279" s="10">
        <v>4.5</v>
      </c>
      <c r="Q279" s="9" t="s">
        <v>54</v>
      </c>
      <c r="R279" s="9">
        <v>53</v>
      </c>
      <c r="S279" s="9">
        <v>55</v>
      </c>
      <c r="T279" s="9">
        <v>54</v>
      </c>
    </row>
    <row r="280" spans="1:20" x14ac:dyDescent="0.25">
      <c r="A280" s="21" t="s">
        <v>4</v>
      </c>
      <c r="B280" s="21" t="s">
        <v>29</v>
      </c>
      <c r="C280" s="21" t="s">
        <v>17</v>
      </c>
      <c r="D280" s="21" t="s">
        <v>32</v>
      </c>
      <c r="E280" s="21" t="s">
        <v>34</v>
      </c>
      <c r="F280" s="22">
        <v>65</v>
      </c>
      <c r="G280" s="22">
        <v>86</v>
      </c>
      <c r="H280" s="22">
        <v>80</v>
      </c>
      <c r="J280" s="10">
        <v>64</v>
      </c>
      <c r="K280" s="10">
        <v>2</v>
      </c>
      <c r="L280" s="10">
        <v>141</v>
      </c>
      <c r="M280" s="10">
        <v>70.5</v>
      </c>
      <c r="N280" s="10">
        <v>12.5</v>
      </c>
      <c r="Q280" s="9" t="s">
        <v>55</v>
      </c>
      <c r="R280" s="9">
        <v>722</v>
      </c>
      <c r="S280" s="9">
        <v>722</v>
      </c>
      <c r="T280" s="9">
        <v>482.66666666666669</v>
      </c>
    </row>
    <row r="281" spans="1:20" x14ac:dyDescent="0.25">
      <c r="A281" s="21" t="s">
        <v>5</v>
      </c>
      <c r="B281" s="21" t="s">
        <v>28</v>
      </c>
      <c r="C281" s="21" t="s">
        <v>43</v>
      </c>
      <c r="D281" s="21" t="s">
        <v>32</v>
      </c>
      <c r="E281" s="21" t="s">
        <v>34</v>
      </c>
      <c r="F281" s="22">
        <v>73</v>
      </c>
      <c r="G281" s="22">
        <v>56</v>
      </c>
      <c r="H281" s="22">
        <v>57</v>
      </c>
      <c r="J281" s="10">
        <v>78</v>
      </c>
      <c r="K281" s="10">
        <v>2</v>
      </c>
      <c r="L281" s="10">
        <v>154</v>
      </c>
      <c r="M281" s="10">
        <v>77</v>
      </c>
      <c r="N281" s="10">
        <v>0</v>
      </c>
      <c r="Q281" s="9"/>
      <c r="R281" s="9"/>
      <c r="S281" s="9"/>
      <c r="T281" s="9"/>
    </row>
    <row r="282" spans="1:20" x14ac:dyDescent="0.25">
      <c r="A282" s="21" t="s">
        <v>5</v>
      </c>
      <c r="B282" s="21" t="s">
        <v>30</v>
      </c>
      <c r="C282" s="21" t="s">
        <v>15</v>
      </c>
      <c r="D282" s="21" t="s">
        <v>35</v>
      </c>
      <c r="E282" s="21" t="s">
        <v>34</v>
      </c>
      <c r="F282" s="22">
        <v>53</v>
      </c>
      <c r="G282" s="22">
        <v>52</v>
      </c>
      <c r="H282" s="22">
        <v>42</v>
      </c>
      <c r="J282" s="10">
        <v>70</v>
      </c>
      <c r="K282" s="10">
        <v>2</v>
      </c>
      <c r="L282" s="10">
        <v>153</v>
      </c>
      <c r="M282" s="10">
        <v>76.5</v>
      </c>
      <c r="N282" s="10">
        <v>4.5</v>
      </c>
      <c r="Q282" s="14">
        <v>71</v>
      </c>
      <c r="R282" s="14"/>
      <c r="S282" s="14"/>
      <c r="T282" s="14"/>
    </row>
    <row r="283" spans="1:20" x14ac:dyDescent="0.25">
      <c r="A283" s="21" t="s">
        <v>5</v>
      </c>
      <c r="B283" s="21" t="s">
        <v>30</v>
      </c>
      <c r="C283" s="21" t="s">
        <v>15</v>
      </c>
      <c r="D283" s="21" t="s">
        <v>35</v>
      </c>
      <c r="E283" s="21" t="s">
        <v>34</v>
      </c>
      <c r="F283" s="22">
        <v>45</v>
      </c>
      <c r="G283" s="22">
        <v>48</v>
      </c>
      <c r="H283" s="22">
        <v>46</v>
      </c>
      <c r="J283" s="10">
        <v>65</v>
      </c>
      <c r="K283" s="10">
        <v>2</v>
      </c>
      <c r="L283" s="10">
        <v>162</v>
      </c>
      <c r="M283" s="10">
        <v>81</v>
      </c>
      <c r="N283" s="10">
        <v>0</v>
      </c>
      <c r="Q283" s="9" t="s">
        <v>52</v>
      </c>
      <c r="R283" s="9">
        <v>2</v>
      </c>
      <c r="S283" s="9">
        <v>2</v>
      </c>
      <c r="T283" s="9">
        <v>4</v>
      </c>
    </row>
    <row r="284" spans="1:20" x14ac:dyDescent="0.25">
      <c r="A284" s="21" t="s">
        <v>4</v>
      </c>
      <c r="B284" s="21" t="s">
        <v>30</v>
      </c>
      <c r="C284" s="21" t="s">
        <v>43</v>
      </c>
      <c r="D284" s="21" t="s">
        <v>32</v>
      </c>
      <c r="E284" s="21" t="s">
        <v>34</v>
      </c>
      <c r="F284" s="22">
        <v>73</v>
      </c>
      <c r="G284" s="22">
        <v>79</v>
      </c>
      <c r="H284" s="22">
        <v>84</v>
      </c>
      <c r="J284" s="10">
        <v>64</v>
      </c>
      <c r="K284" s="10">
        <v>2</v>
      </c>
      <c r="L284" s="10">
        <v>156</v>
      </c>
      <c r="M284" s="10">
        <v>78</v>
      </c>
      <c r="N284" s="10">
        <v>2</v>
      </c>
      <c r="Q284" s="9" t="s">
        <v>53</v>
      </c>
      <c r="R284" s="9">
        <v>124</v>
      </c>
      <c r="S284" s="9">
        <v>121</v>
      </c>
      <c r="T284" s="9">
        <v>245</v>
      </c>
    </row>
    <row r="285" spans="1:20" x14ac:dyDescent="0.25">
      <c r="A285" s="21" t="s">
        <v>4</v>
      </c>
      <c r="B285" s="21" t="s">
        <v>30</v>
      </c>
      <c r="C285" s="21" t="s">
        <v>45</v>
      </c>
      <c r="D285" s="21" t="s">
        <v>32</v>
      </c>
      <c r="E285" s="21" t="s">
        <v>33</v>
      </c>
      <c r="F285" s="22">
        <v>70</v>
      </c>
      <c r="G285" s="22">
        <v>78</v>
      </c>
      <c r="H285" s="22">
        <v>78</v>
      </c>
      <c r="J285" s="10">
        <v>79</v>
      </c>
      <c r="K285" s="10">
        <v>2</v>
      </c>
      <c r="L285" s="10">
        <v>157</v>
      </c>
      <c r="M285" s="10">
        <v>78.5</v>
      </c>
      <c r="N285" s="10">
        <v>0.5</v>
      </c>
      <c r="Q285" s="9" t="s">
        <v>54</v>
      </c>
      <c r="R285" s="9">
        <v>62</v>
      </c>
      <c r="S285" s="9">
        <v>60.5</v>
      </c>
      <c r="T285" s="9">
        <v>61.25</v>
      </c>
    </row>
    <row r="286" spans="1:20" x14ac:dyDescent="0.25">
      <c r="A286" s="21" t="s">
        <v>4</v>
      </c>
      <c r="B286" s="21" t="s">
        <v>28</v>
      </c>
      <c r="C286" s="21" t="s">
        <v>17</v>
      </c>
      <c r="D286" s="21" t="s">
        <v>35</v>
      </c>
      <c r="E286" s="21" t="s">
        <v>34</v>
      </c>
      <c r="F286" s="22">
        <v>37</v>
      </c>
      <c r="G286" s="22">
        <v>46</v>
      </c>
      <c r="H286" s="22">
        <v>46</v>
      </c>
      <c r="J286" s="10">
        <v>44</v>
      </c>
      <c r="K286" s="10">
        <v>2</v>
      </c>
      <c r="L286" s="10">
        <v>101</v>
      </c>
      <c r="M286" s="10">
        <v>50.5</v>
      </c>
      <c r="N286" s="10">
        <v>0.5</v>
      </c>
      <c r="Q286" s="9" t="s">
        <v>55</v>
      </c>
      <c r="R286" s="9">
        <v>578</v>
      </c>
      <c r="S286" s="9">
        <v>220.5</v>
      </c>
      <c r="T286" s="9">
        <v>266.91666666666669</v>
      </c>
    </row>
    <row r="287" spans="1:20" x14ac:dyDescent="0.25">
      <c r="A287" s="21" t="s">
        <v>5</v>
      </c>
      <c r="B287" s="21" t="s">
        <v>28</v>
      </c>
      <c r="C287" s="21" t="s">
        <v>14</v>
      </c>
      <c r="D287" s="21" t="s">
        <v>35</v>
      </c>
      <c r="E287" s="21" t="s">
        <v>33</v>
      </c>
      <c r="F287" s="22">
        <v>81</v>
      </c>
      <c r="G287" s="22">
        <v>82</v>
      </c>
      <c r="H287" s="22">
        <v>82</v>
      </c>
      <c r="J287" s="10">
        <v>99</v>
      </c>
      <c r="K287" s="10">
        <v>2</v>
      </c>
      <c r="L287" s="10">
        <v>183</v>
      </c>
      <c r="M287" s="10">
        <v>91.5</v>
      </c>
      <c r="N287" s="10">
        <v>4.5</v>
      </c>
      <c r="Q287" s="9"/>
      <c r="R287" s="9"/>
      <c r="S287" s="9"/>
      <c r="T287" s="9"/>
    </row>
    <row r="288" spans="1:20" x14ac:dyDescent="0.25">
      <c r="A288" s="21" t="s">
        <v>5</v>
      </c>
      <c r="B288" s="21" t="s">
        <v>31</v>
      </c>
      <c r="C288" s="21" t="s">
        <v>14</v>
      </c>
      <c r="D288" s="21" t="s">
        <v>35</v>
      </c>
      <c r="E288" s="21" t="s">
        <v>33</v>
      </c>
      <c r="F288" s="22">
        <v>97</v>
      </c>
      <c r="G288" s="22">
        <v>82</v>
      </c>
      <c r="H288" s="22">
        <v>88</v>
      </c>
      <c r="J288" s="10">
        <v>76</v>
      </c>
      <c r="K288" s="10">
        <v>2</v>
      </c>
      <c r="L288" s="10">
        <v>141</v>
      </c>
      <c r="M288" s="10">
        <v>70.5</v>
      </c>
      <c r="N288" s="10">
        <v>12.5</v>
      </c>
      <c r="Q288" s="14">
        <v>79</v>
      </c>
      <c r="R288" s="14"/>
      <c r="S288" s="14"/>
      <c r="T288" s="14"/>
    </row>
    <row r="289" spans="1:20" x14ac:dyDescent="0.25">
      <c r="A289" s="21" t="s">
        <v>4</v>
      </c>
      <c r="B289" s="21" t="s">
        <v>28</v>
      </c>
      <c r="C289" s="21" t="s">
        <v>17</v>
      </c>
      <c r="D289" s="21" t="s">
        <v>35</v>
      </c>
      <c r="E289" s="21" t="s">
        <v>34</v>
      </c>
      <c r="F289" s="22">
        <v>67</v>
      </c>
      <c r="G289" s="22">
        <v>89</v>
      </c>
      <c r="H289" s="22">
        <v>82</v>
      </c>
      <c r="J289" s="10">
        <v>59</v>
      </c>
      <c r="K289" s="10">
        <v>2</v>
      </c>
      <c r="L289" s="10">
        <v>83</v>
      </c>
      <c r="M289" s="10">
        <v>41.5</v>
      </c>
      <c r="N289" s="10">
        <v>0.5</v>
      </c>
      <c r="Q289" s="9" t="s">
        <v>52</v>
      </c>
      <c r="R289" s="9">
        <v>2</v>
      </c>
      <c r="S289" s="9">
        <v>2</v>
      </c>
      <c r="T289" s="9">
        <v>4</v>
      </c>
    </row>
    <row r="290" spans="1:20" x14ac:dyDescent="0.25">
      <c r="A290" s="21" t="s">
        <v>5</v>
      </c>
      <c r="B290" s="21" t="s">
        <v>28</v>
      </c>
      <c r="C290" s="21" t="s">
        <v>43</v>
      </c>
      <c r="D290" s="21" t="s">
        <v>32</v>
      </c>
      <c r="E290" s="21" t="s">
        <v>34</v>
      </c>
      <c r="F290" s="22">
        <v>88</v>
      </c>
      <c r="G290" s="22">
        <v>75</v>
      </c>
      <c r="H290" s="22">
        <v>76</v>
      </c>
      <c r="J290" s="10">
        <v>63</v>
      </c>
      <c r="K290" s="10">
        <v>2</v>
      </c>
      <c r="L290" s="10">
        <v>156</v>
      </c>
      <c r="M290" s="10">
        <v>78</v>
      </c>
      <c r="N290" s="10">
        <v>18</v>
      </c>
      <c r="Q290" s="9" t="s">
        <v>53</v>
      </c>
      <c r="R290" s="9">
        <v>167</v>
      </c>
      <c r="S290" s="9">
        <v>174</v>
      </c>
      <c r="T290" s="9">
        <v>341</v>
      </c>
    </row>
    <row r="291" spans="1:20" x14ac:dyDescent="0.25">
      <c r="A291" s="21" t="s">
        <v>5</v>
      </c>
      <c r="B291" s="21" t="s">
        <v>31</v>
      </c>
      <c r="C291" s="21" t="s">
        <v>17</v>
      </c>
      <c r="D291" s="21" t="s">
        <v>35</v>
      </c>
      <c r="E291" s="21" t="s">
        <v>33</v>
      </c>
      <c r="F291" s="22">
        <v>77</v>
      </c>
      <c r="G291" s="22">
        <v>76</v>
      </c>
      <c r="H291" s="22">
        <v>77</v>
      </c>
      <c r="J291" s="10">
        <v>69</v>
      </c>
      <c r="K291" s="10">
        <v>2</v>
      </c>
      <c r="L291" s="10">
        <v>149</v>
      </c>
      <c r="M291" s="10">
        <v>74.5</v>
      </c>
      <c r="N291" s="10">
        <v>12.5</v>
      </c>
      <c r="Q291" s="9" t="s">
        <v>54</v>
      </c>
      <c r="R291" s="9">
        <v>83.5</v>
      </c>
      <c r="S291" s="9">
        <v>87</v>
      </c>
      <c r="T291" s="9">
        <v>85.25</v>
      </c>
    </row>
    <row r="292" spans="1:20" x14ac:dyDescent="0.25">
      <c r="A292" s="21" t="s">
        <v>5</v>
      </c>
      <c r="B292" s="21" t="s">
        <v>29</v>
      </c>
      <c r="C292" s="21" t="s">
        <v>14</v>
      </c>
      <c r="D292" s="21" t="s">
        <v>35</v>
      </c>
      <c r="E292" s="21" t="s">
        <v>34</v>
      </c>
      <c r="F292" s="22">
        <v>76</v>
      </c>
      <c r="G292" s="22">
        <v>70</v>
      </c>
      <c r="H292" s="22">
        <v>68</v>
      </c>
      <c r="J292" s="10">
        <v>88</v>
      </c>
      <c r="K292" s="10">
        <v>2</v>
      </c>
      <c r="L292" s="10">
        <v>187</v>
      </c>
      <c r="M292" s="10">
        <v>93.5</v>
      </c>
      <c r="N292" s="10">
        <v>4.5</v>
      </c>
      <c r="Q292" s="9" t="s">
        <v>55</v>
      </c>
      <c r="R292" s="9">
        <v>12.5</v>
      </c>
      <c r="S292" s="9">
        <v>50</v>
      </c>
      <c r="T292" s="9">
        <v>24.916666666666668</v>
      </c>
    </row>
    <row r="293" spans="1:20" x14ac:dyDescent="0.25">
      <c r="A293" s="21" t="s">
        <v>5</v>
      </c>
      <c r="B293" s="21" t="s">
        <v>30</v>
      </c>
      <c r="C293" s="21" t="s">
        <v>17</v>
      </c>
      <c r="D293" s="21" t="s">
        <v>35</v>
      </c>
      <c r="E293" s="21" t="s">
        <v>34</v>
      </c>
      <c r="F293" s="22">
        <v>86</v>
      </c>
      <c r="G293" s="22">
        <v>73</v>
      </c>
      <c r="H293" s="22">
        <v>70</v>
      </c>
      <c r="J293" s="10">
        <v>71</v>
      </c>
      <c r="K293" s="10">
        <v>2</v>
      </c>
      <c r="L293" s="10">
        <v>146</v>
      </c>
      <c r="M293" s="10">
        <v>73</v>
      </c>
      <c r="N293" s="10">
        <v>18</v>
      </c>
      <c r="Q293" s="9"/>
      <c r="R293" s="9"/>
      <c r="S293" s="9"/>
      <c r="T293" s="9"/>
    </row>
    <row r="294" spans="1:20" x14ac:dyDescent="0.25">
      <c r="A294" s="21" t="s">
        <v>5</v>
      </c>
      <c r="B294" s="21" t="s">
        <v>29</v>
      </c>
      <c r="C294" s="21" t="s">
        <v>17</v>
      </c>
      <c r="D294" s="21" t="s">
        <v>35</v>
      </c>
      <c r="E294" s="21" t="s">
        <v>33</v>
      </c>
      <c r="F294" s="22">
        <v>63</v>
      </c>
      <c r="G294" s="22">
        <v>60</v>
      </c>
      <c r="H294" s="22">
        <v>57</v>
      </c>
      <c r="J294" s="10">
        <v>69</v>
      </c>
      <c r="K294" s="10">
        <v>2</v>
      </c>
      <c r="L294" s="10">
        <v>124</v>
      </c>
      <c r="M294" s="10">
        <v>62</v>
      </c>
      <c r="N294" s="10">
        <v>2</v>
      </c>
      <c r="Q294" s="14">
        <v>65</v>
      </c>
      <c r="R294" s="14"/>
      <c r="S294" s="14"/>
      <c r="T294" s="14"/>
    </row>
    <row r="295" spans="1:20" x14ac:dyDescent="0.25">
      <c r="A295" s="21" t="s">
        <v>4</v>
      </c>
      <c r="B295" s="21" t="s">
        <v>31</v>
      </c>
      <c r="C295" s="21" t="s">
        <v>43</v>
      </c>
      <c r="D295" s="21" t="s">
        <v>35</v>
      </c>
      <c r="E295" s="21" t="s">
        <v>34</v>
      </c>
      <c r="F295" s="22">
        <v>65</v>
      </c>
      <c r="G295" s="22">
        <v>73</v>
      </c>
      <c r="H295" s="22">
        <v>75</v>
      </c>
      <c r="J295" s="10">
        <v>58</v>
      </c>
      <c r="K295" s="10">
        <v>2</v>
      </c>
      <c r="L295" s="10">
        <v>91</v>
      </c>
      <c r="M295" s="10">
        <v>45.5</v>
      </c>
      <c r="N295" s="10">
        <v>24.5</v>
      </c>
      <c r="Q295" s="9" t="s">
        <v>52</v>
      </c>
      <c r="R295" s="9">
        <v>2</v>
      </c>
      <c r="S295" s="9">
        <v>2</v>
      </c>
      <c r="T295" s="9">
        <v>4</v>
      </c>
    </row>
    <row r="296" spans="1:20" x14ac:dyDescent="0.25">
      <c r="A296" s="21" t="s">
        <v>5</v>
      </c>
      <c r="B296" s="21" t="s">
        <v>30</v>
      </c>
      <c r="C296" s="21" t="s">
        <v>15</v>
      </c>
      <c r="D296" s="21" t="s">
        <v>32</v>
      </c>
      <c r="E296" s="21" t="s">
        <v>33</v>
      </c>
      <c r="F296" s="22">
        <v>78</v>
      </c>
      <c r="G296" s="22">
        <v>77</v>
      </c>
      <c r="H296" s="22">
        <v>80</v>
      </c>
      <c r="J296" s="10">
        <v>47</v>
      </c>
      <c r="K296" s="10">
        <v>2</v>
      </c>
      <c r="L296" s="10">
        <v>111</v>
      </c>
      <c r="M296" s="10">
        <v>55.5</v>
      </c>
      <c r="N296" s="10">
        <v>12.5</v>
      </c>
      <c r="Q296" s="9" t="s">
        <v>53</v>
      </c>
      <c r="R296" s="9">
        <v>138</v>
      </c>
      <c r="S296" s="9">
        <v>132</v>
      </c>
      <c r="T296" s="9">
        <v>270</v>
      </c>
    </row>
    <row r="297" spans="1:20" x14ac:dyDescent="0.25">
      <c r="A297" s="21" t="s">
        <v>5</v>
      </c>
      <c r="B297" s="21" t="s">
        <v>28</v>
      </c>
      <c r="C297" s="21" t="s">
        <v>14</v>
      </c>
      <c r="D297" s="21" t="s">
        <v>32</v>
      </c>
      <c r="E297" s="21" t="s">
        <v>34</v>
      </c>
      <c r="F297" s="22">
        <v>67</v>
      </c>
      <c r="G297" s="22">
        <v>62</v>
      </c>
      <c r="H297" s="22">
        <v>60</v>
      </c>
      <c r="J297" s="10">
        <v>65</v>
      </c>
      <c r="K297" s="10">
        <v>2</v>
      </c>
      <c r="L297" s="10">
        <v>141</v>
      </c>
      <c r="M297" s="10">
        <v>70.5</v>
      </c>
      <c r="N297" s="10">
        <v>0.5</v>
      </c>
      <c r="Q297" s="9" t="s">
        <v>54</v>
      </c>
      <c r="R297" s="9">
        <v>69</v>
      </c>
      <c r="S297" s="9">
        <v>66</v>
      </c>
      <c r="T297" s="9">
        <v>67.5</v>
      </c>
    </row>
    <row r="298" spans="1:20" x14ac:dyDescent="0.25">
      <c r="A298" s="21" t="s">
        <v>5</v>
      </c>
      <c r="B298" s="21" t="s">
        <v>27</v>
      </c>
      <c r="C298" s="21" t="s">
        <v>17</v>
      </c>
      <c r="D298" s="21" t="s">
        <v>35</v>
      </c>
      <c r="E298" s="21" t="s">
        <v>33</v>
      </c>
      <c r="F298" s="22">
        <v>46</v>
      </c>
      <c r="G298" s="22">
        <v>41</v>
      </c>
      <c r="H298" s="22">
        <v>43</v>
      </c>
      <c r="J298" s="10">
        <v>88</v>
      </c>
      <c r="K298" s="10">
        <v>2</v>
      </c>
      <c r="L298" s="10">
        <v>161</v>
      </c>
      <c r="M298" s="10">
        <v>80.5</v>
      </c>
      <c r="N298" s="10">
        <v>40.5</v>
      </c>
      <c r="Q298" s="9" t="s">
        <v>55</v>
      </c>
      <c r="R298" s="9">
        <v>18</v>
      </c>
      <c r="S298" s="9">
        <v>32</v>
      </c>
      <c r="T298" s="9">
        <v>19.666666666666668</v>
      </c>
    </row>
    <row r="299" spans="1:20" x14ac:dyDescent="0.25">
      <c r="A299" s="21" t="s">
        <v>5</v>
      </c>
      <c r="B299" s="21" t="s">
        <v>31</v>
      </c>
      <c r="C299" s="21" t="s">
        <v>14</v>
      </c>
      <c r="D299" s="21" t="s">
        <v>35</v>
      </c>
      <c r="E299" s="21" t="s">
        <v>33</v>
      </c>
      <c r="F299" s="22">
        <v>71</v>
      </c>
      <c r="G299" s="22">
        <v>74</v>
      </c>
      <c r="H299" s="22">
        <v>68</v>
      </c>
      <c r="J299" s="10">
        <v>83</v>
      </c>
      <c r="K299" s="10">
        <v>2</v>
      </c>
      <c r="L299" s="10">
        <v>151</v>
      </c>
      <c r="M299" s="10">
        <v>75.5</v>
      </c>
      <c r="N299" s="10">
        <v>12.5</v>
      </c>
      <c r="Q299" s="9"/>
      <c r="R299" s="9"/>
      <c r="S299" s="9"/>
      <c r="T299" s="9"/>
    </row>
    <row r="300" spans="1:20" x14ac:dyDescent="0.25">
      <c r="A300" s="21" t="s">
        <v>5</v>
      </c>
      <c r="B300" s="21" t="s">
        <v>29</v>
      </c>
      <c r="C300" s="21" t="s">
        <v>15</v>
      </c>
      <c r="D300" s="21" t="s">
        <v>32</v>
      </c>
      <c r="E300" s="21" t="s">
        <v>33</v>
      </c>
      <c r="F300" s="22">
        <v>40</v>
      </c>
      <c r="G300" s="22">
        <v>46</v>
      </c>
      <c r="H300" s="22">
        <v>50</v>
      </c>
      <c r="J300" s="10">
        <v>85</v>
      </c>
      <c r="K300" s="10">
        <v>2</v>
      </c>
      <c r="L300" s="10">
        <v>185</v>
      </c>
      <c r="M300" s="10">
        <v>92.5</v>
      </c>
      <c r="N300" s="10">
        <v>0.5</v>
      </c>
      <c r="Q300" s="14">
        <v>58</v>
      </c>
      <c r="R300" s="14"/>
      <c r="S300" s="14"/>
      <c r="T300" s="14"/>
    </row>
    <row r="301" spans="1:20" x14ac:dyDescent="0.25">
      <c r="A301" s="21" t="s">
        <v>5</v>
      </c>
      <c r="B301" s="21" t="s">
        <v>30</v>
      </c>
      <c r="C301" s="21" t="s">
        <v>14</v>
      </c>
      <c r="D301" s="21" t="s">
        <v>32</v>
      </c>
      <c r="E301" s="21" t="s">
        <v>34</v>
      </c>
      <c r="F301" s="22">
        <v>90</v>
      </c>
      <c r="G301" s="22">
        <v>87</v>
      </c>
      <c r="H301" s="22">
        <v>75</v>
      </c>
      <c r="J301" s="10">
        <v>59</v>
      </c>
      <c r="K301" s="10">
        <v>2</v>
      </c>
      <c r="L301" s="10">
        <v>138</v>
      </c>
      <c r="M301" s="10">
        <v>69</v>
      </c>
      <c r="N301" s="10">
        <v>72</v>
      </c>
      <c r="Q301" s="9" t="s">
        <v>52</v>
      </c>
      <c r="R301" s="9">
        <v>2</v>
      </c>
      <c r="S301" s="9">
        <v>2</v>
      </c>
      <c r="T301" s="9">
        <v>4</v>
      </c>
    </row>
    <row r="302" spans="1:20" x14ac:dyDescent="0.25">
      <c r="A302" s="21" t="s">
        <v>5</v>
      </c>
      <c r="B302" s="21" t="s">
        <v>27</v>
      </c>
      <c r="C302" s="21" t="s">
        <v>45</v>
      </c>
      <c r="D302" s="21" t="s">
        <v>32</v>
      </c>
      <c r="E302" s="21" t="s">
        <v>33</v>
      </c>
      <c r="F302" s="22">
        <v>81</v>
      </c>
      <c r="G302" s="22">
        <v>78</v>
      </c>
      <c r="H302" s="22">
        <v>81</v>
      </c>
      <c r="J302" s="10">
        <v>65</v>
      </c>
      <c r="K302" s="10">
        <v>2</v>
      </c>
      <c r="L302" s="10">
        <v>166</v>
      </c>
      <c r="M302" s="10">
        <v>83</v>
      </c>
      <c r="N302" s="10">
        <v>18</v>
      </c>
      <c r="Q302" s="9" t="s">
        <v>53</v>
      </c>
      <c r="R302" s="9">
        <v>134</v>
      </c>
      <c r="S302" s="9">
        <v>124</v>
      </c>
      <c r="T302" s="9">
        <v>258</v>
      </c>
    </row>
    <row r="303" spans="1:20" x14ac:dyDescent="0.25">
      <c r="A303" s="21" t="s">
        <v>5</v>
      </c>
      <c r="B303" s="21" t="s">
        <v>30</v>
      </c>
      <c r="C303" s="21" t="s">
        <v>17</v>
      </c>
      <c r="D303" s="21" t="s">
        <v>32</v>
      </c>
      <c r="E303" s="21" t="s">
        <v>34</v>
      </c>
      <c r="F303" s="22">
        <v>56</v>
      </c>
      <c r="G303" s="22">
        <v>54</v>
      </c>
      <c r="H303" s="22">
        <v>52</v>
      </c>
      <c r="J303" s="10">
        <v>73</v>
      </c>
      <c r="K303" s="10">
        <v>2</v>
      </c>
      <c r="L303" s="10">
        <v>113</v>
      </c>
      <c r="M303" s="10">
        <v>56.5</v>
      </c>
      <c r="N303" s="10">
        <v>0.5</v>
      </c>
      <c r="Q303" s="9" t="s">
        <v>54</v>
      </c>
      <c r="R303" s="9">
        <v>67</v>
      </c>
      <c r="S303" s="9">
        <v>62</v>
      </c>
      <c r="T303" s="9">
        <v>64.5</v>
      </c>
    </row>
    <row r="304" spans="1:20" x14ac:dyDescent="0.25">
      <c r="A304" s="21" t="s">
        <v>4</v>
      </c>
      <c r="B304" s="21" t="s">
        <v>29</v>
      </c>
      <c r="C304" s="21" t="s">
        <v>14</v>
      </c>
      <c r="D304" s="21" t="s">
        <v>35</v>
      </c>
      <c r="E304" s="21" t="s">
        <v>33</v>
      </c>
      <c r="F304" s="22">
        <v>67</v>
      </c>
      <c r="G304" s="22">
        <v>84</v>
      </c>
      <c r="H304" s="22">
        <v>81</v>
      </c>
      <c r="J304" s="10">
        <v>53</v>
      </c>
      <c r="K304" s="10">
        <v>2</v>
      </c>
      <c r="L304" s="10">
        <v>94</v>
      </c>
      <c r="M304" s="10">
        <v>47</v>
      </c>
      <c r="N304" s="10">
        <v>50</v>
      </c>
      <c r="Q304" s="9" t="s">
        <v>55</v>
      </c>
      <c r="R304" s="9">
        <v>0</v>
      </c>
      <c r="S304" s="9">
        <v>0</v>
      </c>
      <c r="T304" s="9">
        <v>8.3333333333333339</v>
      </c>
    </row>
    <row r="305" spans="1:20" x14ac:dyDescent="0.25">
      <c r="A305" s="21" t="s">
        <v>5</v>
      </c>
      <c r="B305" s="21" t="s">
        <v>28</v>
      </c>
      <c r="C305" s="21" t="s">
        <v>14</v>
      </c>
      <c r="D305" s="21" t="s">
        <v>35</v>
      </c>
      <c r="E305" s="21" t="s">
        <v>34</v>
      </c>
      <c r="F305" s="22">
        <v>80</v>
      </c>
      <c r="G305" s="22">
        <v>76</v>
      </c>
      <c r="H305" s="22">
        <v>64</v>
      </c>
      <c r="J305" s="10">
        <v>45</v>
      </c>
      <c r="K305" s="10">
        <v>2</v>
      </c>
      <c r="L305" s="10">
        <v>94</v>
      </c>
      <c r="M305" s="10">
        <v>47</v>
      </c>
      <c r="N305" s="10">
        <v>2</v>
      </c>
      <c r="Q305" s="9"/>
      <c r="R305" s="9"/>
      <c r="S305" s="9"/>
      <c r="T305" s="9"/>
    </row>
    <row r="306" spans="1:20" x14ac:dyDescent="0.25">
      <c r="A306" s="21" t="s">
        <v>4</v>
      </c>
      <c r="B306" s="21" t="s">
        <v>29</v>
      </c>
      <c r="C306" s="21" t="s">
        <v>14</v>
      </c>
      <c r="D306" s="21" t="s">
        <v>35</v>
      </c>
      <c r="E306" s="21" t="s">
        <v>33</v>
      </c>
      <c r="F306" s="22">
        <v>74</v>
      </c>
      <c r="G306" s="22">
        <v>75</v>
      </c>
      <c r="H306" s="22">
        <v>83</v>
      </c>
      <c r="J306" s="10">
        <v>73</v>
      </c>
      <c r="K306" s="10">
        <v>2</v>
      </c>
      <c r="L306" s="10">
        <v>163</v>
      </c>
      <c r="M306" s="10">
        <v>81.5</v>
      </c>
      <c r="N306" s="10">
        <v>12.5</v>
      </c>
      <c r="Q306" s="14">
        <v>79</v>
      </c>
      <c r="R306" s="14"/>
      <c r="S306" s="14"/>
      <c r="T306" s="14"/>
    </row>
    <row r="307" spans="1:20" x14ac:dyDescent="0.25">
      <c r="A307" s="21" t="s">
        <v>5</v>
      </c>
      <c r="B307" s="21" t="s">
        <v>27</v>
      </c>
      <c r="C307" s="21" t="s">
        <v>45</v>
      </c>
      <c r="D307" s="21" t="s">
        <v>35</v>
      </c>
      <c r="E307" s="21" t="s">
        <v>34</v>
      </c>
      <c r="F307" s="22">
        <v>69</v>
      </c>
      <c r="G307" s="22">
        <v>67</v>
      </c>
      <c r="H307" s="22">
        <v>69</v>
      </c>
      <c r="J307" s="10">
        <v>70</v>
      </c>
      <c r="K307" s="10">
        <v>2</v>
      </c>
      <c r="L307" s="10">
        <v>156</v>
      </c>
      <c r="M307" s="10">
        <v>78</v>
      </c>
      <c r="N307" s="10">
        <v>0</v>
      </c>
      <c r="Q307" s="9" t="s">
        <v>52</v>
      </c>
      <c r="R307" s="9">
        <v>2</v>
      </c>
      <c r="S307" s="9">
        <v>2</v>
      </c>
      <c r="T307" s="9">
        <v>4</v>
      </c>
    </row>
    <row r="308" spans="1:20" x14ac:dyDescent="0.25">
      <c r="A308" s="21" t="s">
        <v>5</v>
      </c>
      <c r="B308" s="21" t="s">
        <v>31</v>
      </c>
      <c r="C308" s="21" t="s">
        <v>45</v>
      </c>
      <c r="D308" s="21" t="s">
        <v>35</v>
      </c>
      <c r="E308" s="21" t="s">
        <v>33</v>
      </c>
      <c r="F308" s="22">
        <v>99</v>
      </c>
      <c r="G308" s="22">
        <v>87</v>
      </c>
      <c r="H308" s="22">
        <v>81</v>
      </c>
      <c r="J308" s="10">
        <v>37</v>
      </c>
      <c r="K308" s="10">
        <v>2</v>
      </c>
      <c r="L308" s="10">
        <v>92</v>
      </c>
      <c r="M308" s="10">
        <v>46</v>
      </c>
      <c r="N308" s="10">
        <v>0</v>
      </c>
      <c r="Q308" s="9" t="s">
        <v>53</v>
      </c>
      <c r="R308" s="9">
        <v>141</v>
      </c>
      <c r="S308" s="9">
        <v>141</v>
      </c>
      <c r="T308" s="9">
        <v>282</v>
      </c>
    </row>
    <row r="309" spans="1:20" x14ac:dyDescent="0.25">
      <c r="A309" s="21" t="s">
        <v>5</v>
      </c>
      <c r="B309" s="21" t="s">
        <v>29</v>
      </c>
      <c r="C309" s="21" t="s">
        <v>17</v>
      </c>
      <c r="D309" s="21" t="s">
        <v>35</v>
      </c>
      <c r="E309" s="21" t="s">
        <v>34</v>
      </c>
      <c r="F309" s="22">
        <v>51</v>
      </c>
      <c r="G309" s="22">
        <v>52</v>
      </c>
      <c r="H309" s="22">
        <v>44</v>
      </c>
      <c r="J309" s="10">
        <v>81</v>
      </c>
      <c r="K309" s="10">
        <v>2</v>
      </c>
      <c r="L309" s="10">
        <v>164</v>
      </c>
      <c r="M309" s="10">
        <v>82</v>
      </c>
      <c r="N309" s="10">
        <v>0</v>
      </c>
      <c r="Q309" s="9" t="s">
        <v>54</v>
      </c>
      <c r="R309" s="9">
        <v>70.5</v>
      </c>
      <c r="S309" s="9">
        <v>70.5</v>
      </c>
      <c r="T309" s="9">
        <v>70.5</v>
      </c>
    </row>
    <row r="310" spans="1:20" x14ac:dyDescent="0.25">
      <c r="A310" s="21" t="s">
        <v>4</v>
      </c>
      <c r="B310" s="21" t="s">
        <v>28</v>
      </c>
      <c r="C310" s="21" t="s">
        <v>14</v>
      </c>
      <c r="D310" s="21" t="s">
        <v>32</v>
      </c>
      <c r="E310" s="21" t="s">
        <v>34</v>
      </c>
      <c r="F310" s="22">
        <v>53</v>
      </c>
      <c r="G310" s="22">
        <v>71</v>
      </c>
      <c r="H310" s="22">
        <v>67</v>
      </c>
      <c r="J310" s="10">
        <v>97</v>
      </c>
      <c r="K310" s="10">
        <v>2</v>
      </c>
      <c r="L310" s="10">
        <v>170</v>
      </c>
      <c r="M310" s="10">
        <v>85</v>
      </c>
      <c r="N310" s="10">
        <v>18</v>
      </c>
      <c r="Q310" s="9" t="s">
        <v>55</v>
      </c>
      <c r="R310" s="9">
        <v>24.5</v>
      </c>
      <c r="S310" s="9">
        <v>24.5</v>
      </c>
      <c r="T310" s="9">
        <v>16.333333333333332</v>
      </c>
    </row>
    <row r="311" spans="1:20" x14ac:dyDescent="0.25">
      <c r="A311" s="21" t="s">
        <v>4</v>
      </c>
      <c r="B311" s="21" t="s">
        <v>30</v>
      </c>
      <c r="C311" s="21" t="s">
        <v>15</v>
      </c>
      <c r="D311" s="21" t="s">
        <v>32</v>
      </c>
      <c r="E311" s="21" t="s">
        <v>34</v>
      </c>
      <c r="F311" s="22">
        <v>49</v>
      </c>
      <c r="G311" s="22">
        <v>57</v>
      </c>
      <c r="H311" s="22">
        <v>52</v>
      </c>
      <c r="J311" s="10">
        <v>67</v>
      </c>
      <c r="K311" s="10">
        <v>2</v>
      </c>
      <c r="L311" s="10">
        <v>171</v>
      </c>
      <c r="M311" s="10">
        <v>85.5</v>
      </c>
      <c r="N311" s="10">
        <v>24.5</v>
      </c>
      <c r="Q311" s="9"/>
      <c r="R311" s="9"/>
      <c r="S311" s="9"/>
      <c r="T311" s="9"/>
    </row>
    <row r="312" spans="1:20" x14ac:dyDescent="0.25">
      <c r="A312" s="21" t="s">
        <v>4</v>
      </c>
      <c r="B312" s="21" t="s">
        <v>28</v>
      </c>
      <c r="C312" s="21" t="s">
        <v>14</v>
      </c>
      <c r="D312" s="21" t="s">
        <v>35</v>
      </c>
      <c r="E312" s="21" t="s">
        <v>34</v>
      </c>
      <c r="F312" s="22">
        <v>73</v>
      </c>
      <c r="G312" s="22">
        <v>76</v>
      </c>
      <c r="H312" s="22">
        <v>80</v>
      </c>
      <c r="J312" s="10">
        <v>88</v>
      </c>
      <c r="K312" s="10">
        <v>2</v>
      </c>
      <c r="L312" s="10">
        <v>151</v>
      </c>
      <c r="M312" s="10">
        <v>75.5</v>
      </c>
      <c r="N312" s="10">
        <v>0.5</v>
      </c>
      <c r="Q312" s="14">
        <v>85</v>
      </c>
      <c r="R312" s="14"/>
      <c r="S312" s="14"/>
      <c r="T312" s="14"/>
    </row>
    <row r="313" spans="1:20" x14ac:dyDescent="0.25">
      <c r="A313" s="21" t="s">
        <v>5</v>
      </c>
      <c r="B313" s="21" t="s">
        <v>28</v>
      </c>
      <c r="C313" s="21" t="s">
        <v>43</v>
      </c>
      <c r="D313" s="21" t="s">
        <v>35</v>
      </c>
      <c r="E313" s="21" t="s">
        <v>34</v>
      </c>
      <c r="F313" s="22">
        <v>66</v>
      </c>
      <c r="G313" s="22">
        <v>60</v>
      </c>
      <c r="H313" s="22">
        <v>57</v>
      </c>
      <c r="J313" s="10">
        <v>77</v>
      </c>
      <c r="K313" s="10">
        <v>2</v>
      </c>
      <c r="L313" s="10">
        <v>153</v>
      </c>
      <c r="M313" s="10">
        <v>76.5</v>
      </c>
      <c r="N313" s="10">
        <v>0.5</v>
      </c>
      <c r="Q313" s="9" t="s">
        <v>52</v>
      </c>
      <c r="R313" s="9">
        <v>2</v>
      </c>
      <c r="S313" s="9">
        <v>2</v>
      </c>
      <c r="T313" s="9">
        <v>4</v>
      </c>
    </row>
    <row r="314" spans="1:20" x14ac:dyDescent="0.25">
      <c r="A314" s="21" t="s">
        <v>5</v>
      </c>
      <c r="B314" s="21" t="s">
        <v>30</v>
      </c>
      <c r="C314" s="21" t="s">
        <v>43</v>
      </c>
      <c r="D314" s="21" t="s">
        <v>35</v>
      </c>
      <c r="E314" s="21" t="s">
        <v>33</v>
      </c>
      <c r="F314" s="22">
        <v>67</v>
      </c>
      <c r="G314" s="22">
        <v>61</v>
      </c>
      <c r="H314" s="22">
        <v>68</v>
      </c>
      <c r="J314" s="10">
        <v>76</v>
      </c>
      <c r="K314" s="10">
        <v>2</v>
      </c>
      <c r="L314" s="10">
        <v>138</v>
      </c>
      <c r="M314" s="10">
        <v>69</v>
      </c>
      <c r="N314" s="10">
        <v>2</v>
      </c>
      <c r="Q314" s="9" t="s">
        <v>53</v>
      </c>
      <c r="R314" s="9">
        <v>135</v>
      </c>
      <c r="S314" s="9">
        <v>136</v>
      </c>
      <c r="T314" s="9">
        <v>271</v>
      </c>
    </row>
    <row r="315" spans="1:20" x14ac:dyDescent="0.25">
      <c r="A315" s="21" t="s">
        <v>4</v>
      </c>
      <c r="B315" s="21" t="s">
        <v>29</v>
      </c>
      <c r="C315" s="21" t="s">
        <v>14</v>
      </c>
      <c r="D315" s="21" t="s">
        <v>32</v>
      </c>
      <c r="E315" s="21" t="s">
        <v>33</v>
      </c>
      <c r="F315" s="22">
        <v>68</v>
      </c>
      <c r="G315" s="22">
        <v>67</v>
      </c>
      <c r="H315" s="22">
        <v>69</v>
      </c>
      <c r="J315" s="10">
        <v>86</v>
      </c>
      <c r="K315" s="10">
        <v>2</v>
      </c>
      <c r="L315" s="10">
        <v>143</v>
      </c>
      <c r="M315" s="10">
        <v>71.5</v>
      </c>
      <c r="N315" s="10">
        <v>4.5</v>
      </c>
      <c r="Q315" s="9" t="s">
        <v>54</v>
      </c>
      <c r="R315" s="9">
        <v>67.5</v>
      </c>
      <c r="S315" s="9">
        <v>68</v>
      </c>
      <c r="T315" s="9">
        <v>67.75</v>
      </c>
    </row>
    <row r="316" spans="1:20" x14ac:dyDescent="0.25">
      <c r="A316" s="21" t="s">
        <v>4</v>
      </c>
      <c r="B316" s="21" t="s">
        <v>29</v>
      </c>
      <c r="C316" s="21" t="s">
        <v>43</v>
      </c>
      <c r="D316" s="21" t="s">
        <v>35</v>
      </c>
      <c r="E316" s="21" t="s">
        <v>33</v>
      </c>
      <c r="F316" s="22">
        <v>59</v>
      </c>
      <c r="G316" s="22">
        <v>64</v>
      </c>
      <c r="H316" s="22">
        <v>75</v>
      </c>
      <c r="J316" s="10">
        <v>63</v>
      </c>
      <c r="K316" s="10">
        <v>2</v>
      </c>
      <c r="L316" s="10">
        <v>117</v>
      </c>
      <c r="M316" s="10">
        <v>58.5</v>
      </c>
      <c r="N316" s="10">
        <v>4.5</v>
      </c>
      <c r="Q316" s="9" t="s">
        <v>55</v>
      </c>
      <c r="R316" s="9">
        <v>1104.5</v>
      </c>
      <c r="S316" s="9">
        <v>882</v>
      </c>
      <c r="T316" s="9">
        <v>662.25</v>
      </c>
    </row>
    <row r="317" spans="1:20" x14ac:dyDescent="0.25">
      <c r="A317" s="21" t="s">
        <v>5</v>
      </c>
      <c r="B317" s="21" t="s">
        <v>29</v>
      </c>
      <c r="C317" s="21" t="s">
        <v>15</v>
      </c>
      <c r="D317" s="21" t="s">
        <v>35</v>
      </c>
      <c r="E317" s="21" t="s">
        <v>34</v>
      </c>
      <c r="F317" s="22">
        <v>71</v>
      </c>
      <c r="G317" s="22">
        <v>66</v>
      </c>
      <c r="H317" s="22">
        <v>65</v>
      </c>
      <c r="J317" s="10">
        <v>65</v>
      </c>
      <c r="K317" s="10">
        <v>2</v>
      </c>
      <c r="L317" s="10">
        <v>148</v>
      </c>
      <c r="M317" s="10">
        <v>74</v>
      </c>
      <c r="N317" s="10">
        <v>2</v>
      </c>
      <c r="Q317" s="9"/>
      <c r="R317" s="9"/>
      <c r="S317" s="9"/>
      <c r="T317" s="9"/>
    </row>
    <row r="318" spans="1:20" x14ac:dyDescent="0.25">
      <c r="A318" s="21" t="s">
        <v>4</v>
      </c>
      <c r="B318" s="21" t="s">
        <v>30</v>
      </c>
      <c r="C318" s="21" t="s">
        <v>16</v>
      </c>
      <c r="D318" s="21" t="s">
        <v>35</v>
      </c>
      <c r="E318" s="21" t="s">
        <v>33</v>
      </c>
      <c r="F318" s="22">
        <v>77</v>
      </c>
      <c r="G318" s="22">
        <v>82</v>
      </c>
      <c r="H318" s="22">
        <v>91</v>
      </c>
      <c r="J318" s="10">
        <v>78</v>
      </c>
      <c r="K318" s="10">
        <v>2</v>
      </c>
      <c r="L318" s="10">
        <v>157</v>
      </c>
      <c r="M318" s="10">
        <v>78.5</v>
      </c>
      <c r="N318" s="10">
        <v>4.5</v>
      </c>
      <c r="Q318" s="14">
        <v>98</v>
      </c>
      <c r="R318" s="14"/>
      <c r="S318" s="14"/>
      <c r="T318" s="14"/>
    </row>
    <row r="319" spans="1:20" x14ac:dyDescent="0.25">
      <c r="A319" s="21" t="s">
        <v>5</v>
      </c>
      <c r="B319" s="21" t="s">
        <v>29</v>
      </c>
      <c r="C319" s="21" t="s">
        <v>14</v>
      </c>
      <c r="D319" s="21" t="s">
        <v>35</v>
      </c>
      <c r="E319" s="21" t="s">
        <v>34</v>
      </c>
      <c r="F319" s="22">
        <v>83</v>
      </c>
      <c r="G319" s="22">
        <v>72</v>
      </c>
      <c r="H319" s="22">
        <v>78</v>
      </c>
      <c r="J319" s="10">
        <v>67</v>
      </c>
      <c r="K319" s="10">
        <v>2</v>
      </c>
      <c r="L319" s="10">
        <v>122</v>
      </c>
      <c r="M319" s="10">
        <v>61</v>
      </c>
      <c r="N319" s="10">
        <v>2</v>
      </c>
      <c r="Q319" s="9" t="s">
        <v>52</v>
      </c>
      <c r="R319" s="9">
        <v>2</v>
      </c>
      <c r="S319" s="9">
        <v>2</v>
      </c>
      <c r="T319" s="9">
        <v>4</v>
      </c>
    </row>
    <row r="320" spans="1:20" x14ac:dyDescent="0.25">
      <c r="A320" s="21" t="s">
        <v>5</v>
      </c>
      <c r="B320" s="21" t="s">
        <v>28</v>
      </c>
      <c r="C320" s="21" t="s">
        <v>43</v>
      </c>
      <c r="D320" s="21" t="s">
        <v>35</v>
      </c>
      <c r="E320" s="21" t="s">
        <v>34</v>
      </c>
      <c r="F320" s="22">
        <v>63</v>
      </c>
      <c r="G320" s="22">
        <v>71</v>
      </c>
      <c r="H320" s="22">
        <v>69</v>
      </c>
      <c r="J320" s="10">
        <v>46</v>
      </c>
      <c r="K320" s="10">
        <v>2</v>
      </c>
      <c r="L320" s="10">
        <v>84</v>
      </c>
      <c r="M320" s="10">
        <v>42</v>
      </c>
      <c r="N320" s="10">
        <v>2</v>
      </c>
      <c r="Q320" s="9" t="s">
        <v>53</v>
      </c>
      <c r="R320" s="9">
        <v>153</v>
      </c>
      <c r="S320" s="9">
        <v>162</v>
      </c>
      <c r="T320" s="9">
        <v>315</v>
      </c>
    </row>
    <row r="321" spans="1:20" x14ac:dyDescent="0.25">
      <c r="A321" s="21" t="s">
        <v>4</v>
      </c>
      <c r="B321" s="21" t="s">
        <v>30</v>
      </c>
      <c r="C321" s="21" t="s">
        <v>14</v>
      </c>
      <c r="D321" s="21" t="s">
        <v>32</v>
      </c>
      <c r="E321" s="21" t="s">
        <v>34</v>
      </c>
      <c r="F321" s="22">
        <v>56</v>
      </c>
      <c r="G321" s="22">
        <v>65</v>
      </c>
      <c r="H321" s="22">
        <v>63</v>
      </c>
      <c r="J321" s="10">
        <v>71</v>
      </c>
      <c r="K321" s="10">
        <v>2</v>
      </c>
      <c r="L321" s="10">
        <v>142</v>
      </c>
      <c r="M321" s="10">
        <v>71</v>
      </c>
      <c r="N321" s="10">
        <v>18</v>
      </c>
      <c r="Q321" s="9" t="s">
        <v>54</v>
      </c>
      <c r="R321" s="9">
        <v>76.5</v>
      </c>
      <c r="S321" s="9">
        <v>81</v>
      </c>
      <c r="T321" s="9">
        <v>78.75</v>
      </c>
    </row>
    <row r="322" spans="1:20" x14ac:dyDescent="0.25">
      <c r="A322" s="21" t="s">
        <v>4</v>
      </c>
      <c r="B322" s="21" t="s">
        <v>29</v>
      </c>
      <c r="C322" s="21" t="s">
        <v>15</v>
      </c>
      <c r="D322" s="21" t="s">
        <v>32</v>
      </c>
      <c r="E322" s="21" t="s">
        <v>33</v>
      </c>
      <c r="F322" s="22">
        <v>67</v>
      </c>
      <c r="G322" s="22">
        <v>79</v>
      </c>
      <c r="H322" s="22">
        <v>84</v>
      </c>
      <c r="J322" s="10">
        <v>40</v>
      </c>
      <c r="K322" s="10">
        <v>2</v>
      </c>
      <c r="L322" s="10">
        <v>96</v>
      </c>
      <c r="M322" s="10">
        <v>48</v>
      </c>
      <c r="N322" s="10">
        <v>8</v>
      </c>
      <c r="Q322" s="9" t="s">
        <v>55</v>
      </c>
      <c r="R322" s="9">
        <v>180.5</v>
      </c>
      <c r="S322" s="9">
        <v>162</v>
      </c>
      <c r="T322" s="9">
        <v>120.91666666666667</v>
      </c>
    </row>
    <row r="323" spans="1:20" x14ac:dyDescent="0.25">
      <c r="A323" s="21" t="s">
        <v>4</v>
      </c>
      <c r="B323" s="21" t="s">
        <v>31</v>
      </c>
      <c r="C323" s="21" t="s">
        <v>15</v>
      </c>
      <c r="D323" s="21" t="s">
        <v>35</v>
      </c>
      <c r="E323" s="21" t="s">
        <v>34</v>
      </c>
      <c r="F323" s="22">
        <v>75</v>
      </c>
      <c r="G323" s="22">
        <v>86</v>
      </c>
      <c r="H323" s="22">
        <v>79</v>
      </c>
      <c r="J323" s="10">
        <v>90</v>
      </c>
      <c r="K323" s="10">
        <v>2</v>
      </c>
      <c r="L323" s="10">
        <v>162</v>
      </c>
      <c r="M323" s="10">
        <v>81</v>
      </c>
      <c r="N323" s="10">
        <v>72</v>
      </c>
      <c r="Q323" s="9"/>
      <c r="R323" s="9"/>
      <c r="S323" s="9"/>
      <c r="T323" s="9"/>
    </row>
    <row r="324" spans="1:20" x14ac:dyDescent="0.25">
      <c r="A324" s="21" t="s">
        <v>4</v>
      </c>
      <c r="B324" s="21" t="s">
        <v>29</v>
      </c>
      <c r="C324" s="21" t="s">
        <v>45</v>
      </c>
      <c r="D324" s="21" t="s">
        <v>35</v>
      </c>
      <c r="E324" s="21" t="s">
        <v>34</v>
      </c>
      <c r="F324" s="22">
        <v>71</v>
      </c>
      <c r="G324" s="22">
        <v>81</v>
      </c>
      <c r="H324" s="22">
        <v>80</v>
      </c>
      <c r="J324" s="10">
        <v>81</v>
      </c>
      <c r="K324" s="10">
        <v>2</v>
      </c>
      <c r="L324" s="10">
        <v>159</v>
      </c>
      <c r="M324" s="10">
        <v>79.5</v>
      </c>
      <c r="N324" s="10">
        <v>4.5</v>
      </c>
      <c r="Q324" s="14">
        <v>87</v>
      </c>
      <c r="R324" s="14"/>
      <c r="S324" s="14"/>
      <c r="T324" s="14"/>
    </row>
    <row r="325" spans="1:20" x14ac:dyDescent="0.25">
      <c r="A325" s="21" t="s">
        <v>4</v>
      </c>
      <c r="B325" s="21" t="s">
        <v>29</v>
      </c>
      <c r="C325" s="21" t="s">
        <v>17</v>
      </c>
      <c r="D325" s="21" t="s">
        <v>32</v>
      </c>
      <c r="E325" s="21" t="s">
        <v>34</v>
      </c>
      <c r="F325" s="22">
        <v>43</v>
      </c>
      <c r="G325" s="22">
        <v>53</v>
      </c>
      <c r="H325" s="22">
        <v>53</v>
      </c>
      <c r="J325" s="10">
        <v>56</v>
      </c>
      <c r="K325" s="10">
        <v>2</v>
      </c>
      <c r="L325" s="10">
        <v>106</v>
      </c>
      <c r="M325" s="10">
        <v>53</v>
      </c>
      <c r="N325" s="10">
        <v>2</v>
      </c>
      <c r="Q325" s="9" t="s">
        <v>52</v>
      </c>
      <c r="R325" s="9">
        <v>2</v>
      </c>
      <c r="S325" s="9">
        <v>2</v>
      </c>
      <c r="T325" s="9">
        <v>4</v>
      </c>
    </row>
    <row r="326" spans="1:20" x14ac:dyDescent="0.25">
      <c r="A326" s="21" t="s">
        <v>4</v>
      </c>
      <c r="B326" s="21" t="s">
        <v>29</v>
      </c>
      <c r="C326" s="21" t="s">
        <v>15</v>
      </c>
      <c r="D326" s="21" t="s">
        <v>32</v>
      </c>
      <c r="E326" s="21" t="s">
        <v>34</v>
      </c>
      <c r="F326" s="22">
        <v>41</v>
      </c>
      <c r="G326" s="22">
        <v>46</v>
      </c>
      <c r="H326" s="22">
        <v>43</v>
      </c>
      <c r="J326" s="10">
        <v>67</v>
      </c>
      <c r="K326" s="10">
        <v>2</v>
      </c>
      <c r="L326" s="10">
        <v>165</v>
      </c>
      <c r="M326" s="10">
        <v>82.5</v>
      </c>
      <c r="N326" s="10">
        <v>4.5</v>
      </c>
      <c r="Q326" s="9" t="s">
        <v>53</v>
      </c>
      <c r="R326" s="9">
        <v>163</v>
      </c>
      <c r="S326" s="9">
        <v>164</v>
      </c>
      <c r="T326" s="9">
        <v>327</v>
      </c>
    </row>
    <row r="327" spans="1:20" x14ac:dyDescent="0.25">
      <c r="A327" s="21" t="s">
        <v>4</v>
      </c>
      <c r="B327" s="21" t="s">
        <v>29</v>
      </c>
      <c r="C327" s="21" t="s">
        <v>45</v>
      </c>
      <c r="D327" s="21" t="s">
        <v>35</v>
      </c>
      <c r="E327" s="21" t="s">
        <v>34</v>
      </c>
      <c r="F327" s="22">
        <v>82</v>
      </c>
      <c r="G327" s="22">
        <v>90</v>
      </c>
      <c r="H327" s="22">
        <v>94</v>
      </c>
      <c r="J327" s="10">
        <v>80</v>
      </c>
      <c r="K327" s="10">
        <v>2</v>
      </c>
      <c r="L327" s="10">
        <v>140</v>
      </c>
      <c r="M327" s="10">
        <v>70</v>
      </c>
      <c r="N327" s="10">
        <v>72</v>
      </c>
      <c r="Q327" s="9" t="s">
        <v>54</v>
      </c>
      <c r="R327" s="9">
        <v>81.5</v>
      </c>
      <c r="S327" s="9">
        <v>82</v>
      </c>
      <c r="T327" s="9">
        <v>81.75</v>
      </c>
    </row>
    <row r="328" spans="1:20" x14ac:dyDescent="0.25">
      <c r="A328" s="21" t="s">
        <v>5</v>
      </c>
      <c r="B328" s="21" t="s">
        <v>29</v>
      </c>
      <c r="C328" s="21" t="s">
        <v>45</v>
      </c>
      <c r="D328" s="21" t="s">
        <v>35</v>
      </c>
      <c r="E328" s="21" t="s">
        <v>34</v>
      </c>
      <c r="F328" s="22">
        <v>61</v>
      </c>
      <c r="G328" s="22">
        <v>61</v>
      </c>
      <c r="H328" s="22">
        <v>62</v>
      </c>
      <c r="J328" s="10">
        <v>74</v>
      </c>
      <c r="K328" s="10">
        <v>2</v>
      </c>
      <c r="L328" s="10">
        <v>158</v>
      </c>
      <c r="M328" s="10">
        <v>79</v>
      </c>
      <c r="N328" s="10">
        <v>32</v>
      </c>
      <c r="Q328" s="9" t="s">
        <v>55</v>
      </c>
      <c r="R328" s="9">
        <v>684.5</v>
      </c>
      <c r="S328" s="9">
        <v>648</v>
      </c>
      <c r="T328" s="9">
        <v>444.25</v>
      </c>
    </row>
    <row r="329" spans="1:20" x14ac:dyDescent="0.25">
      <c r="A329" s="21" t="s">
        <v>5</v>
      </c>
      <c r="B329" s="21" t="s">
        <v>27</v>
      </c>
      <c r="C329" s="21" t="s">
        <v>45</v>
      </c>
      <c r="D329" s="21" t="s">
        <v>32</v>
      </c>
      <c r="E329" s="21" t="s">
        <v>34</v>
      </c>
      <c r="F329" s="22">
        <v>28</v>
      </c>
      <c r="G329" s="22">
        <v>23</v>
      </c>
      <c r="H329" s="22">
        <v>19</v>
      </c>
      <c r="J329" s="10">
        <v>69</v>
      </c>
      <c r="K329" s="10">
        <v>2</v>
      </c>
      <c r="L329" s="10">
        <v>136</v>
      </c>
      <c r="M329" s="10">
        <v>68</v>
      </c>
      <c r="N329" s="10">
        <v>2</v>
      </c>
      <c r="Q329" s="9"/>
      <c r="R329" s="9"/>
      <c r="S329" s="9"/>
      <c r="T329" s="9"/>
    </row>
    <row r="330" spans="1:20" x14ac:dyDescent="0.25">
      <c r="A330" s="21" t="s">
        <v>5</v>
      </c>
      <c r="B330" s="21" t="s">
        <v>29</v>
      </c>
      <c r="C330" s="21" t="s">
        <v>14</v>
      </c>
      <c r="D330" s="21" t="s">
        <v>35</v>
      </c>
      <c r="E330" s="21" t="s">
        <v>33</v>
      </c>
      <c r="F330" s="22">
        <v>82</v>
      </c>
      <c r="G330" s="22">
        <v>75</v>
      </c>
      <c r="H330" s="22">
        <v>77</v>
      </c>
      <c r="J330" s="10">
        <v>99</v>
      </c>
      <c r="K330" s="10">
        <v>2</v>
      </c>
      <c r="L330" s="10">
        <v>168</v>
      </c>
      <c r="M330" s="10">
        <v>84</v>
      </c>
      <c r="N330" s="10">
        <v>18</v>
      </c>
      <c r="Q330" s="14">
        <v>52</v>
      </c>
      <c r="R330" s="14"/>
      <c r="S330" s="14"/>
      <c r="T330" s="14"/>
    </row>
    <row r="331" spans="1:20" x14ac:dyDescent="0.25">
      <c r="A331" s="21" t="s">
        <v>4</v>
      </c>
      <c r="B331" s="21" t="s">
        <v>28</v>
      </c>
      <c r="C331" s="21" t="s">
        <v>17</v>
      </c>
      <c r="D331" s="21" t="s">
        <v>35</v>
      </c>
      <c r="E331" s="21" t="s">
        <v>34</v>
      </c>
      <c r="F331" s="22">
        <v>41</v>
      </c>
      <c r="G331" s="22">
        <v>55</v>
      </c>
      <c r="H331" s="22">
        <v>51</v>
      </c>
      <c r="J331" s="10">
        <v>51</v>
      </c>
      <c r="K331" s="10">
        <v>2</v>
      </c>
      <c r="L331" s="10">
        <v>96</v>
      </c>
      <c r="M331" s="10">
        <v>48</v>
      </c>
      <c r="N331" s="10">
        <v>32</v>
      </c>
      <c r="Q331" s="9" t="s">
        <v>52</v>
      </c>
      <c r="R331" s="9">
        <v>2</v>
      </c>
      <c r="S331" s="9">
        <v>2</v>
      </c>
      <c r="T331" s="9">
        <v>4</v>
      </c>
    </row>
    <row r="332" spans="1:20" x14ac:dyDescent="0.25">
      <c r="A332" s="21" t="s">
        <v>5</v>
      </c>
      <c r="B332" s="21" t="s">
        <v>29</v>
      </c>
      <c r="C332" s="21" t="s">
        <v>15</v>
      </c>
      <c r="D332" s="21" t="s">
        <v>35</v>
      </c>
      <c r="E332" s="21" t="s">
        <v>34</v>
      </c>
      <c r="F332" s="22">
        <v>71</v>
      </c>
      <c r="G332" s="22">
        <v>60</v>
      </c>
      <c r="H332" s="22">
        <v>61</v>
      </c>
      <c r="J332" s="10">
        <v>53</v>
      </c>
      <c r="K332" s="10">
        <v>2</v>
      </c>
      <c r="L332" s="10">
        <v>138</v>
      </c>
      <c r="M332" s="10">
        <v>69</v>
      </c>
      <c r="N332" s="10">
        <v>8</v>
      </c>
      <c r="Q332" s="9" t="s">
        <v>53</v>
      </c>
      <c r="R332" s="9">
        <v>140</v>
      </c>
      <c r="S332" s="9">
        <v>142</v>
      </c>
      <c r="T332" s="9">
        <v>282</v>
      </c>
    </row>
    <row r="333" spans="1:20" x14ac:dyDescent="0.25">
      <c r="A333" s="21" t="s">
        <v>5</v>
      </c>
      <c r="B333" s="21" t="s">
        <v>29</v>
      </c>
      <c r="C333" s="21" t="s">
        <v>14</v>
      </c>
      <c r="D333" s="21" t="s">
        <v>35</v>
      </c>
      <c r="E333" s="21" t="s">
        <v>34</v>
      </c>
      <c r="F333" s="22">
        <v>47</v>
      </c>
      <c r="G333" s="22">
        <v>37</v>
      </c>
      <c r="H333" s="22">
        <v>35</v>
      </c>
      <c r="J333" s="10">
        <v>49</v>
      </c>
      <c r="K333" s="10">
        <v>2</v>
      </c>
      <c r="L333" s="10">
        <v>109</v>
      </c>
      <c r="M333" s="10">
        <v>54.5</v>
      </c>
      <c r="N333" s="10">
        <v>12.5</v>
      </c>
      <c r="Q333" s="9" t="s">
        <v>54</v>
      </c>
      <c r="R333" s="9">
        <v>70</v>
      </c>
      <c r="S333" s="9">
        <v>71</v>
      </c>
      <c r="T333" s="9">
        <v>70.5</v>
      </c>
    </row>
    <row r="334" spans="1:20" x14ac:dyDescent="0.25">
      <c r="A334" s="21" t="s">
        <v>5</v>
      </c>
      <c r="B334" s="21" t="s">
        <v>31</v>
      </c>
      <c r="C334" s="21" t="s">
        <v>14</v>
      </c>
      <c r="D334" s="21" t="s">
        <v>35</v>
      </c>
      <c r="E334" s="21" t="s">
        <v>33</v>
      </c>
      <c r="F334" s="22">
        <v>62</v>
      </c>
      <c r="G334" s="22">
        <v>56</v>
      </c>
      <c r="H334" s="22">
        <v>53</v>
      </c>
      <c r="J334" s="10">
        <v>73</v>
      </c>
      <c r="K334" s="10">
        <v>2</v>
      </c>
      <c r="L334" s="10">
        <v>156</v>
      </c>
      <c r="M334" s="10">
        <v>78</v>
      </c>
      <c r="N334" s="10">
        <v>8</v>
      </c>
      <c r="Q334" s="9" t="s">
        <v>55</v>
      </c>
      <c r="R334" s="9">
        <v>72</v>
      </c>
      <c r="S334" s="9">
        <v>2</v>
      </c>
      <c r="T334" s="9">
        <v>25</v>
      </c>
    </row>
    <row r="335" spans="1:20" x14ac:dyDescent="0.25">
      <c r="A335" s="21" t="s">
        <v>5</v>
      </c>
      <c r="B335" s="21" t="s">
        <v>28</v>
      </c>
      <c r="C335" s="21" t="s">
        <v>14</v>
      </c>
      <c r="D335" s="21" t="s">
        <v>35</v>
      </c>
      <c r="E335" s="21" t="s">
        <v>34</v>
      </c>
      <c r="F335" s="22">
        <v>90</v>
      </c>
      <c r="G335" s="22">
        <v>78</v>
      </c>
      <c r="H335" s="22">
        <v>81</v>
      </c>
      <c r="J335" s="10">
        <v>66</v>
      </c>
      <c r="K335" s="10">
        <v>2</v>
      </c>
      <c r="L335" s="10">
        <v>117</v>
      </c>
      <c r="M335" s="10">
        <v>58.5</v>
      </c>
      <c r="N335" s="10">
        <v>4.5</v>
      </c>
      <c r="Q335" s="9"/>
      <c r="R335" s="9"/>
      <c r="S335" s="9"/>
      <c r="T335" s="9"/>
    </row>
    <row r="336" spans="1:20" x14ac:dyDescent="0.25">
      <c r="A336" s="21" t="s">
        <v>4</v>
      </c>
      <c r="B336" s="21" t="s">
        <v>29</v>
      </c>
      <c r="C336" s="21" t="s">
        <v>43</v>
      </c>
      <c r="D336" s="21" t="s">
        <v>35</v>
      </c>
      <c r="E336" s="21" t="s">
        <v>34</v>
      </c>
      <c r="F336" s="22">
        <v>83</v>
      </c>
      <c r="G336" s="22">
        <v>93</v>
      </c>
      <c r="H336" s="22">
        <v>95</v>
      </c>
      <c r="J336" s="10">
        <v>67</v>
      </c>
      <c r="K336" s="10">
        <v>2</v>
      </c>
      <c r="L336" s="10">
        <v>129</v>
      </c>
      <c r="M336" s="10">
        <v>64.5</v>
      </c>
      <c r="N336" s="10">
        <v>24.5</v>
      </c>
      <c r="Q336" s="14">
        <v>77</v>
      </c>
      <c r="R336" s="14"/>
      <c r="S336" s="14"/>
      <c r="T336" s="14"/>
    </row>
    <row r="337" spans="1:20" x14ac:dyDescent="0.25">
      <c r="A337" s="21" t="s">
        <v>4</v>
      </c>
      <c r="B337" s="21" t="s">
        <v>28</v>
      </c>
      <c r="C337" s="21" t="s">
        <v>45</v>
      </c>
      <c r="D337" s="21" t="s">
        <v>32</v>
      </c>
      <c r="E337" s="21" t="s">
        <v>34</v>
      </c>
      <c r="F337" s="22">
        <v>61</v>
      </c>
      <c r="G337" s="22">
        <v>68</v>
      </c>
      <c r="H337" s="22">
        <v>66</v>
      </c>
      <c r="J337" s="10">
        <v>68</v>
      </c>
      <c r="K337" s="10">
        <v>2</v>
      </c>
      <c r="L337" s="10">
        <v>136</v>
      </c>
      <c r="M337" s="10">
        <v>68</v>
      </c>
      <c r="N337" s="10">
        <v>2</v>
      </c>
      <c r="Q337" s="9" t="s">
        <v>52</v>
      </c>
      <c r="R337" s="9">
        <v>2</v>
      </c>
      <c r="S337" s="9">
        <v>2</v>
      </c>
      <c r="T337" s="9">
        <v>4</v>
      </c>
    </row>
    <row r="338" spans="1:20" x14ac:dyDescent="0.25">
      <c r="A338" s="21" t="s">
        <v>5</v>
      </c>
      <c r="B338" s="21" t="s">
        <v>30</v>
      </c>
      <c r="C338" s="21" t="s">
        <v>17</v>
      </c>
      <c r="D338" s="21" t="s">
        <v>35</v>
      </c>
      <c r="E338" s="21" t="s">
        <v>33</v>
      </c>
      <c r="F338" s="22">
        <v>76</v>
      </c>
      <c r="G338" s="22">
        <v>70</v>
      </c>
      <c r="H338" s="22">
        <v>69</v>
      </c>
      <c r="J338" s="10">
        <v>59</v>
      </c>
      <c r="K338" s="10">
        <v>2</v>
      </c>
      <c r="L338" s="10">
        <v>139</v>
      </c>
      <c r="M338" s="10">
        <v>69.5</v>
      </c>
      <c r="N338" s="10">
        <v>60.5</v>
      </c>
      <c r="Q338" s="9" t="s">
        <v>53</v>
      </c>
      <c r="R338" s="9">
        <v>144</v>
      </c>
      <c r="S338" s="9">
        <v>147</v>
      </c>
      <c r="T338" s="9">
        <v>291</v>
      </c>
    </row>
    <row r="339" spans="1:20" x14ac:dyDescent="0.25">
      <c r="A339" s="21" t="s">
        <v>5</v>
      </c>
      <c r="B339" s="21" t="s">
        <v>29</v>
      </c>
      <c r="C339" s="21" t="s">
        <v>14</v>
      </c>
      <c r="D339" s="21" t="s">
        <v>35</v>
      </c>
      <c r="E339" s="21" t="s">
        <v>34</v>
      </c>
      <c r="F339" s="22">
        <v>49</v>
      </c>
      <c r="G339" s="22">
        <v>51</v>
      </c>
      <c r="H339" s="22">
        <v>43</v>
      </c>
      <c r="J339" s="10">
        <v>71</v>
      </c>
      <c r="K339" s="10">
        <v>2</v>
      </c>
      <c r="L339" s="10">
        <v>131</v>
      </c>
      <c r="M339" s="10">
        <v>65.5</v>
      </c>
      <c r="N339" s="10">
        <v>0.5</v>
      </c>
      <c r="Q339" s="9" t="s">
        <v>54</v>
      </c>
      <c r="R339" s="9">
        <v>72</v>
      </c>
      <c r="S339" s="9">
        <v>73.5</v>
      </c>
      <c r="T339" s="9">
        <v>72.75</v>
      </c>
    </row>
    <row r="340" spans="1:20" x14ac:dyDescent="0.25">
      <c r="A340" s="21" t="s">
        <v>4</v>
      </c>
      <c r="B340" s="21" t="s">
        <v>28</v>
      </c>
      <c r="C340" s="21" t="s">
        <v>17</v>
      </c>
      <c r="D340" s="21" t="s">
        <v>32</v>
      </c>
      <c r="E340" s="21" t="s">
        <v>34</v>
      </c>
      <c r="F340" s="22">
        <v>24</v>
      </c>
      <c r="G340" s="22">
        <v>38</v>
      </c>
      <c r="H340" s="22">
        <v>27</v>
      </c>
      <c r="J340" s="10">
        <v>77</v>
      </c>
      <c r="K340" s="10">
        <v>2</v>
      </c>
      <c r="L340" s="10">
        <v>173</v>
      </c>
      <c r="M340" s="10">
        <v>86.5</v>
      </c>
      <c r="N340" s="10">
        <v>40.5</v>
      </c>
      <c r="Q340" s="9" t="s">
        <v>55</v>
      </c>
      <c r="R340" s="9">
        <v>578</v>
      </c>
      <c r="S340" s="9">
        <v>1200.5</v>
      </c>
      <c r="T340" s="9">
        <v>593.58333333333337</v>
      </c>
    </row>
    <row r="341" spans="1:20" x14ac:dyDescent="0.25">
      <c r="A341" s="21" t="s">
        <v>4</v>
      </c>
      <c r="B341" s="21" t="s">
        <v>30</v>
      </c>
      <c r="C341" s="21" t="s">
        <v>17</v>
      </c>
      <c r="D341" s="21" t="s">
        <v>32</v>
      </c>
      <c r="E341" s="21" t="s">
        <v>33</v>
      </c>
      <c r="F341" s="22">
        <v>35</v>
      </c>
      <c r="G341" s="22">
        <v>55</v>
      </c>
      <c r="H341" s="22">
        <v>60</v>
      </c>
      <c r="J341" s="10">
        <v>83</v>
      </c>
      <c r="K341" s="10">
        <v>2</v>
      </c>
      <c r="L341" s="10">
        <v>150</v>
      </c>
      <c r="M341" s="10">
        <v>75</v>
      </c>
      <c r="N341" s="10">
        <v>18</v>
      </c>
      <c r="Q341" s="9"/>
      <c r="R341" s="9"/>
      <c r="S341" s="9"/>
      <c r="T341" s="9"/>
    </row>
    <row r="342" spans="1:20" x14ac:dyDescent="0.25">
      <c r="A342" s="21" t="s">
        <v>5</v>
      </c>
      <c r="B342" s="21" t="s">
        <v>29</v>
      </c>
      <c r="C342" s="21" t="s">
        <v>15</v>
      </c>
      <c r="D342" s="21" t="s">
        <v>32</v>
      </c>
      <c r="E342" s="21" t="s">
        <v>34</v>
      </c>
      <c r="F342" s="22">
        <v>58</v>
      </c>
      <c r="G342" s="22">
        <v>61</v>
      </c>
      <c r="H342" s="22">
        <v>52</v>
      </c>
      <c r="J342" s="10">
        <v>63</v>
      </c>
      <c r="K342" s="10">
        <v>2</v>
      </c>
      <c r="L342" s="10">
        <v>140</v>
      </c>
      <c r="M342" s="10">
        <v>70</v>
      </c>
      <c r="N342" s="10">
        <v>2</v>
      </c>
      <c r="Q342" s="14">
        <v>54</v>
      </c>
      <c r="R342" s="14"/>
      <c r="S342" s="14"/>
      <c r="T342" s="14"/>
    </row>
    <row r="343" spans="1:20" x14ac:dyDescent="0.25">
      <c r="A343" s="21" t="s">
        <v>4</v>
      </c>
      <c r="B343" s="21" t="s">
        <v>29</v>
      </c>
      <c r="C343" s="21" t="s">
        <v>15</v>
      </c>
      <c r="D343" s="21" t="s">
        <v>35</v>
      </c>
      <c r="E343" s="21" t="s">
        <v>34</v>
      </c>
      <c r="F343" s="22">
        <v>61</v>
      </c>
      <c r="G343" s="22">
        <v>73</v>
      </c>
      <c r="H343" s="22">
        <v>63</v>
      </c>
      <c r="J343" s="10">
        <v>56</v>
      </c>
      <c r="K343" s="10">
        <v>2</v>
      </c>
      <c r="L343" s="10">
        <v>128</v>
      </c>
      <c r="M343" s="10">
        <v>64</v>
      </c>
      <c r="N343" s="10">
        <v>2</v>
      </c>
      <c r="Q343" s="9" t="s">
        <v>52</v>
      </c>
      <c r="R343" s="9">
        <v>2</v>
      </c>
      <c r="S343" s="9">
        <v>2</v>
      </c>
      <c r="T343" s="9">
        <v>4</v>
      </c>
    </row>
    <row r="344" spans="1:20" x14ac:dyDescent="0.25">
      <c r="A344" s="21" t="s">
        <v>4</v>
      </c>
      <c r="B344" s="21" t="s">
        <v>28</v>
      </c>
      <c r="C344" s="21" t="s">
        <v>15</v>
      </c>
      <c r="D344" s="21" t="s">
        <v>35</v>
      </c>
      <c r="E344" s="21" t="s">
        <v>33</v>
      </c>
      <c r="F344" s="22">
        <v>69</v>
      </c>
      <c r="G344" s="22">
        <v>76</v>
      </c>
      <c r="H344" s="22">
        <v>74</v>
      </c>
      <c r="J344" s="10">
        <v>67</v>
      </c>
      <c r="K344" s="10">
        <v>2</v>
      </c>
      <c r="L344" s="10">
        <v>163</v>
      </c>
      <c r="M344" s="10">
        <v>81.5</v>
      </c>
      <c r="N344" s="10">
        <v>12.5</v>
      </c>
      <c r="Q344" s="9" t="s">
        <v>53</v>
      </c>
      <c r="R344" s="9">
        <v>111</v>
      </c>
      <c r="S344" s="9">
        <v>101</v>
      </c>
      <c r="T344" s="9">
        <v>212</v>
      </c>
    </row>
    <row r="345" spans="1:20" x14ac:dyDescent="0.25">
      <c r="A345" s="21" t="s">
        <v>5</v>
      </c>
      <c r="B345" s="21" t="s">
        <v>30</v>
      </c>
      <c r="C345" s="21" t="s">
        <v>14</v>
      </c>
      <c r="D345" s="21" t="s">
        <v>35</v>
      </c>
      <c r="E345" s="21" t="s">
        <v>33</v>
      </c>
      <c r="F345" s="22">
        <v>67</v>
      </c>
      <c r="G345" s="22">
        <v>72</v>
      </c>
      <c r="H345" s="22">
        <v>67</v>
      </c>
      <c r="J345" s="10">
        <v>75</v>
      </c>
      <c r="K345" s="10">
        <v>2</v>
      </c>
      <c r="L345" s="10">
        <v>165</v>
      </c>
      <c r="M345" s="10">
        <v>82.5</v>
      </c>
      <c r="N345" s="10">
        <v>24.5</v>
      </c>
      <c r="Q345" s="9" t="s">
        <v>54</v>
      </c>
      <c r="R345" s="9">
        <v>55.5</v>
      </c>
      <c r="S345" s="9">
        <v>50.5</v>
      </c>
      <c r="T345" s="9">
        <v>53</v>
      </c>
    </row>
    <row r="346" spans="1:20" x14ac:dyDescent="0.25">
      <c r="A346" s="21" t="s">
        <v>5</v>
      </c>
      <c r="B346" s="21" t="s">
        <v>30</v>
      </c>
      <c r="C346" s="21" t="s">
        <v>45</v>
      </c>
      <c r="D346" s="21" t="s">
        <v>35</v>
      </c>
      <c r="E346" s="21" t="s">
        <v>34</v>
      </c>
      <c r="F346" s="22">
        <v>79</v>
      </c>
      <c r="G346" s="22">
        <v>73</v>
      </c>
      <c r="H346" s="22">
        <v>67</v>
      </c>
      <c r="J346" s="10">
        <v>71</v>
      </c>
      <c r="K346" s="10">
        <v>2</v>
      </c>
      <c r="L346" s="10">
        <v>161</v>
      </c>
      <c r="M346" s="10">
        <v>80.5</v>
      </c>
      <c r="N346" s="10">
        <v>0.5</v>
      </c>
      <c r="Q346" s="9" t="s">
        <v>55</v>
      </c>
      <c r="R346" s="9">
        <v>12.5</v>
      </c>
      <c r="S346" s="9">
        <v>24.5</v>
      </c>
      <c r="T346" s="9">
        <v>20.666666666666668</v>
      </c>
    </row>
    <row r="347" spans="1:20" x14ac:dyDescent="0.25">
      <c r="A347" s="21" t="s">
        <v>4</v>
      </c>
      <c r="B347" s="21" t="s">
        <v>29</v>
      </c>
      <c r="C347" s="21" t="s">
        <v>15</v>
      </c>
      <c r="D347" s="21" t="s">
        <v>35</v>
      </c>
      <c r="E347" s="21" t="s">
        <v>34</v>
      </c>
      <c r="F347" s="22">
        <v>72</v>
      </c>
      <c r="G347" s="22">
        <v>80</v>
      </c>
      <c r="H347" s="22">
        <v>75</v>
      </c>
      <c r="J347" s="10">
        <v>43</v>
      </c>
      <c r="K347" s="10">
        <v>2</v>
      </c>
      <c r="L347" s="10">
        <v>106</v>
      </c>
      <c r="M347" s="10">
        <v>53</v>
      </c>
      <c r="N347" s="10">
        <v>0</v>
      </c>
      <c r="Q347" s="9"/>
      <c r="R347" s="9"/>
      <c r="S347" s="9"/>
      <c r="T347" s="9"/>
    </row>
    <row r="348" spans="1:20" x14ac:dyDescent="0.25">
      <c r="A348" s="21" t="s">
        <v>5</v>
      </c>
      <c r="B348" s="21" t="s">
        <v>28</v>
      </c>
      <c r="C348" s="21" t="s">
        <v>45</v>
      </c>
      <c r="D348" s="21" t="s">
        <v>35</v>
      </c>
      <c r="E348" s="21" t="s">
        <v>34</v>
      </c>
      <c r="F348" s="22">
        <v>62</v>
      </c>
      <c r="G348" s="22">
        <v>61</v>
      </c>
      <c r="H348" s="22">
        <v>57</v>
      </c>
      <c r="J348" s="10">
        <v>41</v>
      </c>
      <c r="K348" s="10">
        <v>2</v>
      </c>
      <c r="L348" s="10">
        <v>89</v>
      </c>
      <c r="M348" s="10">
        <v>44.5</v>
      </c>
      <c r="N348" s="10">
        <v>4.5</v>
      </c>
      <c r="Q348" s="14">
        <v>99</v>
      </c>
      <c r="R348" s="14"/>
      <c r="S348" s="14"/>
      <c r="T348" s="14"/>
    </row>
    <row r="349" spans="1:20" x14ac:dyDescent="0.25">
      <c r="A349" s="21" t="s">
        <v>4</v>
      </c>
      <c r="B349" s="21" t="s">
        <v>29</v>
      </c>
      <c r="C349" s="21" t="s">
        <v>43</v>
      </c>
      <c r="D349" s="21" t="s">
        <v>35</v>
      </c>
      <c r="E349" s="21" t="s">
        <v>33</v>
      </c>
      <c r="F349" s="22">
        <v>77</v>
      </c>
      <c r="G349" s="22">
        <v>94</v>
      </c>
      <c r="H349" s="22">
        <v>95</v>
      </c>
      <c r="J349" s="10">
        <v>82</v>
      </c>
      <c r="K349" s="10">
        <v>2</v>
      </c>
      <c r="L349" s="10">
        <v>184</v>
      </c>
      <c r="M349" s="10">
        <v>92</v>
      </c>
      <c r="N349" s="10">
        <v>8</v>
      </c>
      <c r="Q349" s="9" t="s">
        <v>52</v>
      </c>
      <c r="R349" s="9">
        <v>2</v>
      </c>
      <c r="S349" s="9">
        <v>2</v>
      </c>
      <c r="T349" s="9">
        <v>4</v>
      </c>
    </row>
    <row r="350" spans="1:20" x14ac:dyDescent="0.25">
      <c r="A350" s="21" t="s">
        <v>5</v>
      </c>
      <c r="B350" s="21" t="s">
        <v>30</v>
      </c>
      <c r="C350" s="21" t="s">
        <v>15</v>
      </c>
      <c r="D350" s="21" t="s">
        <v>32</v>
      </c>
      <c r="E350" s="21" t="s">
        <v>34</v>
      </c>
      <c r="F350" s="22">
        <v>75</v>
      </c>
      <c r="G350" s="22">
        <v>74</v>
      </c>
      <c r="H350" s="22">
        <v>66</v>
      </c>
      <c r="J350" s="10">
        <v>61</v>
      </c>
      <c r="K350" s="10">
        <v>2</v>
      </c>
      <c r="L350" s="10">
        <v>123</v>
      </c>
      <c r="M350" s="10">
        <v>61.5</v>
      </c>
      <c r="N350" s="10">
        <v>0.5</v>
      </c>
      <c r="Q350" s="9" t="s">
        <v>53</v>
      </c>
      <c r="R350" s="9">
        <v>177</v>
      </c>
      <c r="S350" s="9">
        <v>174</v>
      </c>
      <c r="T350" s="9">
        <v>351</v>
      </c>
    </row>
    <row r="351" spans="1:20" x14ac:dyDescent="0.25">
      <c r="A351" s="21" t="s">
        <v>5</v>
      </c>
      <c r="B351" s="21" t="s">
        <v>31</v>
      </c>
      <c r="C351" s="21" t="s">
        <v>14</v>
      </c>
      <c r="D351" s="21" t="s">
        <v>35</v>
      </c>
      <c r="E351" s="21" t="s">
        <v>34</v>
      </c>
      <c r="F351" s="22">
        <v>87</v>
      </c>
      <c r="G351" s="22">
        <v>74</v>
      </c>
      <c r="H351" s="22">
        <v>76</v>
      </c>
      <c r="J351" s="10">
        <v>28</v>
      </c>
      <c r="K351" s="10">
        <v>2</v>
      </c>
      <c r="L351" s="10">
        <v>42</v>
      </c>
      <c r="M351" s="10">
        <v>21</v>
      </c>
      <c r="N351" s="10">
        <v>8</v>
      </c>
      <c r="Q351" s="9" t="s">
        <v>54</v>
      </c>
      <c r="R351" s="9">
        <v>88.5</v>
      </c>
      <c r="S351" s="9">
        <v>87</v>
      </c>
      <c r="T351" s="9">
        <v>87.75</v>
      </c>
    </row>
    <row r="352" spans="1:20" x14ac:dyDescent="0.25">
      <c r="A352" s="21" t="s">
        <v>4</v>
      </c>
      <c r="B352" s="21" t="s">
        <v>28</v>
      </c>
      <c r="C352" s="21" t="s">
        <v>43</v>
      </c>
      <c r="D352" s="21" t="s">
        <v>35</v>
      </c>
      <c r="E352" s="21" t="s">
        <v>34</v>
      </c>
      <c r="F352" s="22">
        <v>52</v>
      </c>
      <c r="G352" s="22">
        <v>65</v>
      </c>
      <c r="H352" s="22">
        <v>69</v>
      </c>
      <c r="J352" s="10">
        <v>82</v>
      </c>
      <c r="K352" s="10">
        <v>2</v>
      </c>
      <c r="L352" s="10">
        <v>152</v>
      </c>
      <c r="M352" s="10">
        <v>76</v>
      </c>
      <c r="N352" s="10">
        <v>2</v>
      </c>
      <c r="Q352" s="9" t="s">
        <v>55</v>
      </c>
      <c r="R352" s="9">
        <v>264.5</v>
      </c>
      <c r="S352" s="9">
        <v>338</v>
      </c>
      <c r="T352" s="9">
        <v>201.58333333333334</v>
      </c>
    </row>
    <row r="353" spans="1:20" x14ac:dyDescent="0.25">
      <c r="A353" s="21" t="s">
        <v>5</v>
      </c>
      <c r="B353" s="21" t="s">
        <v>31</v>
      </c>
      <c r="C353" s="21" t="s">
        <v>45</v>
      </c>
      <c r="D353" s="21" t="s">
        <v>35</v>
      </c>
      <c r="E353" s="21" t="s">
        <v>34</v>
      </c>
      <c r="F353" s="22">
        <v>66</v>
      </c>
      <c r="G353" s="22">
        <v>57</v>
      </c>
      <c r="H353" s="22">
        <v>52</v>
      </c>
      <c r="J353" s="10">
        <v>41</v>
      </c>
      <c r="K353" s="10">
        <v>2</v>
      </c>
      <c r="L353" s="10">
        <v>106</v>
      </c>
      <c r="M353" s="10">
        <v>53</v>
      </c>
      <c r="N353" s="10">
        <v>8</v>
      </c>
      <c r="Q353" s="9"/>
      <c r="R353" s="9"/>
      <c r="S353" s="9"/>
      <c r="T353" s="9"/>
    </row>
    <row r="354" spans="1:20" x14ac:dyDescent="0.25">
      <c r="A354" s="21" t="s">
        <v>4</v>
      </c>
      <c r="B354" s="21" t="s">
        <v>29</v>
      </c>
      <c r="C354" s="21" t="s">
        <v>45</v>
      </c>
      <c r="D354" s="21" t="s">
        <v>35</v>
      </c>
      <c r="E354" s="21" t="s">
        <v>33</v>
      </c>
      <c r="F354" s="22">
        <v>63</v>
      </c>
      <c r="G354" s="22">
        <v>78</v>
      </c>
      <c r="H354" s="22">
        <v>80</v>
      </c>
      <c r="J354" s="10">
        <v>71</v>
      </c>
      <c r="K354" s="10">
        <v>2</v>
      </c>
      <c r="L354" s="10">
        <v>121</v>
      </c>
      <c r="M354" s="10">
        <v>60.5</v>
      </c>
      <c r="N354" s="10">
        <v>0.5</v>
      </c>
      <c r="Q354" s="14">
        <v>75</v>
      </c>
      <c r="R354" s="14"/>
      <c r="S354" s="14"/>
      <c r="T354" s="14"/>
    </row>
    <row r="355" spans="1:20" x14ac:dyDescent="0.25">
      <c r="A355" s="21" t="s">
        <v>4</v>
      </c>
      <c r="B355" s="21" t="s">
        <v>29</v>
      </c>
      <c r="C355" s="21" t="s">
        <v>14</v>
      </c>
      <c r="D355" s="21" t="s">
        <v>35</v>
      </c>
      <c r="E355" s="21" t="s">
        <v>34</v>
      </c>
      <c r="F355" s="22">
        <v>46</v>
      </c>
      <c r="G355" s="22">
        <v>58</v>
      </c>
      <c r="H355" s="22">
        <v>57</v>
      </c>
      <c r="J355" s="10">
        <v>47</v>
      </c>
      <c r="K355" s="10">
        <v>2</v>
      </c>
      <c r="L355" s="10">
        <v>72</v>
      </c>
      <c r="M355" s="10">
        <v>36</v>
      </c>
      <c r="N355" s="10">
        <v>2</v>
      </c>
      <c r="Q355" s="9" t="s">
        <v>52</v>
      </c>
      <c r="R355" s="9">
        <v>2</v>
      </c>
      <c r="S355" s="9">
        <v>2</v>
      </c>
      <c r="T355" s="9">
        <v>4</v>
      </c>
    </row>
    <row r="356" spans="1:20" x14ac:dyDescent="0.25">
      <c r="A356" s="21" t="s">
        <v>4</v>
      </c>
      <c r="B356" s="21" t="s">
        <v>29</v>
      </c>
      <c r="C356" s="21" t="s">
        <v>45</v>
      </c>
      <c r="D356" s="21" t="s">
        <v>35</v>
      </c>
      <c r="E356" s="21" t="s">
        <v>34</v>
      </c>
      <c r="F356" s="22">
        <v>59</v>
      </c>
      <c r="G356" s="22">
        <v>71</v>
      </c>
      <c r="H356" s="22">
        <v>70</v>
      </c>
      <c r="J356" s="10">
        <v>62</v>
      </c>
      <c r="K356" s="10">
        <v>2</v>
      </c>
      <c r="L356" s="10">
        <v>109</v>
      </c>
      <c r="M356" s="10">
        <v>54.5</v>
      </c>
      <c r="N356" s="10">
        <v>4.5</v>
      </c>
      <c r="Q356" s="9" t="s">
        <v>53</v>
      </c>
      <c r="R356" s="9">
        <v>167</v>
      </c>
      <c r="S356" s="9">
        <v>161</v>
      </c>
      <c r="T356" s="9">
        <v>328</v>
      </c>
    </row>
    <row r="357" spans="1:20" x14ac:dyDescent="0.25">
      <c r="A357" s="21" t="s">
        <v>4</v>
      </c>
      <c r="B357" s="21" t="s">
        <v>28</v>
      </c>
      <c r="C357" s="21" t="s">
        <v>43</v>
      </c>
      <c r="D357" s="21" t="s">
        <v>35</v>
      </c>
      <c r="E357" s="21" t="s">
        <v>34</v>
      </c>
      <c r="F357" s="22">
        <v>61</v>
      </c>
      <c r="G357" s="22">
        <v>72</v>
      </c>
      <c r="H357" s="22">
        <v>70</v>
      </c>
      <c r="J357" s="10">
        <v>90</v>
      </c>
      <c r="K357" s="10">
        <v>2</v>
      </c>
      <c r="L357" s="10">
        <v>159</v>
      </c>
      <c r="M357" s="10">
        <v>79.5</v>
      </c>
      <c r="N357" s="10">
        <v>4.5</v>
      </c>
      <c r="Q357" s="9" t="s">
        <v>54</v>
      </c>
      <c r="R357" s="9">
        <v>83.5</v>
      </c>
      <c r="S357" s="9">
        <v>80.5</v>
      </c>
      <c r="T357" s="9">
        <v>82</v>
      </c>
    </row>
    <row r="358" spans="1:20" x14ac:dyDescent="0.25">
      <c r="A358" s="21" t="s">
        <v>5</v>
      </c>
      <c r="B358" s="21" t="s">
        <v>27</v>
      </c>
      <c r="C358" s="21" t="s">
        <v>14</v>
      </c>
      <c r="D358" s="21" t="s">
        <v>35</v>
      </c>
      <c r="E358" s="21" t="s">
        <v>34</v>
      </c>
      <c r="F358" s="22">
        <v>63</v>
      </c>
      <c r="G358" s="22">
        <v>61</v>
      </c>
      <c r="H358" s="22">
        <v>61</v>
      </c>
      <c r="J358" s="10">
        <v>83</v>
      </c>
      <c r="K358" s="10">
        <v>2</v>
      </c>
      <c r="L358" s="10">
        <v>188</v>
      </c>
      <c r="M358" s="10">
        <v>94</v>
      </c>
      <c r="N358" s="10">
        <v>2</v>
      </c>
      <c r="Q358" s="9" t="s">
        <v>55</v>
      </c>
      <c r="R358" s="9">
        <v>4.5</v>
      </c>
      <c r="S358" s="9">
        <v>4.5</v>
      </c>
      <c r="T358" s="9">
        <v>6</v>
      </c>
    </row>
    <row r="359" spans="1:20" x14ac:dyDescent="0.25">
      <c r="A359" s="21" t="s">
        <v>4</v>
      </c>
      <c r="B359" s="21" t="s">
        <v>29</v>
      </c>
      <c r="C359" s="21" t="s">
        <v>45</v>
      </c>
      <c r="D359" s="21" t="s">
        <v>32</v>
      </c>
      <c r="E359" s="21" t="s">
        <v>33</v>
      </c>
      <c r="F359" s="22">
        <v>42</v>
      </c>
      <c r="G359" s="22">
        <v>66</v>
      </c>
      <c r="H359" s="22">
        <v>69</v>
      </c>
      <c r="J359" s="10">
        <v>61</v>
      </c>
      <c r="K359" s="10">
        <v>2</v>
      </c>
      <c r="L359" s="10">
        <v>134</v>
      </c>
      <c r="M359" s="10">
        <v>67</v>
      </c>
      <c r="N359" s="10">
        <v>2</v>
      </c>
      <c r="Q359" s="9"/>
      <c r="R359" s="9"/>
      <c r="S359" s="9"/>
      <c r="T359" s="9"/>
    </row>
    <row r="360" spans="1:20" x14ac:dyDescent="0.25">
      <c r="A360" s="21" t="s">
        <v>5</v>
      </c>
      <c r="B360" s="21" t="s">
        <v>30</v>
      </c>
      <c r="C360" s="21" t="s">
        <v>45</v>
      </c>
      <c r="D360" s="21" t="s">
        <v>32</v>
      </c>
      <c r="E360" s="21" t="s">
        <v>34</v>
      </c>
      <c r="F360" s="22">
        <v>59</v>
      </c>
      <c r="G360" s="22">
        <v>62</v>
      </c>
      <c r="H360" s="22">
        <v>61</v>
      </c>
      <c r="J360" s="10">
        <v>76</v>
      </c>
      <c r="K360" s="10">
        <v>2</v>
      </c>
      <c r="L360" s="10">
        <v>139</v>
      </c>
      <c r="M360" s="10">
        <v>69.5</v>
      </c>
      <c r="N360" s="10">
        <v>0.5</v>
      </c>
      <c r="Q360" s="14">
        <v>51</v>
      </c>
      <c r="R360" s="14"/>
      <c r="S360" s="14"/>
      <c r="T360" s="14"/>
    </row>
    <row r="361" spans="1:20" x14ac:dyDescent="0.25">
      <c r="A361" s="21" t="s">
        <v>4</v>
      </c>
      <c r="B361" s="21" t="s">
        <v>30</v>
      </c>
      <c r="C361" s="21" t="s">
        <v>45</v>
      </c>
      <c r="D361" s="21" t="s">
        <v>35</v>
      </c>
      <c r="E361" s="21" t="s">
        <v>34</v>
      </c>
      <c r="F361" s="22">
        <v>80</v>
      </c>
      <c r="G361" s="22">
        <v>90</v>
      </c>
      <c r="H361" s="22">
        <v>89</v>
      </c>
      <c r="J361" s="10">
        <v>49</v>
      </c>
      <c r="K361" s="10">
        <v>2</v>
      </c>
      <c r="L361" s="10">
        <v>94</v>
      </c>
      <c r="M361" s="10">
        <v>47</v>
      </c>
      <c r="N361" s="10">
        <v>32</v>
      </c>
      <c r="Q361" s="9" t="s">
        <v>52</v>
      </c>
      <c r="R361" s="9">
        <v>2</v>
      </c>
      <c r="S361" s="9">
        <v>2</v>
      </c>
      <c r="T361" s="9">
        <v>4</v>
      </c>
    </row>
    <row r="362" spans="1:20" x14ac:dyDescent="0.25">
      <c r="A362" s="21" t="s">
        <v>4</v>
      </c>
      <c r="B362" s="21" t="s">
        <v>28</v>
      </c>
      <c r="C362" s="21" t="s">
        <v>15</v>
      </c>
      <c r="D362" s="21" t="s">
        <v>35</v>
      </c>
      <c r="E362" s="21" t="s">
        <v>34</v>
      </c>
      <c r="F362" s="22">
        <v>58</v>
      </c>
      <c r="G362" s="22">
        <v>62</v>
      </c>
      <c r="H362" s="22">
        <v>59</v>
      </c>
      <c r="J362" s="10">
        <v>24</v>
      </c>
      <c r="K362" s="10">
        <v>2</v>
      </c>
      <c r="L362" s="10">
        <v>65</v>
      </c>
      <c r="M362" s="10">
        <v>32.5</v>
      </c>
      <c r="N362" s="10">
        <v>60.5</v>
      </c>
      <c r="Q362" s="9" t="s">
        <v>53</v>
      </c>
      <c r="R362" s="9">
        <v>132</v>
      </c>
      <c r="S362" s="9">
        <v>126</v>
      </c>
      <c r="T362" s="9">
        <v>258</v>
      </c>
    </row>
    <row r="363" spans="1:20" x14ac:dyDescent="0.25">
      <c r="A363" s="21" t="s">
        <v>5</v>
      </c>
      <c r="B363" s="21" t="s">
        <v>28</v>
      </c>
      <c r="C363" s="21" t="s">
        <v>17</v>
      </c>
      <c r="D363" s="21" t="s">
        <v>35</v>
      </c>
      <c r="E363" s="21" t="s">
        <v>33</v>
      </c>
      <c r="F363" s="22">
        <v>85</v>
      </c>
      <c r="G363" s="22">
        <v>84</v>
      </c>
      <c r="H363" s="22">
        <v>78</v>
      </c>
      <c r="J363" s="10">
        <v>35</v>
      </c>
      <c r="K363" s="10">
        <v>2</v>
      </c>
      <c r="L363" s="10">
        <v>115</v>
      </c>
      <c r="M363" s="10">
        <v>57.5</v>
      </c>
      <c r="N363" s="10">
        <v>12.5</v>
      </c>
      <c r="Q363" s="9" t="s">
        <v>54</v>
      </c>
      <c r="R363" s="9">
        <v>66</v>
      </c>
      <c r="S363" s="9">
        <v>63</v>
      </c>
      <c r="T363" s="9">
        <v>64.5</v>
      </c>
    </row>
    <row r="364" spans="1:20" x14ac:dyDescent="0.25">
      <c r="A364" s="21" t="s">
        <v>4</v>
      </c>
      <c r="B364" s="21" t="s">
        <v>29</v>
      </c>
      <c r="C364" s="21" t="s">
        <v>45</v>
      </c>
      <c r="D364" s="21" t="s">
        <v>35</v>
      </c>
      <c r="E364" s="21" t="s">
        <v>34</v>
      </c>
      <c r="F364" s="22">
        <v>52</v>
      </c>
      <c r="G364" s="22">
        <v>58</v>
      </c>
      <c r="H364" s="22">
        <v>58</v>
      </c>
      <c r="J364" s="10">
        <v>58</v>
      </c>
      <c r="K364" s="10">
        <v>2</v>
      </c>
      <c r="L364" s="10">
        <v>113</v>
      </c>
      <c r="M364" s="10">
        <v>56.5</v>
      </c>
      <c r="N364" s="10">
        <v>40.5</v>
      </c>
      <c r="Q364" s="9" t="s">
        <v>55</v>
      </c>
      <c r="R364" s="9">
        <v>18</v>
      </c>
      <c r="S364" s="9">
        <v>8</v>
      </c>
      <c r="T364" s="9">
        <v>11.666666666666666</v>
      </c>
    </row>
    <row r="365" spans="1:20" x14ac:dyDescent="0.25">
      <c r="A365" s="21" t="s">
        <v>4</v>
      </c>
      <c r="B365" s="21" t="s">
        <v>30</v>
      </c>
      <c r="C365" s="21" t="s">
        <v>17</v>
      </c>
      <c r="D365" s="21" t="s">
        <v>32</v>
      </c>
      <c r="E365" s="21" t="s">
        <v>34</v>
      </c>
      <c r="F365" s="22">
        <v>27</v>
      </c>
      <c r="G365" s="22">
        <v>34</v>
      </c>
      <c r="H365" s="22">
        <v>32</v>
      </c>
      <c r="J365" s="10">
        <v>61</v>
      </c>
      <c r="K365" s="10">
        <v>2</v>
      </c>
      <c r="L365" s="10">
        <v>136</v>
      </c>
      <c r="M365" s="10">
        <v>68</v>
      </c>
      <c r="N365" s="10">
        <v>50</v>
      </c>
      <c r="Q365" s="9"/>
      <c r="R365" s="9"/>
      <c r="S365" s="9"/>
      <c r="T365" s="9"/>
    </row>
    <row r="366" spans="1:20" x14ac:dyDescent="0.25">
      <c r="A366" s="21" t="s">
        <v>5</v>
      </c>
      <c r="B366" s="21" t="s">
        <v>29</v>
      </c>
      <c r="C366" s="21" t="s">
        <v>45</v>
      </c>
      <c r="D366" s="21" t="s">
        <v>35</v>
      </c>
      <c r="E366" s="21" t="s">
        <v>34</v>
      </c>
      <c r="F366" s="22">
        <v>59</v>
      </c>
      <c r="G366" s="22">
        <v>60</v>
      </c>
      <c r="H366" s="22">
        <v>58</v>
      </c>
      <c r="J366" s="10">
        <v>69</v>
      </c>
      <c r="K366" s="10">
        <v>2</v>
      </c>
      <c r="L366" s="10">
        <v>150</v>
      </c>
      <c r="M366" s="10">
        <v>75</v>
      </c>
      <c r="N366" s="10">
        <v>2</v>
      </c>
      <c r="Q366" s="14">
        <v>79</v>
      </c>
      <c r="R366" s="14"/>
      <c r="S366" s="14"/>
      <c r="T366" s="14"/>
    </row>
    <row r="367" spans="1:20" x14ac:dyDescent="0.25">
      <c r="A367" s="21" t="s">
        <v>5</v>
      </c>
      <c r="B367" s="21" t="s">
        <v>27</v>
      </c>
      <c r="C367" s="21" t="s">
        <v>43</v>
      </c>
      <c r="D367" s="21" t="s">
        <v>32</v>
      </c>
      <c r="E367" s="21" t="s">
        <v>33</v>
      </c>
      <c r="F367" s="22">
        <v>49</v>
      </c>
      <c r="G367" s="22">
        <v>58</v>
      </c>
      <c r="H367" s="22">
        <v>60</v>
      </c>
      <c r="J367" s="10">
        <v>67</v>
      </c>
      <c r="K367" s="10">
        <v>2</v>
      </c>
      <c r="L367" s="10">
        <v>139</v>
      </c>
      <c r="M367" s="10">
        <v>69.5</v>
      </c>
      <c r="N367" s="10">
        <v>12.5</v>
      </c>
      <c r="Q367" s="9" t="s">
        <v>52</v>
      </c>
      <c r="R367" s="9">
        <v>2</v>
      </c>
      <c r="S367" s="9">
        <v>2</v>
      </c>
      <c r="T367" s="9">
        <v>4</v>
      </c>
    </row>
    <row r="368" spans="1:20" x14ac:dyDescent="0.25">
      <c r="A368" s="21" t="s">
        <v>5</v>
      </c>
      <c r="B368" s="21" t="s">
        <v>29</v>
      </c>
      <c r="C368" s="21" t="s">
        <v>15</v>
      </c>
      <c r="D368" s="21" t="s">
        <v>35</v>
      </c>
      <c r="E368" s="21" t="s">
        <v>33</v>
      </c>
      <c r="F368" s="22">
        <v>69</v>
      </c>
      <c r="G368" s="22">
        <v>58</v>
      </c>
      <c r="H368" s="22">
        <v>53</v>
      </c>
      <c r="J368" s="10">
        <v>79</v>
      </c>
      <c r="K368" s="10">
        <v>2</v>
      </c>
      <c r="L368" s="10">
        <v>140</v>
      </c>
      <c r="M368" s="10">
        <v>70</v>
      </c>
      <c r="N368" s="10">
        <v>18</v>
      </c>
      <c r="Q368" s="9" t="s">
        <v>53</v>
      </c>
      <c r="R368" s="9">
        <v>181</v>
      </c>
      <c r="S368" s="9">
        <v>181</v>
      </c>
      <c r="T368" s="9">
        <v>362</v>
      </c>
    </row>
    <row r="369" spans="1:20" x14ac:dyDescent="0.25">
      <c r="A369" s="21" t="s">
        <v>5</v>
      </c>
      <c r="B369" s="21" t="s">
        <v>29</v>
      </c>
      <c r="C369" s="21" t="s">
        <v>43</v>
      </c>
      <c r="D369" s="21" t="s">
        <v>32</v>
      </c>
      <c r="E369" s="21" t="s">
        <v>34</v>
      </c>
      <c r="F369" s="22">
        <v>61</v>
      </c>
      <c r="G369" s="22">
        <v>66</v>
      </c>
      <c r="H369" s="22">
        <v>61</v>
      </c>
      <c r="J369" s="10">
        <v>72</v>
      </c>
      <c r="K369" s="10">
        <v>2</v>
      </c>
      <c r="L369" s="10">
        <v>155</v>
      </c>
      <c r="M369" s="10">
        <v>77.5</v>
      </c>
      <c r="N369" s="10">
        <v>12.5</v>
      </c>
      <c r="Q369" s="9" t="s">
        <v>54</v>
      </c>
      <c r="R369" s="9">
        <v>90.5</v>
      </c>
      <c r="S369" s="9">
        <v>90.5</v>
      </c>
      <c r="T369" s="9">
        <v>90.5</v>
      </c>
    </row>
    <row r="370" spans="1:20" x14ac:dyDescent="0.25">
      <c r="A370" s="21" t="s">
        <v>4</v>
      </c>
      <c r="B370" s="21" t="s">
        <v>27</v>
      </c>
      <c r="C370" s="21" t="s">
        <v>17</v>
      </c>
      <c r="D370" s="21" t="s">
        <v>32</v>
      </c>
      <c r="E370" s="21" t="s">
        <v>34</v>
      </c>
      <c r="F370" s="22">
        <v>44</v>
      </c>
      <c r="G370" s="22">
        <v>64</v>
      </c>
      <c r="H370" s="22">
        <v>58</v>
      </c>
      <c r="J370" s="10">
        <v>62</v>
      </c>
      <c r="K370" s="10">
        <v>2</v>
      </c>
      <c r="L370" s="10">
        <v>118</v>
      </c>
      <c r="M370" s="10">
        <v>59</v>
      </c>
      <c r="N370" s="10">
        <v>8</v>
      </c>
      <c r="Q370" s="9" t="s">
        <v>55</v>
      </c>
      <c r="R370" s="9">
        <v>4.5</v>
      </c>
      <c r="S370" s="9">
        <v>4.5</v>
      </c>
      <c r="T370" s="9">
        <v>3</v>
      </c>
    </row>
    <row r="371" spans="1:20" x14ac:dyDescent="0.25">
      <c r="A371" s="21" t="s">
        <v>4</v>
      </c>
      <c r="B371" s="21" t="s">
        <v>30</v>
      </c>
      <c r="C371" s="21" t="s">
        <v>17</v>
      </c>
      <c r="D371" s="21" t="s">
        <v>35</v>
      </c>
      <c r="E371" s="21" t="s">
        <v>34</v>
      </c>
      <c r="F371" s="22">
        <v>73</v>
      </c>
      <c r="G371" s="22">
        <v>84</v>
      </c>
      <c r="H371" s="22">
        <v>85</v>
      </c>
      <c r="J371" s="10">
        <v>77</v>
      </c>
      <c r="K371" s="10">
        <v>2</v>
      </c>
      <c r="L371" s="10">
        <v>189</v>
      </c>
      <c r="M371" s="10">
        <v>94.5</v>
      </c>
      <c r="N371" s="10">
        <v>0.5</v>
      </c>
      <c r="Q371" s="9"/>
      <c r="R371" s="9"/>
      <c r="S371" s="9"/>
      <c r="T371" s="9"/>
    </row>
    <row r="372" spans="1:20" x14ac:dyDescent="0.25">
      <c r="A372" s="21" t="s">
        <v>5</v>
      </c>
      <c r="B372" s="21" t="s">
        <v>31</v>
      </c>
      <c r="C372" s="21" t="s">
        <v>45</v>
      </c>
      <c r="D372" s="21" t="s">
        <v>35</v>
      </c>
      <c r="E372" s="21" t="s">
        <v>34</v>
      </c>
      <c r="F372" s="22">
        <v>84</v>
      </c>
      <c r="G372" s="22">
        <v>77</v>
      </c>
      <c r="H372" s="22">
        <v>71</v>
      </c>
      <c r="J372" s="10">
        <v>75</v>
      </c>
      <c r="K372" s="10">
        <v>2</v>
      </c>
      <c r="L372" s="10">
        <v>140</v>
      </c>
      <c r="M372" s="10">
        <v>70</v>
      </c>
      <c r="N372" s="10">
        <v>32</v>
      </c>
      <c r="Q372" s="14">
        <v>88</v>
      </c>
      <c r="R372" s="14"/>
      <c r="S372" s="14"/>
      <c r="T372" s="14"/>
    </row>
    <row r="373" spans="1:20" x14ac:dyDescent="0.25">
      <c r="A373" s="21" t="s">
        <v>4</v>
      </c>
      <c r="B373" s="21" t="s">
        <v>29</v>
      </c>
      <c r="C373" s="21" t="s">
        <v>45</v>
      </c>
      <c r="D373" s="21" t="s">
        <v>32</v>
      </c>
      <c r="E373" s="21" t="s">
        <v>33</v>
      </c>
      <c r="F373" s="22">
        <v>45</v>
      </c>
      <c r="G373" s="22">
        <v>73</v>
      </c>
      <c r="H373" s="22">
        <v>70</v>
      </c>
      <c r="J373" s="10">
        <v>87</v>
      </c>
      <c r="K373" s="10">
        <v>2</v>
      </c>
      <c r="L373" s="10">
        <v>150</v>
      </c>
      <c r="M373" s="10">
        <v>75</v>
      </c>
      <c r="N373" s="10">
        <v>2</v>
      </c>
      <c r="Q373" s="9" t="s">
        <v>52</v>
      </c>
      <c r="R373" s="9">
        <v>2</v>
      </c>
      <c r="S373" s="9">
        <v>2</v>
      </c>
      <c r="T373" s="9">
        <v>4</v>
      </c>
    </row>
    <row r="374" spans="1:20" x14ac:dyDescent="0.25">
      <c r="A374" s="21" t="s">
        <v>5</v>
      </c>
      <c r="B374" s="21" t="s">
        <v>30</v>
      </c>
      <c r="C374" s="21" t="s">
        <v>17</v>
      </c>
      <c r="D374" s="21" t="s">
        <v>35</v>
      </c>
      <c r="E374" s="21" t="s">
        <v>34</v>
      </c>
      <c r="F374" s="22">
        <v>74</v>
      </c>
      <c r="G374" s="22">
        <v>74</v>
      </c>
      <c r="H374" s="22">
        <v>72</v>
      </c>
      <c r="J374" s="10">
        <v>52</v>
      </c>
      <c r="K374" s="10">
        <v>2</v>
      </c>
      <c r="L374" s="10">
        <v>134</v>
      </c>
      <c r="M374" s="10">
        <v>67</v>
      </c>
      <c r="N374" s="10">
        <v>8</v>
      </c>
      <c r="Q374" s="9" t="s">
        <v>53</v>
      </c>
      <c r="R374" s="9">
        <v>150</v>
      </c>
      <c r="S374" s="9">
        <v>149</v>
      </c>
      <c r="T374" s="9">
        <v>299</v>
      </c>
    </row>
    <row r="375" spans="1:20" x14ac:dyDescent="0.25">
      <c r="A375" s="21" t="s">
        <v>4</v>
      </c>
      <c r="B375" s="21" t="s">
        <v>30</v>
      </c>
      <c r="C375" s="21" t="s">
        <v>45</v>
      </c>
      <c r="D375" s="21" t="s">
        <v>35</v>
      </c>
      <c r="E375" s="21" t="s">
        <v>33</v>
      </c>
      <c r="F375" s="22">
        <v>82</v>
      </c>
      <c r="G375" s="22">
        <v>97</v>
      </c>
      <c r="H375" s="22">
        <v>96</v>
      </c>
      <c r="J375" s="10">
        <v>66</v>
      </c>
      <c r="K375" s="10">
        <v>2</v>
      </c>
      <c r="L375" s="10">
        <v>109</v>
      </c>
      <c r="M375" s="10">
        <v>54.5</v>
      </c>
      <c r="N375" s="10">
        <v>12.5</v>
      </c>
      <c r="Q375" s="9" t="s">
        <v>54</v>
      </c>
      <c r="R375" s="9">
        <v>75</v>
      </c>
      <c r="S375" s="9">
        <v>74.5</v>
      </c>
      <c r="T375" s="9">
        <v>74.75</v>
      </c>
    </row>
    <row r="376" spans="1:20" x14ac:dyDescent="0.25">
      <c r="A376" s="21" t="s">
        <v>4</v>
      </c>
      <c r="B376" s="21" t="s">
        <v>30</v>
      </c>
      <c r="C376" s="21" t="s">
        <v>43</v>
      </c>
      <c r="D376" s="21" t="s">
        <v>35</v>
      </c>
      <c r="E376" s="21" t="s">
        <v>34</v>
      </c>
      <c r="F376" s="22">
        <v>59</v>
      </c>
      <c r="G376" s="22">
        <v>70</v>
      </c>
      <c r="H376" s="22">
        <v>73</v>
      </c>
      <c r="J376" s="10">
        <v>63</v>
      </c>
      <c r="K376" s="10">
        <v>2</v>
      </c>
      <c r="L376" s="10">
        <v>158</v>
      </c>
      <c r="M376" s="10">
        <v>79</v>
      </c>
      <c r="N376" s="10">
        <v>2</v>
      </c>
      <c r="Q376" s="9" t="s">
        <v>55</v>
      </c>
      <c r="R376" s="9">
        <v>648</v>
      </c>
      <c r="S376" s="9">
        <v>684.5</v>
      </c>
      <c r="T376" s="9">
        <v>444.25</v>
      </c>
    </row>
    <row r="377" spans="1:20" x14ac:dyDescent="0.25">
      <c r="A377" s="21" t="s">
        <v>5</v>
      </c>
      <c r="B377" s="21" t="s">
        <v>31</v>
      </c>
      <c r="C377" s="21" t="s">
        <v>14</v>
      </c>
      <c r="D377" s="21" t="s">
        <v>32</v>
      </c>
      <c r="E377" s="21" t="s">
        <v>34</v>
      </c>
      <c r="F377" s="22">
        <v>46</v>
      </c>
      <c r="G377" s="22">
        <v>43</v>
      </c>
      <c r="H377" s="22">
        <v>41</v>
      </c>
      <c r="J377" s="10">
        <v>46</v>
      </c>
      <c r="K377" s="10">
        <v>2</v>
      </c>
      <c r="L377" s="10">
        <v>115</v>
      </c>
      <c r="M377" s="10">
        <v>57.5</v>
      </c>
      <c r="N377" s="10">
        <v>0.5</v>
      </c>
      <c r="Q377" s="9"/>
      <c r="R377" s="9"/>
      <c r="S377" s="9"/>
      <c r="T377" s="9"/>
    </row>
    <row r="378" spans="1:20" x14ac:dyDescent="0.25">
      <c r="A378" s="21" t="s">
        <v>4</v>
      </c>
      <c r="B378" s="21" t="s">
        <v>30</v>
      </c>
      <c r="C378" s="21" t="s">
        <v>17</v>
      </c>
      <c r="D378" s="21" t="s">
        <v>35</v>
      </c>
      <c r="E378" s="21" t="s">
        <v>34</v>
      </c>
      <c r="F378" s="22">
        <v>80</v>
      </c>
      <c r="G378" s="22">
        <v>90</v>
      </c>
      <c r="H378" s="22">
        <v>82</v>
      </c>
      <c r="J378" s="10">
        <v>59</v>
      </c>
      <c r="K378" s="10">
        <v>2</v>
      </c>
      <c r="L378" s="10">
        <v>141</v>
      </c>
      <c r="M378" s="10">
        <v>70.5</v>
      </c>
      <c r="N378" s="10">
        <v>0.5</v>
      </c>
      <c r="Q378" s="14">
        <v>83</v>
      </c>
      <c r="R378" s="14"/>
      <c r="S378" s="14"/>
      <c r="T378" s="14"/>
    </row>
    <row r="379" spans="1:20" x14ac:dyDescent="0.25">
      <c r="A379" s="21" t="s">
        <v>4</v>
      </c>
      <c r="B379" s="21" t="s">
        <v>30</v>
      </c>
      <c r="C379" s="21" t="s">
        <v>16</v>
      </c>
      <c r="D379" s="21" t="s">
        <v>32</v>
      </c>
      <c r="E379" s="21" t="s">
        <v>33</v>
      </c>
      <c r="F379" s="22">
        <v>85</v>
      </c>
      <c r="G379" s="22">
        <v>95</v>
      </c>
      <c r="H379" s="22">
        <v>100</v>
      </c>
      <c r="J379" s="10">
        <v>61</v>
      </c>
      <c r="K379" s="10">
        <v>2</v>
      </c>
      <c r="L379" s="10">
        <v>142</v>
      </c>
      <c r="M379" s="10">
        <v>71</v>
      </c>
      <c r="N379" s="10">
        <v>2</v>
      </c>
      <c r="Q379" s="9" t="s">
        <v>52</v>
      </c>
      <c r="R379" s="9">
        <v>2</v>
      </c>
      <c r="S379" s="9">
        <v>2</v>
      </c>
      <c r="T379" s="9">
        <v>4</v>
      </c>
    </row>
    <row r="380" spans="1:20" x14ac:dyDescent="0.25">
      <c r="A380" s="21" t="s">
        <v>4</v>
      </c>
      <c r="B380" s="21" t="s">
        <v>27</v>
      </c>
      <c r="C380" s="21" t="s">
        <v>17</v>
      </c>
      <c r="D380" s="21" t="s">
        <v>35</v>
      </c>
      <c r="E380" s="21" t="s">
        <v>34</v>
      </c>
      <c r="F380" s="22">
        <v>71</v>
      </c>
      <c r="G380" s="22">
        <v>83</v>
      </c>
      <c r="H380" s="22">
        <v>77</v>
      </c>
      <c r="J380" s="10">
        <v>63</v>
      </c>
      <c r="K380" s="10">
        <v>2</v>
      </c>
      <c r="L380" s="10">
        <v>122</v>
      </c>
      <c r="M380" s="10">
        <v>61</v>
      </c>
      <c r="N380" s="10">
        <v>0</v>
      </c>
      <c r="Q380" s="9" t="s">
        <v>53</v>
      </c>
      <c r="R380" s="9">
        <v>175</v>
      </c>
      <c r="S380" s="9">
        <v>159</v>
      </c>
      <c r="T380" s="9">
        <v>334</v>
      </c>
    </row>
    <row r="381" spans="1:20" x14ac:dyDescent="0.25">
      <c r="A381" s="21" t="s">
        <v>5</v>
      </c>
      <c r="B381" s="21" t="s">
        <v>27</v>
      </c>
      <c r="C381" s="21" t="s">
        <v>43</v>
      </c>
      <c r="D381" s="21" t="s">
        <v>35</v>
      </c>
      <c r="E381" s="21" t="s">
        <v>34</v>
      </c>
      <c r="F381" s="22">
        <v>66</v>
      </c>
      <c r="G381" s="22">
        <v>64</v>
      </c>
      <c r="H381" s="22">
        <v>62</v>
      </c>
      <c r="J381" s="10">
        <v>42</v>
      </c>
      <c r="K381" s="10">
        <v>2</v>
      </c>
      <c r="L381" s="10">
        <v>135</v>
      </c>
      <c r="M381" s="10">
        <v>67.5</v>
      </c>
      <c r="N381" s="10">
        <v>4.5</v>
      </c>
      <c r="Q381" s="9" t="s">
        <v>54</v>
      </c>
      <c r="R381" s="9">
        <v>87.5</v>
      </c>
      <c r="S381" s="9">
        <v>79.5</v>
      </c>
      <c r="T381" s="9">
        <v>83.5</v>
      </c>
    </row>
    <row r="382" spans="1:20" x14ac:dyDescent="0.25">
      <c r="A382" s="21" t="s">
        <v>4</v>
      </c>
      <c r="B382" s="21" t="s">
        <v>28</v>
      </c>
      <c r="C382" s="21" t="s">
        <v>14</v>
      </c>
      <c r="D382" s="21" t="s">
        <v>35</v>
      </c>
      <c r="E382" s="21" t="s">
        <v>34</v>
      </c>
      <c r="F382" s="22">
        <v>80</v>
      </c>
      <c r="G382" s="22">
        <v>86</v>
      </c>
      <c r="H382" s="22">
        <v>83</v>
      </c>
      <c r="J382" s="10">
        <v>59</v>
      </c>
      <c r="K382" s="10">
        <v>2</v>
      </c>
      <c r="L382" s="10">
        <v>123</v>
      </c>
      <c r="M382" s="10">
        <v>61.5</v>
      </c>
      <c r="N382" s="10">
        <v>0.5</v>
      </c>
      <c r="Q382" s="9" t="s">
        <v>55</v>
      </c>
      <c r="R382" s="9">
        <v>112.5</v>
      </c>
      <c r="S382" s="9">
        <v>84.5</v>
      </c>
      <c r="T382" s="9">
        <v>87</v>
      </c>
    </row>
    <row r="383" spans="1:20" x14ac:dyDescent="0.25">
      <c r="A383" s="21" t="s">
        <v>5</v>
      </c>
      <c r="B383" s="21" t="s">
        <v>29</v>
      </c>
      <c r="C383" s="21" t="s">
        <v>14</v>
      </c>
      <c r="D383" s="21" t="s">
        <v>35</v>
      </c>
      <c r="E383" s="21" t="s">
        <v>33</v>
      </c>
      <c r="F383" s="22">
        <v>87</v>
      </c>
      <c r="G383" s="22">
        <v>100</v>
      </c>
      <c r="H383" s="22">
        <v>95</v>
      </c>
      <c r="J383" s="10">
        <v>80</v>
      </c>
      <c r="K383" s="10">
        <v>2</v>
      </c>
      <c r="L383" s="10">
        <v>179</v>
      </c>
      <c r="M383" s="10">
        <v>89.5</v>
      </c>
      <c r="N383" s="10">
        <v>0.5</v>
      </c>
      <c r="Q383" s="9"/>
      <c r="R383" s="9"/>
      <c r="S383" s="9"/>
      <c r="T383" s="9"/>
    </row>
    <row r="384" spans="1:20" x14ac:dyDescent="0.25">
      <c r="A384" s="21" t="s">
        <v>5</v>
      </c>
      <c r="B384" s="21" t="s">
        <v>29</v>
      </c>
      <c r="C384" s="21" t="s">
        <v>16</v>
      </c>
      <c r="D384" s="21" t="s">
        <v>32</v>
      </c>
      <c r="E384" s="21" t="s">
        <v>34</v>
      </c>
      <c r="F384" s="22">
        <v>79</v>
      </c>
      <c r="G384" s="22">
        <v>81</v>
      </c>
      <c r="H384" s="22">
        <v>71</v>
      </c>
      <c r="J384" s="10">
        <v>58</v>
      </c>
      <c r="K384" s="10">
        <v>2</v>
      </c>
      <c r="L384" s="10">
        <v>121</v>
      </c>
      <c r="M384" s="10">
        <v>60.5</v>
      </c>
      <c r="N384" s="10">
        <v>4.5</v>
      </c>
      <c r="Q384" s="14">
        <v>72</v>
      </c>
      <c r="R384" s="14"/>
      <c r="S384" s="14"/>
      <c r="T384" s="14"/>
    </row>
    <row r="385" spans="1:20" x14ac:dyDescent="0.25">
      <c r="A385" s="21" t="s">
        <v>4</v>
      </c>
      <c r="B385" s="21" t="s">
        <v>31</v>
      </c>
      <c r="C385" s="21" t="s">
        <v>17</v>
      </c>
      <c r="D385" s="21" t="s">
        <v>32</v>
      </c>
      <c r="E385" s="21" t="s">
        <v>34</v>
      </c>
      <c r="F385" s="22">
        <v>38</v>
      </c>
      <c r="G385" s="22">
        <v>49</v>
      </c>
      <c r="H385" s="22">
        <v>45</v>
      </c>
      <c r="J385" s="10">
        <v>85</v>
      </c>
      <c r="K385" s="10">
        <v>2</v>
      </c>
      <c r="L385" s="10">
        <v>162</v>
      </c>
      <c r="M385" s="10">
        <v>81</v>
      </c>
      <c r="N385" s="10">
        <v>18</v>
      </c>
      <c r="Q385" s="9" t="s">
        <v>52</v>
      </c>
      <c r="R385" s="9">
        <v>2</v>
      </c>
      <c r="S385" s="9">
        <v>2</v>
      </c>
      <c r="T385" s="9">
        <v>4</v>
      </c>
    </row>
    <row r="386" spans="1:20" x14ac:dyDescent="0.25">
      <c r="A386" s="21" t="s">
        <v>4</v>
      </c>
      <c r="B386" s="21" t="s">
        <v>27</v>
      </c>
      <c r="C386" s="21" t="s">
        <v>17</v>
      </c>
      <c r="D386" s="21" t="s">
        <v>32</v>
      </c>
      <c r="E386" s="21" t="s">
        <v>34</v>
      </c>
      <c r="F386" s="22">
        <v>38</v>
      </c>
      <c r="G386" s="22">
        <v>43</v>
      </c>
      <c r="H386" s="22">
        <v>43</v>
      </c>
      <c r="J386" s="10">
        <v>52</v>
      </c>
      <c r="K386" s="10">
        <v>2</v>
      </c>
      <c r="L386" s="10">
        <v>116</v>
      </c>
      <c r="M386" s="10">
        <v>58</v>
      </c>
      <c r="N386" s="10">
        <v>0</v>
      </c>
      <c r="Q386" s="9" t="s">
        <v>53</v>
      </c>
      <c r="R386" s="9">
        <v>145</v>
      </c>
      <c r="S386" s="9">
        <v>141</v>
      </c>
      <c r="T386" s="9">
        <v>286</v>
      </c>
    </row>
    <row r="387" spans="1:20" x14ac:dyDescent="0.25">
      <c r="A387" s="21" t="s">
        <v>4</v>
      </c>
      <c r="B387" s="21" t="s">
        <v>31</v>
      </c>
      <c r="C387" s="21" t="s">
        <v>45</v>
      </c>
      <c r="D387" s="21" t="s">
        <v>35</v>
      </c>
      <c r="E387" s="21" t="s">
        <v>34</v>
      </c>
      <c r="F387" s="22">
        <v>67</v>
      </c>
      <c r="G387" s="22">
        <v>76</v>
      </c>
      <c r="H387" s="22">
        <v>75</v>
      </c>
      <c r="J387" s="10">
        <v>27</v>
      </c>
      <c r="K387" s="10">
        <v>2</v>
      </c>
      <c r="L387" s="10">
        <v>66</v>
      </c>
      <c r="M387" s="10">
        <v>33</v>
      </c>
      <c r="N387" s="10">
        <v>2</v>
      </c>
      <c r="Q387" s="9" t="s">
        <v>54</v>
      </c>
      <c r="R387" s="9">
        <v>72.5</v>
      </c>
      <c r="S387" s="9">
        <v>70.5</v>
      </c>
      <c r="T387" s="9">
        <v>71.5</v>
      </c>
    </row>
    <row r="388" spans="1:20" x14ac:dyDescent="0.25">
      <c r="A388" s="21" t="s">
        <v>4</v>
      </c>
      <c r="B388" s="21" t="s">
        <v>31</v>
      </c>
      <c r="C388" s="21" t="s">
        <v>43</v>
      </c>
      <c r="D388" s="21" t="s">
        <v>35</v>
      </c>
      <c r="E388" s="21" t="s">
        <v>34</v>
      </c>
      <c r="F388" s="22">
        <v>64</v>
      </c>
      <c r="G388" s="22">
        <v>73</v>
      </c>
      <c r="H388" s="22">
        <v>70</v>
      </c>
      <c r="J388" s="10">
        <v>59</v>
      </c>
      <c r="K388" s="10">
        <v>2</v>
      </c>
      <c r="L388" s="10">
        <v>118</v>
      </c>
      <c r="M388" s="10">
        <v>59</v>
      </c>
      <c r="N388" s="10">
        <v>2</v>
      </c>
      <c r="Q388" s="9" t="s">
        <v>55</v>
      </c>
      <c r="R388" s="9">
        <v>40.5</v>
      </c>
      <c r="S388" s="9">
        <v>24.5</v>
      </c>
      <c r="T388" s="9">
        <v>23</v>
      </c>
    </row>
    <row r="389" spans="1:20" x14ac:dyDescent="0.25">
      <c r="A389" s="21" t="s">
        <v>4</v>
      </c>
      <c r="B389" s="21" t="s">
        <v>29</v>
      </c>
      <c r="C389" s="21" t="s">
        <v>14</v>
      </c>
      <c r="D389" s="21" t="s">
        <v>32</v>
      </c>
      <c r="E389" s="21" t="s">
        <v>34</v>
      </c>
      <c r="F389" s="22">
        <v>57</v>
      </c>
      <c r="G389" s="22">
        <v>78</v>
      </c>
      <c r="H389" s="22">
        <v>67</v>
      </c>
      <c r="J389" s="10">
        <v>49</v>
      </c>
      <c r="K389" s="10">
        <v>2</v>
      </c>
      <c r="L389" s="10">
        <v>118</v>
      </c>
      <c r="M389" s="10">
        <v>59</v>
      </c>
      <c r="N389" s="10">
        <v>2</v>
      </c>
      <c r="Q389" s="9"/>
      <c r="R389" s="9"/>
      <c r="S389" s="9"/>
      <c r="T389" s="9"/>
    </row>
    <row r="390" spans="1:20" x14ac:dyDescent="0.25">
      <c r="A390" s="21" t="s">
        <v>4</v>
      </c>
      <c r="B390" s="21" t="s">
        <v>30</v>
      </c>
      <c r="C390" s="21" t="s">
        <v>15</v>
      </c>
      <c r="D390" s="21" t="s">
        <v>35</v>
      </c>
      <c r="E390" s="21" t="s">
        <v>34</v>
      </c>
      <c r="F390" s="22">
        <v>62</v>
      </c>
      <c r="G390" s="22">
        <v>64</v>
      </c>
      <c r="H390" s="22">
        <v>64</v>
      </c>
      <c r="J390" s="10">
        <v>69</v>
      </c>
      <c r="K390" s="10">
        <v>2</v>
      </c>
      <c r="L390" s="10">
        <v>111</v>
      </c>
      <c r="M390" s="10">
        <v>55.5</v>
      </c>
      <c r="N390" s="10">
        <v>12.5</v>
      </c>
      <c r="Q390" s="14">
        <v>82</v>
      </c>
      <c r="R390" s="14"/>
      <c r="S390" s="14"/>
      <c r="T390" s="14"/>
    </row>
    <row r="391" spans="1:20" x14ac:dyDescent="0.25">
      <c r="A391" s="21" t="s">
        <v>5</v>
      </c>
      <c r="B391" s="21" t="s">
        <v>30</v>
      </c>
      <c r="C391" s="21" t="s">
        <v>16</v>
      </c>
      <c r="D391" s="21" t="s">
        <v>35</v>
      </c>
      <c r="E391" s="21" t="s">
        <v>34</v>
      </c>
      <c r="F391" s="22">
        <v>73</v>
      </c>
      <c r="G391" s="22">
        <v>70</v>
      </c>
      <c r="H391" s="22">
        <v>75</v>
      </c>
      <c r="J391" s="10">
        <v>61</v>
      </c>
      <c r="K391" s="10">
        <v>2</v>
      </c>
      <c r="L391" s="10">
        <v>127</v>
      </c>
      <c r="M391" s="10">
        <v>63.5</v>
      </c>
      <c r="N391" s="10">
        <v>12.5</v>
      </c>
      <c r="Q391" s="9" t="s">
        <v>52</v>
      </c>
      <c r="R391" s="9">
        <v>2</v>
      </c>
      <c r="S391" s="9">
        <v>2</v>
      </c>
      <c r="T391" s="9">
        <v>4</v>
      </c>
    </row>
    <row r="392" spans="1:20" x14ac:dyDescent="0.25">
      <c r="A392" s="21" t="s">
        <v>5</v>
      </c>
      <c r="B392" s="21" t="s">
        <v>31</v>
      </c>
      <c r="C392" s="21" t="s">
        <v>17</v>
      </c>
      <c r="D392" s="21" t="s">
        <v>32</v>
      </c>
      <c r="E392" s="21" t="s">
        <v>33</v>
      </c>
      <c r="F392" s="22">
        <v>73</v>
      </c>
      <c r="G392" s="22">
        <v>67</v>
      </c>
      <c r="H392" s="22">
        <v>59</v>
      </c>
      <c r="J392" s="10">
        <v>44</v>
      </c>
      <c r="K392" s="10">
        <v>2</v>
      </c>
      <c r="L392" s="10">
        <v>122</v>
      </c>
      <c r="M392" s="10">
        <v>61</v>
      </c>
      <c r="N392" s="10">
        <v>18</v>
      </c>
      <c r="Q392" s="9" t="s">
        <v>53</v>
      </c>
      <c r="R392" s="9">
        <v>131</v>
      </c>
      <c r="S392" s="9">
        <v>125</v>
      </c>
      <c r="T392" s="9">
        <v>256</v>
      </c>
    </row>
    <row r="393" spans="1:20" x14ac:dyDescent="0.25">
      <c r="A393" s="21" t="s">
        <v>4</v>
      </c>
      <c r="B393" s="21" t="s">
        <v>30</v>
      </c>
      <c r="C393" s="21" t="s">
        <v>45</v>
      </c>
      <c r="D393" s="21" t="s">
        <v>35</v>
      </c>
      <c r="E393" s="21" t="s">
        <v>34</v>
      </c>
      <c r="F393" s="22">
        <v>77</v>
      </c>
      <c r="G393" s="22">
        <v>68</v>
      </c>
      <c r="H393" s="22">
        <v>77</v>
      </c>
      <c r="J393" s="10">
        <v>73</v>
      </c>
      <c r="K393" s="10">
        <v>2</v>
      </c>
      <c r="L393" s="10">
        <v>169</v>
      </c>
      <c r="M393" s="10">
        <v>84.5</v>
      </c>
      <c r="N393" s="10">
        <v>0.5</v>
      </c>
      <c r="Q393" s="9" t="s">
        <v>54</v>
      </c>
      <c r="R393" s="9">
        <v>65.5</v>
      </c>
      <c r="S393" s="9">
        <v>62.5</v>
      </c>
      <c r="T393" s="9">
        <v>64</v>
      </c>
    </row>
    <row r="394" spans="1:20" x14ac:dyDescent="0.25">
      <c r="A394" s="21" t="s">
        <v>5</v>
      </c>
      <c r="B394" s="21" t="s">
        <v>31</v>
      </c>
      <c r="C394" s="21" t="s">
        <v>45</v>
      </c>
      <c r="D394" s="21" t="s">
        <v>35</v>
      </c>
      <c r="E394" s="21" t="s">
        <v>34</v>
      </c>
      <c r="F394" s="22">
        <v>76</v>
      </c>
      <c r="G394" s="22">
        <v>67</v>
      </c>
      <c r="H394" s="22">
        <v>67</v>
      </c>
      <c r="J394" s="10">
        <v>84</v>
      </c>
      <c r="K394" s="10">
        <v>2</v>
      </c>
      <c r="L394" s="10">
        <v>148</v>
      </c>
      <c r="M394" s="10">
        <v>74</v>
      </c>
      <c r="N394" s="10">
        <v>18</v>
      </c>
      <c r="Q394" s="9" t="s">
        <v>55</v>
      </c>
      <c r="R394" s="9">
        <v>544.5</v>
      </c>
      <c r="S394" s="9">
        <v>264.5</v>
      </c>
      <c r="T394" s="9">
        <v>272.66666666666669</v>
      </c>
    </row>
    <row r="395" spans="1:20" x14ac:dyDescent="0.25">
      <c r="A395" s="21" t="s">
        <v>5</v>
      </c>
      <c r="B395" s="21" t="s">
        <v>29</v>
      </c>
      <c r="C395" s="21" t="s">
        <v>14</v>
      </c>
      <c r="D395" s="21" t="s">
        <v>35</v>
      </c>
      <c r="E395" s="21" t="s">
        <v>33</v>
      </c>
      <c r="F395" s="22">
        <v>57</v>
      </c>
      <c r="G395" s="22">
        <v>54</v>
      </c>
      <c r="H395" s="22">
        <v>56</v>
      </c>
      <c r="J395" s="10">
        <v>45</v>
      </c>
      <c r="K395" s="10">
        <v>2</v>
      </c>
      <c r="L395" s="10">
        <v>143</v>
      </c>
      <c r="M395" s="10">
        <v>71.5</v>
      </c>
      <c r="N395" s="10">
        <v>4.5</v>
      </c>
      <c r="Q395" s="9"/>
      <c r="R395" s="9"/>
      <c r="S395" s="9"/>
      <c r="T395" s="9"/>
    </row>
    <row r="396" spans="1:20" x14ac:dyDescent="0.25">
      <c r="A396" s="21" t="s">
        <v>4</v>
      </c>
      <c r="B396" s="21" t="s">
        <v>29</v>
      </c>
      <c r="C396" s="21" t="s">
        <v>17</v>
      </c>
      <c r="D396" s="21" t="s">
        <v>35</v>
      </c>
      <c r="E396" s="21" t="s">
        <v>33</v>
      </c>
      <c r="F396" s="22">
        <v>65</v>
      </c>
      <c r="G396" s="22">
        <v>74</v>
      </c>
      <c r="H396" s="22">
        <v>77</v>
      </c>
      <c r="J396" s="10">
        <v>74</v>
      </c>
      <c r="K396" s="10">
        <v>2</v>
      </c>
      <c r="L396" s="10">
        <v>146</v>
      </c>
      <c r="M396" s="10">
        <v>73</v>
      </c>
      <c r="N396" s="10">
        <v>2</v>
      </c>
      <c r="Q396" s="14">
        <v>89</v>
      </c>
      <c r="R396" s="14"/>
      <c r="S396" s="14"/>
      <c r="T396" s="14"/>
    </row>
    <row r="397" spans="1:20" x14ac:dyDescent="0.25">
      <c r="A397" s="21" t="s">
        <v>5</v>
      </c>
      <c r="B397" s="21" t="s">
        <v>27</v>
      </c>
      <c r="C397" s="21" t="s">
        <v>15</v>
      </c>
      <c r="D397" s="21" t="s">
        <v>32</v>
      </c>
      <c r="E397" s="21" t="s">
        <v>34</v>
      </c>
      <c r="F397" s="22">
        <v>48</v>
      </c>
      <c r="G397" s="22">
        <v>45</v>
      </c>
      <c r="H397" s="22">
        <v>41</v>
      </c>
      <c r="J397" s="10">
        <v>82</v>
      </c>
      <c r="K397" s="10">
        <v>2</v>
      </c>
      <c r="L397" s="10">
        <v>193</v>
      </c>
      <c r="M397" s="10">
        <v>96.5</v>
      </c>
      <c r="N397" s="10">
        <v>0.5</v>
      </c>
      <c r="Q397" s="9" t="s">
        <v>52</v>
      </c>
      <c r="R397" s="9">
        <v>2</v>
      </c>
      <c r="S397" s="9">
        <v>2</v>
      </c>
      <c r="T397" s="9">
        <v>4</v>
      </c>
    </row>
    <row r="398" spans="1:20" x14ac:dyDescent="0.25">
      <c r="A398" s="21" t="s">
        <v>4</v>
      </c>
      <c r="B398" s="21" t="s">
        <v>28</v>
      </c>
      <c r="C398" s="21" t="s">
        <v>15</v>
      </c>
      <c r="D398" s="21" t="s">
        <v>32</v>
      </c>
      <c r="E398" s="21" t="s">
        <v>34</v>
      </c>
      <c r="F398" s="22">
        <v>50</v>
      </c>
      <c r="G398" s="22">
        <v>67</v>
      </c>
      <c r="H398" s="22">
        <v>63</v>
      </c>
      <c r="J398" s="10">
        <v>59</v>
      </c>
      <c r="K398" s="10">
        <v>2</v>
      </c>
      <c r="L398" s="10">
        <v>143</v>
      </c>
      <c r="M398" s="10">
        <v>71.5</v>
      </c>
      <c r="N398" s="10">
        <v>4.5</v>
      </c>
      <c r="Q398" s="9" t="s">
        <v>53</v>
      </c>
      <c r="R398" s="9">
        <v>121</v>
      </c>
      <c r="S398" s="9">
        <v>122</v>
      </c>
      <c r="T398" s="9">
        <v>243</v>
      </c>
    </row>
    <row r="399" spans="1:20" x14ac:dyDescent="0.25">
      <c r="A399" s="21" t="s">
        <v>4</v>
      </c>
      <c r="B399" s="21" t="s">
        <v>29</v>
      </c>
      <c r="C399" s="21" t="s">
        <v>14</v>
      </c>
      <c r="D399" s="21" t="s">
        <v>35</v>
      </c>
      <c r="E399" s="21" t="s">
        <v>34</v>
      </c>
      <c r="F399" s="22">
        <v>85</v>
      </c>
      <c r="G399" s="22">
        <v>89</v>
      </c>
      <c r="H399" s="22">
        <v>95</v>
      </c>
      <c r="J399" s="10">
        <v>46</v>
      </c>
      <c r="K399" s="10">
        <v>2</v>
      </c>
      <c r="L399" s="10">
        <v>84</v>
      </c>
      <c r="M399" s="10">
        <v>42</v>
      </c>
      <c r="N399" s="10">
        <v>2</v>
      </c>
      <c r="Q399" s="9" t="s">
        <v>54</v>
      </c>
      <c r="R399" s="9">
        <v>60.5</v>
      </c>
      <c r="S399" s="9">
        <v>61</v>
      </c>
      <c r="T399" s="9">
        <v>60.75</v>
      </c>
    </row>
    <row r="400" spans="1:20" x14ac:dyDescent="0.25">
      <c r="A400" s="21" t="s">
        <v>5</v>
      </c>
      <c r="B400" s="21" t="s">
        <v>28</v>
      </c>
      <c r="C400" s="21" t="s">
        <v>17</v>
      </c>
      <c r="D400" s="21" t="s">
        <v>35</v>
      </c>
      <c r="E400" s="21" t="s">
        <v>34</v>
      </c>
      <c r="F400" s="22">
        <v>74</v>
      </c>
      <c r="G400" s="22">
        <v>63</v>
      </c>
      <c r="H400" s="22">
        <v>57</v>
      </c>
      <c r="J400" s="10">
        <v>80</v>
      </c>
      <c r="K400" s="10">
        <v>2</v>
      </c>
      <c r="L400" s="10">
        <v>172</v>
      </c>
      <c r="M400" s="10">
        <v>86</v>
      </c>
      <c r="N400" s="10">
        <v>32</v>
      </c>
      <c r="Q400" s="9" t="s">
        <v>55</v>
      </c>
      <c r="R400" s="9">
        <v>1104.5</v>
      </c>
      <c r="S400" s="9">
        <v>882</v>
      </c>
      <c r="T400" s="9">
        <v>662.25</v>
      </c>
    </row>
    <row r="401" spans="1:20" x14ac:dyDescent="0.25">
      <c r="A401" s="21" t="s">
        <v>5</v>
      </c>
      <c r="B401" s="21" t="s">
        <v>30</v>
      </c>
      <c r="C401" s="21" t="s">
        <v>17</v>
      </c>
      <c r="D401" s="21" t="s">
        <v>35</v>
      </c>
      <c r="E401" s="21" t="s">
        <v>34</v>
      </c>
      <c r="F401" s="22">
        <v>60</v>
      </c>
      <c r="G401" s="22">
        <v>59</v>
      </c>
      <c r="H401" s="22">
        <v>54</v>
      </c>
      <c r="J401" s="10">
        <v>85</v>
      </c>
      <c r="K401" s="10">
        <v>2</v>
      </c>
      <c r="L401" s="10">
        <v>195</v>
      </c>
      <c r="M401" s="10">
        <v>97.5</v>
      </c>
      <c r="N401" s="10">
        <v>12.5</v>
      </c>
      <c r="Q401" s="9"/>
      <c r="R401" s="9"/>
      <c r="S401" s="9"/>
      <c r="T401" s="9"/>
    </row>
    <row r="402" spans="1:20" x14ac:dyDescent="0.25">
      <c r="A402" s="21" t="s">
        <v>4</v>
      </c>
      <c r="B402" s="21" t="s">
        <v>29</v>
      </c>
      <c r="C402" s="21" t="s">
        <v>17</v>
      </c>
      <c r="D402" s="21" t="s">
        <v>35</v>
      </c>
      <c r="E402" s="21" t="s">
        <v>33</v>
      </c>
      <c r="F402" s="22">
        <v>59</v>
      </c>
      <c r="G402" s="22">
        <v>54</v>
      </c>
      <c r="H402" s="22">
        <v>67</v>
      </c>
      <c r="J402" s="10">
        <v>71</v>
      </c>
      <c r="K402" s="10">
        <v>2</v>
      </c>
      <c r="L402" s="10">
        <v>160</v>
      </c>
      <c r="M402" s="10">
        <v>80</v>
      </c>
      <c r="N402" s="10">
        <v>18</v>
      </c>
      <c r="Q402" s="14">
        <v>87</v>
      </c>
      <c r="R402" s="14"/>
      <c r="S402" s="14"/>
      <c r="T402" s="14"/>
    </row>
    <row r="403" spans="1:20" x14ac:dyDescent="0.25">
      <c r="A403" s="21" t="s">
        <v>5</v>
      </c>
      <c r="B403" s="21" t="s">
        <v>27</v>
      </c>
      <c r="C403" s="21" t="s">
        <v>45</v>
      </c>
      <c r="D403" s="21" t="s">
        <v>35</v>
      </c>
      <c r="E403" s="21" t="s">
        <v>34</v>
      </c>
      <c r="F403" s="22">
        <v>53</v>
      </c>
      <c r="G403" s="22">
        <v>43</v>
      </c>
      <c r="H403" s="22">
        <v>43</v>
      </c>
      <c r="J403" s="10">
        <v>66</v>
      </c>
      <c r="K403" s="10">
        <v>2</v>
      </c>
      <c r="L403" s="10">
        <v>126</v>
      </c>
      <c r="M403" s="10">
        <v>63</v>
      </c>
      <c r="N403" s="10">
        <v>2</v>
      </c>
      <c r="Q403" s="9" t="s">
        <v>52</v>
      </c>
      <c r="R403" s="9">
        <v>2</v>
      </c>
      <c r="S403" s="9">
        <v>2</v>
      </c>
      <c r="T403" s="9">
        <v>4</v>
      </c>
    </row>
    <row r="404" spans="1:20" x14ac:dyDescent="0.25">
      <c r="A404" s="21" t="s">
        <v>4</v>
      </c>
      <c r="B404" s="21" t="s">
        <v>27</v>
      </c>
      <c r="C404" s="21" t="s">
        <v>45</v>
      </c>
      <c r="D404" s="21" t="s">
        <v>32</v>
      </c>
      <c r="E404" s="21" t="s">
        <v>34</v>
      </c>
      <c r="F404" s="22">
        <v>49</v>
      </c>
      <c r="G404" s="22">
        <v>65</v>
      </c>
      <c r="H404" s="22">
        <v>55</v>
      </c>
      <c r="J404" s="10">
        <v>80</v>
      </c>
      <c r="K404" s="10">
        <v>2</v>
      </c>
      <c r="L404" s="10">
        <v>169</v>
      </c>
      <c r="M404" s="10">
        <v>84.5</v>
      </c>
      <c r="N404" s="10">
        <v>4.5</v>
      </c>
      <c r="Q404" s="9" t="s">
        <v>53</v>
      </c>
      <c r="R404" s="9">
        <v>155</v>
      </c>
      <c r="S404" s="9">
        <v>154</v>
      </c>
      <c r="T404" s="9">
        <v>309</v>
      </c>
    </row>
    <row r="405" spans="1:20" x14ac:dyDescent="0.25">
      <c r="A405" s="21" t="s">
        <v>4</v>
      </c>
      <c r="B405" s="21" t="s">
        <v>30</v>
      </c>
      <c r="C405" s="21" t="s">
        <v>15</v>
      </c>
      <c r="D405" s="21" t="s">
        <v>35</v>
      </c>
      <c r="E405" s="21" t="s">
        <v>33</v>
      </c>
      <c r="F405" s="22">
        <v>88</v>
      </c>
      <c r="G405" s="22">
        <v>99</v>
      </c>
      <c r="H405" s="22">
        <v>100</v>
      </c>
      <c r="J405" s="10">
        <v>87</v>
      </c>
      <c r="K405" s="10">
        <v>2</v>
      </c>
      <c r="L405" s="10">
        <v>195</v>
      </c>
      <c r="M405" s="10">
        <v>97.5</v>
      </c>
      <c r="N405" s="10">
        <v>12.5</v>
      </c>
      <c r="Q405" s="9" t="s">
        <v>54</v>
      </c>
      <c r="R405" s="9">
        <v>77.5</v>
      </c>
      <c r="S405" s="9">
        <v>77</v>
      </c>
      <c r="T405" s="9">
        <v>77.25</v>
      </c>
    </row>
    <row r="406" spans="1:20" x14ac:dyDescent="0.25">
      <c r="A406" s="21" t="s">
        <v>4</v>
      </c>
      <c r="B406" s="21" t="s">
        <v>29</v>
      </c>
      <c r="C406" s="21" t="s">
        <v>15</v>
      </c>
      <c r="D406" s="21" t="s">
        <v>35</v>
      </c>
      <c r="E406" s="21" t="s">
        <v>34</v>
      </c>
      <c r="F406" s="22">
        <v>54</v>
      </c>
      <c r="G406" s="22">
        <v>59</v>
      </c>
      <c r="H406" s="22">
        <v>62</v>
      </c>
      <c r="J406" s="10">
        <v>79</v>
      </c>
      <c r="K406" s="10">
        <v>2</v>
      </c>
      <c r="L406" s="10">
        <v>152</v>
      </c>
      <c r="M406" s="10">
        <v>76</v>
      </c>
      <c r="N406" s="10">
        <v>50</v>
      </c>
      <c r="Q406" s="9" t="s">
        <v>55</v>
      </c>
      <c r="R406" s="9">
        <v>24.5</v>
      </c>
      <c r="S406" s="9">
        <v>98</v>
      </c>
      <c r="T406" s="9">
        <v>40.916666666666664</v>
      </c>
    </row>
    <row r="407" spans="1:20" x14ac:dyDescent="0.25">
      <c r="A407" s="21" t="s">
        <v>4</v>
      </c>
      <c r="B407" s="21" t="s">
        <v>29</v>
      </c>
      <c r="C407" s="21" t="s">
        <v>17</v>
      </c>
      <c r="D407" s="21" t="s">
        <v>35</v>
      </c>
      <c r="E407" s="21" t="s">
        <v>34</v>
      </c>
      <c r="F407" s="22">
        <v>63</v>
      </c>
      <c r="G407" s="22">
        <v>73</v>
      </c>
      <c r="H407" s="22">
        <v>68</v>
      </c>
      <c r="J407" s="10">
        <v>38</v>
      </c>
      <c r="K407" s="10">
        <v>2</v>
      </c>
      <c r="L407" s="10">
        <v>94</v>
      </c>
      <c r="M407" s="10">
        <v>47</v>
      </c>
      <c r="N407" s="10">
        <v>8</v>
      </c>
      <c r="Q407" s="9"/>
      <c r="R407" s="9"/>
      <c r="S407" s="9"/>
      <c r="T407" s="9"/>
    </row>
    <row r="408" spans="1:20" x14ac:dyDescent="0.25">
      <c r="A408" s="21" t="s">
        <v>5</v>
      </c>
      <c r="B408" s="21" t="s">
        <v>28</v>
      </c>
      <c r="C408" s="21" t="s">
        <v>14</v>
      </c>
      <c r="D408" s="21" t="s">
        <v>35</v>
      </c>
      <c r="E408" s="21" t="s">
        <v>33</v>
      </c>
      <c r="F408" s="22">
        <v>65</v>
      </c>
      <c r="G408" s="22">
        <v>65</v>
      </c>
      <c r="H408" s="22">
        <v>63</v>
      </c>
      <c r="J408" s="10">
        <v>38</v>
      </c>
      <c r="K408" s="10">
        <v>2</v>
      </c>
      <c r="L408" s="10">
        <v>86</v>
      </c>
      <c r="M408" s="10">
        <v>43</v>
      </c>
      <c r="N408" s="10">
        <v>0</v>
      </c>
      <c r="Q408" s="14">
        <v>74</v>
      </c>
      <c r="R408" s="14"/>
      <c r="S408" s="14"/>
      <c r="T408" s="14"/>
    </row>
    <row r="409" spans="1:20" x14ac:dyDescent="0.25">
      <c r="A409" s="21" t="s">
        <v>4</v>
      </c>
      <c r="B409" s="21" t="s">
        <v>28</v>
      </c>
      <c r="C409" s="21" t="s">
        <v>14</v>
      </c>
      <c r="D409" s="21" t="s">
        <v>35</v>
      </c>
      <c r="E409" s="21" t="s">
        <v>34</v>
      </c>
      <c r="F409" s="22">
        <v>82</v>
      </c>
      <c r="G409" s="22">
        <v>80</v>
      </c>
      <c r="H409" s="22">
        <v>77</v>
      </c>
      <c r="J409" s="10">
        <v>67</v>
      </c>
      <c r="K409" s="10">
        <v>2</v>
      </c>
      <c r="L409" s="10">
        <v>151</v>
      </c>
      <c r="M409" s="10">
        <v>75.5</v>
      </c>
      <c r="N409" s="10">
        <v>0.5</v>
      </c>
      <c r="Q409" s="9" t="s">
        <v>52</v>
      </c>
      <c r="R409" s="9">
        <v>2</v>
      </c>
      <c r="S409" s="9">
        <v>2</v>
      </c>
      <c r="T409" s="9">
        <v>4</v>
      </c>
    </row>
    <row r="410" spans="1:20" x14ac:dyDescent="0.25">
      <c r="A410" s="21" t="s">
        <v>4</v>
      </c>
      <c r="B410" s="21" t="s">
        <v>30</v>
      </c>
      <c r="C410" s="21" t="s">
        <v>15</v>
      </c>
      <c r="D410" s="21" t="s">
        <v>32</v>
      </c>
      <c r="E410" s="21" t="s">
        <v>33</v>
      </c>
      <c r="F410" s="22">
        <v>52</v>
      </c>
      <c r="G410" s="22">
        <v>57</v>
      </c>
      <c r="H410" s="22">
        <v>56</v>
      </c>
      <c r="J410" s="10">
        <v>64</v>
      </c>
      <c r="K410" s="10">
        <v>2</v>
      </c>
      <c r="L410" s="10">
        <v>143</v>
      </c>
      <c r="M410" s="10">
        <v>71.5</v>
      </c>
      <c r="N410" s="10">
        <v>4.5</v>
      </c>
      <c r="Q410" s="9" t="s">
        <v>53</v>
      </c>
      <c r="R410" s="9">
        <v>134</v>
      </c>
      <c r="S410" s="9">
        <v>123</v>
      </c>
      <c r="T410" s="9">
        <v>257</v>
      </c>
    </row>
    <row r="411" spans="1:20" x14ac:dyDescent="0.25">
      <c r="A411" s="21" t="s">
        <v>5</v>
      </c>
      <c r="B411" s="21" t="s">
        <v>30</v>
      </c>
      <c r="C411" s="21" t="s">
        <v>14</v>
      </c>
      <c r="D411" s="21" t="s">
        <v>35</v>
      </c>
      <c r="E411" s="21" t="s">
        <v>33</v>
      </c>
      <c r="F411" s="22">
        <v>87</v>
      </c>
      <c r="G411" s="22">
        <v>84</v>
      </c>
      <c r="H411" s="22">
        <v>85</v>
      </c>
      <c r="J411" s="10">
        <v>57</v>
      </c>
      <c r="K411" s="10">
        <v>2</v>
      </c>
      <c r="L411" s="10">
        <v>145</v>
      </c>
      <c r="M411" s="10">
        <v>72.5</v>
      </c>
      <c r="N411" s="10">
        <v>60.5</v>
      </c>
      <c r="Q411" s="9" t="s">
        <v>54</v>
      </c>
      <c r="R411" s="9">
        <v>67</v>
      </c>
      <c r="S411" s="9">
        <v>61.5</v>
      </c>
      <c r="T411" s="9">
        <v>64.25</v>
      </c>
    </row>
    <row r="412" spans="1:20" x14ac:dyDescent="0.25">
      <c r="A412" s="21" t="s">
        <v>4</v>
      </c>
      <c r="B412" s="21" t="s">
        <v>30</v>
      </c>
      <c r="C412" s="21" t="s">
        <v>16</v>
      </c>
      <c r="D412" s="21" t="s">
        <v>35</v>
      </c>
      <c r="E412" s="21" t="s">
        <v>33</v>
      </c>
      <c r="F412" s="22">
        <v>70</v>
      </c>
      <c r="G412" s="22">
        <v>71</v>
      </c>
      <c r="H412" s="22">
        <v>74</v>
      </c>
      <c r="J412" s="10">
        <v>62</v>
      </c>
      <c r="K412" s="10">
        <v>2</v>
      </c>
      <c r="L412" s="10">
        <v>128</v>
      </c>
      <c r="M412" s="10">
        <v>64</v>
      </c>
      <c r="N412" s="10">
        <v>0</v>
      </c>
      <c r="Q412" s="9" t="s">
        <v>55</v>
      </c>
      <c r="R412" s="9">
        <v>288</v>
      </c>
      <c r="S412" s="9">
        <v>364.5</v>
      </c>
      <c r="T412" s="9">
        <v>227.58333333333334</v>
      </c>
    </row>
    <row r="413" spans="1:20" x14ac:dyDescent="0.25">
      <c r="A413" s="21" t="s">
        <v>5</v>
      </c>
      <c r="B413" s="21" t="s">
        <v>31</v>
      </c>
      <c r="C413" s="21" t="s">
        <v>45</v>
      </c>
      <c r="D413" s="21" t="s">
        <v>35</v>
      </c>
      <c r="E413" s="21" t="s">
        <v>33</v>
      </c>
      <c r="F413" s="22">
        <v>84</v>
      </c>
      <c r="G413" s="22">
        <v>83</v>
      </c>
      <c r="H413" s="22">
        <v>78</v>
      </c>
      <c r="J413" s="10">
        <v>73</v>
      </c>
      <c r="K413" s="10">
        <v>2</v>
      </c>
      <c r="L413" s="10">
        <v>145</v>
      </c>
      <c r="M413" s="10">
        <v>72.5</v>
      </c>
      <c r="N413" s="10">
        <v>12.5</v>
      </c>
      <c r="Q413" s="9"/>
      <c r="R413" s="9"/>
      <c r="S413" s="9"/>
      <c r="T413" s="9"/>
    </row>
    <row r="414" spans="1:20" x14ac:dyDescent="0.25">
      <c r="A414" s="21" t="s">
        <v>5</v>
      </c>
      <c r="B414" s="21" t="s">
        <v>30</v>
      </c>
      <c r="C414" s="21" t="s">
        <v>14</v>
      </c>
      <c r="D414" s="21" t="s">
        <v>35</v>
      </c>
      <c r="E414" s="21" t="s">
        <v>34</v>
      </c>
      <c r="F414" s="22">
        <v>71</v>
      </c>
      <c r="G414" s="22">
        <v>66</v>
      </c>
      <c r="H414" s="22">
        <v>60</v>
      </c>
      <c r="J414" s="10">
        <v>73</v>
      </c>
      <c r="K414" s="10">
        <v>2</v>
      </c>
      <c r="L414" s="10">
        <v>126</v>
      </c>
      <c r="M414" s="10">
        <v>63</v>
      </c>
      <c r="N414" s="10">
        <v>32</v>
      </c>
      <c r="Q414" s="14">
        <v>51</v>
      </c>
      <c r="R414" s="14"/>
      <c r="S414" s="14"/>
      <c r="T414" s="14"/>
    </row>
    <row r="415" spans="1:20" x14ac:dyDescent="0.25">
      <c r="A415" s="21" t="s">
        <v>5</v>
      </c>
      <c r="B415" s="21" t="s">
        <v>28</v>
      </c>
      <c r="C415" s="21" t="s">
        <v>17</v>
      </c>
      <c r="D415" s="21" t="s">
        <v>35</v>
      </c>
      <c r="E415" s="21" t="s">
        <v>33</v>
      </c>
      <c r="F415" s="22">
        <v>63</v>
      </c>
      <c r="G415" s="22">
        <v>67</v>
      </c>
      <c r="H415" s="22">
        <v>67</v>
      </c>
      <c r="J415" s="10">
        <v>77</v>
      </c>
      <c r="K415" s="10">
        <v>2</v>
      </c>
      <c r="L415" s="10">
        <v>145</v>
      </c>
      <c r="M415" s="10">
        <v>72.5</v>
      </c>
      <c r="N415" s="10">
        <v>40.5</v>
      </c>
      <c r="Q415" s="9" t="s">
        <v>52</v>
      </c>
      <c r="R415" s="9">
        <v>2</v>
      </c>
      <c r="S415" s="9">
        <v>2</v>
      </c>
      <c r="T415" s="9">
        <v>4</v>
      </c>
    </row>
    <row r="416" spans="1:20" x14ac:dyDescent="0.25">
      <c r="A416" s="21" t="s">
        <v>4</v>
      </c>
      <c r="B416" s="21" t="s">
        <v>29</v>
      </c>
      <c r="C416" s="21" t="s">
        <v>43</v>
      </c>
      <c r="D416" s="21" t="s">
        <v>32</v>
      </c>
      <c r="E416" s="21" t="s">
        <v>33</v>
      </c>
      <c r="F416" s="22">
        <v>51</v>
      </c>
      <c r="G416" s="22">
        <v>72</v>
      </c>
      <c r="H416" s="22">
        <v>79</v>
      </c>
      <c r="J416" s="10">
        <v>76</v>
      </c>
      <c r="K416" s="10">
        <v>2</v>
      </c>
      <c r="L416" s="10">
        <v>134</v>
      </c>
      <c r="M416" s="10">
        <v>67</v>
      </c>
      <c r="N416" s="10">
        <v>0</v>
      </c>
      <c r="Q416" s="9" t="s">
        <v>53</v>
      </c>
      <c r="R416" s="9">
        <v>109</v>
      </c>
      <c r="S416" s="9">
        <v>97</v>
      </c>
      <c r="T416" s="9">
        <v>206</v>
      </c>
    </row>
    <row r="417" spans="1:20" x14ac:dyDescent="0.25">
      <c r="A417" s="21" t="s">
        <v>5</v>
      </c>
      <c r="B417" s="21" t="s">
        <v>31</v>
      </c>
      <c r="C417" s="21" t="s">
        <v>15</v>
      </c>
      <c r="D417" s="21" t="s">
        <v>35</v>
      </c>
      <c r="E417" s="21" t="s">
        <v>34</v>
      </c>
      <c r="F417" s="22">
        <v>84</v>
      </c>
      <c r="G417" s="22">
        <v>73</v>
      </c>
      <c r="H417" s="22">
        <v>69</v>
      </c>
      <c r="J417" s="10">
        <v>57</v>
      </c>
      <c r="K417" s="10">
        <v>2</v>
      </c>
      <c r="L417" s="10">
        <v>110</v>
      </c>
      <c r="M417" s="10">
        <v>55</v>
      </c>
      <c r="N417" s="10">
        <v>2</v>
      </c>
      <c r="Q417" s="9" t="s">
        <v>54</v>
      </c>
      <c r="R417" s="9">
        <v>54.5</v>
      </c>
      <c r="S417" s="9">
        <v>48.5</v>
      </c>
      <c r="T417" s="9">
        <v>51.5</v>
      </c>
    </row>
    <row r="418" spans="1:20" x14ac:dyDescent="0.25">
      <c r="A418" s="21" t="s">
        <v>5</v>
      </c>
      <c r="B418" s="21" t="s">
        <v>29</v>
      </c>
      <c r="C418" s="21" t="s">
        <v>43</v>
      </c>
      <c r="D418" s="21" t="s">
        <v>35</v>
      </c>
      <c r="E418" s="21" t="s">
        <v>33</v>
      </c>
      <c r="F418" s="22">
        <v>71</v>
      </c>
      <c r="G418" s="22">
        <v>74</v>
      </c>
      <c r="H418" s="22">
        <v>68</v>
      </c>
      <c r="J418" s="10">
        <v>65</v>
      </c>
      <c r="K418" s="10">
        <v>2</v>
      </c>
      <c r="L418" s="10">
        <v>151</v>
      </c>
      <c r="M418" s="10">
        <v>75.5</v>
      </c>
      <c r="N418" s="10">
        <v>4.5</v>
      </c>
      <c r="Q418" s="9" t="s">
        <v>55</v>
      </c>
      <c r="R418" s="9">
        <v>0.5</v>
      </c>
      <c r="S418" s="9">
        <v>112.5</v>
      </c>
      <c r="T418" s="9">
        <v>49.666666666666664</v>
      </c>
    </row>
    <row r="419" spans="1:20" x14ac:dyDescent="0.25">
      <c r="A419" s="21" t="s">
        <v>5</v>
      </c>
      <c r="B419" s="21" t="s">
        <v>29</v>
      </c>
      <c r="C419" s="21" t="s">
        <v>14</v>
      </c>
      <c r="D419" s="21" t="s">
        <v>35</v>
      </c>
      <c r="E419" s="21" t="s">
        <v>34</v>
      </c>
      <c r="F419" s="22">
        <v>74</v>
      </c>
      <c r="G419" s="22">
        <v>73</v>
      </c>
      <c r="H419" s="22">
        <v>67</v>
      </c>
      <c r="J419" s="10">
        <v>48</v>
      </c>
      <c r="K419" s="10">
        <v>2</v>
      </c>
      <c r="L419" s="10">
        <v>86</v>
      </c>
      <c r="M419" s="10">
        <v>43</v>
      </c>
      <c r="N419" s="10">
        <v>8</v>
      </c>
      <c r="Q419" s="9"/>
      <c r="R419" s="9"/>
      <c r="S419" s="9"/>
      <c r="T419" s="9"/>
    </row>
    <row r="420" spans="1:20" x14ac:dyDescent="0.25">
      <c r="A420" s="21" t="s">
        <v>5</v>
      </c>
      <c r="B420" s="21" t="s">
        <v>30</v>
      </c>
      <c r="C420" s="21" t="s">
        <v>45</v>
      </c>
      <c r="D420" s="21" t="s">
        <v>35</v>
      </c>
      <c r="E420" s="21" t="s">
        <v>34</v>
      </c>
      <c r="F420" s="22">
        <v>68</v>
      </c>
      <c r="G420" s="22">
        <v>59</v>
      </c>
      <c r="H420" s="22">
        <v>62</v>
      </c>
      <c r="J420" s="10">
        <v>50</v>
      </c>
      <c r="K420" s="10">
        <v>2</v>
      </c>
      <c r="L420" s="10">
        <v>130</v>
      </c>
      <c r="M420" s="10">
        <v>65</v>
      </c>
      <c r="N420" s="10">
        <v>8</v>
      </c>
      <c r="Q420" s="14">
        <v>59</v>
      </c>
      <c r="R420" s="14"/>
      <c r="S420" s="14"/>
      <c r="T420" s="14"/>
    </row>
    <row r="421" spans="1:20" x14ac:dyDescent="0.25">
      <c r="A421" s="21" t="s">
        <v>5</v>
      </c>
      <c r="B421" s="21" t="s">
        <v>31</v>
      </c>
      <c r="C421" s="21" t="s">
        <v>15</v>
      </c>
      <c r="D421" s="21" t="s">
        <v>32</v>
      </c>
      <c r="E421" s="21" t="s">
        <v>33</v>
      </c>
      <c r="F421" s="22">
        <v>57</v>
      </c>
      <c r="G421" s="22">
        <v>56</v>
      </c>
      <c r="H421" s="22">
        <v>54</v>
      </c>
      <c r="J421" s="10">
        <v>85</v>
      </c>
      <c r="K421" s="10">
        <v>2</v>
      </c>
      <c r="L421" s="10">
        <v>184</v>
      </c>
      <c r="M421" s="10">
        <v>92</v>
      </c>
      <c r="N421" s="10">
        <v>18</v>
      </c>
      <c r="Q421" s="9" t="s">
        <v>52</v>
      </c>
      <c r="R421" s="9">
        <v>2</v>
      </c>
      <c r="S421" s="9">
        <v>2</v>
      </c>
      <c r="T421" s="9">
        <v>4</v>
      </c>
    </row>
    <row r="422" spans="1:20" x14ac:dyDescent="0.25">
      <c r="A422" s="21" t="s">
        <v>4</v>
      </c>
      <c r="B422" s="21" t="s">
        <v>29</v>
      </c>
      <c r="C422" s="21" t="s">
        <v>14</v>
      </c>
      <c r="D422" s="21" t="s">
        <v>32</v>
      </c>
      <c r="E422" s="21" t="s">
        <v>33</v>
      </c>
      <c r="F422" s="22">
        <v>82</v>
      </c>
      <c r="G422" s="22">
        <v>93</v>
      </c>
      <c r="H422" s="22">
        <v>93</v>
      </c>
      <c r="J422" s="10">
        <v>74</v>
      </c>
      <c r="K422" s="10">
        <v>2</v>
      </c>
      <c r="L422" s="10">
        <v>120</v>
      </c>
      <c r="M422" s="10">
        <v>60</v>
      </c>
      <c r="N422" s="10">
        <v>18</v>
      </c>
      <c r="Q422" s="9" t="s">
        <v>53</v>
      </c>
      <c r="R422" s="9">
        <v>127</v>
      </c>
      <c r="S422" s="9">
        <v>136</v>
      </c>
      <c r="T422" s="9">
        <v>263</v>
      </c>
    </row>
    <row r="423" spans="1:20" x14ac:dyDescent="0.25">
      <c r="A423" s="21" t="s">
        <v>4</v>
      </c>
      <c r="B423" s="21" t="s">
        <v>30</v>
      </c>
      <c r="C423" s="21" t="s">
        <v>15</v>
      </c>
      <c r="D423" s="21" t="s">
        <v>35</v>
      </c>
      <c r="E423" s="21" t="s">
        <v>33</v>
      </c>
      <c r="F423" s="22">
        <v>57</v>
      </c>
      <c r="G423" s="22">
        <v>58</v>
      </c>
      <c r="H423" s="22">
        <v>64</v>
      </c>
      <c r="J423" s="10">
        <v>60</v>
      </c>
      <c r="K423" s="10">
        <v>2</v>
      </c>
      <c r="L423" s="10">
        <v>113</v>
      </c>
      <c r="M423" s="10">
        <v>56.5</v>
      </c>
      <c r="N423" s="10">
        <v>12.5</v>
      </c>
      <c r="Q423" s="9" t="s">
        <v>54</v>
      </c>
      <c r="R423" s="9">
        <v>63.5</v>
      </c>
      <c r="S423" s="9">
        <v>68</v>
      </c>
      <c r="T423" s="9">
        <v>65.75</v>
      </c>
    </row>
    <row r="424" spans="1:20" x14ac:dyDescent="0.25">
      <c r="A424" s="21" t="s">
        <v>4</v>
      </c>
      <c r="B424" s="21" t="s">
        <v>30</v>
      </c>
      <c r="C424" s="21" t="s">
        <v>16</v>
      </c>
      <c r="D424" s="21" t="s">
        <v>32</v>
      </c>
      <c r="E424" s="21" t="s">
        <v>33</v>
      </c>
      <c r="F424" s="22">
        <v>47</v>
      </c>
      <c r="G424" s="22">
        <v>58</v>
      </c>
      <c r="H424" s="22">
        <v>67</v>
      </c>
      <c r="J424" s="10">
        <v>59</v>
      </c>
      <c r="K424" s="10">
        <v>2</v>
      </c>
      <c r="L424" s="10">
        <v>121</v>
      </c>
      <c r="M424" s="10">
        <v>60.5</v>
      </c>
      <c r="N424" s="10">
        <v>84.5</v>
      </c>
      <c r="Q424" s="9" t="s">
        <v>55</v>
      </c>
      <c r="R424" s="9">
        <v>12.5</v>
      </c>
      <c r="S424" s="9">
        <v>2</v>
      </c>
      <c r="T424" s="9">
        <v>11.583333333333334</v>
      </c>
    </row>
    <row r="425" spans="1:20" x14ac:dyDescent="0.25">
      <c r="A425" s="21" t="s">
        <v>4</v>
      </c>
      <c r="B425" s="21" t="s">
        <v>27</v>
      </c>
      <c r="C425" s="21" t="s">
        <v>17</v>
      </c>
      <c r="D425" s="21" t="s">
        <v>35</v>
      </c>
      <c r="E425" s="21" t="s">
        <v>33</v>
      </c>
      <c r="F425" s="22">
        <v>59</v>
      </c>
      <c r="G425" s="22">
        <v>85</v>
      </c>
      <c r="H425" s="22">
        <v>80</v>
      </c>
      <c r="J425" s="10">
        <v>53</v>
      </c>
      <c r="K425" s="10">
        <v>2</v>
      </c>
      <c r="L425" s="10">
        <v>86</v>
      </c>
      <c r="M425" s="10">
        <v>43</v>
      </c>
      <c r="N425" s="10">
        <v>0</v>
      </c>
      <c r="Q425" s="9"/>
      <c r="R425" s="9"/>
      <c r="S425" s="9"/>
      <c r="T425" s="9"/>
    </row>
    <row r="426" spans="1:20" x14ac:dyDescent="0.25">
      <c r="A426" s="21" t="s">
        <v>5</v>
      </c>
      <c r="B426" s="21" t="s">
        <v>28</v>
      </c>
      <c r="C426" s="21" t="s">
        <v>45</v>
      </c>
      <c r="D426" s="21" t="s">
        <v>32</v>
      </c>
      <c r="E426" s="21" t="s">
        <v>34</v>
      </c>
      <c r="F426" s="22">
        <v>41</v>
      </c>
      <c r="G426" s="22">
        <v>39</v>
      </c>
      <c r="H426" s="22">
        <v>34</v>
      </c>
      <c r="J426" s="10">
        <v>49</v>
      </c>
      <c r="K426" s="10">
        <v>2</v>
      </c>
      <c r="L426" s="10">
        <v>120</v>
      </c>
      <c r="M426" s="10">
        <v>60</v>
      </c>
      <c r="N426" s="10">
        <v>50</v>
      </c>
      <c r="Q426" s="14">
        <v>76</v>
      </c>
      <c r="R426" s="14"/>
      <c r="S426" s="14"/>
      <c r="T426" s="14"/>
    </row>
    <row r="427" spans="1:20" x14ac:dyDescent="0.25">
      <c r="A427" s="21" t="s">
        <v>4</v>
      </c>
      <c r="B427" s="21" t="s">
        <v>29</v>
      </c>
      <c r="C427" s="21" t="s">
        <v>45</v>
      </c>
      <c r="D427" s="21" t="s">
        <v>32</v>
      </c>
      <c r="E427" s="21" t="s">
        <v>34</v>
      </c>
      <c r="F427" s="22">
        <v>62</v>
      </c>
      <c r="G427" s="22">
        <v>67</v>
      </c>
      <c r="H427" s="22">
        <v>62</v>
      </c>
      <c r="J427" s="10">
        <v>88</v>
      </c>
      <c r="K427" s="10">
        <v>2</v>
      </c>
      <c r="L427" s="10">
        <v>199</v>
      </c>
      <c r="M427" s="10">
        <v>99.5</v>
      </c>
      <c r="N427" s="10">
        <v>0.5</v>
      </c>
      <c r="Q427" s="9" t="s">
        <v>52</v>
      </c>
      <c r="R427" s="9">
        <v>2</v>
      </c>
      <c r="S427" s="9">
        <v>2</v>
      </c>
      <c r="T427" s="9">
        <v>4</v>
      </c>
    </row>
    <row r="428" spans="1:20" x14ac:dyDescent="0.25">
      <c r="A428" s="21" t="s">
        <v>5</v>
      </c>
      <c r="B428" s="21" t="s">
        <v>29</v>
      </c>
      <c r="C428" s="21" t="s">
        <v>43</v>
      </c>
      <c r="D428" s="21" t="s">
        <v>35</v>
      </c>
      <c r="E428" s="21" t="s">
        <v>34</v>
      </c>
      <c r="F428" s="22">
        <v>86</v>
      </c>
      <c r="G428" s="22">
        <v>83</v>
      </c>
      <c r="H428" s="22">
        <v>86</v>
      </c>
      <c r="J428" s="10">
        <v>54</v>
      </c>
      <c r="K428" s="10">
        <v>2</v>
      </c>
      <c r="L428" s="10">
        <v>121</v>
      </c>
      <c r="M428" s="10">
        <v>60.5</v>
      </c>
      <c r="N428" s="10">
        <v>4.5</v>
      </c>
      <c r="Q428" s="9" t="s">
        <v>53</v>
      </c>
      <c r="R428" s="9">
        <v>134</v>
      </c>
      <c r="S428" s="9">
        <v>135</v>
      </c>
      <c r="T428" s="9">
        <v>269</v>
      </c>
    </row>
    <row r="429" spans="1:20" x14ac:dyDescent="0.25">
      <c r="A429" s="21" t="s">
        <v>5</v>
      </c>
      <c r="B429" s="21" t="s">
        <v>29</v>
      </c>
      <c r="C429" s="21" t="s">
        <v>17</v>
      </c>
      <c r="D429" s="21" t="s">
        <v>32</v>
      </c>
      <c r="E429" s="21" t="s">
        <v>34</v>
      </c>
      <c r="F429" s="22">
        <v>69</v>
      </c>
      <c r="G429" s="22">
        <v>71</v>
      </c>
      <c r="H429" s="22">
        <v>65</v>
      </c>
      <c r="J429" s="10">
        <v>63</v>
      </c>
      <c r="K429" s="10">
        <v>2</v>
      </c>
      <c r="L429" s="10">
        <v>141</v>
      </c>
      <c r="M429" s="10">
        <v>70.5</v>
      </c>
      <c r="N429" s="10">
        <v>12.5</v>
      </c>
      <c r="Q429" s="9" t="s">
        <v>54</v>
      </c>
      <c r="R429" s="9">
        <v>67</v>
      </c>
      <c r="S429" s="9">
        <v>67.5</v>
      </c>
      <c r="T429" s="9">
        <v>67.25</v>
      </c>
    </row>
    <row r="430" spans="1:20" x14ac:dyDescent="0.25">
      <c r="A430" s="21" t="s">
        <v>5</v>
      </c>
      <c r="B430" s="21" t="s">
        <v>27</v>
      </c>
      <c r="C430" s="21" t="s">
        <v>17</v>
      </c>
      <c r="D430" s="21" t="s">
        <v>32</v>
      </c>
      <c r="E430" s="21" t="s">
        <v>34</v>
      </c>
      <c r="F430" s="22">
        <v>65</v>
      </c>
      <c r="G430" s="22">
        <v>59</v>
      </c>
      <c r="H430" s="22">
        <v>53</v>
      </c>
      <c r="J430" s="10">
        <v>65</v>
      </c>
      <c r="K430" s="10">
        <v>2</v>
      </c>
      <c r="L430" s="10">
        <v>128</v>
      </c>
      <c r="M430" s="10">
        <v>64</v>
      </c>
      <c r="N430" s="10">
        <v>2</v>
      </c>
      <c r="Q430" s="9" t="s">
        <v>55</v>
      </c>
      <c r="R430" s="9">
        <v>50</v>
      </c>
      <c r="S430" s="9">
        <v>24.5</v>
      </c>
      <c r="T430" s="9">
        <v>24.916666666666668</v>
      </c>
    </row>
    <row r="431" spans="1:20" x14ac:dyDescent="0.25">
      <c r="A431" s="21" t="s">
        <v>5</v>
      </c>
      <c r="B431" s="21" t="s">
        <v>29</v>
      </c>
      <c r="C431" s="21" t="s">
        <v>17</v>
      </c>
      <c r="D431" s="21" t="s">
        <v>32</v>
      </c>
      <c r="E431" s="21" t="s">
        <v>34</v>
      </c>
      <c r="F431" s="22">
        <v>68</v>
      </c>
      <c r="G431" s="22">
        <v>63</v>
      </c>
      <c r="H431" s="22">
        <v>54</v>
      </c>
      <c r="J431" s="10">
        <v>82</v>
      </c>
      <c r="K431" s="10">
        <v>2</v>
      </c>
      <c r="L431" s="10">
        <v>157</v>
      </c>
      <c r="M431" s="10">
        <v>78.5</v>
      </c>
      <c r="N431" s="10">
        <v>4.5</v>
      </c>
      <c r="Q431" s="9"/>
      <c r="R431" s="9"/>
      <c r="S431" s="9"/>
      <c r="T431" s="9"/>
    </row>
    <row r="432" spans="1:20" x14ac:dyDescent="0.25">
      <c r="A432" s="21" t="s">
        <v>5</v>
      </c>
      <c r="B432" s="21" t="s">
        <v>29</v>
      </c>
      <c r="C432" s="21" t="s">
        <v>14</v>
      </c>
      <c r="D432" s="21" t="s">
        <v>32</v>
      </c>
      <c r="E432" s="21" t="s">
        <v>34</v>
      </c>
      <c r="F432" s="22">
        <v>64</v>
      </c>
      <c r="G432" s="22">
        <v>66</v>
      </c>
      <c r="H432" s="22">
        <v>59</v>
      </c>
      <c r="J432" s="10">
        <v>52</v>
      </c>
      <c r="K432" s="10">
        <v>2</v>
      </c>
      <c r="L432" s="10">
        <v>113</v>
      </c>
      <c r="M432" s="10">
        <v>56.5</v>
      </c>
      <c r="N432" s="10">
        <v>0.5</v>
      </c>
      <c r="Q432" s="14">
        <v>42</v>
      </c>
      <c r="R432" s="14"/>
      <c r="S432" s="14"/>
      <c r="T432" s="14"/>
    </row>
    <row r="433" spans="1:20" x14ac:dyDescent="0.25">
      <c r="A433" s="21" t="s">
        <v>4</v>
      </c>
      <c r="B433" s="21" t="s">
        <v>29</v>
      </c>
      <c r="C433" s="21" t="s">
        <v>15</v>
      </c>
      <c r="D433" s="21" t="s">
        <v>35</v>
      </c>
      <c r="E433" s="21" t="s">
        <v>34</v>
      </c>
      <c r="F433" s="22">
        <v>61</v>
      </c>
      <c r="G433" s="22">
        <v>72</v>
      </c>
      <c r="H433" s="22">
        <v>70</v>
      </c>
      <c r="J433" s="10">
        <v>87</v>
      </c>
      <c r="K433" s="10">
        <v>2</v>
      </c>
      <c r="L433" s="10">
        <v>169</v>
      </c>
      <c r="M433" s="10">
        <v>84.5</v>
      </c>
      <c r="N433" s="10">
        <v>0.5</v>
      </c>
      <c r="Q433" s="9" t="s">
        <v>52</v>
      </c>
      <c r="R433" s="9">
        <v>2</v>
      </c>
      <c r="S433" s="9">
        <v>2</v>
      </c>
      <c r="T433" s="9">
        <v>4</v>
      </c>
    </row>
    <row r="434" spans="1:20" x14ac:dyDescent="0.25">
      <c r="A434" s="21" t="s">
        <v>5</v>
      </c>
      <c r="B434" s="21" t="s">
        <v>29</v>
      </c>
      <c r="C434" s="21" t="s">
        <v>15</v>
      </c>
      <c r="D434" s="21" t="s">
        <v>35</v>
      </c>
      <c r="E434" s="21" t="s">
        <v>34</v>
      </c>
      <c r="F434" s="22">
        <v>61</v>
      </c>
      <c r="G434" s="22">
        <v>56</v>
      </c>
      <c r="H434" s="22">
        <v>55</v>
      </c>
      <c r="J434" s="10">
        <v>70</v>
      </c>
      <c r="K434" s="10">
        <v>2</v>
      </c>
      <c r="L434" s="10">
        <v>145</v>
      </c>
      <c r="M434" s="10">
        <v>72.5</v>
      </c>
      <c r="N434" s="10">
        <v>4.5</v>
      </c>
      <c r="Q434" s="9" t="s">
        <v>53</v>
      </c>
      <c r="R434" s="9">
        <v>98</v>
      </c>
      <c r="S434" s="9">
        <v>101</v>
      </c>
      <c r="T434" s="9">
        <v>199</v>
      </c>
    </row>
    <row r="435" spans="1:20" x14ac:dyDescent="0.25">
      <c r="A435" s="21" t="s">
        <v>4</v>
      </c>
      <c r="B435" s="21" t="s">
        <v>27</v>
      </c>
      <c r="C435" s="21" t="s">
        <v>17</v>
      </c>
      <c r="D435" s="21" t="s">
        <v>32</v>
      </c>
      <c r="E435" s="21" t="s">
        <v>34</v>
      </c>
      <c r="F435" s="22">
        <v>47</v>
      </c>
      <c r="G435" s="22">
        <v>59</v>
      </c>
      <c r="H435" s="22">
        <v>50</v>
      </c>
      <c r="J435" s="10">
        <v>84</v>
      </c>
      <c r="K435" s="10">
        <v>2</v>
      </c>
      <c r="L435" s="10">
        <v>161</v>
      </c>
      <c r="M435" s="10">
        <v>80.5</v>
      </c>
      <c r="N435" s="10">
        <v>12.5</v>
      </c>
      <c r="Q435" s="9" t="s">
        <v>54</v>
      </c>
      <c r="R435" s="9">
        <v>49</v>
      </c>
      <c r="S435" s="9">
        <v>50.5</v>
      </c>
      <c r="T435" s="9">
        <v>49.75</v>
      </c>
    </row>
    <row r="436" spans="1:20" x14ac:dyDescent="0.25">
      <c r="A436" s="21" t="s">
        <v>5</v>
      </c>
      <c r="B436" s="21" t="s">
        <v>29</v>
      </c>
      <c r="C436" s="21" t="s">
        <v>17</v>
      </c>
      <c r="D436" s="21" t="s">
        <v>35</v>
      </c>
      <c r="E436" s="21" t="s">
        <v>34</v>
      </c>
      <c r="F436" s="22">
        <v>73</v>
      </c>
      <c r="G436" s="22">
        <v>66</v>
      </c>
      <c r="H436" s="22">
        <v>66</v>
      </c>
      <c r="J436" s="10">
        <v>71</v>
      </c>
      <c r="K436" s="10">
        <v>2</v>
      </c>
      <c r="L436" s="10">
        <v>126</v>
      </c>
      <c r="M436" s="10">
        <v>63</v>
      </c>
      <c r="N436" s="10">
        <v>18</v>
      </c>
      <c r="Q436" s="9" t="s">
        <v>55</v>
      </c>
      <c r="R436" s="9">
        <v>72</v>
      </c>
      <c r="S436" s="9">
        <v>24.5</v>
      </c>
      <c r="T436" s="9">
        <v>32.916666666666664</v>
      </c>
    </row>
    <row r="437" spans="1:20" x14ac:dyDescent="0.25">
      <c r="A437" s="21" t="s">
        <v>5</v>
      </c>
      <c r="B437" s="21" t="s">
        <v>29</v>
      </c>
      <c r="C437" s="21" t="s">
        <v>45</v>
      </c>
      <c r="D437" s="21" t="s">
        <v>32</v>
      </c>
      <c r="E437" s="21" t="s">
        <v>33</v>
      </c>
      <c r="F437" s="22">
        <v>50</v>
      </c>
      <c r="G437" s="22">
        <v>48</v>
      </c>
      <c r="H437" s="22">
        <v>53</v>
      </c>
      <c r="J437" s="10">
        <v>63</v>
      </c>
      <c r="K437" s="10">
        <v>2</v>
      </c>
      <c r="L437" s="10">
        <v>134</v>
      </c>
      <c r="M437" s="10">
        <v>67</v>
      </c>
      <c r="N437" s="10">
        <v>0</v>
      </c>
      <c r="Q437" s="9"/>
      <c r="R437" s="9"/>
      <c r="S437" s="9"/>
      <c r="T437" s="9"/>
    </row>
    <row r="438" spans="1:20" x14ac:dyDescent="0.25">
      <c r="A438" s="21" t="s">
        <v>5</v>
      </c>
      <c r="B438" s="21" t="s">
        <v>30</v>
      </c>
      <c r="C438" s="21" t="s">
        <v>14</v>
      </c>
      <c r="D438" s="21" t="s">
        <v>35</v>
      </c>
      <c r="E438" s="21" t="s">
        <v>34</v>
      </c>
      <c r="F438" s="22">
        <v>75</v>
      </c>
      <c r="G438" s="22">
        <v>68</v>
      </c>
      <c r="H438" s="22">
        <v>64</v>
      </c>
      <c r="J438" s="10">
        <v>51</v>
      </c>
      <c r="K438" s="10">
        <v>2</v>
      </c>
      <c r="L438" s="10">
        <v>151</v>
      </c>
      <c r="M438" s="10">
        <v>75.5</v>
      </c>
      <c r="N438" s="10">
        <v>24.5</v>
      </c>
      <c r="Q438" s="14">
        <v>88</v>
      </c>
      <c r="R438" s="14"/>
      <c r="S438" s="14"/>
      <c r="T438" s="14"/>
    </row>
    <row r="439" spans="1:20" x14ac:dyDescent="0.25">
      <c r="A439" s="21" t="s">
        <v>5</v>
      </c>
      <c r="B439" s="21" t="s">
        <v>30</v>
      </c>
      <c r="C439" s="21" t="s">
        <v>14</v>
      </c>
      <c r="D439" s="21" t="s">
        <v>32</v>
      </c>
      <c r="E439" s="21" t="s">
        <v>34</v>
      </c>
      <c r="F439" s="22">
        <v>75</v>
      </c>
      <c r="G439" s="22">
        <v>66</v>
      </c>
      <c r="H439" s="22">
        <v>73</v>
      </c>
      <c r="J439" s="10">
        <v>84</v>
      </c>
      <c r="K439" s="10">
        <v>2</v>
      </c>
      <c r="L439" s="10">
        <v>142</v>
      </c>
      <c r="M439" s="10">
        <v>71</v>
      </c>
      <c r="N439" s="10">
        <v>8</v>
      </c>
      <c r="Q439" s="9" t="s">
        <v>52</v>
      </c>
      <c r="R439" s="9">
        <v>2</v>
      </c>
      <c r="S439" s="9">
        <v>2</v>
      </c>
      <c r="T439" s="9">
        <v>4</v>
      </c>
    </row>
    <row r="440" spans="1:20" x14ac:dyDescent="0.25">
      <c r="A440" s="21" t="s">
        <v>5</v>
      </c>
      <c r="B440" s="21" t="s">
        <v>29</v>
      </c>
      <c r="C440" s="21" t="s">
        <v>15</v>
      </c>
      <c r="D440" s="21" t="s">
        <v>35</v>
      </c>
      <c r="E440" s="21" t="s">
        <v>34</v>
      </c>
      <c r="F440" s="22">
        <v>70</v>
      </c>
      <c r="G440" s="22">
        <v>56</v>
      </c>
      <c r="H440" s="22">
        <v>51</v>
      </c>
      <c r="J440" s="10">
        <v>71</v>
      </c>
      <c r="K440" s="10">
        <v>2</v>
      </c>
      <c r="L440" s="10">
        <v>142</v>
      </c>
      <c r="M440" s="10">
        <v>71</v>
      </c>
      <c r="N440" s="10">
        <v>18</v>
      </c>
      <c r="Q440" s="9" t="s">
        <v>53</v>
      </c>
      <c r="R440" s="9">
        <v>112</v>
      </c>
      <c r="S440" s="9">
        <v>111</v>
      </c>
      <c r="T440" s="9">
        <v>223</v>
      </c>
    </row>
    <row r="441" spans="1:20" x14ac:dyDescent="0.25">
      <c r="A441" s="21" t="s">
        <v>5</v>
      </c>
      <c r="B441" s="21" t="s">
        <v>30</v>
      </c>
      <c r="C441" s="21" t="s">
        <v>17</v>
      </c>
      <c r="D441" s="21" t="s">
        <v>35</v>
      </c>
      <c r="E441" s="21" t="s">
        <v>33</v>
      </c>
      <c r="F441" s="22">
        <v>89</v>
      </c>
      <c r="G441" s="22">
        <v>88</v>
      </c>
      <c r="H441" s="22">
        <v>82</v>
      </c>
      <c r="J441" s="10">
        <v>74</v>
      </c>
      <c r="K441" s="10">
        <v>2</v>
      </c>
      <c r="L441" s="10">
        <v>140</v>
      </c>
      <c r="M441" s="10">
        <v>70</v>
      </c>
      <c r="N441" s="10">
        <v>18</v>
      </c>
      <c r="Q441" s="9" t="s">
        <v>54</v>
      </c>
      <c r="R441" s="9">
        <v>56</v>
      </c>
      <c r="S441" s="9">
        <v>55.5</v>
      </c>
      <c r="T441" s="9">
        <v>55.75</v>
      </c>
    </row>
    <row r="442" spans="1:20" x14ac:dyDescent="0.25">
      <c r="A442" s="21" t="s">
        <v>4</v>
      </c>
      <c r="B442" s="21" t="s">
        <v>29</v>
      </c>
      <c r="C442" s="21" t="s">
        <v>45</v>
      </c>
      <c r="D442" s="21" t="s">
        <v>35</v>
      </c>
      <c r="E442" s="21" t="s">
        <v>33</v>
      </c>
      <c r="F442" s="22">
        <v>67</v>
      </c>
      <c r="G442" s="22">
        <v>81</v>
      </c>
      <c r="H442" s="22">
        <v>79</v>
      </c>
      <c r="J442" s="10">
        <v>68</v>
      </c>
      <c r="K442" s="10">
        <v>2</v>
      </c>
      <c r="L442" s="10">
        <v>121</v>
      </c>
      <c r="M442" s="10">
        <v>60.5</v>
      </c>
      <c r="N442" s="10">
        <v>4.5</v>
      </c>
      <c r="Q442" s="9" t="s">
        <v>55</v>
      </c>
      <c r="R442" s="9">
        <v>578</v>
      </c>
      <c r="S442" s="9">
        <v>1012.5</v>
      </c>
      <c r="T442" s="9">
        <v>530.25</v>
      </c>
    </row>
    <row r="443" spans="1:20" x14ac:dyDescent="0.25">
      <c r="A443" s="21" t="s">
        <v>4</v>
      </c>
      <c r="B443" s="21" t="s">
        <v>30</v>
      </c>
      <c r="C443" s="21" t="s">
        <v>15</v>
      </c>
      <c r="D443" s="21" t="s">
        <v>35</v>
      </c>
      <c r="E443" s="21" t="s">
        <v>34</v>
      </c>
      <c r="F443" s="22">
        <v>78</v>
      </c>
      <c r="G443" s="22">
        <v>81</v>
      </c>
      <c r="H443" s="22">
        <v>80</v>
      </c>
      <c r="J443" s="10">
        <v>57</v>
      </c>
      <c r="K443" s="10">
        <v>2</v>
      </c>
      <c r="L443" s="10">
        <v>110</v>
      </c>
      <c r="M443" s="10">
        <v>55</v>
      </c>
      <c r="N443" s="10">
        <v>2</v>
      </c>
      <c r="Q443" s="9"/>
      <c r="R443" s="9"/>
      <c r="S443" s="9"/>
      <c r="T443" s="9"/>
    </row>
    <row r="444" spans="1:20" x14ac:dyDescent="0.25">
      <c r="A444" s="21" t="s">
        <v>4</v>
      </c>
      <c r="B444" s="21" t="s">
        <v>27</v>
      </c>
      <c r="C444" s="21" t="s">
        <v>17</v>
      </c>
      <c r="D444" s="21" t="s">
        <v>32</v>
      </c>
      <c r="E444" s="21" t="s">
        <v>34</v>
      </c>
      <c r="F444" s="22">
        <v>59</v>
      </c>
      <c r="G444" s="22">
        <v>73</v>
      </c>
      <c r="H444" s="22">
        <v>69</v>
      </c>
      <c r="J444" s="10">
        <v>82</v>
      </c>
      <c r="K444" s="10">
        <v>2</v>
      </c>
      <c r="L444" s="10">
        <v>186</v>
      </c>
      <c r="M444" s="10">
        <v>93</v>
      </c>
      <c r="N444" s="10">
        <v>0</v>
      </c>
      <c r="Q444" s="14">
        <v>88</v>
      </c>
      <c r="R444" s="14"/>
      <c r="S444" s="14"/>
      <c r="T444" s="14"/>
    </row>
    <row r="445" spans="1:20" x14ac:dyDescent="0.25">
      <c r="A445" s="21" t="s">
        <v>4</v>
      </c>
      <c r="B445" s="21" t="s">
        <v>28</v>
      </c>
      <c r="C445" s="21" t="s">
        <v>14</v>
      </c>
      <c r="D445" s="21" t="s">
        <v>35</v>
      </c>
      <c r="E445" s="21" t="s">
        <v>34</v>
      </c>
      <c r="F445" s="22">
        <v>73</v>
      </c>
      <c r="G445" s="22">
        <v>83</v>
      </c>
      <c r="H445" s="22">
        <v>76</v>
      </c>
      <c r="J445" s="10">
        <v>57</v>
      </c>
      <c r="K445" s="10">
        <v>2</v>
      </c>
      <c r="L445" s="10">
        <v>122</v>
      </c>
      <c r="M445" s="10">
        <v>61</v>
      </c>
      <c r="N445" s="10">
        <v>18</v>
      </c>
      <c r="Q445" s="9" t="s">
        <v>52</v>
      </c>
      <c r="R445" s="9">
        <v>2</v>
      </c>
      <c r="S445" s="9">
        <v>2</v>
      </c>
      <c r="T445" s="9">
        <v>4</v>
      </c>
    </row>
    <row r="446" spans="1:20" x14ac:dyDescent="0.25">
      <c r="A446" s="21" t="s">
        <v>5</v>
      </c>
      <c r="B446" s="21" t="s">
        <v>27</v>
      </c>
      <c r="C446" s="21" t="s">
        <v>17</v>
      </c>
      <c r="D446" s="21" t="s">
        <v>32</v>
      </c>
      <c r="E446" s="21" t="s">
        <v>34</v>
      </c>
      <c r="F446" s="22">
        <v>79</v>
      </c>
      <c r="G446" s="22">
        <v>82</v>
      </c>
      <c r="H446" s="22">
        <v>73</v>
      </c>
      <c r="J446" s="10">
        <v>47</v>
      </c>
      <c r="K446" s="10">
        <v>2</v>
      </c>
      <c r="L446" s="10">
        <v>125</v>
      </c>
      <c r="M446" s="10">
        <v>62.5</v>
      </c>
      <c r="N446" s="10">
        <v>40.5</v>
      </c>
      <c r="Q446" s="9" t="s">
        <v>53</v>
      </c>
      <c r="R446" s="9">
        <v>152</v>
      </c>
      <c r="S446" s="9">
        <v>141</v>
      </c>
      <c r="T446" s="9">
        <v>293</v>
      </c>
    </row>
    <row r="447" spans="1:20" x14ac:dyDescent="0.25">
      <c r="A447" s="21" t="s">
        <v>4</v>
      </c>
      <c r="B447" s="21" t="s">
        <v>29</v>
      </c>
      <c r="C447" s="21" t="s">
        <v>17</v>
      </c>
      <c r="D447" s="21" t="s">
        <v>35</v>
      </c>
      <c r="E447" s="21" t="s">
        <v>33</v>
      </c>
      <c r="F447" s="22">
        <v>67</v>
      </c>
      <c r="G447" s="22">
        <v>74</v>
      </c>
      <c r="H447" s="22">
        <v>77</v>
      </c>
      <c r="J447" s="10">
        <v>59</v>
      </c>
      <c r="K447" s="10">
        <v>2</v>
      </c>
      <c r="L447" s="10">
        <v>165</v>
      </c>
      <c r="M447" s="10">
        <v>82.5</v>
      </c>
      <c r="N447" s="10">
        <v>12.5</v>
      </c>
      <c r="Q447" s="9" t="s">
        <v>54</v>
      </c>
      <c r="R447" s="9">
        <v>76</v>
      </c>
      <c r="S447" s="9">
        <v>70.5</v>
      </c>
      <c r="T447" s="9">
        <v>73.25</v>
      </c>
    </row>
    <row r="448" spans="1:20" x14ac:dyDescent="0.25">
      <c r="A448" s="21" t="s">
        <v>5</v>
      </c>
      <c r="B448" s="21" t="s">
        <v>30</v>
      </c>
      <c r="C448" s="21" t="s">
        <v>45</v>
      </c>
      <c r="D448" s="21" t="s">
        <v>32</v>
      </c>
      <c r="E448" s="21" t="s">
        <v>34</v>
      </c>
      <c r="F448" s="22">
        <v>69</v>
      </c>
      <c r="G448" s="22">
        <v>66</v>
      </c>
      <c r="H448" s="22">
        <v>60</v>
      </c>
      <c r="J448" s="10">
        <v>41</v>
      </c>
      <c r="K448" s="10">
        <v>2</v>
      </c>
      <c r="L448" s="10">
        <v>73</v>
      </c>
      <c r="M448" s="10">
        <v>36.5</v>
      </c>
      <c r="N448" s="10">
        <v>12.5</v>
      </c>
      <c r="Q448" s="9" t="s">
        <v>55</v>
      </c>
      <c r="R448" s="9">
        <v>128</v>
      </c>
      <c r="S448" s="9">
        <v>40.5</v>
      </c>
      <c r="T448" s="9">
        <v>66.25</v>
      </c>
    </row>
    <row r="449" spans="1:20" x14ac:dyDescent="0.25">
      <c r="A449" s="21" t="s">
        <v>5</v>
      </c>
      <c r="B449" s="21" t="s">
        <v>29</v>
      </c>
      <c r="C449" s="21" t="s">
        <v>15</v>
      </c>
      <c r="D449" s="21" t="s">
        <v>35</v>
      </c>
      <c r="E449" s="21" t="s">
        <v>33</v>
      </c>
      <c r="F449" s="22">
        <v>86</v>
      </c>
      <c r="G449" s="22">
        <v>81</v>
      </c>
      <c r="H449" s="22">
        <v>80</v>
      </c>
      <c r="J449" s="10">
        <v>62</v>
      </c>
      <c r="K449" s="10">
        <v>2</v>
      </c>
      <c r="L449" s="10">
        <v>129</v>
      </c>
      <c r="M449" s="10">
        <v>64.5</v>
      </c>
      <c r="N449" s="10">
        <v>12.5</v>
      </c>
      <c r="Q449" s="9"/>
      <c r="R449" s="9"/>
      <c r="S449" s="9"/>
      <c r="T449" s="9"/>
    </row>
    <row r="450" spans="1:20" x14ac:dyDescent="0.25">
      <c r="A450" s="21" t="s">
        <v>5</v>
      </c>
      <c r="B450" s="21" t="s">
        <v>28</v>
      </c>
      <c r="C450" s="21" t="s">
        <v>15</v>
      </c>
      <c r="D450" s="21" t="s">
        <v>35</v>
      </c>
      <c r="E450" s="21" t="s">
        <v>34</v>
      </c>
      <c r="F450" s="22">
        <v>47</v>
      </c>
      <c r="G450" s="22">
        <v>46</v>
      </c>
      <c r="H450" s="22">
        <v>42</v>
      </c>
      <c r="J450" s="10">
        <v>86</v>
      </c>
      <c r="K450" s="10">
        <v>2</v>
      </c>
      <c r="L450" s="10">
        <v>169</v>
      </c>
      <c r="M450" s="10">
        <v>84.5</v>
      </c>
      <c r="N450" s="10">
        <v>4.5</v>
      </c>
      <c r="Q450" s="14">
        <v>68</v>
      </c>
      <c r="R450" s="14"/>
      <c r="S450" s="14"/>
      <c r="T450" s="14"/>
    </row>
    <row r="451" spans="1:20" x14ac:dyDescent="0.25">
      <c r="A451" s="21" t="s">
        <v>5</v>
      </c>
      <c r="B451" s="21" t="s">
        <v>28</v>
      </c>
      <c r="C451" s="21" t="s">
        <v>14</v>
      </c>
      <c r="D451" s="21" t="s">
        <v>35</v>
      </c>
      <c r="E451" s="21" t="s">
        <v>34</v>
      </c>
      <c r="F451" s="22">
        <v>81</v>
      </c>
      <c r="G451" s="22">
        <v>73</v>
      </c>
      <c r="H451" s="22">
        <v>72</v>
      </c>
      <c r="J451" s="10">
        <v>69</v>
      </c>
      <c r="K451" s="10">
        <v>2</v>
      </c>
      <c r="L451" s="10">
        <v>136</v>
      </c>
      <c r="M451" s="10">
        <v>68</v>
      </c>
      <c r="N451" s="10">
        <v>18</v>
      </c>
      <c r="Q451" s="9" t="s">
        <v>52</v>
      </c>
      <c r="R451" s="9">
        <v>2</v>
      </c>
      <c r="S451" s="9">
        <v>2</v>
      </c>
      <c r="T451" s="9">
        <v>4</v>
      </c>
    </row>
    <row r="452" spans="1:20" x14ac:dyDescent="0.25">
      <c r="A452" s="21" t="s">
        <v>4</v>
      </c>
      <c r="B452" s="21" t="s">
        <v>29</v>
      </c>
      <c r="C452" s="21" t="s">
        <v>45</v>
      </c>
      <c r="D452" s="21" t="s">
        <v>32</v>
      </c>
      <c r="E452" s="21" t="s">
        <v>33</v>
      </c>
      <c r="F452" s="22">
        <v>64</v>
      </c>
      <c r="G452" s="22">
        <v>85</v>
      </c>
      <c r="H452" s="22">
        <v>85</v>
      </c>
      <c r="J452" s="10">
        <v>65</v>
      </c>
      <c r="K452" s="10">
        <v>2</v>
      </c>
      <c r="L452" s="10">
        <v>112</v>
      </c>
      <c r="M452" s="10">
        <v>56</v>
      </c>
      <c r="N452" s="10">
        <v>18</v>
      </c>
      <c r="Q452" s="9" t="s">
        <v>53</v>
      </c>
      <c r="R452" s="9">
        <v>175</v>
      </c>
      <c r="S452" s="9">
        <v>174</v>
      </c>
      <c r="T452" s="9">
        <v>349</v>
      </c>
    </row>
    <row r="453" spans="1:20" x14ac:dyDescent="0.25">
      <c r="A453" s="21" t="s">
        <v>4</v>
      </c>
      <c r="B453" s="21" t="s">
        <v>31</v>
      </c>
      <c r="C453" s="21" t="s">
        <v>45</v>
      </c>
      <c r="D453" s="21" t="s">
        <v>35</v>
      </c>
      <c r="E453" s="21" t="s">
        <v>34</v>
      </c>
      <c r="F453" s="22">
        <v>100</v>
      </c>
      <c r="G453" s="22">
        <v>92</v>
      </c>
      <c r="H453" s="22">
        <v>97</v>
      </c>
      <c r="J453" s="10">
        <v>68</v>
      </c>
      <c r="K453" s="10">
        <v>2</v>
      </c>
      <c r="L453" s="10">
        <v>117</v>
      </c>
      <c r="M453" s="10">
        <v>58.5</v>
      </c>
      <c r="N453" s="10">
        <v>40.5</v>
      </c>
      <c r="Q453" s="9" t="s">
        <v>54</v>
      </c>
      <c r="R453" s="9">
        <v>87.5</v>
      </c>
      <c r="S453" s="9">
        <v>87</v>
      </c>
      <c r="T453" s="9">
        <v>87.25</v>
      </c>
    </row>
    <row r="454" spans="1:20" x14ac:dyDescent="0.25">
      <c r="A454" s="21" t="s">
        <v>4</v>
      </c>
      <c r="B454" s="21" t="s">
        <v>29</v>
      </c>
      <c r="C454" s="21" t="s">
        <v>14</v>
      </c>
      <c r="D454" s="21" t="s">
        <v>32</v>
      </c>
      <c r="E454" s="21" t="s">
        <v>34</v>
      </c>
      <c r="F454" s="22">
        <v>65</v>
      </c>
      <c r="G454" s="22">
        <v>77</v>
      </c>
      <c r="H454" s="22">
        <v>74</v>
      </c>
      <c r="J454" s="10">
        <v>64</v>
      </c>
      <c r="K454" s="10">
        <v>2</v>
      </c>
      <c r="L454" s="10">
        <v>125</v>
      </c>
      <c r="M454" s="10">
        <v>62.5</v>
      </c>
      <c r="N454" s="10">
        <v>24.5</v>
      </c>
      <c r="Q454" s="9" t="s">
        <v>55</v>
      </c>
      <c r="R454" s="9">
        <v>312.5</v>
      </c>
      <c r="S454" s="9">
        <v>72</v>
      </c>
      <c r="T454" s="9">
        <v>128.25</v>
      </c>
    </row>
    <row r="455" spans="1:20" x14ac:dyDescent="0.25">
      <c r="A455" s="21" t="s">
        <v>5</v>
      </c>
      <c r="B455" s="21" t="s">
        <v>29</v>
      </c>
      <c r="C455" s="21" t="s">
        <v>45</v>
      </c>
      <c r="D455" s="21" t="s">
        <v>32</v>
      </c>
      <c r="E455" s="21" t="s">
        <v>34</v>
      </c>
      <c r="F455" s="22">
        <v>65</v>
      </c>
      <c r="G455" s="22">
        <v>58</v>
      </c>
      <c r="H455" s="22">
        <v>49</v>
      </c>
      <c r="J455" s="10">
        <v>61</v>
      </c>
      <c r="K455" s="10">
        <v>2</v>
      </c>
      <c r="L455" s="10">
        <v>142</v>
      </c>
      <c r="M455" s="10">
        <v>71</v>
      </c>
      <c r="N455" s="10">
        <v>2</v>
      </c>
      <c r="Q455" s="9"/>
      <c r="R455" s="9"/>
      <c r="S455" s="9"/>
      <c r="T455" s="9"/>
    </row>
    <row r="456" spans="1:20" x14ac:dyDescent="0.25">
      <c r="A456" s="21" t="s">
        <v>4</v>
      </c>
      <c r="B456" s="21" t="s">
        <v>29</v>
      </c>
      <c r="C456" s="21" t="s">
        <v>14</v>
      </c>
      <c r="D456" s="21" t="s">
        <v>32</v>
      </c>
      <c r="E456" s="21" t="s">
        <v>34</v>
      </c>
      <c r="F456" s="22">
        <v>53</v>
      </c>
      <c r="G456" s="22">
        <v>61</v>
      </c>
      <c r="H456" s="22">
        <v>62</v>
      </c>
      <c r="J456" s="10">
        <v>61</v>
      </c>
      <c r="K456" s="10">
        <v>2</v>
      </c>
      <c r="L456" s="10">
        <v>111</v>
      </c>
      <c r="M456" s="10">
        <v>55.5</v>
      </c>
      <c r="N456" s="10">
        <v>0.5</v>
      </c>
      <c r="Q456" s="14">
        <v>62</v>
      </c>
      <c r="R456" s="14"/>
      <c r="S456" s="14"/>
      <c r="T456" s="14"/>
    </row>
    <row r="457" spans="1:20" x14ac:dyDescent="0.25">
      <c r="A457" s="21" t="s">
        <v>5</v>
      </c>
      <c r="B457" s="21" t="s">
        <v>29</v>
      </c>
      <c r="C457" s="21" t="s">
        <v>43</v>
      </c>
      <c r="D457" s="21" t="s">
        <v>32</v>
      </c>
      <c r="E457" s="21" t="s">
        <v>34</v>
      </c>
      <c r="F457" s="22">
        <v>37</v>
      </c>
      <c r="G457" s="22">
        <v>56</v>
      </c>
      <c r="H457" s="22">
        <v>47</v>
      </c>
      <c r="J457" s="10">
        <v>47</v>
      </c>
      <c r="K457" s="10">
        <v>2</v>
      </c>
      <c r="L457" s="10">
        <v>109</v>
      </c>
      <c r="M457" s="10">
        <v>54.5</v>
      </c>
      <c r="N457" s="10">
        <v>40.5</v>
      </c>
      <c r="Q457" s="9" t="s">
        <v>52</v>
      </c>
      <c r="R457" s="9">
        <v>2</v>
      </c>
      <c r="S457" s="9">
        <v>2</v>
      </c>
      <c r="T457" s="9">
        <v>4</v>
      </c>
    </row>
    <row r="458" spans="1:20" x14ac:dyDescent="0.25">
      <c r="A458" s="21" t="s">
        <v>4</v>
      </c>
      <c r="B458" s="21" t="s">
        <v>30</v>
      </c>
      <c r="C458" s="21" t="s">
        <v>43</v>
      </c>
      <c r="D458" s="21" t="s">
        <v>35</v>
      </c>
      <c r="E458" s="21" t="s">
        <v>34</v>
      </c>
      <c r="F458" s="22">
        <v>79</v>
      </c>
      <c r="G458" s="22">
        <v>89</v>
      </c>
      <c r="H458" s="22">
        <v>89</v>
      </c>
      <c r="J458" s="10">
        <v>73</v>
      </c>
      <c r="K458" s="10">
        <v>2</v>
      </c>
      <c r="L458" s="10">
        <v>132</v>
      </c>
      <c r="M458" s="10">
        <v>66</v>
      </c>
      <c r="N458" s="10">
        <v>0</v>
      </c>
      <c r="Q458" s="9" t="s">
        <v>53</v>
      </c>
      <c r="R458" s="9">
        <v>134</v>
      </c>
      <c r="S458" s="9">
        <v>137</v>
      </c>
      <c r="T458" s="9">
        <v>271</v>
      </c>
    </row>
    <row r="459" spans="1:20" x14ac:dyDescent="0.25">
      <c r="A459" s="21" t="s">
        <v>5</v>
      </c>
      <c r="B459" s="21" t="s">
        <v>30</v>
      </c>
      <c r="C459" s="21" t="s">
        <v>14</v>
      </c>
      <c r="D459" s="21" t="s">
        <v>32</v>
      </c>
      <c r="E459" s="21" t="s">
        <v>34</v>
      </c>
      <c r="F459" s="22">
        <v>53</v>
      </c>
      <c r="G459" s="22">
        <v>54</v>
      </c>
      <c r="H459" s="22">
        <v>48</v>
      </c>
      <c r="J459" s="10">
        <v>50</v>
      </c>
      <c r="K459" s="10">
        <v>2</v>
      </c>
      <c r="L459" s="10">
        <v>101</v>
      </c>
      <c r="M459" s="10">
        <v>50.5</v>
      </c>
      <c r="N459" s="10">
        <v>12.5</v>
      </c>
      <c r="Q459" s="9" t="s">
        <v>54</v>
      </c>
      <c r="R459" s="9">
        <v>67</v>
      </c>
      <c r="S459" s="9">
        <v>68.5</v>
      </c>
      <c r="T459" s="9">
        <v>67.75</v>
      </c>
    </row>
    <row r="460" spans="1:20" x14ac:dyDescent="0.25">
      <c r="A460" s="21" t="s">
        <v>4</v>
      </c>
      <c r="B460" s="21" t="s">
        <v>31</v>
      </c>
      <c r="C460" s="21" t="s">
        <v>43</v>
      </c>
      <c r="D460" s="21" t="s">
        <v>35</v>
      </c>
      <c r="E460" s="21" t="s">
        <v>34</v>
      </c>
      <c r="F460" s="22">
        <v>100</v>
      </c>
      <c r="G460" s="22">
        <v>100</v>
      </c>
      <c r="H460" s="22">
        <v>100</v>
      </c>
      <c r="J460" s="10">
        <v>75</v>
      </c>
      <c r="K460" s="10">
        <v>2</v>
      </c>
      <c r="L460" s="10">
        <v>132</v>
      </c>
      <c r="M460" s="10">
        <v>66</v>
      </c>
      <c r="N460" s="10">
        <v>8</v>
      </c>
      <c r="Q460" s="9" t="s">
        <v>55</v>
      </c>
      <c r="R460" s="9">
        <v>0</v>
      </c>
      <c r="S460" s="9">
        <v>0.5</v>
      </c>
      <c r="T460" s="9">
        <v>0.91666666666666663</v>
      </c>
    </row>
    <row r="461" spans="1:20" x14ac:dyDescent="0.25">
      <c r="A461" s="21" t="s">
        <v>5</v>
      </c>
      <c r="B461" s="21" t="s">
        <v>28</v>
      </c>
      <c r="C461" s="21" t="s">
        <v>15</v>
      </c>
      <c r="D461" s="21" t="s">
        <v>35</v>
      </c>
      <c r="E461" s="21" t="s">
        <v>33</v>
      </c>
      <c r="F461" s="22">
        <v>72</v>
      </c>
      <c r="G461" s="22">
        <v>65</v>
      </c>
      <c r="H461" s="22">
        <v>68</v>
      </c>
      <c r="J461" s="10">
        <v>75</v>
      </c>
      <c r="K461" s="10">
        <v>2</v>
      </c>
      <c r="L461" s="10">
        <v>139</v>
      </c>
      <c r="M461" s="10">
        <v>69.5</v>
      </c>
      <c r="N461" s="10">
        <v>24.5</v>
      </c>
      <c r="Q461" s="9"/>
      <c r="R461" s="9"/>
      <c r="S461" s="9"/>
      <c r="T461" s="9"/>
    </row>
    <row r="462" spans="1:20" x14ac:dyDescent="0.25">
      <c r="A462" s="21" t="s">
        <v>5</v>
      </c>
      <c r="B462" s="21" t="s">
        <v>29</v>
      </c>
      <c r="C462" s="21" t="s">
        <v>43</v>
      </c>
      <c r="D462" s="21" t="s">
        <v>32</v>
      </c>
      <c r="E462" s="21" t="s">
        <v>34</v>
      </c>
      <c r="F462" s="22">
        <v>53</v>
      </c>
      <c r="G462" s="22">
        <v>58</v>
      </c>
      <c r="H462" s="22">
        <v>55</v>
      </c>
      <c r="J462" s="10">
        <v>70</v>
      </c>
      <c r="K462" s="10">
        <v>2</v>
      </c>
      <c r="L462" s="10">
        <v>107</v>
      </c>
      <c r="M462" s="10">
        <v>53.5</v>
      </c>
      <c r="N462" s="10">
        <v>12.5</v>
      </c>
      <c r="Q462" s="14">
        <v>59</v>
      </c>
      <c r="R462" s="14"/>
      <c r="S462" s="14"/>
      <c r="T462" s="14"/>
    </row>
    <row r="463" spans="1:20" x14ac:dyDescent="0.25">
      <c r="A463" s="21" t="s">
        <v>5</v>
      </c>
      <c r="B463" s="21" t="s">
        <v>28</v>
      </c>
      <c r="C463" s="21" t="s">
        <v>45</v>
      </c>
      <c r="D463" s="21" t="s">
        <v>32</v>
      </c>
      <c r="E463" s="21" t="s">
        <v>34</v>
      </c>
      <c r="F463" s="22">
        <v>54</v>
      </c>
      <c r="G463" s="22">
        <v>54</v>
      </c>
      <c r="H463" s="22">
        <v>45</v>
      </c>
      <c r="J463" s="10">
        <v>89</v>
      </c>
      <c r="K463" s="10">
        <v>2</v>
      </c>
      <c r="L463" s="10">
        <v>170</v>
      </c>
      <c r="M463" s="10">
        <v>85</v>
      </c>
      <c r="N463" s="10">
        <v>18</v>
      </c>
      <c r="Q463" s="9" t="s">
        <v>52</v>
      </c>
      <c r="R463" s="9">
        <v>2</v>
      </c>
      <c r="S463" s="9">
        <v>2</v>
      </c>
      <c r="T463" s="9">
        <v>4</v>
      </c>
    </row>
    <row r="464" spans="1:20" x14ac:dyDescent="0.25">
      <c r="A464" s="21" t="s">
        <v>4</v>
      </c>
      <c r="B464" s="21" t="s">
        <v>31</v>
      </c>
      <c r="C464" s="21" t="s">
        <v>45</v>
      </c>
      <c r="D464" s="21" t="s">
        <v>35</v>
      </c>
      <c r="E464" s="21" t="s">
        <v>34</v>
      </c>
      <c r="F464" s="22">
        <v>71</v>
      </c>
      <c r="G464" s="22">
        <v>70</v>
      </c>
      <c r="H464" s="22">
        <v>76</v>
      </c>
      <c r="J464" s="10">
        <v>67</v>
      </c>
      <c r="K464" s="10">
        <v>2</v>
      </c>
      <c r="L464" s="10">
        <v>160</v>
      </c>
      <c r="M464" s="10">
        <v>80</v>
      </c>
      <c r="N464" s="10">
        <v>2</v>
      </c>
      <c r="Q464" s="9" t="s">
        <v>53</v>
      </c>
      <c r="R464" s="9">
        <v>119</v>
      </c>
      <c r="S464" s="9">
        <v>113</v>
      </c>
      <c r="T464" s="9">
        <v>232</v>
      </c>
    </row>
    <row r="465" spans="1:20" x14ac:dyDescent="0.25">
      <c r="A465" s="21" t="s">
        <v>4</v>
      </c>
      <c r="B465" s="21" t="s">
        <v>29</v>
      </c>
      <c r="C465" s="21" t="s">
        <v>45</v>
      </c>
      <c r="D465" s="21" t="s">
        <v>32</v>
      </c>
      <c r="E465" s="21" t="s">
        <v>34</v>
      </c>
      <c r="F465" s="22">
        <v>77</v>
      </c>
      <c r="G465" s="22">
        <v>90</v>
      </c>
      <c r="H465" s="22">
        <v>91</v>
      </c>
      <c r="J465" s="10">
        <v>78</v>
      </c>
      <c r="K465" s="10">
        <v>2</v>
      </c>
      <c r="L465" s="10">
        <v>161</v>
      </c>
      <c r="M465" s="10">
        <v>80.5</v>
      </c>
      <c r="N465" s="10">
        <v>0.5</v>
      </c>
      <c r="Q465" s="9" t="s">
        <v>54</v>
      </c>
      <c r="R465" s="9">
        <v>59.5</v>
      </c>
      <c r="S465" s="9">
        <v>56.5</v>
      </c>
      <c r="T465" s="9">
        <v>58</v>
      </c>
    </row>
    <row r="466" spans="1:20" x14ac:dyDescent="0.25">
      <c r="A466" s="21" t="s">
        <v>5</v>
      </c>
      <c r="B466" s="21" t="s">
        <v>27</v>
      </c>
      <c r="C466" s="21" t="s">
        <v>43</v>
      </c>
      <c r="D466" s="21" t="s">
        <v>35</v>
      </c>
      <c r="E466" s="21" t="s">
        <v>33</v>
      </c>
      <c r="F466" s="22">
        <v>75</v>
      </c>
      <c r="G466" s="22">
        <v>58</v>
      </c>
      <c r="H466" s="22">
        <v>62</v>
      </c>
      <c r="J466" s="10">
        <v>59</v>
      </c>
      <c r="K466" s="10">
        <v>2</v>
      </c>
      <c r="L466" s="10">
        <v>142</v>
      </c>
      <c r="M466" s="10">
        <v>71</v>
      </c>
      <c r="N466" s="10">
        <v>8</v>
      </c>
      <c r="Q466" s="9" t="s">
        <v>55</v>
      </c>
      <c r="R466" s="9">
        <v>220.5</v>
      </c>
      <c r="S466" s="9">
        <v>180.5</v>
      </c>
      <c r="T466" s="9">
        <v>136.66666666666666</v>
      </c>
    </row>
    <row r="467" spans="1:20" x14ac:dyDescent="0.25">
      <c r="A467" s="21" t="s">
        <v>4</v>
      </c>
      <c r="B467" s="21" t="s">
        <v>29</v>
      </c>
      <c r="C467" s="21" t="s">
        <v>45</v>
      </c>
      <c r="D467" s="21" t="s">
        <v>35</v>
      </c>
      <c r="E467" s="21" t="s">
        <v>34</v>
      </c>
      <c r="F467" s="22">
        <v>84</v>
      </c>
      <c r="G467" s="22">
        <v>87</v>
      </c>
      <c r="H467" s="22">
        <v>91</v>
      </c>
      <c r="J467" s="10">
        <v>73</v>
      </c>
      <c r="K467" s="10">
        <v>2</v>
      </c>
      <c r="L467" s="10">
        <v>159</v>
      </c>
      <c r="M467" s="10">
        <v>79.5</v>
      </c>
      <c r="N467" s="10">
        <v>24.5</v>
      </c>
      <c r="Q467" s="9"/>
      <c r="R467" s="9"/>
      <c r="S467" s="9"/>
      <c r="T467" s="9"/>
    </row>
    <row r="468" spans="1:20" x14ac:dyDescent="0.25">
      <c r="A468" s="21" t="s">
        <v>4</v>
      </c>
      <c r="B468" s="21" t="s">
        <v>30</v>
      </c>
      <c r="C468" s="21" t="s">
        <v>14</v>
      </c>
      <c r="D468" s="21" t="s">
        <v>32</v>
      </c>
      <c r="E468" s="21" t="s">
        <v>34</v>
      </c>
      <c r="F468" s="22">
        <v>26</v>
      </c>
      <c r="G468" s="22">
        <v>31</v>
      </c>
      <c r="H468" s="22">
        <v>38</v>
      </c>
      <c r="J468" s="10">
        <v>79</v>
      </c>
      <c r="K468" s="10">
        <v>2</v>
      </c>
      <c r="L468" s="10">
        <v>155</v>
      </c>
      <c r="M468" s="10">
        <v>77.5</v>
      </c>
      <c r="N468" s="10">
        <v>40.5</v>
      </c>
      <c r="Q468" s="14">
        <v>62</v>
      </c>
      <c r="R468" s="14"/>
      <c r="S468" s="14"/>
      <c r="T468" s="14"/>
    </row>
    <row r="469" spans="1:20" x14ac:dyDescent="0.25">
      <c r="A469" s="21" t="s">
        <v>5</v>
      </c>
      <c r="B469" s="21" t="s">
        <v>27</v>
      </c>
      <c r="C469" s="21" t="s">
        <v>15</v>
      </c>
      <c r="D469" s="21" t="s">
        <v>32</v>
      </c>
      <c r="E469" s="21" t="s">
        <v>33</v>
      </c>
      <c r="F469" s="22">
        <v>72</v>
      </c>
      <c r="G469" s="22">
        <v>67</v>
      </c>
      <c r="H469" s="22">
        <v>65</v>
      </c>
      <c r="J469" s="10">
        <v>67</v>
      </c>
      <c r="K469" s="10">
        <v>2</v>
      </c>
      <c r="L469" s="10">
        <v>151</v>
      </c>
      <c r="M469" s="10">
        <v>75.5</v>
      </c>
      <c r="N469" s="10">
        <v>4.5</v>
      </c>
      <c r="Q469" s="9" t="s">
        <v>52</v>
      </c>
      <c r="R469" s="9">
        <v>2</v>
      </c>
      <c r="S469" s="9">
        <v>2</v>
      </c>
      <c r="T469" s="9">
        <v>4</v>
      </c>
    </row>
    <row r="470" spans="1:20" x14ac:dyDescent="0.25">
      <c r="A470" s="21" t="s">
        <v>4</v>
      </c>
      <c r="B470" s="21" t="s">
        <v>27</v>
      </c>
      <c r="C470" s="21" t="s">
        <v>15</v>
      </c>
      <c r="D470" s="21" t="s">
        <v>32</v>
      </c>
      <c r="E470" s="21" t="s">
        <v>33</v>
      </c>
      <c r="F470" s="22">
        <v>77</v>
      </c>
      <c r="G470" s="22">
        <v>88</v>
      </c>
      <c r="H470" s="22">
        <v>85</v>
      </c>
      <c r="J470" s="10">
        <v>69</v>
      </c>
      <c r="K470" s="10">
        <v>2</v>
      </c>
      <c r="L470" s="10">
        <v>126</v>
      </c>
      <c r="M470" s="10">
        <v>63</v>
      </c>
      <c r="N470" s="10">
        <v>18</v>
      </c>
      <c r="Q470" s="9" t="s">
        <v>53</v>
      </c>
      <c r="R470" s="9">
        <v>156</v>
      </c>
      <c r="S470" s="9">
        <v>149</v>
      </c>
      <c r="T470" s="9">
        <v>305</v>
      </c>
    </row>
    <row r="471" spans="1:20" x14ac:dyDescent="0.25">
      <c r="A471" s="21" t="s">
        <v>5</v>
      </c>
      <c r="B471" s="21" t="s">
        <v>29</v>
      </c>
      <c r="C471" s="21" t="s">
        <v>45</v>
      </c>
      <c r="D471" s="21" t="s">
        <v>35</v>
      </c>
      <c r="E471" s="21" t="s">
        <v>34</v>
      </c>
      <c r="F471" s="22">
        <v>91</v>
      </c>
      <c r="G471" s="22">
        <v>74</v>
      </c>
      <c r="H471" s="22">
        <v>76</v>
      </c>
      <c r="J471" s="10">
        <v>86</v>
      </c>
      <c r="K471" s="10">
        <v>2</v>
      </c>
      <c r="L471" s="10">
        <v>161</v>
      </c>
      <c r="M471" s="10">
        <v>80.5</v>
      </c>
      <c r="N471" s="10">
        <v>0.5</v>
      </c>
      <c r="Q471" s="9" t="s">
        <v>54</v>
      </c>
      <c r="R471" s="9">
        <v>78</v>
      </c>
      <c r="S471" s="9">
        <v>74.5</v>
      </c>
      <c r="T471" s="9">
        <v>76.25</v>
      </c>
    </row>
    <row r="472" spans="1:20" x14ac:dyDescent="0.25">
      <c r="A472" s="21" t="s">
        <v>4</v>
      </c>
      <c r="B472" s="21" t="s">
        <v>29</v>
      </c>
      <c r="C472" s="21" t="s">
        <v>14</v>
      </c>
      <c r="D472" s="21" t="s">
        <v>35</v>
      </c>
      <c r="E472" s="21" t="s">
        <v>33</v>
      </c>
      <c r="F472" s="22">
        <v>83</v>
      </c>
      <c r="G472" s="22">
        <v>85</v>
      </c>
      <c r="H472" s="22">
        <v>90</v>
      </c>
      <c r="J472" s="10">
        <v>47</v>
      </c>
      <c r="K472" s="10">
        <v>2</v>
      </c>
      <c r="L472" s="10">
        <v>88</v>
      </c>
      <c r="M472" s="10">
        <v>44</v>
      </c>
      <c r="N472" s="10">
        <v>8</v>
      </c>
      <c r="Q472" s="9" t="s">
        <v>55</v>
      </c>
      <c r="R472" s="9">
        <v>242</v>
      </c>
      <c r="S472" s="9">
        <v>364.5</v>
      </c>
      <c r="T472" s="9">
        <v>206.25</v>
      </c>
    </row>
    <row r="473" spans="1:20" x14ac:dyDescent="0.25">
      <c r="A473" s="21" t="s">
        <v>4</v>
      </c>
      <c r="B473" s="21" t="s">
        <v>29</v>
      </c>
      <c r="C473" s="21" t="s">
        <v>15</v>
      </c>
      <c r="D473" s="21" t="s">
        <v>35</v>
      </c>
      <c r="E473" s="21" t="s">
        <v>34</v>
      </c>
      <c r="F473" s="22">
        <v>63</v>
      </c>
      <c r="G473" s="22">
        <v>69</v>
      </c>
      <c r="H473" s="22">
        <v>74</v>
      </c>
      <c r="J473" s="10">
        <v>81</v>
      </c>
      <c r="K473" s="10">
        <v>2</v>
      </c>
      <c r="L473" s="10">
        <v>145</v>
      </c>
      <c r="M473" s="10">
        <v>72.5</v>
      </c>
      <c r="N473" s="10">
        <v>0.5</v>
      </c>
      <c r="Q473" s="9"/>
      <c r="R473" s="9"/>
      <c r="S473" s="9"/>
      <c r="T473" s="9"/>
    </row>
    <row r="474" spans="1:20" x14ac:dyDescent="0.25">
      <c r="A474" s="21" t="s">
        <v>4</v>
      </c>
      <c r="B474" s="21" t="s">
        <v>29</v>
      </c>
      <c r="C474" s="21" t="s">
        <v>14</v>
      </c>
      <c r="D474" s="21" t="s">
        <v>35</v>
      </c>
      <c r="E474" s="21" t="s">
        <v>33</v>
      </c>
      <c r="F474" s="22">
        <v>68</v>
      </c>
      <c r="G474" s="22">
        <v>86</v>
      </c>
      <c r="H474" s="22">
        <v>84</v>
      </c>
      <c r="J474" s="10">
        <v>64</v>
      </c>
      <c r="K474" s="10">
        <v>2</v>
      </c>
      <c r="L474" s="10">
        <v>170</v>
      </c>
      <c r="M474" s="10">
        <v>85</v>
      </c>
      <c r="N474" s="10">
        <v>0</v>
      </c>
      <c r="Q474" s="14">
        <v>66</v>
      </c>
      <c r="R474" s="14"/>
      <c r="S474" s="14"/>
      <c r="T474" s="14"/>
    </row>
    <row r="475" spans="1:20" x14ac:dyDescent="0.25">
      <c r="A475" s="21" t="s">
        <v>4</v>
      </c>
      <c r="B475" s="21" t="s">
        <v>30</v>
      </c>
      <c r="C475" s="21" t="s">
        <v>17</v>
      </c>
      <c r="D475" s="21" t="s">
        <v>35</v>
      </c>
      <c r="E475" s="21" t="s">
        <v>34</v>
      </c>
      <c r="F475" s="22">
        <v>59</v>
      </c>
      <c r="G475" s="22">
        <v>67</v>
      </c>
      <c r="H475" s="22">
        <v>61</v>
      </c>
      <c r="J475" s="10">
        <v>100</v>
      </c>
      <c r="K475" s="10">
        <v>2</v>
      </c>
      <c r="L475" s="10">
        <v>189</v>
      </c>
      <c r="M475" s="10">
        <v>94.5</v>
      </c>
      <c r="N475" s="10">
        <v>12.5</v>
      </c>
      <c r="Q475" s="9" t="s">
        <v>52</v>
      </c>
      <c r="R475" s="9">
        <v>2</v>
      </c>
      <c r="S475" s="9">
        <v>2</v>
      </c>
      <c r="T475" s="9">
        <v>4</v>
      </c>
    </row>
    <row r="476" spans="1:20" x14ac:dyDescent="0.25">
      <c r="A476" s="21" t="s">
        <v>4</v>
      </c>
      <c r="B476" s="21" t="s">
        <v>28</v>
      </c>
      <c r="C476" s="21" t="s">
        <v>14</v>
      </c>
      <c r="D476" s="21" t="s">
        <v>35</v>
      </c>
      <c r="E476" s="21" t="s">
        <v>33</v>
      </c>
      <c r="F476" s="22">
        <v>90</v>
      </c>
      <c r="G476" s="22">
        <v>90</v>
      </c>
      <c r="H476" s="22">
        <v>91</v>
      </c>
      <c r="J476" s="10">
        <v>65</v>
      </c>
      <c r="K476" s="10">
        <v>2</v>
      </c>
      <c r="L476" s="10">
        <v>151</v>
      </c>
      <c r="M476" s="10">
        <v>75.5</v>
      </c>
      <c r="N476" s="10">
        <v>4.5</v>
      </c>
      <c r="Q476" s="9" t="s">
        <v>53</v>
      </c>
      <c r="R476" s="9">
        <v>134</v>
      </c>
      <c r="S476" s="9">
        <v>138</v>
      </c>
      <c r="T476" s="9">
        <v>272</v>
      </c>
    </row>
    <row r="477" spans="1:20" x14ac:dyDescent="0.25">
      <c r="A477" s="21" t="s">
        <v>4</v>
      </c>
      <c r="B477" s="21" t="s">
        <v>30</v>
      </c>
      <c r="C477" s="21" t="s">
        <v>43</v>
      </c>
      <c r="D477" s="21" t="s">
        <v>35</v>
      </c>
      <c r="E477" s="21" t="s">
        <v>33</v>
      </c>
      <c r="F477" s="22">
        <v>71</v>
      </c>
      <c r="G477" s="22">
        <v>76</v>
      </c>
      <c r="H477" s="22">
        <v>83</v>
      </c>
      <c r="J477" s="10">
        <v>65</v>
      </c>
      <c r="K477" s="10">
        <v>2</v>
      </c>
      <c r="L477" s="10">
        <v>107</v>
      </c>
      <c r="M477" s="10">
        <v>53.5</v>
      </c>
      <c r="N477" s="10">
        <v>40.5</v>
      </c>
      <c r="Q477" s="9" t="s">
        <v>54</v>
      </c>
      <c r="R477" s="9">
        <v>67</v>
      </c>
      <c r="S477" s="9">
        <v>69</v>
      </c>
      <c r="T477" s="9">
        <v>68</v>
      </c>
    </row>
    <row r="478" spans="1:20" x14ac:dyDescent="0.25">
      <c r="A478" s="21" t="s">
        <v>5</v>
      </c>
      <c r="B478" s="21" t="s">
        <v>31</v>
      </c>
      <c r="C478" s="21" t="s">
        <v>43</v>
      </c>
      <c r="D478" s="21" t="s">
        <v>35</v>
      </c>
      <c r="E478" s="21" t="s">
        <v>33</v>
      </c>
      <c r="F478" s="22">
        <v>76</v>
      </c>
      <c r="G478" s="22">
        <v>62</v>
      </c>
      <c r="H478" s="22">
        <v>66</v>
      </c>
      <c r="J478" s="10">
        <v>53</v>
      </c>
      <c r="K478" s="10">
        <v>2</v>
      </c>
      <c r="L478" s="10">
        <v>123</v>
      </c>
      <c r="M478" s="10">
        <v>61.5</v>
      </c>
      <c r="N478" s="10">
        <v>0.5</v>
      </c>
      <c r="Q478" s="9" t="s">
        <v>55</v>
      </c>
      <c r="R478" s="9">
        <v>98</v>
      </c>
      <c r="S478" s="9">
        <v>162</v>
      </c>
      <c r="T478" s="9">
        <v>88</v>
      </c>
    </row>
    <row r="479" spans="1:20" x14ac:dyDescent="0.25">
      <c r="A479" s="21" t="s">
        <v>5</v>
      </c>
      <c r="B479" s="21" t="s">
        <v>30</v>
      </c>
      <c r="C479" s="21" t="s">
        <v>14</v>
      </c>
      <c r="D479" s="21" t="s">
        <v>35</v>
      </c>
      <c r="E479" s="21" t="s">
        <v>34</v>
      </c>
      <c r="F479" s="22">
        <v>80</v>
      </c>
      <c r="G479" s="22">
        <v>68</v>
      </c>
      <c r="H479" s="22">
        <v>72</v>
      </c>
      <c r="J479" s="10">
        <v>37</v>
      </c>
      <c r="K479" s="10">
        <v>2</v>
      </c>
      <c r="L479" s="10">
        <v>103</v>
      </c>
      <c r="M479" s="10">
        <v>51.5</v>
      </c>
      <c r="N479" s="10">
        <v>40.5</v>
      </c>
      <c r="Q479" s="9"/>
      <c r="R479" s="9"/>
      <c r="S479" s="9"/>
      <c r="T479" s="9"/>
    </row>
    <row r="480" spans="1:20" x14ac:dyDescent="0.25">
      <c r="A480" s="21" t="s">
        <v>4</v>
      </c>
      <c r="B480" s="21" t="s">
        <v>30</v>
      </c>
      <c r="C480" s="21" t="s">
        <v>16</v>
      </c>
      <c r="D480" s="21" t="s">
        <v>35</v>
      </c>
      <c r="E480" s="21" t="s">
        <v>34</v>
      </c>
      <c r="F480" s="22">
        <v>55</v>
      </c>
      <c r="G480" s="22">
        <v>64</v>
      </c>
      <c r="H480" s="22">
        <v>70</v>
      </c>
      <c r="J480" s="10">
        <v>79</v>
      </c>
      <c r="K480" s="10">
        <v>2</v>
      </c>
      <c r="L480" s="10">
        <v>178</v>
      </c>
      <c r="M480" s="10">
        <v>89</v>
      </c>
      <c r="N480" s="10">
        <v>0</v>
      </c>
      <c r="Q480" s="14">
        <v>61</v>
      </c>
      <c r="R480" s="14"/>
      <c r="S480" s="14"/>
      <c r="T480" s="14"/>
    </row>
    <row r="481" spans="1:20" x14ac:dyDescent="0.25">
      <c r="A481" s="21" t="s">
        <v>5</v>
      </c>
      <c r="B481" s="21" t="s">
        <v>31</v>
      </c>
      <c r="C481" s="21" t="s">
        <v>14</v>
      </c>
      <c r="D481" s="21" t="s">
        <v>35</v>
      </c>
      <c r="E481" s="21" t="s">
        <v>34</v>
      </c>
      <c r="F481" s="22">
        <v>76</v>
      </c>
      <c r="G481" s="22">
        <v>71</v>
      </c>
      <c r="H481" s="22">
        <v>67</v>
      </c>
      <c r="J481" s="10">
        <v>53</v>
      </c>
      <c r="K481" s="10">
        <v>2</v>
      </c>
      <c r="L481" s="10">
        <v>102</v>
      </c>
      <c r="M481" s="10">
        <v>51</v>
      </c>
      <c r="N481" s="10">
        <v>18</v>
      </c>
      <c r="Q481" s="9" t="s">
        <v>52</v>
      </c>
      <c r="R481" s="9">
        <v>2</v>
      </c>
      <c r="S481" s="9">
        <v>2</v>
      </c>
      <c r="T481" s="9">
        <v>4</v>
      </c>
    </row>
    <row r="482" spans="1:20" x14ac:dyDescent="0.25">
      <c r="A482" s="21" t="s">
        <v>5</v>
      </c>
      <c r="B482" s="21" t="s">
        <v>28</v>
      </c>
      <c r="C482" s="21" t="s">
        <v>15</v>
      </c>
      <c r="D482" s="21" t="s">
        <v>35</v>
      </c>
      <c r="E482" s="21" t="s">
        <v>33</v>
      </c>
      <c r="F482" s="22">
        <v>73</v>
      </c>
      <c r="G482" s="22">
        <v>71</v>
      </c>
      <c r="H482" s="22">
        <v>68</v>
      </c>
      <c r="J482" s="10">
        <v>100</v>
      </c>
      <c r="K482" s="10">
        <v>2</v>
      </c>
      <c r="L482" s="10">
        <v>200</v>
      </c>
      <c r="M482" s="10">
        <v>100</v>
      </c>
      <c r="N482" s="10">
        <v>0</v>
      </c>
      <c r="Q482" s="9" t="s">
        <v>53</v>
      </c>
      <c r="R482" s="9">
        <v>148</v>
      </c>
      <c r="S482" s="9">
        <v>151</v>
      </c>
      <c r="T482" s="9">
        <v>299</v>
      </c>
    </row>
    <row r="483" spans="1:20" x14ac:dyDescent="0.25">
      <c r="A483" s="21" t="s">
        <v>4</v>
      </c>
      <c r="B483" s="21" t="s">
        <v>30</v>
      </c>
      <c r="C483" s="21" t="s">
        <v>14</v>
      </c>
      <c r="D483" s="21" t="s">
        <v>32</v>
      </c>
      <c r="E483" s="21" t="s">
        <v>34</v>
      </c>
      <c r="F483" s="22">
        <v>52</v>
      </c>
      <c r="G483" s="22">
        <v>59</v>
      </c>
      <c r="H483" s="22">
        <v>56</v>
      </c>
      <c r="J483" s="10">
        <v>72</v>
      </c>
      <c r="K483" s="10">
        <v>2</v>
      </c>
      <c r="L483" s="10">
        <v>133</v>
      </c>
      <c r="M483" s="10">
        <v>66.5</v>
      </c>
      <c r="N483" s="10">
        <v>4.5</v>
      </c>
      <c r="Q483" s="9" t="s">
        <v>54</v>
      </c>
      <c r="R483" s="9">
        <v>74</v>
      </c>
      <c r="S483" s="9">
        <v>75.5</v>
      </c>
      <c r="T483" s="9">
        <v>74.75</v>
      </c>
    </row>
    <row r="484" spans="1:20" x14ac:dyDescent="0.25">
      <c r="A484" s="21" t="s">
        <v>5</v>
      </c>
      <c r="B484" s="21" t="s">
        <v>29</v>
      </c>
      <c r="C484" s="21" t="s">
        <v>45</v>
      </c>
      <c r="D484" s="21" t="s">
        <v>32</v>
      </c>
      <c r="E484" s="21" t="s">
        <v>34</v>
      </c>
      <c r="F484" s="22">
        <v>68</v>
      </c>
      <c r="G484" s="22">
        <v>68</v>
      </c>
      <c r="H484" s="22">
        <v>61</v>
      </c>
      <c r="J484" s="10">
        <v>53</v>
      </c>
      <c r="K484" s="10">
        <v>2</v>
      </c>
      <c r="L484" s="10">
        <v>113</v>
      </c>
      <c r="M484" s="10">
        <v>56.5</v>
      </c>
      <c r="N484" s="10">
        <v>4.5</v>
      </c>
      <c r="Q484" s="9" t="s">
        <v>55</v>
      </c>
      <c r="R484" s="9">
        <v>288</v>
      </c>
      <c r="S484" s="9">
        <v>264.5</v>
      </c>
      <c r="T484" s="9">
        <v>184.91666666666666</v>
      </c>
    </row>
    <row r="485" spans="1:20" x14ac:dyDescent="0.25">
      <c r="A485" s="21" t="s">
        <v>5</v>
      </c>
      <c r="B485" s="21" t="s">
        <v>27</v>
      </c>
      <c r="C485" s="21" t="s">
        <v>15</v>
      </c>
      <c r="D485" s="21" t="s">
        <v>35</v>
      </c>
      <c r="E485" s="21" t="s">
        <v>34</v>
      </c>
      <c r="F485" s="22">
        <v>59</v>
      </c>
      <c r="G485" s="22">
        <v>52</v>
      </c>
      <c r="H485" s="22">
        <v>46</v>
      </c>
      <c r="J485" s="10">
        <v>54</v>
      </c>
      <c r="K485" s="10">
        <v>2</v>
      </c>
      <c r="L485" s="10">
        <v>99</v>
      </c>
      <c r="M485" s="10">
        <v>49.5</v>
      </c>
      <c r="N485" s="10">
        <v>40.5</v>
      </c>
      <c r="Q485" s="9"/>
      <c r="R485" s="9"/>
      <c r="S485" s="9"/>
      <c r="T485" s="9"/>
    </row>
    <row r="486" spans="1:20" x14ac:dyDescent="0.25">
      <c r="A486" s="21" t="s">
        <v>4</v>
      </c>
      <c r="B486" s="21" t="s">
        <v>28</v>
      </c>
      <c r="C486" s="21" t="s">
        <v>14</v>
      </c>
      <c r="D486" s="21" t="s">
        <v>35</v>
      </c>
      <c r="E486" s="21" t="s">
        <v>34</v>
      </c>
      <c r="F486" s="22">
        <v>49</v>
      </c>
      <c r="G486" s="22">
        <v>52</v>
      </c>
      <c r="H486" s="22">
        <v>54</v>
      </c>
      <c r="J486" s="10">
        <v>71</v>
      </c>
      <c r="K486" s="10">
        <v>2</v>
      </c>
      <c r="L486" s="10">
        <v>146</v>
      </c>
      <c r="M486" s="10">
        <v>73</v>
      </c>
      <c r="N486" s="10">
        <v>18</v>
      </c>
      <c r="Q486" s="14">
        <v>82</v>
      </c>
      <c r="R486" s="14"/>
      <c r="S486" s="14"/>
      <c r="T486" s="14"/>
    </row>
    <row r="487" spans="1:20" x14ac:dyDescent="0.25">
      <c r="A487" s="21" t="s">
        <v>5</v>
      </c>
      <c r="B487" s="21" t="s">
        <v>29</v>
      </c>
      <c r="C487" s="21" t="s">
        <v>15</v>
      </c>
      <c r="D487" s="21" t="s">
        <v>35</v>
      </c>
      <c r="E487" s="21" t="s">
        <v>34</v>
      </c>
      <c r="F487" s="22">
        <v>70</v>
      </c>
      <c r="G487" s="22">
        <v>74</v>
      </c>
      <c r="H487" s="22">
        <v>71</v>
      </c>
      <c r="J487" s="10">
        <v>77</v>
      </c>
      <c r="K487" s="10">
        <v>2</v>
      </c>
      <c r="L487" s="10">
        <v>181</v>
      </c>
      <c r="M487" s="10">
        <v>90.5</v>
      </c>
      <c r="N487" s="10">
        <v>0.5</v>
      </c>
      <c r="Q487" s="9" t="s">
        <v>52</v>
      </c>
      <c r="R487" s="9">
        <v>2</v>
      </c>
      <c r="S487" s="9">
        <v>2</v>
      </c>
      <c r="T487" s="9">
        <v>4</v>
      </c>
    </row>
    <row r="488" spans="1:20" x14ac:dyDescent="0.25">
      <c r="A488" s="21" t="s">
        <v>5</v>
      </c>
      <c r="B488" s="21" t="s">
        <v>30</v>
      </c>
      <c r="C488" s="21" t="s">
        <v>45</v>
      </c>
      <c r="D488" s="21" t="s">
        <v>32</v>
      </c>
      <c r="E488" s="21" t="s">
        <v>34</v>
      </c>
      <c r="F488" s="22">
        <v>61</v>
      </c>
      <c r="G488" s="22">
        <v>47</v>
      </c>
      <c r="H488" s="22">
        <v>56</v>
      </c>
      <c r="J488" s="10">
        <v>75</v>
      </c>
      <c r="K488" s="10">
        <v>2</v>
      </c>
      <c r="L488" s="10">
        <v>120</v>
      </c>
      <c r="M488" s="10">
        <v>60</v>
      </c>
      <c r="N488" s="10">
        <v>8</v>
      </c>
      <c r="Q488" s="9" t="s">
        <v>53</v>
      </c>
      <c r="R488" s="9">
        <v>166</v>
      </c>
      <c r="S488" s="9">
        <v>159</v>
      </c>
      <c r="T488" s="9">
        <v>325</v>
      </c>
    </row>
    <row r="489" spans="1:20" x14ac:dyDescent="0.25">
      <c r="A489" s="21" t="s">
        <v>4</v>
      </c>
      <c r="B489" s="21" t="s">
        <v>29</v>
      </c>
      <c r="C489" s="21" t="s">
        <v>14</v>
      </c>
      <c r="D489" s="21" t="s">
        <v>32</v>
      </c>
      <c r="E489" s="21" t="s">
        <v>34</v>
      </c>
      <c r="F489" s="22">
        <v>60</v>
      </c>
      <c r="G489" s="22">
        <v>75</v>
      </c>
      <c r="H489" s="22">
        <v>74</v>
      </c>
      <c r="J489" s="10">
        <v>84</v>
      </c>
      <c r="K489" s="10">
        <v>2</v>
      </c>
      <c r="L489" s="10">
        <v>178</v>
      </c>
      <c r="M489" s="10">
        <v>89</v>
      </c>
      <c r="N489" s="10">
        <v>8</v>
      </c>
      <c r="Q489" s="9" t="s">
        <v>54</v>
      </c>
      <c r="R489" s="9">
        <v>83</v>
      </c>
      <c r="S489" s="9">
        <v>79.5</v>
      </c>
      <c r="T489" s="9">
        <v>81.25</v>
      </c>
    </row>
    <row r="490" spans="1:20" x14ac:dyDescent="0.25">
      <c r="A490" s="21" t="s">
        <v>5</v>
      </c>
      <c r="B490" s="21" t="s">
        <v>28</v>
      </c>
      <c r="C490" s="21" t="s">
        <v>17</v>
      </c>
      <c r="D490" s="21" t="s">
        <v>35</v>
      </c>
      <c r="E490" s="21" t="s">
        <v>33</v>
      </c>
      <c r="F490" s="22">
        <v>64</v>
      </c>
      <c r="G490" s="22">
        <v>53</v>
      </c>
      <c r="H490" s="22">
        <v>57</v>
      </c>
      <c r="J490" s="10">
        <v>26</v>
      </c>
      <c r="K490" s="10">
        <v>2</v>
      </c>
      <c r="L490" s="10">
        <v>69</v>
      </c>
      <c r="M490" s="10">
        <v>34.5</v>
      </c>
      <c r="N490" s="10">
        <v>24.5</v>
      </c>
      <c r="Q490" s="9" t="s">
        <v>55</v>
      </c>
      <c r="R490" s="9">
        <v>50</v>
      </c>
      <c r="S490" s="9">
        <v>60.5</v>
      </c>
      <c r="T490" s="9">
        <v>40.916666666666664</v>
      </c>
    </row>
    <row r="491" spans="1:20" x14ac:dyDescent="0.25">
      <c r="A491" s="21" t="s">
        <v>5</v>
      </c>
      <c r="B491" s="21" t="s">
        <v>27</v>
      </c>
      <c r="C491" s="21" t="s">
        <v>14</v>
      </c>
      <c r="D491" s="21" t="s">
        <v>32</v>
      </c>
      <c r="E491" s="21" t="s">
        <v>33</v>
      </c>
      <c r="F491" s="22">
        <v>79</v>
      </c>
      <c r="G491" s="22">
        <v>82</v>
      </c>
      <c r="H491" s="22">
        <v>82</v>
      </c>
      <c r="J491" s="10">
        <v>72</v>
      </c>
      <c r="K491" s="10">
        <v>2</v>
      </c>
      <c r="L491" s="10">
        <v>132</v>
      </c>
      <c r="M491" s="10">
        <v>66</v>
      </c>
      <c r="N491" s="10">
        <v>2</v>
      </c>
      <c r="Q491" s="9"/>
      <c r="R491" s="9"/>
      <c r="S491" s="9"/>
      <c r="T491" s="9"/>
    </row>
    <row r="492" spans="1:20" x14ac:dyDescent="0.25">
      <c r="A492" s="21" t="s">
        <v>4</v>
      </c>
      <c r="B492" s="21" t="s">
        <v>27</v>
      </c>
      <c r="C492" s="21" t="s">
        <v>14</v>
      </c>
      <c r="D492" s="21" t="s">
        <v>32</v>
      </c>
      <c r="E492" s="21" t="s">
        <v>34</v>
      </c>
      <c r="F492" s="22">
        <v>65</v>
      </c>
      <c r="G492" s="22">
        <v>85</v>
      </c>
      <c r="H492" s="22">
        <v>76</v>
      </c>
      <c r="J492" s="10">
        <v>77</v>
      </c>
      <c r="K492" s="10">
        <v>2</v>
      </c>
      <c r="L492" s="10">
        <v>173</v>
      </c>
      <c r="M492" s="10">
        <v>86.5</v>
      </c>
      <c r="N492" s="10">
        <v>4.5</v>
      </c>
      <c r="Q492" s="14">
        <v>49</v>
      </c>
      <c r="R492" s="14"/>
      <c r="S492" s="14"/>
      <c r="T492" s="14"/>
    </row>
    <row r="493" spans="1:20" x14ac:dyDescent="0.25">
      <c r="A493" s="21" t="s">
        <v>4</v>
      </c>
      <c r="B493" s="21" t="s">
        <v>29</v>
      </c>
      <c r="C493" s="21" t="s">
        <v>14</v>
      </c>
      <c r="D493" s="21" t="s">
        <v>35</v>
      </c>
      <c r="E493" s="21" t="s">
        <v>34</v>
      </c>
      <c r="F493" s="22">
        <v>64</v>
      </c>
      <c r="G493" s="22">
        <v>64</v>
      </c>
      <c r="H493" s="22">
        <v>70</v>
      </c>
      <c r="J493" s="10">
        <v>91</v>
      </c>
      <c r="K493" s="10">
        <v>2</v>
      </c>
      <c r="L493" s="10">
        <v>150</v>
      </c>
      <c r="M493" s="10">
        <v>75</v>
      </c>
      <c r="N493" s="10">
        <v>2</v>
      </c>
      <c r="Q493" s="9" t="s">
        <v>52</v>
      </c>
      <c r="R493" s="9">
        <v>2</v>
      </c>
      <c r="S493" s="9">
        <v>2</v>
      </c>
      <c r="T493" s="9">
        <v>4</v>
      </c>
    </row>
    <row r="494" spans="1:20" x14ac:dyDescent="0.25">
      <c r="A494" s="21" t="s">
        <v>4</v>
      </c>
      <c r="B494" s="21" t="s">
        <v>29</v>
      </c>
      <c r="C494" s="21" t="s">
        <v>45</v>
      </c>
      <c r="D494" s="21" t="s">
        <v>35</v>
      </c>
      <c r="E494" s="21" t="s">
        <v>34</v>
      </c>
      <c r="F494" s="22">
        <v>83</v>
      </c>
      <c r="G494" s="22">
        <v>83</v>
      </c>
      <c r="H494" s="22">
        <v>90</v>
      </c>
      <c r="J494" s="10">
        <v>83</v>
      </c>
      <c r="K494" s="10">
        <v>2</v>
      </c>
      <c r="L494" s="10">
        <v>175</v>
      </c>
      <c r="M494" s="10">
        <v>87.5</v>
      </c>
      <c r="N494" s="10">
        <v>12.5</v>
      </c>
      <c r="Q494" s="9" t="s">
        <v>53</v>
      </c>
      <c r="R494" s="9">
        <v>106</v>
      </c>
      <c r="S494" s="9">
        <v>101</v>
      </c>
      <c r="T494" s="9">
        <v>207</v>
      </c>
    </row>
    <row r="495" spans="1:20" x14ac:dyDescent="0.25">
      <c r="A495" s="21" t="s">
        <v>4</v>
      </c>
      <c r="B495" s="21" t="s">
        <v>29</v>
      </c>
      <c r="C495" s="21" t="s">
        <v>43</v>
      </c>
      <c r="D495" s="21" t="s">
        <v>35</v>
      </c>
      <c r="E495" s="21" t="s">
        <v>34</v>
      </c>
      <c r="F495" s="22">
        <v>81</v>
      </c>
      <c r="G495" s="22">
        <v>88</v>
      </c>
      <c r="H495" s="22">
        <v>90</v>
      </c>
      <c r="J495" s="10">
        <v>63</v>
      </c>
      <c r="K495" s="10">
        <v>2</v>
      </c>
      <c r="L495" s="10">
        <v>143</v>
      </c>
      <c r="M495" s="10">
        <v>71.5</v>
      </c>
      <c r="N495" s="10">
        <v>12.5</v>
      </c>
      <c r="Q495" s="9" t="s">
        <v>54</v>
      </c>
      <c r="R495" s="9">
        <v>53</v>
      </c>
      <c r="S495" s="9">
        <v>50.5</v>
      </c>
      <c r="T495" s="9">
        <v>51.75</v>
      </c>
    </row>
    <row r="496" spans="1:20" x14ac:dyDescent="0.25">
      <c r="A496" s="21" t="s">
        <v>4</v>
      </c>
      <c r="B496" s="21" t="s">
        <v>28</v>
      </c>
      <c r="C496" s="21" t="s">
        <v>15</v>
      </c>
      <c r="D496" s="21" t="s">
        <v>35</v>
      </c>
      <c r="E496" s="21" t="s">
        <v>34</v>
      </c>
      <c r="F496" s="22">
        <v>54</v>
      </c>
      <c r="G496" s="22">
        <v>64</v>
      </c>
      <c r="H496" s="22">
        <v>68</v>
      </c>
      <c r="J496" s="10">
        <v>68</v>
      </c>
      <c r="K496" s="10">
        <v>2</v>
      </c>
      <c r="L496" s="10">
        <v>170</v>
      </c>
      <c r="M496" s="10">
        <v>85</v>
      </c>
      <c r="N496" s="10">
        <v>2</v>
      </c>
      <c r="Q496" s="9" t="s">
        <v>55</v>
      </c>
      <c r="R496" s="9">
        <v>0</v>
      </c>
      <c r="S496" s="9">
        <v>4.5</v>
      </c>
      <c r="T496" s="9">
        <v>3.5833333333333335</v>
      </c>
    </row>
    <row r="497" spans="1:20" x14ac:dyDescent="0.25">
      <c r="A497" s="21" t="s">
        <v>5</v>
      </c>
      <c r="B497" s="21" t="s">
        <v>30</v>
      </c>
      <c r="C497" s="21" t="s">
        <v>15</v>
      </c>
      <c r="D497" s="21" t="s">
        <v>35</v>
      </c>
      <c r="E497" s="21" t="s">
        <v>33</v>
      </c>
      <c r="F497" s="22">
        <v>68</v>
      </c>
      <c r="G497" s="22">
        <v>64</v>
      </c>
      <c r="H497" s="22">
        <v>66</v>
      </c>
      <c r="J497" s="10">
        <v>59</v>
      </c>
      <c r="K497" s="10">
        <v>2</v>
      </c>
      <c r="L497" s="10">
        <v>128</v>
      </c>
      <c r="M497" s="10">
        <v>64</v>
      </c>
      <c r="N497" s="10">
        <v>18</v>
      </c>
      <c r="Q497" s="9"/>
      <c r="R497" s="9"/>
      <c r="S497" s="9"/>
      <c r="T497" s="9"/>
    </row>
    <row r="498" spans="1:20" x14ac:dyDescent="0.25">
      <c r="A498" s="21" t="s">
        <v>4</v>
      </c>
      <c r="B498" s="21" t="s">
        <v>29</v>
      </c>
      <c r="C498" s="21" t="s">
        <v>45</v>
      </c>
      <c r="D498" s="21" t="s">
        <v>35</v>
      </c>
      <c r="E498" s="21" t="s">
        <v>34</v>
      </c>
      <c r="F498" s="22">
        <v>54</v>
      </c>
      <c r="G498" s="22">
        <v>48</v>
      </c>
      <c r="H498" s="22">
        <v>52</v>
      </c>
      <c r="J498" s="10">
        <v>90</v>
      </c>
      <c r="K498" s="10">
        <v>2</v>
      </c>
      <c r="L498" s="10">
        <v>181</v>
      </c>
      <c r="M498" s="10">
        <v>90.5</v>
      </c>
      <c r="N498" s="10">
        <v>0.5</v>
      </c>
      <c r="Q498" s="14">
        <v>81</v>
      </c>
      <c r="R498" s="14"/>
      <c r="S498" s="14"/>
      <c r="T498" s="14"/>
    </row>
    <row r="499" spans="1:20" x14ac:dyDescent="0.25">
      <c r="A499" s="21" t="s">
        <v>4</v>
      </c>
      <c r="B499" s="21" t="s">
        <v>30</v>
      </c>
      <c r="C499" s="21" t="s">
        <v>45</v>
      </c>
      <c r="D499" s="21" t="s">
        <v>32</v>
      </c>
      <c r="E499" s="21" t="s">
        <v>33</v>
      </c>
      <c r="F499" s="22">
        <v>59</v>
      </c>
      <c r="G499" s="22">
        <v>78</v>
      </c>
      <c r="H499" s="22">
        <v>76</v>
      </c>
      <c r="J499" s="10">
        <v>71</v>
      </c>
      <c r="K499" s="10">
        <v>2</v>
      </c>
      <c r="L499" s="10">
        <v>159</v>
      </c>
      <c r="M499" s="10">
        <v>79.5</v>
      </c>
      <c r="N499" s="10">
        <v>24.5</v>
      </c>
      <c r="Q499" s="9" t="s">
        <v>52</v>
      </c>
      <c r="R499" s="9">
        <v>2</v>
      </c>
      <c r="S499" s="9">
        <v>2</v>
      </c>
      <c r="T499" s="9">
        <v>4</v>
      </c>
    </row>
    <row r="500" spans="1:20" x14ac:dyDescent="0.25">
      <c r="A500" s="21" t="s">
        <v>4</v>
      </c>
      <c r="B500" s="21" t="s">
        <v>28</v>
      </c>
      <c r="C500" s="21" t="s">
        <v>17</v>
      </c>
      <c r="D500" s="21" t="s">
        <v>35</v>
      </c>
      <c r="E500" s="21" t="s">
        <v>34</v>
      </c>
      <c r="F500" s="22">
        <v>66</v>
      </c>
      <c r="G500" s="22">
        <v>69</v>
      </c>
      <c r="H500" s="22">
        <v>68</v>
      </c>
      <c r="J500" s="10">
        <v>76</v>
      </c>
      <c r="K500" s="10">
        <v>2</v>
      </c>
      <c r="L500" s="10">
        <v>128</v>
      </c>
      <c r="M500" s="10">
        <v>64</v>
      </c>
      <c r="N500" s="10">
        <v>8</v>
      </c>
      <c r="Q500" s="9" t="s">
        <v>53</v>
      </c>
      <c r="R500" s="9">
        <v>192</v>
      </c>
      <c r="S500" s="9">
        <v>191</v>
      </c>
      <c r="T500" s="9">
        <v>383</v>
      </c>
    </row>
    <row r="501" spans="1:20" x14ac:dyDescent="0.25">
      <c r="A501" s="21" t="s">
        <v>5</v>
      </c>
      <c r="B501" s="21" t="s">
        <v>31</v>
      </c>
      <c r="C501" s="21" t="s">
        <v>45</v>
      </c>
      <c r="D501" s="21" t="s">
        <v>35</v>
      </c>
      <c r="E501" s="21" t="s">
        <v>34</v>
      </c>
      <c r="F501" s="22">
        <v>76</v>
      </c>
      <c r="G501" s="22">
        <v>71</v>
      </c>
      <c r="H501" s="22">
        <v>72</v>
      </c>
      <c r="J501" s="10">
        <v>80</v>
      </c>
      <c r="K501" s="10">
        <v>2</v>
      </c>
      <c r="L501" s="10">
        <v>140</v>
      </c>
      <c r="M501" s="10">
        <v>70</v>
      </c>
      <c r="N501" s="10">
        <v>8</v>
      </c>
      <c r="Q501" s="9" t="s">
        <v>54</v>
      </c>
      <c r="R501" s="9">
        <v>96</v>
      </c>
      <c r="S501" s="9">
        <v>95.5</v>
      </c>
      <c r="T501" s="9">
        <v>95.75</v>
      </c>
    </row>
    <row r="502" spans="1:20" x14ac:dyDescent="0.25">
      <c r="A502" s="21" t="s">
        <v>4</v>
      </c>
      <c r="B502" s="21" t="s">
        <v>30</v>
      </c>
      <c r="C502" s="21" t="s">
        <v>16</v>
      </c>
      <c r="D502" s="21" t="s">
        <v>35</v>
      </c>
      <c r="E502" s="21" t="s">
        <v>34</v>
      </c>
      <c r="F502" s="22">
        <v>74</v>
      </c>
      <c r="G502" s="22">
        <v>79</v>
      </c>
      <c r="H502" s="22">
        <v>82</v>
      </c>
      <c r="J502" s="10">
        <v>55</v>
      </c>
      <c r="K502" s="10">
        <v>2</v>
      </c>
      <c r="L502" s="10">
        <v>134</v>
      </c>
      <c r="M502" s="10">
        <v>67</v>
      </c>
      <c r="N502" s="10">
        <v>18</v>
      </c>
      <c r="Q502" s="9" t="s">
        <v>55</v>
      </c>
      <c r="R502" s="9">
        <v>32</v>
      </c>
      <c r="S502" s="9">
        <v>40.5</v>
      </c>
      <c r="T502" s="9">
        <v>24.25</v>
      </c>
    </row>
    <row r="503" spans="1:20" x14ac:dyDescent="0.25">
      <c r="A503" s="21" t="s">
        <v>4</v>
      </c>
      <c r="B503" s="21" t="s">
        <v>28</v>
      </c>
      <c r="C503" s="21" t="s">
        <v>14</v>
      </c>
      <c r="D503" s="21" t="s">
        <v>35</v>
      </c>
      <c r="E503" s="21" t="s">
        <v>33</v>
      </c>
      <c r="F503" s="22">
        <v>94</v>
      </c>
      <c r="G503" s="22">
        <v>87</v>
      </c>
      <c r="H503" s="22">
        <v>92</v>
      </c>
      <c r="J503" s="10">
        <v>76</v>
      </c>
      <c r="K503" s="10">
        <v>2</v>
      </c>
      <c r="L503" s="10">
        <v>138</v>
      </c>
      <c r="M503" s="10">
        <v>69</v>
      </c>
      <c r="N503" s="10">
        <v>8</v>
      </c>
      <c r="Q503" s="9"/>
      <c r="R503" s="9"/>
      <c r="S503" s="9"/>
      <c r="T503" s="9"/>
    </row>
    <row r="504" spans="1:20" x14ac:dyDescent="0.25">
      <c r="A504" s="21" t="s">
        <v>5</v>
      </c>
      <c r="B504" s="21" t="s">
        <v>29</v>
      </c>
      <c r="C504" s="21" t="s">
        <v>45</v>
      </c>
      <c r="D504" s="21" t="s">
        <v>32</v>
      </c>
      <c r="E504" s="21" t="s">
        <v>34</v>
      </c>
      <c r="F504" s="22">
        <v>63</v>
      </c>
      <c r="G504" s="22">
        <v>61</v>
      </c>
      <c r="H504" s="22">
        <v>54</v>
      </c>
      <c r="J504" s="10">
        <v>73</v>
      </c>
      <c r="K504" s="10">
        <v>2</v>
      </c>
      <c r="L504" s="10">
        <v>139</v>
      </c>
      <c r="M504" s="10">
        <v>69.5</v>
      </c>
      <c r="N504" s="10">
        <v>4.5</v>
      </c>
      <c r="Q504" s="14">
        <v>53</v>
      </c>
      <c r="R504" s="14"/>
      <c r="S504" s="14"/>
      <c r="T504" s="14"/>
    </row>
    <row r="505" spans="1:20" x14ac:dyDescent="0.25">
      <c r="A505" s="21" t="s">
        <v>4</v>
      </c>
      <c r="B505" s="21" t="s">
        <v>31</v>
      </c>
      <c r="C505" s="21" t="s">
        <v>14</v>
      </c>
      <c r="D505" s="21" t="s">
        <v>35</v>
      </c>
      <c r="E505" s="21" t="s">
        <v>33</v>
      </c>
      <c r="F505" s="22">
        <v>95</v>
      </c>
      <c r="G505" s="22">
        <v>89</v>
      </c>
      <c r="H505" s="22">
        <v>92</v>
      </c>
      <c r="J505" s="10">
        <v>52</v>
      </c>
      <c r="K505" s="10">
        <v>2</v>
      </c>
      <c r="L505" s="10">
        <v>115</v>
      </c>
      <c r="M505" s="10">
        <v>57.5</v>
      </c>
      <c r="N505" s="10">
        <v>4.5</v>
      </c>
      <c r="Q505" s="9" t="s">
        <v>52</v>
      </c>
      <c r="R505" s="9">
        <v>2</v>
      </c>
      <c r="S505" s="9">
        <v>2</v>
      </c>
      <c r="T505" s="9">
        <v>4</v>
      </c>
    </row>
    <row r="506" spans="1:20" x14ac:dyDescent="0.25">
      <c r="A506" s="21" t="s">
        <v>4</v>
      </c>
      <c r="B506" s="21" t="s">
        <v>30</v>
      </c>
      <c r="C506" s="21" t="s">
        <v>16</v>
      </c>
      <c r="D506" s="21" t="s">
        <v>32</v>
      </c>
      <c r="E506" s="21" t="s">
        <v>34</v>
      </c>
      <c r="F506" s="22">
        <v>40</v>
      </c>
      <c r="G506" s="22">
        <v>59</v>
      </c>
      <c r="H506" s="22">
        <v>54</v>
      </c>
      <c r="J506" s="10">
        <v>68</v>
      </c>
      <c r="K506" s="10">
        <v>2</v>
      </c>
      <c r="L506" s="10">
        <v>129</v>
      </c>
      <c r="M506" s="10">
        <v>64.5</v>
      </c>
      <c r="N506" s="10">
        <v>24.5</v>
      </c>
      <c r="Q506" s="9" t="s">
        <v>53</v>
      </c>
      <c r="R506" s="9">
        <v>127</v>
      </c>
      <c r="S506" s="9">
        <v>129</v>
      </c>
      <c r="T506" s="9">
        <v>256</v>
      </c>
    </row>
    <row r="507" spans="1:20" x14ac:dyDescent="0.25">
      <c r="A507" s="21" t="s">
        <v>4</v>
      </c>
      <c r="B507" s="21" t="s">
        <v>28</v>
      </c>
      <c r="C507" s="21" t="s">
        <v>17</v>
      </c>
      <c r="D507" s="21" t="s">
        <v>35</v>
      </c>
      <c r="E507" s="21" t="s">
        <v>34</v>
      </c>
      <c r="F507" s="22">
        <v>82</v>
      </c>
      <c r="G507" s="22">
        <v>82</v>
      </c>
      <c r="H507" s="22">
        <v>80</v>
      </c>
      <c r="J507" s="10">
        <v>59</v>
      </c>
      <c r="K507" s="10">
        <v>2</v>
      </c>
      <c r="L507" s="10">
        <v>98</v>
      </c>
      <c r="M507" s="10">
        <v>49</v>
      </c>
      <c r="N507" s="10">
        <v>18</v>
      </c>
      <c r="Q507" s="9" t="s">
        <v>54</v>
      </c>
      <c r="R507" s="9">
        <v>63.5</v>
      </c>
      <c r="S507" s="9">
        <v>64.5</v>
      </c>
      <c r="T507" s="9">
        <v>64</v>
      </c>
    </row>
    <row r="508" spans="1:20" x14ac:dyDescent="0.25">
      <c r="A508" s="21" t="s">
        <v>5</v>
      </c>
      <c r="B508" s="21" t="s">
        <v>27</v>
      </c>
      <c r="C508" s="21" t="s">
        <v>15</v>
      </c>
      <c r="D508" s="21" t="s">
        <v>35</v>
      </c>
      <c r="E508" s="21" t="s">
        <v>34</v>
      </c>
      <c r="F508" s="22">
        <v>68</v>
      </c>
      <c r="G508" s="22">
        <v>70</v>
      </c>
      <c r="H508" s="22">
        <v>66</v>
      </c>
      <c r="J508" s="10">
        <v>49</v>
      </c>
      <c r="K508" s="10">
        <v>2</v>
      </c>
      <c r="L508" s="10">
        <v>106</v>
      </c>
      <c r="M508" s="10">
        <v>53</v>
      </c>
      <c r="N508" s="10">
        <v>2</v>
      </c>
      <c r="Q508" s="9" t="s">
        <v>55</v>
      </c>
      <c r="R508" s="9">
        <v>312.5</v>
      </c>
      <c r="S508" s="9">
        <v>364.5</v>
      </c>
      <c r="T508" s="9">
        <v>226</v>
      </c>
    </row>
    <row r="509" spans="1:20" x14ac:dyDescent="0.25">
      <c r="A509" s="21" t="s">
        <v>5</v>
      </c>
      <c r="B509" s="21" t="s">
        <v>28</v>
      </c>
      <c r="C509" s="21" t="s">
        <v>43</v>
      </c>
      <c r="D509" s="21" t="s">
        <v>32</v>
      </c>
      <c r="E509" s="21" t="s">
        <v>34</v>
      </c>
      <c r="F509" s="22">
        <v>55</v>
      </c>
      <c r="G509" s="22">
        <v>59</v>
      </c>
      <c r="H509" s="22">
        <v>54</v>
      </c>
      <c r="J509" s="10">
        <v>70</v>
      </c>
      <c r="K509" s="10">
        <v>2</v>
      </c>
      <c r="L509" s="10">
        <v>145</v>
      </c>
      <c r="M509" s="10">
        <v>72.5</v>
      </c>
      <c r="N509" s="10">
        <v>4.5</v>
      </c>
      <c r="Q509" s="9"/>
      <c r="R509" s="9"/>
      <c r="S509" s="9"/>
      <c r="T509" s="9"/>
    </row>
    <row r="510" spans="1:20" x14ac:dyDescent="0.25">
      <c r="A510" s="21" t="s">
        <v>5</v>
      </c>
      <c r="B510" s="21" t="s">
        <v>29</v>
      </c>
      <c r="C510" s="21" t="s">
        <v>16</v>
      </c>
      <c r="D510" s="21" t="s">
        <v>35</v>
      </c>
      <c r="E510" s="21" t="s">
        <v>34</v>
      </c>
      <c r="F510" s="22">
        <v>79</v>
      </c>
      <c r="G510" s="22">
        <v>78</v>
      </c>
      <c r="H510" s="22">
        <v>77</v>
      </c>
      <c r="J510" s="10">
        <v>61</v>
      </c>
      <c r="K510" s="10">
        <v>2</v>
      </c>
      <c r="L510" s="10">
        <v>103</v>
      </c>
      <c r="M510" s="10">
        <v>51.5</v>
      </c>
      <c r="N510" s="10">
        <v>40.5</v>
      </c>
      <c r="Q510" s="14">
        <v>68</v>
      </c>
      <c r="R510" s="14"/>
      <c r="S510" s="14"/>
      <c r="T510" s="14"/>
    </row>
    <row r="511" spans="1:20" x14ac:dyDescent="0.25">
      <c r="A511" s="21" t="s">
        <v>4</v>
      </c>
      <c r="B511" s="21" t="s">
        <v>29</v>
      </c>
      <c r="C511" s="21" t="s">
        <v>43</v>
      </c>
      <c r="D511" s="21" t="s">
        <v>35</v>
      </c>
      <c r="E511" s="21" t="s">
        <v>34</v>
      </c>
      <c r="F511" s="22">
        <v>86</v>
      </c>
      <c r="G511" s="22">
        <v>92</v>
      </c>
      <c r="H511" s="22">
        <v>87</v>
      </c>
      <c r="J511" s="10">
        <v>60</v>
      </c>
      <c r="K511" s="10">
        <v>2</v>
      </c>
      <c r="L511" s="10">
        <v>149</v>
      </c>
      <c r="M511" s="10">
        <v>74.5</v>
      </c>
      <c r="N511" s="10">
        <v>0.5</v>
      </c>
      <c r="Q511" s="9" t="s">
        <v>52</v>
      </c>
      <c r="R511" s="9">
        <v>2</v>
      </c>
      <c r="S511" s="9">
        <v>2</v>
      </c>
      <c r="T511" s="9">
        <v>4</v>
      </c>
    </row>
    <row r="512" spans="1:20" x14ac:dyDescent="0.25">
      <c r="A512" s="21" t="s">
        <v>5</v>
      </c>
      <c r="B512" s="21" t="s">
        <v>30</v>
      </c>
      <c r="C512" s="21" t="s">
        <v>45</v>
      </c>
      <c r="D512" s="21" t="s">
        <v>35</v>
      </c>
      <c r="E512" s="21" t="s">
        <v>34</v>
      </c>
      <c r="F512" s="22">
        <v>76</v>
      </c>
      <c r="G512" s="22">
        <v>71</v>
      </c>
      <c r="H512" s="22">
        <v>73</v>
      </c>
      <c r="J512" s="10">
        <v>64</v>
      </c>
      <c r="K512" s="10">
        <v>2</v>
      </c>
      <c r="L512" s="10">
        <v>110</v>
      </c>
      <c r="M512" s="10">
        <v>55</v>
      </c>
      <c r="N512" s="10">
        <v>8</v>
      </c>
      <c r="Q512" s="9" t="s">
        <v>53</v>
      </c>
      <c r="R512" s="9">
        <v>158</v>
      </c>
      <c r="S512" s="9">
        <v>148</v>
      </c>
      <c r="T512" s="9">
        <v>306</v>
      </c>
    </row>
    <row r="513" spans="1:20" x14ac:dyDescent="0.25">
      <c r="A513" s="21" t="s">
        <v>5</v>
      </c>
      <c r="B513" s="21" t="s">
        <v>27</v>
      </c>
      <c r="C513" s="21" t="s">
        <v>17</v>
      </c>
      <c r="D513" s="21" t="s">
        <v>35</v>
      </c>
      <c r="E513" s="21" t="s">
        <v>34</v>
      </c>
      <c r="F513" s="22">
        <v>64</v>
      </c>
      <c r="G513" s="22">
        <v>50</v>
      </c>
      <c r="H513" s="22">
        <v>43</v>
      </c>
      <c r="J513" s="10">
        <v>79</v>
      </c>
      <c r="K513" s="10">
        <v>2</v>
      </c>
      <c r="L513" s="10">
        <v>164</v>
      </c>
      <c r="M513" s="10">
        <v>82</v>
      </c>
      <c r="N513" s="10">
        <v>0</v>
      </c>
      <c r="Q513" s="9" t="s">
        <v>54</v>
      </c>
      <c r="R513" s="9">
        <v>79</v>
      </c>
      <c r="S513" s="9">
        <v>74</v>
      </c>
      <c r="T513" s="9">
        <v>76.5</v>
      </c>
    </row>
    <row r="514" spans="1:20" x14ac:dyDescent="0.25">
      <c r="A514" s="21" t="s">
        <v>5</v>
      </c>
      <c r="B514" s="21" t="s">
        <v>30</v>
      </c>
      <c r="C514" s="21" t="s">
        <v>17</v>
      </c>
      <c r="D514" s="21" t="s">
        <v>32</v>
      </c>
      <c r="E514" s="21" t="s">
        <v>34</v>
      </c>
      <c r="F514" s="22">
        <v>62</v>
      </c>
      <c r="G514" s="22">
        <v>49</v>
      </c>
      <c r="H514" s="22">
        <v>52</v>
      </c>
      <c r="J514" s="10">
        <v>65</v>
      </c>
      <c r="K514" s="10">
        <v>2</v>
      </c>
      <c r="L514" s="10">
        <v>161</v>
      </c>
      <c r="M514" s="10">
        <v>80.5</v>
      </c>
      <c r="N514" s="10">
        <v>40.5</v>
      </c>
      <c r="Q514" s="9" t="s">
        <v>55</v>
      </c>
      <c r="R514" s="9">
        <v>32</v>
      </c>
      <c r="S514" s="9">
        <v>32</v>
      </c>
      <c r="T514" s="9">
        <v>29.666666666666668</v>
      </c>
    </row>
    <row r="515" spans="1:20" x14ac:dyDescent="0.25">
      <c r="A515" s="21" t="s">
        <v>4</v>
      </c>
      <c r="B515" s="21" t="s">
        <v>28</v>
      </c>
      <c r="C515" s="21" t="s">
        <v>17</v>
      </c>
      <c r="D515" s="21" t="s">
        <v>35</v>
      </c>
      <c r="E515" s="21" t="s">
        <v>33</v>
      </c>
      <c r="F515" s="22">
        <v>54</v>
      </c>
      <c r="G515" s="22">
        <v>61</v>
      </c>
      <c r="H515" s="22">
        <v>62</v>
      </c>
      <c r="J515" s="10">
        <v>64</v>
      </c>
      <c r="K515" s="10">
        <v>2</v>
      </c>
      <c r="L515" s="10">
        <v>134</v>
      </c>
      <c r="M515" s="10">
        <v>67</v>
      </c>
      <c r="N515" s="10">
        <v>18</v>
      </c>
      <c r="Q515" s="9"/>
      <c r="R515" s="9"/>
      <c r="S515" s="9"/>
      <c r="T515" s="9"/>
    </row>
    <row r="516" spans="1:20" x14ac:dyDescent="0.25">
      <c r="A516" s="21" t="s">
        <v>4</v>
      </c>
      <c r="B516" s="21" t="s">
        <v>28</v>
      </c>
      <c r="C516" s="21" t="s">
        <v>16</v>
      </c>
      <c r="D516" s="21" t="s">
        <v>32</v>
      </c>
      <c r="E516" s="21" t="s">
        <v>33</v>
      </c>
      <c r="F516" s="22">
        <v>77</v>
      </c>
      <c r="G516" s="22">
        <v>97</v>
      </c>
      <c r="H516" s="22">
        <v>94</v>
      </c>
      <c r="J516" s="10">
        <v>83</v>
      </c>
      <c r="K516" s="10">
        <v>2</v>
      </c>
      <c r="L516" s="10">
        <v>173</v>
      </c>
      <c r="M516" s="10">
        <v>86.5</v>
      </c>
      <c r="N516" s="10">
        <v>24.5</v>
      </c>
      <c r="Q516" s="14">
        <v>72</v>
      </c>
      <c r="R516" s="14"/>
      <c r="S516" s="14"/>
      <c r="T516" s="14"/>
    </row>
    <row r="517" spans="1:20" x14ac:dyDescent="0.25">
      <c r="A517" s="21" t="s">
        <v>4</v>
      </c>
      <c r="B517" s="21" t="s">
        <v>29</v>
      </c>
      <c r="C517" s="21" t="s">
        <v>17</v>
      </c>
      <c r="D517" s="21" t="s">
        <v>35</v>
      </c>
      <c r="E517" s="21" t="s">
        <v>33</v>
      </c>
      <c r="F517" s="22">
        <v>76</v>
      </c>
      <c r="G517" s="22">
        <v>87</v>
      </c>
      <c r="H517" s="22">
        <v>85</v>
      </c>
      <c r="J517" s="10">
        <v>81</v>
      </c>
      <c r="K517" s="10">
        <v>2</v>
      </c>
      <c r="L517" s="10">
        <v>178</v>
      </c>
      <c r="M517" s="10">
        <v>89</v>
      </c>
      <c r="N517" s="10">
        <v>2</v>
      </c>
      <c r="Q517" s="9" t="s">
        <v>52</v>
      </c>
      <c r="R517" s="9">
        <v>2</v>
      </c>
      <c r="S517" s="9">
        <v>2</v>
      </c>
      <c r="T517" s="9">
        <v>4</v>
      </c>
    </row>
    <row r="518" spans="1:20" x14ac:dyDescent="0.25">
      <c r="A518" s="21" t="s">
        <v>4</v>
      </c>
      <c r="B518" s="21" t="s">
        <v>30</v>
      </c>
      <c r="C518" s="21" t="s">
        <v>45</v>
      </c>
      <c r="D518" s="21" t="s">
        <v>35</v>
      </c>
      <c r="E518" s="21" t="s">
        <v>34</v>
      </c>
      <c r="F518" s="22">
        <v>74</v>
      </c>
      <c r="G518" s="22">
        <v>89</v>
      </c>
      <c r="H518" s="22">
        <v>84</v>
      </c>
      <c r="J518" s="10">
        <v>54</v>
      </c>
      <c r="K518" s="10">
        <v>2</v>
      </c>
      <c r="L518" s="10">
        <v>132</v>
      </c>
      <c r="M518" s="10">
        <v>66</v>
      </c>
      <c r="N518" s="10">
        <v>8</v>
      </c>
      <c r="Q518" s="9" t="s">
        <v>53</v>
      </c>
      <c r="R518" s="9">
        <v>161</v>
      </c>
      <c r="S518" s="9">
        <v>152</v>
      </c>
      <c r="T518" s="9">
        <v>313</v>
      </c>
    </row>
    <row r="519" spans="1:20" x14ac:dyDescent="0.25">
      <c r="A519" s="21" t="s">
        <v>4</v>
      </c>
      <c r="B519" s="21" t="s">
        <v>31</v>
      </c>
      <c r="C519" s="21" t="s">
        <v>45</v>
      </c>
      <c r="D519" s="21" t="s">
        <v>35</v>
      </c>
      <c r="E519" s="21" t="s">
        <v>33</v>
      </c>
      <c r="F519" s="22">
        <v>66</v>
      </c>
      <c r="G519" s="22">
        <v>74</v>
      </c>
      <c r="H519" s="22">
        <v>73</v>
      </c>
      <c r="J519" s="10">
        <v>68</v>
      </c>
      <c r="K519" s="10">
        <v>2</v>
      </c>
      <c r="L519" s="10">
        <v>130</v>
      </c>
      <c r="M519" s="10">
        <v>65</v>
      </c>
      <c r="N519" s="10">
        <v>2</v>
      </c>
      <c r="Q519" s="9" t="s">
        <v>54</v>
      </c>
      <c r="R519" s="9">
        <v>80.5</v>
      </c>
      <c r="S519" s="9">
        <v>76</v>
      </c>
      <c r="T519" s="9">
        <v>78.25</v>
      </c>
    </row>
    <row r="520" spans="1:20" x14ac:dyDescent="0.25">
      <c r="A520" s="21" t="s">
        <v>4</v>
      </c>
      <c r="B520" s="21" t="s">
        <v>30</v>
      </c>
      <c r="C520" s="21" t="s">
        <v>17</v>
      </c>
      <c r="D520" s="21" t="s">
        <v>35</v>
      </c>
      <c r="E520" s="21" t="s">
        <v>33</v>
      </c>
      <c r="F520" s="22">
        <v>66</v>
      </c>
      <c r="G520" s="22">
        <v>78</v>
      </c>
      <c r="H520" s="22">
        <v>78</v>
      </c>
      <c r="J520" s="10">
        <v>54</v>
      </c>
      <c r="K520" s="10">
        <v>2</v>
      </c>
      <c r="L520" s="10">
        <v>100</v>
      </c>
      <c r="M520" s="10">
        <v>50</v>
      </c>
      <c r="N520" s="10">
        <v>8</v>
      </c>
      <c r="Q520" s="9" t="s">
        <v>55</v>
      </c>
      <c r="R520" s="9">
        <v>112.5</v>
      </c>
      <c r="S520" s="9">
        <v>8</v>
      </c>
      <c r="T520" s="9">
        <v>46.916666666666664</v>
      </c>
    </row>
    <row r="521" spans="1:20" x14ac:dyDescent="0.25">
      <c r="A521" s="21" t="s">
        <v>4</v>
      </c>
      <c r="B521" s="21" t="s">
        <v>28</v>
      </c>
      <c r="C521" s="21" t="s">
        <v>15</v>
      </c>
      <c r="D521" s="21" t="s">
        <v>32</v>
      </c>
      <c r="E521" s="21" t="s">
        <v>33</v>
      </c>
      <c r="F521" s="22">
        <v>67</v>
      </c>
      <c r="G521" s="22">
        <v>78</v>
      </c>
      <c r="H521" s="22">
        <v>79</v>
      </c>
      <c r="J521" s="10">
        <v>59</v>
      </c>
      <c r="K521" s="10">
        <v>2</v>
      </c>
      <c r="L521" s="10">
        <v>154</v>
      </c>
      <c r="M521" s="10">
        <v>77</v>
      </c>
      <c r="N521" s="10">
        <v>2</v>
      </c>
      <c r="Q521" s="9"/>
      <c r="R521" s="9"/>
      <c r="S521" s="9"/>
      <c r="T521" s="9"/>
    </row>
    <row r="522" spans="1:20" x14ac:dyDescent="0.25">
      <c r="A522" s="21" t="s">
        <v>5</v>
      </c>
      <c r="B522" s="21" t="s">
        <v>30</v>
      </c>
      <c r="C522" s="21" t="s">
        <v>45</v>
      </c>
      <c r="D522" s="21" t="s">
        <v>35</v>
      </c>
      <c r="E522" s="21" t="s">
        <v>34</v>
      </c>
      <c r="F522" s="22">
        <v>71</v>
      </c>
      <c r="G522" s="22">
        <v>49</v>
      </c>
      <c r="H522" s="22">
        <v>52</v>
      </c>
      <c r="J522" s="10">
        <v>66</v>
      </c>
      <c r="K522" s="10">
        <v>2</v>
      </c>
      <c r="L522" s="10">
        <v>137</v>
      </c>
      <c r="M522" s="10">
        <v>68.5</v>
      </c>
      <c r="N522" s="10">
        <v>0.5</v>
      </c>
      <c r="Q522" s="14">
        <v>79</v>
      </c>
      <c r="R522" s="14"/>
      <c r="S522" s="14"/>
      <c r="T522" s="14"/>
    </row>
    <row r="523" spans="1:20" x14ac:dyDescent="0.25">
      <c r="A523" s="21" t="s">
        <v>4</v>
      </c>
      <c r="B523" s="21" t="s">
        <v>29</v>
      </c>
      <c r="C523" s="21" t="s">
        <v>14</v>
      </c>
      <c r="D523" s="21" t="s">
        <v>35</v>
      </c>
      <c r="E523" s="21" t="s">
        <v>34</v>
      </c>
      <c r="F523" s="22">
        <v>91</v>
      </c>
      <c r="G523" s="22">
        <v>86</v>
      </c>
      <c r="H523" s="22">
        <v>84</v>
      </c>
      <c r="J523" s="10">
        <v>76</v>
      </c>
      <c r="K523" s="10">
        <v>2</v>
      </c>
      <c r="L523" s="10">
        <v>143</v>
      </c>
      <c r="M523" s="10">
        <v>71.5</v>
      </c>
      <c r="N523" s="10">
        <v>0.5</v>
      </c>
      <c r="Q523" s="9" t="s">
        <v>52</v>
      </c>
      <c r="R523" s="9">
        <v>2</v>
      </c>
      <c r="S523" s="9">
        <v>2</v>
      </c>
      <c r="T523" s="9">
        <v>4</v>
      </c>
    </row>
    <row r="524" spans="1:20" x14ac:dyDescent="0.25">
      <c r="A524" s="21" t="s">
        <v>5</v>
      </c>
      <c r="B524" s="21" t="s">
        <v>30</v>
      </c>
      <c r="C524" s="21" t="s">
        <v>43</v>
      </c>
      <c r="D524" s="21" t="s">
        <v>35</v>
      </c>
      <c r="E524" s="21" t="s">
        <v>34</v>
      </c>
      <c r="F524" s="22">
        <v>69</v>
      </c>
      <c r="G524" s="22">
        <v>58</v>
      </c>
      <c r="H524" s="22">
        <v>57</v>
      </c>
      <c r="J524" s="10">
        <v>74</v>
      </c>
      <c r="K524" s="10">
        <v>2</v>
      </c>
      <c r="L524" s="10">
        <v>161</v>
      </c>
      <c r="M524" s="10">
        <v>80.5</v>
      </c>
      <c r="N524" s="10">
        <v>4.5</v>
      </c>
      <c r="Q524" s="9" t="s">
        <v>53</v>
      </c>
      <c r="R524" s="9">
        <v>153</v>
      </c>
      <c r="S524" s="9">
        <v>151</v>
      </c>
      <c r="T524" s="9">
        <v>304</v>
      </c>
    </row>
    <row r="525" spans="1:20" x14ac:dyDescent="0.25">
      <c r="A525" s="21" t="s">
        <v>5</v>
      </c>
      <c r="B525" s="21" t="s">
        <v>29</v>
      </c>
      <c r="C525" s="21" t="s">
        <v>16</v>
      </c>
      <c r="D525" s="21" t="s">
        <v>32</v>
      </c>
      <c r="E525" s="21" t="s">
        <v>34</v>
      </c>
      <c r="F525" s="22">
        <v>54</v>
      </c>
      <c r="G525" s="22">
        <v>59</v>
      </c>
      <c r="H525" s="22">
        <v>50</v>
      </c>
      <c r="J525" s="10">
        <v>94</v>
      </c>
      <c r="K525" s="10">
        <v>2</v>
      </c>
      <c r="L525" s="10">
        <v>179</v>
      </c>
      <c r="M525" s="10">
        <v>89.5</v>
      </c>
      <c r="N525" s="10">
        <v>12.5</v>
      </c>
      <c r="Q525" s="9" t="s">
        <v>54</v>
      </c>
      <c r="R525" s="9">
        <v>76.5</v>
      </c>
      <c r="S525" s="9">
        <v>75.5</v>
      </c>
      <c r="T525" s="9">
        <v>76</v>
      </c>
    </row>
    <row r="526" spans="1:20" x14ac:dyDescent="0.25">
      <c r="A526" s="21" t="s">
        <v>5</v>
      </c>
      <c r="B526" s="21" t="s">
        <v>29</v>
      </c>
      <c r="C526" s="21" t="s">
        <v>15</v>
      </c>
      <c r="D526" s="21" t="s">
        <v>35</v>
      </c>
      <c r="E526" s="21" t="s">
        <v>33</v>
      </c>
      <c r="F526" s="22">
        <v>53</v>
      </c>
      <c r="G526" s="22">
        <v>52</v>
      </c>
      <c r="H526" s="22">
        <v>49</v>
      </c>
      <c r="J526" s="10">
        <v>63</v>
      </c>
      <c r="K526" s="10">
        <v>2</v>
      </c>
      <c r="L526" s="10">
        <v>115</v>
      </c>
      <c r="M526" s="10">
        <v>57.5</v>
      </c>
      <c r="N526" s="10">
        <v>24.5</v>
      </c>
      <c r="Q526" s="9" t="s">
        <v>55</v>
      </c>
      <c r="R526" s="9">
        <v>180.5</v>
      </c>
      <c r="S526" s="9">
        <v>60.5</v>
      </c>
      <c r="T526" s="9">
        <v>80.666666666666671</v>
      </c>
    </row>
    <row r="527" spans="1:20" x14ac:dyDescent="0.25">
      <c r="A527" s="21" t="s">
        <v>5</v>
      </c>
      <c r="B527" s="21" t="s">
        <v>31</v>
      </c>
      <c r="C527" s="21" t="s">
        <v>45</v>
      </c>
      <c r="D527" s="21" t="s">
        <v>35</v>
      </c>
      <c r="E527" s="21" t="s">
        <v>34</v>
      </c>
      <c r="F527" s="22">
        <v>68</v>
      </c>
      <c r="G527" s="22">
        <v>60</v>
      </c>
      <c r="H527" s="22">
        <v>59</v>
      </c>
      <c r="J527" s="10">
        <v>95</v>
      </c>
      <c r="K527" s="10">
        <v>2</v>
      </c>
      <c r="L527" s="10">
        <v>181</v>
      </c>
      <c r="M527" s="10">
        <v>90.5</v>
      </c>
      <c r="N527" s="10">
        <v>4.5</v>
      </c>
      <c r="Q527" s="9"/>
      <c r="R527" s="9"/>
      <c r="S527" s="9"/>
      <c r="T527" s="9"/>
    </row>
    <row r="528" spans="1:20" x14ac:dyDescent="0.25">
      <c r="A528" s="21" t="s">
        <v>5</v>
      </c>
      <c r="B528" s="21" t="s">
        <v>29</v>
      </c>
      <c r="C528" s="21" t="s">
        <v>17</v>
      </c>
      <c r="D528" s="21" t="s">
        <v>32</v>
      </c>
      <c r="E528" s="21" t="s">
        <v>33</v>
      </c>
      <c r="F528" s="22">
        <v>56</v>
      </c>
      <c r="G528" s="22">
        <v>61</v>
      </c>
      <c r="H528" s="22">
        <v>60</v>
      </c>
      <c r="J528" s="10">
        <v>40</v>
      </c>
      <c r="K528" s="10">
        <v>2</v>
      </c>
      <c r="L528" s="10">
        <v>113</v>
      </c>
      <c r="M528" s="10">
        <v>56.5</v>
      </c>
      <c r="N528" s="10">
        <v>12.5</v>
      </c>
      <c r="Q528" s="14">
        <v>43</v>
      </c>
      <c r="R528" s="14"/>
      <c r="S528" s="14"/>
      <c r="T528" s="14"/>
    </row>
    <row r="529" spans="1:20" x14ac:dyDescent="0.25">
      <c r="A529" s="21" t="s">
        <v>4</v>
      </c>
      <c r="B529" s="21" t="s">
        <v>29</v>
      </c>
      <c r="C529" s="21" t="s">
        <v>15</v>
      </c>
      <c r="D529" s="21" t="s">
        <v>32</v>
      </c>
      <c r="E529" s="21" t="s">
        <v>34</v>
      </c>
      <c r="F529" s="22">
        <v>36</v>
      </c>
      <c r="G529" s="22">
        <v>53</v>
      </c>
      <c r="H529" s="22">
        <v>43</v>
      </c>
      <c r="J529" s="10">
        <v>82</v>
      </c>
      <c r="K529" s="10">
        <v>2</v>
      </c>
      <c r="L529" s="10">
        <v>162</v>
      </c>
      <c r="M529" s="10">
        <v>81</v>
      </c>
      <c r="N529" s="10">
        <v>2</v>
      </c>
      <c r="Q529" s="9" t="s">
        <v>52</v>
      </c>
      <c r="R529" s="9">
        <v>2</v>
      </c>
      <c r="S529" s="9">
        <v>2</v>
      </c>
      <c r="T529" s="9">
        <v>4</v>
      </c>
    </row>
    <row r="530" spans="1:20" x14ac:dyDescent="0.25">
      <c r="A530" s="21" t="s">
        <v>4</v>
      </c>
      <c r="B530" s="21" t="s">
        <v>30</v>
      </c>
      <c r="C530" s="21" t="s">
        <v>43</v>
      </c>
      <c r="D530" s="21" t="s">
        <v>32</v>
      </c>
      <c r="E530" s="21" t="s">
        <v>34</v>
      </c>
      <c r="F530" s="22">
        <v>29</v>
      </c>
      <c r="G530" s="22">
        <v>41</v>
      </c>
      <c r="H530" s="22">
        <v>47</v>
      </c>
      <c r="J530" s="10">
        <v>68</v>
      </c>
      <c r="K530" s="10">
        <v>2</v>
      </c>
      <c r="L530" s="10">
        <v>136</v>
      </c>
      <c r="M530" s="10">
        <v>68</v>
      </c>
      <c r="N530" s="10">
        <v>8</v>
      </c>
      <c r="Q530" s="9" t="s">
        <v>53</v>
      </c>
      <c r="R530" s="9">
        <v>142</v>
      </c>
      <c r="S530" s="9">
        <v>141</v>
      </c>
      <c r="T530" s="9">
        <v>283</v>
      </c>
    </row>
    <row r="531" spans="1:20" x14ac:dyDescent="0.25">
      <c r="A531" s="21" t="s">
        <v>4</v>
      </c>
      <c r="B531" s="21" t="s">
        <v>29</v>
      </c>
      <c r="C531" s="21" t="s">
        <v>14</v>
      </c>
      <c r="D531" s="21" t="s">
        <v>35</v>
      </c>
      <c r="E531" s="21" t="s">
        <v>34</v>
      </c>
      <c r="F531" s="22">
        <v>62</v>
      </c>
      <c r="G531" s="22">
        <v>74</v>
      </c>
      <c r="H531" s="22">
        <v>70</v>
      </c>
      <c r="J531" s="10">
        <v>55</v>
      </c>
      <c r="K531" s="10">
        <v>2</v>
      </c>
      <c r="L531" s="10">
        <v>113</v>
      </c>
      <c r="M531" s="10">
        <v>56.5</v>
      </c>
      <c r="N531" s="10">
        <v>12.5</v>
      </c>
      <c r="Q531" s="9" t="s">
        <v>54</v>
      </c>
      <c r="R531" s="9">
        <v>71</v>
      </c>
      <c r="S531" s="9">
        <v>70.5</v>
      </c>
      <c r="T531" s="9">
        <v>70.75</v>
      </c>
    </row>
    <row r="532" spans="1:20" x14ac:dyDescent="0.25">
      <c r="A532" s="21" t="s">
        <v>4</v>
      </c>
      <c r="B532" s="21" t="s">
        <v>29</v>
      </c>
      <c r="C532" s="21" t="s">
        <v>14</v>
      </c>
      <c r="D532" s="21" t="s">
        <v>35</v>
      </c>
      <c r="E532" s="21" t="s">
        <v>33</v>
      </c>
      <c r="F532" s="22">
        <v>68</v>
      </c>
      <c r="G532" s="22">
        <v>67</v>
      </c>
      <c r="H532" s="22">
        <v>73</v>
      </c>
      <c r="J532" s="10">
        <v>79</v>
      </c>
      <c r="K532" s="10">
        <v>2</v>
      </c>
      <c r="L532" s="10">
        <v>155</v>
      </c>
      <c r="M532" s="10">
        <v>77.5</v>
      </c>
      <c r="N532" s="10">
        <v>0.5</v>
      </c>
      <c r="Q532" s="9" t="s">
        <v>55</v>
      </c>
      <c r="R532" s="9">
        <v>800</v>
      </c>
      <c r="S532" s="9">
        <v>544.5</v>
      </c>
      <c r="T532" s="9">
        <v>448.25</v>
      </c>
    </row>
    <row r="533" spans="1:20" x14ac:dyDescent="0.25">
      <c r="A533" s="21" t="s">
        <v>4</v>
      </c>
      <c r="B533" s="21" t="s">
        <v>29</v>
      </c>
      <c r="C533" s="21" t="s">
        <v>17</v>
      </c>
      <c r="D533" s="21" t="s">
        <v>35</v>
      </c>
      <c r="E533" s="21" t="s">
        <v>34</v>
      </c>
      <c r="F533" s="22">
        <v>47</v>
      </c>
      <c r="G533" s="22">
        <v>54</v>
      </c>
      <c r="H533" s="22">
        <v>53</v>
      </c>
      <c r="J533" s="10">
        <v>86</v>
      </c>
      <c r="K533" s="10">
        <v>2</v>
      </c>
      <c r="L533" s="10">
        <v>179</v>
      </c>
      <c r="M533" s="10">
        <v>89.5</v>
      </c>
      <c r="N533" s="10">
        <v>12.5</v>
      </c>
      <c r="Q533" s="9"/>
      <c r="R533" s="9"/>
      <c r="S533" s="9"/>
      <c r="T533" s="9"/>
    </row>
    <row r="534" spans="1:20" x14ac:dyDescent="0.25">
      <c r="A534" s="21" t="s">
        <v>5</v>
      </c>
      <c r="B534" s="21" t="s">
        <v>31</v>
      </c>
      <c r="C534" s="21" t="s">
        <v>14</v>
      </c>
      <c r="D534" s="21" t="s">
        <v>35</v>
      </c>
      <c r="E534" s="21" t="s">
        <v>33</v>
      </c>
      <c r="F534" s="22">
        <v>62</v>
      </c>
      <c r="G534" s="22">
        <v>61</v>
      </c>
      <c r="H534" s="22">
        <v>58</v>
      </c>
      <c r="J534" s="10">
        <v>76</v>
      </c>
      <c r="K534" s="10">
        <v>2</v>
      </c>
      <c r="L534" s="10">
        <v>144</v>
      </c>
      <c r="M534" s="10">
        <v>72</v>
      </c>
      <c r="N534" s="10">
        <v>2</v>
      </c>
      <c r="Q534" s="14">
        <v>46</v>
      </c>
      <c r="R534" s="14"/>
      <c r="S534" s="14"/>
      <c r="T534" s="14"/>
    </row>
    <row r="535" spans="1:20" x14ac:dyDescent="0.25">
      <c r="A535" s="21" t="s">
        <v>4</v>
      </c>
      <c r="B535" s="21" t="s">
        <v>31</v>
      </c>
      <c r="C535" s="21" t="s">
        <v>14</v>
      </c>
      <c r="D535" s="21" t="s">
        <v>35</v>
      </c>
      <c r="E535" s="21" t="s">
        <v>33</v>
      </c>
      <c r="F535" s="22">
        <v>79</v>
      </c>
      <c r="G535" s="22">
        <v>88</v>
      </c>
      <c r="H535" s="22">
        <v>94</v>
      </c>
      <c r="J535" s="10">
        <v>64</v>
      </c>
      <c r="K535" s="10">
        <v>2</v>
      </c>
      <c r="L535" s="10">
        <v>93</v>
      </c>
      <c r="M535" s="10">
        <v>46.5</v>
      </c>
      <c r="N535" s="10">
        <v>24.5</v>
      </c>
      <c r="Q535" s="9" t="s">
        <v>52</v>
      </c>
      <c r="R535" s="9">
        <v>2</v>
      </c>
      <c r="S535" s="9">
        <v>2</v>
      </c>
      <c r="T535" s="9">
        <v>4</v>
      </c>
    </row>
    <row r="536" spans="1:20" x14ac:dyDescent="0.25">
      <c r="A536" s="21" t="s">
        <v>5</v>
      </c>
      <c r="B536" s="21" t="s">
        <v>28</v>
      </c>
      <c r="C536" s="21" t="s">
        <v>15</v>
      </c>
      <c r="D536" s="21" t="s">
        <v>35</v>
      </c>
      <c r="E536" s="21" t="s">
        <v>33</v>
      </c>
      <c r="F536" s="22">
        <v>73</v>
      </c>
      <c r="G536" s="22">
        <v>69</v>
      </c>
      <c r="H536" s="22">
        <v>68</v>
      </c>
      <c r="J536" s="10">
        <v>62</v>
      </c>
      <c r="K536" s="10">
        <v>2</v>
      </c>
      <c r="L536" s="10">
        <v>101</v>
      </c>
      <c r="M536" s="10">
        <v>50.5</v>
      </c>
      <c r="N536" s="10">
        <v>4.5</v>
      </c>
      <c r="Q536" s="9" t="s">
        <v>53</v>
      </c>
      <c r="R536" s="9">
        <v>131</v>
      </c>
      <c r="S536" s="9">
        <v>135</v>
      </c>
      <c r="T536" s="9">
        <v>266</v>
      </c>
    </row>
    <row r="537" spans="1:20" x14ac:dyDescent="0.25">
      <c r="A537" s="21" t="s">
        <v>4</v>
      </c>
      <c r="B537" s="21" t="s">
        <v>29</v>
      </c>
      <c r="C537" s="21" t="s">
        <v>43</v>
      </c>
      <c r="D537" s="21" t="s">
        <v>32</v>
      </c>
      <c r="E537" s="21" t="s">
        <v>33</v>
      </c>
      <c r="F537" s="22">
        <v>66</v>
      </c>
      <c r="G537" s="22">
        <v>83</v>
      </c>
      <c r="H537" s="22">
        <v>83</v>
      </c>
      <c r="J537" s="10">
        <v>54</v>
      </c>
      <c r="K537" s="10">
        <v>2</v>
      </c>
      <c r="L537" s="10">
        <v>123</v>
      </c>
      <c r="M537" s="10">
        <v>61.5</v>
      </c>
      <c r="N537" s="10">
        <v>0.5</v>
      </c>
      <c r="Q537" s="9" t="s">
        <v>54</v>
      </c>
      <c r="R537" s="9">
        <v>65.5</v>
      </c>
      <c r="S537" s="9">
        <v>67.5</v>
      </c>
      <c r="T537" s="9">
        <v>66.5</v>
      </c>
    </row>
    <row r="538" spans="1:20" x14ac:dyDescent="0.25">
      <c r="A538" s="21" t="s">
        <v>5</v>
      </c>
      <c r="B538" s="21" t="s">
        <v>29</v>
      </c>
      <c r="C538" s="21" t="s">
        <v>14</v>
      </c>
      <c r="D538" s="21" t="s">
        <v>35</v>
      </c>
      <c r="E538" s="21" t="s">
        <v>33</v>
      </c>
      <c r="F538" s="22">
        <v>51</v>
      </c>
      <c r="G538" s="22">
        <v>60</v>
      </c>
      <c r="H538" s="22">
        <v>58</v>
      </c>
      <c r="J538" s="10">
        <v>77</v>
      </c>
      <c r="K538" s="10">
        <v>2</v>
      </c>
      <c r="L538" s="10">
        <v>191</v>
      </c>
      <c r="M538" s="10">
        <v>95.5</v>
      </c>
      <c r="N538" s="10">
        <v>4.5</v>
      </c>
      <c r="Q538" s="9" t="s">
        <v>55</v>
      </c>
      <c r="R538" s="9">
        <v>264.5</v>
      </c>
      <c r="S538" s="9">
        <v>180.5</v>
      </c>
      <c r="T538" s="9">
        <v>149.66666666666666</v>
      </c>
    </row>
    <row r="539" spans="1:20" x14ac:dyDescent="0.25">
      <c r="A539" s="21" t="s">
        <v>4</v>
      </c>
      <c r="B539" s="21" t="s">
        <v>30</v>
      </c>
      <c r="C539" s="21" t="s">
        <v>15</v>
      </c>
      <c r="D539" s="21" t="s">
        <v>35</v>
      </c>
      <c r="E539" s="21" t="s">
        <v>34</v>
      </c>
      <c r="F539" s="22">
        <v>51</v>
      </c>
      <c r="G539" s="22">
        <v>66</v>
      </c>
      <c r="H539" s="22">
        <v>62</v>
      </c>
      <c r="J539" s="10">
        <v>76</v>
      </c>
      <c r="K539" s="10">
        <v>2</v>
      </c>
      <c r="L539" s="10">
        <v>172</v>
      </c>
      <c r="M539" s="10">
        <v>86</v>
      </c>
      <c r="N539" s="10">
        <v>2</v>
      </c>
      <c r="Q539" s="9"/>
      <c r="R539" s="9"/>
      <c r="S539" s="9"/>
      <c r="T539" s="9"/>
    </row>
    <row r="540" spans="1:20" x14ac:dyDescent="0.25">
      <c r="A540" s="21" t="s">
        <v>5</v>
      </c>
      <c r="B540" s="21" t="s">
        <v>31</v>
      </c>
      <c r="C540" s="21" t="s">
        <v>43</v>
      </c>
      <c r="D540" s="21" t="s">
        <v>35</v>
      </c>
      <c r="E540" s="21" t="s">
        <v>33</v>
      </c>
      <c r="F540" s="22">
        <v>85</v>
      </c>
      <c r="G540" s="22">
        <v>66</v>
      </c>
      <c r="H540" s="22">
        <v>71</v>
      </c>
      <c r="J540" s="10">
        <v>74</v>
      </c>
      <c r="K540" s="10">
        <v>2</v>
      </c>
      <c r="L540" s="10">
        <v>173</v>
      </c>
      <c r="M540" s="10">
        <v>86.5</v>
      </c>
      <c r="N540" s="10">
        <v>12.5</v>
      </c>
      <c r="Q540" s="14">
        <v>52</v>
      </c>
      <c r="R540" s="14"/>
      <c r="S540" s="14"/>
      <c r="T540" s="14"/>
    </row>
    <row r="541" spans="1:20" x14ac:dyDescent="0.25">
      <c r="A541" s="21" t="s">
        <v>5</v>
      </c>
      <c r="B541" s="21" t="s">
        <v>27</v>
      </c>
      <c r="C541" s="21" t="s">
        <v>14</v>
      </c>
      <c r="D541" s="21" t="s">
        <v>35</v>
      </c>
      <c r="E541" s="21" t="s">
        <v>33</v>
      </c>
      <c r="F541" s="22">
        <v>97</v>
      </c>
      <c r="G541" s="22">
        <v>92</v>
      </c>
      <c r="H541" s="22">
        <v>86</v>
      </c>
      <c r="J541" s="10">
        <v>66</v>
      </c>
      <c r="K541" s="10">
        <v>2</v>
      </c>
      <c r="L541" s="10">
        <v>147</v>
      </c>
      <c r="M541" s="10">
        <v>73.5</v>
      </c>
      <c r="N541" s="10">
        <v>0.5</v>
      </c>
      <c r="Q541" s="9" t="s">
        <v>52</v>
      </c>
      <c r="R541" s="9">
        <v>2</v>
      </c>
      <c r="S541" s="9">
        <v>2</v>
      </c>
      <c r="T541" s="9">
        <v>4</v>
      </c>
    </row>
    <row r="542" spans="1:20" x14ac:dyDescent="0.25">
      <c r="A542" s="21" t="s">
        <v>5</v>
      </c>
      <c r="B542" s="21" t="s">
        <v>29</v>
      </c>
      <c r="C542" s="21" t="s">
        <v>15</v>
      </c>
      <c r="D542" s="21" t="s">
        <v>35</v>
      </c>
      <c r="E542" s="21" t="s">
        <v>33</v>
      </c>
      <c r="F542" s="22">
        <v>75</v>
      </c>
      <c r="G542" s="22">
        <v>69</v>
      </c>
      <c r="H542" s="22">
        <v>68</v>
      </c>
      <c r="J542" s="10">
        <v>66</v>
      </c>
      <c r="K542" s="10">
        <v>2</v>
      </c>
      <c r="L542" s="10">
        <v>156</v>
      </c>
      <c r="M542" s="10">
        <v>78</v>
      </c>
      <c r="N542" s="10">
        <v>0</v>
      </c>
      <c r="Q542" s="9" t="s">
        <v>53</v>
      </c>
      <c r="R542" s="9">
        <v>170</v>
      </c>
      <c r="S542" s="9">
        <v>162</v>
      </c>
      <c r="T542" s="9">
        <v>332</v>
      </c>
    </row>
    <row r="543" spans="1:20" x14ac:dyDescent="0.25">
      <c r="A543" s="21" t="s">
        <v>5</v>
      </c>
      <c r="B543" s="21" t="s">
        <v>30</v>
      </c>
      <c r="C543" s="21" t="s">
        <v>14</v>
      </c>
      <c r="D543" s="21" t="s">
        <v>32</v>
      </c>
      <c r="E543" s="21" t="s">
        <v>33</v>
      </c>
      <c r="F543" s="22">
        <v>79</v>
      </c>
      <c r="G543" s="22">
        <v>82</v>
      </c>
      <c r="H543" s="22">
        <v>80</v>
      </c>
      <c r="J543" s="10">
        <v>67</v>
      </c>
      <c r="K543" s="10">
        <v>2</v>
      </c>
      <c r="L543" s="10">
        <v>157</v>
      </c>
      <c r="M543" s="10">
        <v>78.5</v>
      </c>
      <c r="N543" s="10">
        <v>0.5</v>
      </c>
      <c r="Q543" s="9" t="s">
        <v>54</v>
      </c>
      <c r="R543" s="9">
        <v>85</v>
      </c>
      <c r="S543" s="9">
        <v>81</v>
      </c>
      <c r="T543" s="9">
        <v>83</v>
      </c>
    </row>
    <row r="544" spans="1:20" x14ac:dyDescent="0.25">
      <c r="A544" s="21" t="s">
        <v>4</v>
      </c>
      <c r="B544" s="21" t="s">
        <v>29</v>
      </c>
      <c r="C544" s="21" t="s">
        <v>14</v>
      </c>
      <c r="D544" s="21" t="s">
        <v>35</v>
      </c>
      <c r="E544" s="21" t="s">
        <v>34</v>
      </c>
      <c r="F544" s="22">
        <v>81</v>
      </c>
      <c r="G544" s="22">
        <v>77</v>
      </c>
      <c r="H544" s="22">
        <v>79</v>
      </c>
      <c r="J544" s="10">
        <v>71</v>
      </c>
      <c r="K544" s="10">
        <v>2</v>
      </c>
      <c r="L544" s="10">
        <v>101</v>
      </c>
      <c r="M544" s="10">
        <v>50.5</v>
      </c>
      <c r="N544" s="10">
        <v>4.5</v>
      </c>
      <c r="Q544" s="9" t="s">
        <v>55</v>
      </c>
      <c r="R544" s="9">
        <v>450</v>
      </c>
      <c r="S544" s="9">
        <v>722</v>
      </c>
      <c r="T544" s="9">
        <v>396</v>
      </c>
    </row>
    <row r="545" spans="1:20" x14ac:dyDescent="0.25">
      <c r="A545" s="21" t="s">
        <v>4</v>
      </c>
      <c r="B545" s="21" t="s">
        <v>30</v>
      </c>
      <c r="C545" s="21" t="s">
        <v>14</v>
      </c>
      <c r="D545" s="21" t="s">
        <v>35</v>
      </c>
      <c r="E545" s="21" t="s">
        <v>34</v>
      </c>
      <c r="F545" s="22">
        <v>82</v>
      </c>
      <c r="G545" s="22">
        <v>95</v>
      </c>
      <c r="H545" s="22">
        <v>89</v>
      </c>
      <c r="J545" s="10">
        <v>91</v>
      </c>
      <c r="K545" s="10">
        <v>2</v>
      </c>
      <c r="L545" s="10">
        <v>170</v>
      </c>
      <c r="M545" s="10">
        <v>85</v>
      </c>
      <c r="N545" s="10">
        <v>2</v>
      </c>
      <c r="Q545" s="9"/>
      <c r="R545" s="9"/>
      <c r="S545" s="9"/>
      <c r="T545" s="9"/>
    </row>
    <row r="546" spans="1:20" x14ac:dyDescent="0.25">
      <c r="A546" s="21" t="s">
        <v>4</v>
      </c>
      <c r="B546" s="21" t="s">
        <v>30</v>
      </c>
      <c r="C546" s="21" t="s">
        <v>16</v>
      </c>
      <c r="D546" s="21" t="s">
        <v>35</v>
      </c>
      <c r="E546" s="21" t="s">
        <v>34</v>
      </c>
      <c r="F546" s="22">
        <v>64</v>
      </c>
      <c r="G546" s="22">
        <v>63</v>
      </c>
      <c r="H546" s="22">
        <v>66</v>
      </c>
      <c r="J546" s="10">
        <v>69</v>
      </c>
      <c r="K546" s="10">
        <v>2</v>
      </c>
      <c r="L546" s="10">
        <v>115</v>
      </c>
      <c r="M546" s="10">
        <v>57.5</v>
      </c>
      <c r="N546" s="10">
        <v>0.5</v>
      </c>
      <c r="Q546" s="14">
        <v>62</v>
      </c>
      <c r="R546" s="14"/>
      <c r="S546" s="14"/>
      <c r="T546" s="14"/>
    </row>
    <row r="547" spans="1:20" x14ac:dyDescent="0.25">
      <c r="A547" s="21" t="s">
        <v>5</v>
      </c>
      <c r="B547" s="21" t="s">
        <v>31</v>
      </c>
      <c r="C547" s="21" t="s">
        <v>17</v>
      </c>
      <c r="D547" s="21" t="s">
        <v>32</v>
      </c>
      <c r="E547" s="21" t="s">
        <v>33</v>
      </c>
      <c r="F547" s="22">
        <v>78</v>
      </c>
      <c r="G547" s="22">
        <v>83</v>
      </c>
      <c r="H547" s="22">
        <v>80</v>
      </c>
      <c r="J547" s="10">
        <v>54</v>
      </c>
      <c r="K547" s="10">
        <v>2</v>
      </c>
      <c r="L547" s="10">
        <v>109</v>
      </c>
      <c r="M547" s="10">
        <v>54.5</v>
      </c>
      <c r="N547" s="10">
        <v>40.5</v>
      </c>
      <c r="Q547" s="9" t="s">
        <v>52</v>
      </c>
      <c r="R547" s="9">
        <v>2</v>
      </c>
      <c r="S547" s="9">
        <v>2</v>
      </c>
      <c r="T547" s="9">
        <v>4</v>
      </c>
    </row>
    <row r="548" spans="1:20" x14ac:dyDescent="0.25">
      <c r="A548" s="21" t="s">
        <v>4</v>
      </c>
      <c r="B548" s="21" t="s">
        <v>27</v>
      </c>
      <c r="C548" s="21" t="s">
        <v>17</v>
      </c>
      <c r="D548" s="21" t="s">
        <v>35</v>
      </c>
      <c r="E548" s="21" t="s">
        <v>33</v>
      </c>
      <c r="F548" s="22">
        <v>92</v>
      </c>
      <c r="G548" s="22">
        <v>100</v>
      </c>
      <c r="H548" s="22">
        <v>97</v>
      </c>
      <c r="J548" s="10">
        <v>53</v>
      </c>
      <c r="K548" s="10">
        <v>2</v>
      </c>
      <c r="L548" s="10">
        <v>101</v>
      </c>
      <c r="M548" s="10">
        <v>50.5</v>
      </c>
      <c r="N548" s="10">
        <v>4.5</v>
      </c>
      <c r="Q548" s="9" t="s">
        <v>53</v>
      </c>
      <c r="R548" s="9">
        <v>132</v>
      </c>
      <c r="S548" s="9">
        <v>141</v>
      </c>
      <c r="T548" s="9">
        <v>273</v>
      </c>
    </row>
    <row r="549" spans="1:20" x14ac:dyDescent="0.25">
      <c r="A549" s="21" t="s">
        <v>5</v>
      </c>
      <c r="B549" s="21" t="s">
        <v>29</v>
      </c>
      <c r="C549" s="21" t="s">
        <v>15</v>
      </c>
      <c r="D549" s="21" t="s">
        <v>35</v>
      </c>
      <c r="E549" s="21" t="s">
        <v>33</v>
      </c>
      <c r="F549" s="22">
        <v>72</v>
      </c>
      <c r="G549" s="22">
        <v>67</v>
      </c>
      <c r="H549" s="22">
        <v>64</v>
      </c>
      <c r="J549" s="10">
        <v>68</v>
      </c>
      <c r="K549" s="10">
        <v>2</v>
      </c>
      <c r="L549" s="10">
        <v>119</v>
      </c>
      <c r="M549" s="10">
        <v>59.5</v>
      </c>
      <c r="N549" s="10">
        <v>0.5</v>
      </c>
      <c r="Q549" s="9" t="s">
        <v>54</v>
      </c>
      <c r="R549" s="9">
        <v>66</v>
      </c>
      <c r="S549" s="9">
        <v>70.5</v>
      </c>
      <c r="T549" s="9">
        <v>68.25</v>
      </c>
    </row>
    <row r="550" spans="1:20" x14ac:dyDescent="0.25">
      <c r="A550" s="21" t="s">
        <v>4</v>
      </c>
      <c r="B550" s="21" t="s">
        <v>29</v>
      </c>
      <c r="C550" s="21" t="s">
        <v>15</v>
      </c>
      <c r="D550" s="21" t="s">
        <v>32</v>
      </c>
      <c r="E550" s="21" t="s">
        <v>34</v>
      </c>
      <c r="F550" s="22">
        <v>62</v>
      </c>
      <c r="G550" s="22">
        <v>67</v>
      </c>
      <c r="H550" s="22">
        <v>64</v>
      </c>
      <c r="J550" s="10">
        <v>56</v>
      </c>
      <c r="K550" s="10">
        <v>2</v>
      </c>
      <c r="L550" s="10">
        <v>121</v>
      </c>
      <c r="M550" s="10">
        <v>60.5</v>
      </c>
      <c r="N550" s="10">
        <v>0.5</v>
      </c>
      <c r="Q550" s="9" t="s">
        <v>55</v>
      </c>
      <c r="R550" s="9">
        <v>8</v>
      </c>
      <c r="S550" s="9">
        <v>40.5</v>
      </c>
      <c r="T550" s="9">
        <v>22.916666666666668</v>
      </c>
    </row>
    <row r="551" spans="1:20" x14ac:dyDescent="0.25">
      <c r="A551" s="21" t="s">
        <v>5</v>
      </c>
      <c r="B551" s="21" t="s">
        <v>29</v>
      </c>
      <c r="C551" s="21" t="s">
        <v>16</v>
      </c>
      <c r="D551" s="21" t="s">
        <v>35</v>
      </c>
      <c r="E551" s="21" t="s">
        <v>34</v>
      </c>
      <c r="F551" s="22">
        <v>79</v>
      </c>
      <c r="G551" s="22">
        <v>72</v>
      </c>
      <c r="H551" s="22">
        <v>69</v>
      </c>
      <c r="J551" s="10">
        <v>36</v>
      </c>
      <c r="K551" s="10">
        <v>2</v>
      </c>
      <c r="L551" s="10">
        <v>96</v>
      </c>
      <c r="M551" s="10">
        <v>48</v>
      </c>
      <c r="N551" s="10">
        <v>50</v>
      </c>
      <c r="Q551" s="9"/>
      <c r="R551" s="9"/>
      <c r="S551" s="9"/>
      <c r="T551" s="9"/>
    </row>
    <row r="552" spans="1:20" x14ac:dyDescent="0.25">
      <c r="A552" s="21" t="s">
        <v>5</v>
      </c>
      <c r="B552" s="21" t="s">
        <v>29</v>
      </c>
      <c r="C552" s="21" t="s">
        <v>17</v>
      </c>
      <c r="D552" s="21" t="s">
        <v>32</v>
      </c>
      <c r="E552" s="21" t="s">
        <v>34</v>
      </c>
      <c r="F552" s="22">
        <v>79</v>
      </c>
      <c r="G552" s="22">
        <v>76</v>
      </c>
      <c r="H552" s="22">
        <v>65</v>
      </c>
      <c r="J552" s="10">
        <v>29</v>
      </c>
      <c r="K552" s="10">
        <v>2</v>
      </c>
      <c r="L552" s="10">
        <v>88</v>
      </c>
      <c r="M552" s="10">
        <v>44</v>
      </c>
      <c r="N552" s="10">
        <v>18</v>
      </c>
      <c r="Q552" s="14">
        <v>50</v>
      </c>
      <c r="R552" s="14"/>
      <c r="S552" s="14"/>
      <c r="T552" s="14"/>
    </row>
    <row r="553" spans="1:20" x14ac:dyDescent="0.25">
      <c r="A553" s="21" t="s">
        <v>5</v>
      </c>
      <c r="B553" s="21" t="s">
        <v>28</v>
      </c>
      <c r="C553" s="21" t="s">
        <v>43</v>
      </c>
      <c r="D553" s="21" t="s">
        <v>32</v>
      </c>
      <c r="E553" s="21" t="s">
        <v>33</v>
      </c>
      <c r="F553" s="22">
        <v>87</v>
      </c>
      <c r="G553" s="22">
        <v>90</v>
      </c>
      <c r="H553" s="22">
        <v>88</v>
      </c>
      <c r="J553" s="10">
        <v>62</v>
      </c>
      <c r="K553" s="10">
        <v>2</v>
      </c>
      <c r="L553" s="10">
        <v>144</v>
      </c>
      <c r="M553" s="10">
        <v>72</v>
      </c>
      <c r="N553" s="10">
        <v>8</v>
      </c>
      <c r="Q553" s="9" t="s">
        <v>52</v>
      </c>
      <c r="R553" s="9">
        <v>2</v>
      </c>
      <c r="S553" s="9">
        <v>2</v>
      </c>
      <c r="T553" s="9">
        <v>4</v>
      </c>
    </row>
    <row r="554" spans="1:20" x14ac:dyDescent="0.25">
      <c r="A554" s="21" t="s">
        <v>4</v>
      </c>
      <c r="B554" s="21" t="s">
        <v>28</v>
      </c>
      <c r="C554" s="21" t="s">
        <v>14</v>
      </c>
      <c r="D554" s="21" t="s">
        <v>35</v>
      </c>
      <c r="E554" s="21" t="s">
        <v>34</v>
      </c>
      <c r="F554" s="22">
        <v>40</v>
      </c>
      <c r="G554" s="22">
        <v>48</v>
      </c>
      <c r="H554" s="22">
        <v>50</v>
      </c>
      <c r="J554" s="10">
        <v>68</v>
      </c>
      <c r="K554" s="10">
        <v>2</v>
      </c>
      <c r="L554" s="10">
        <v>140</v>
      </c>
      <c r="M554" s="10">
        <v>70</v>
      </c>
      <c r="N554" s="10">
        <v>18</v>
      </c>
      <c r="Q554" s="9" t="s">
        <v>53</v>
      </c>
      <c r="R554" s="9">
        <v>119</v>
      </c>
      <c r="S554" s="9">
        <v>117</v>
      </c>
      <c r="T554" s="9">
        <v>236</v>
      </c>
    </row>
    <row r="555" spans="1:20" x14ac:dyDescent="0.25">
      <c r="A555" s="21" t="s">
        <v>5</v>
      </c>
      <c r="B555" s="21" t="s">
        <v>30</v>
      </c>
      <c r="C555" s="21" t="s">
        <v>45</v>
      </c>
      <c r="D555" s="21" t="s">
        <v>32</v>
      </c>
      <c r="E555" s="21" t="s">
        <v>34</v>
      </c>
      <c r="F555" s="22">
        <v>77</v>
      </c>
      <c r="G555" s="22">
        <v>62</v>
      </c>
      <c r="H555" s="22">
        <v>64</v>
      </c>
      <c r="J555" s="10">
        <v>47</v>
      </c>
      <c r="K555" s="10">
        <v>2</v>
      </c>
      <c r="L555" s="10">
        <v>107</v>
      </c>
      <c r="M555" s="10">
        <v>53.5</v>
      </c>
      <c r="N555" s="10">
        <v>0.5</v>
      </c>
      <c r="Q555" s="9" t="s">
        <v>54</v>
      </c>
      <c r="R555" s="9">
        <v>59.5</v>
      </c>
      <c r="S555" s="9">
        <v>58.5</v>
      </c>
      <c r="T555" s="9">
        <v>59</v>
      </c>
    </row>
    <row r="556" spans="1:20" x14ac:dyDescent="0.25">
      <c r="A556" s="21" t="s">
        <v>5</v>
      </c>
      <c r="B556" s="21" t="s">
        <v>31</v>
      </c>
      <c r="C556" s="21" t="s">
        <v>14</v>
      </c>
      <c r="D556" s="21" t="s">
        <v>35</v>
      </c>
      <c r="E556" s="21" t="s">
        <v>34</v>
      </c>
      <c r="F556" s="22">
        <v>53</v>
      </c>
      <c r="G556" s="22">
        <v>45</v>
      </c>
      <c r="H556" s="22">
        <v>40</v>
      </c>
      <c r="J556" s="10">
        <v>62</v>
      </c>
      <c r="K556" s="10">
        <v>2</v>
      </c>
      <c r="L556" s="10">
        <v>119</v>
      </c>
      <c r="M556" s="10">
        <v>59.5</v>
      </c>
      <c r="N556" s="10">
        <v>4.5</v>
      </c>
      <c r="Q556" s="9" t="s">
        <v>55</v>
      </c>
      <c r="R556" s="9">
        <v>180.5</v>
      </c>
      <c r="S556" s="9">
        <v>264.5</v>
      </c>
      <c r="T556" s="9">
        <v>148.66666666666666</v>
      </c>
    </row>
    <row r="557" spans="1:20" x14ac:dyDescent="0.25">
      <c r="A557" s="21" t="s">
        <v>4</v>
      </c>
      <c r="B557" s="21" t="s">
        <v>29</v>
      </c>
      <c r="C557" s="21" t="s">
        <v>45</v>
      </c>
      <c r="D557" s="21" t="s">
        <v>32</v>
      </c>
      <c r="E557" s="21" t="s">
        <v>34</v>
      </c>
      <c r="F557" s="22">
        <v>32</v>
      </c>
      <c r="G557" s="22">
        <v>39</v>
      </c>
      <c r="H557" s="22">
        <v>33</v>
      </c>
      <c r="J557" s="10">
        <v>79</v>
      </c>
      <c r="K557" s="10">
        <v>2</v>
      </c>
      <c r="L557" s="10">
        <v>182</v>
      </c>
      <c r="M557" s="10">
        <v>91</v>
      </c>
      <c r="N557" s="10">
        <v>18</v>
      </c>
      <c r="Q557" s="9"/>
      <c r="R557" s="9"/>
      <c r="S557" s="9"/>
      <c r="T557" s="9"/>
    </row>
    <row r="558" spans="1:20" x14ac:dyDescent="0.25">
      <c r="A558" s="21" t="s">
        <v>4</v>
      </c>
      <c r="B558" s="21" t="s">
        <v>29</v>
      </c>
      <c r="C558" s="21" t="s">
        <v>14</v>
      </c>
      <c r="D558" s="21" t="s">
        <v>35</v>
      </c>
      <c r="E558" s="21" t="s">
        <v>33</v>
      </c>
      <c r="F558" s="22">
        <v>55</v>
      </c>
      <c r="G558" s="22">
        <v>72</v>
      </c>
      <c r="H558" s="22">
        <v>79</v>
      </c>
      <c r="J558" s="10">
        <v>73</v>
      </c>
      <c r="K558" s="10">
        <v>2</v>
      </c>
      <c r="L558" s="10">
        <v>137</v>
      </c>
      <c r="M558" s="10">
        <v>68.5</v>
      </c>
      <c r="N558" s="10">
        <v>0.5</v>
      </c>
      <c r="Q558" s="14">
        <v>45</v>
      </c>
      <c r="R558" s="14"/>
      <c r="S558" s="14"/>
      <c r="T558" s="14"/>
    </row>
    <row r="559" spans="1:20" x14ac:dyDescent="0.25">
      <c r="A559" s="21" t="s">
        <v>5</v>
      </c>
      <c r="B559" s="21" t="s">
        <v>29</v>
      </c>
      <c r="C559" s="21" t="s">
        <v>16</v>
      </c>
      <c r="D559" s="21" t="s">
        <v>32</v>
      </c>
      <c r="E559" s="21" t="s">
        <v>34</v>
      </c>
      <c r="F559" s="22">
        <v>61</v>
      </c>
      <c r="G559" s="22">
        <v>67</v>
      </c>
      <c r="H559" s="22">
        <v>66</v>
      </c>
      <c r="J559" s="10">
        <v>66</v>
      </c>
      <c r="K559" s="10">
        <v>2</v>
      </c>
      <c r="L559" s="10">
        <v>166</v>
      </c>
      <c r="M559" s="10">
        <v>83</v>
      </c>
      <c r="N559" s="10">
        <v>0</v>
      </c>
      <c r="Q559" s="9" t="s">
        <v>52</v>
      </c>
      <c r="R559" s="9">
        <v>2</v>
      </c>
      <c r="S559" s="9">
        <v>2</v>
      </c>
      <c r="T559" s="9">
        <v>4</v>
      </c>
    </row>
    <row r="560" spans="1:20" x14ac:dyDescent="0.25">
      <c r="A560" s="21" t="s">
        <v>4</v>
      </c>
      <c r="B560" s="21" t="s">
        <v>28</v>
      </c>
      <c r="C560" s="21" t="s">
        <v>14</v>
      </c>
      <c r="D560" s="21" t="s">
        <v>32</v>
      </c>
      <c r="E560" s="21" t="s">
        <v>34</v>
      </c>
      <c r="F560" s="22">
        <v>53</v>
      </c>
      <c r="G560" s="22">
        <v>70</v>
      </c>
      <c r="H560" s="22">
        <v>70</v>
      </c>
      <c r="J560" s="10">
        <v>51</v>
      </c>
      <c r="K560" s="10">
        <v>2</v>
      </c>
      <c r="L560" s="10">
        <v>118</v>
      </c>
      <c r="M560" s="10">
        <v>59</v>
      </c>
      <c r="N560" s="10">
        <v>2</v>
      </c>
      <c r="Q560" s="9" t="s">
        <v>53</v>
      </c>
      <c r="R560" s="9">
        <v>119</v>
      </c>
      <c r="S560" s="9">
        <v>114</v>
      </c>
      <c r="T560" s="9">
        <v>233</v>
      </c>
    </row>
    <row r="561" spans="1:20" x14ac:dyDescent="0.25">
      <c r="A561" s="21" t="s">
        <v>5</v>
      </c>
      <c r="B561" s="21" t="s">
        <v>30</v>
      </c>
      <c r="C561" s="21" t="s">
        <v>17</v>
      </c>
      <c r="D561" s="21" t="s">
        <v>35</v>
      </c>
      <c r="E561" s="21" t="s">
        <v>34</v>
      </c>
      <c r="F561" s="22">
        <v>73</v>
      </c>
      <c r="G561" s="22">
        <v>66</v>
      </c>
      <c r="H561" s="22">
        <v>62</v>
      </c>
      <c r="J561" s="10">
        <v>51</v>
      </c>
      <c r="K561" s="10">
        <v>2</v>
      </c>
      <c r="L561" s="10">
        <v>128</v>
      </c>
      <c r="M561" s="10">
        <v>64</v>
      </c>
      <c r="N561" s="10">
        <v>8</v>
      </c>
      <c r="Q561" s="9" t="s">
        <v>54</v>
      </c>
      <c r="R561" s="9">
        <v>59.5</v>
      </c>
      <c r="S561" s="9">
        <v>57</v>
      </c>
      <c r="T561" s="9">
        <v>58.25</v>
      </c>
    </row>
    <row r="562" spans="1:20" x14ac:dyDescent="0.25">
      <c r="A562" s="21" t="s">
        <v>4</v>
      </c>
      <c r="B562" s="21" t="s">
        <v>30</v>
      </c>
      <c r="C562" s="21" t="s">
        <v>45</v>
      </c>
      <c r="D562" s="21" t="s">
        <v>35</v>
      </c>
      <c r="E562" s="21" t="s">
        <v>33</v>
      </c>
      <c r="F562" s="22">
        <v>74</v>
      </c>
      <c r="G562" s="22">
        <v>75</v>
      </c>
      <c r="H562" s="22">
        <v>79</v>
      </c>
      <c r="J562" s="10">
        <v>85</v>
      </c>
      <c r="K562" s="10">
        <v>2</v>
      </c>
      <c r="L562" s="10">
        <v>137</v>
      </c>
      <c r="M562" s="10">
        <v>68.5</v>
      </c>
      <c r="N562" s="10">
        <v>12.5</v>
      </c>
      <c r="Q562" s="9" t="s">
        <v>55</v>
      </c>
      <c r="R562" s="9">
        <v>112.5</v>
      </c>
      <c r="S562" s="9">
        <v>128</v>
      </c>
      <c r="T562" s="9">
        <v>82.25</v>
      </c>
    </row>
    <row r="563" spans="1:20" x14ac:dyDescent="0.25">
      <c r="A563" s="21" t="s">
        <v>4</v>
      </c>
      <c r="B563" s="21" t="s">
        <v>29</v>
      </c>
      <c r="C563" s="21" t="s">
        <v>45</v>
      </c>
      <c r="D563" s="21" t="s">
        <v>35</v>
      </c>
      <c r="E563" s="21" t="s">
        <v>34</v>
      </c>
      <c r="F563" s="22">
        <v>63</v>
      </c>
      <c r="G563" s="22">
        <v>74</v>
      </c>
      <c r="H563" s="22">
        <v>74</v>
      </c>
      <c r="J563" s="10">
        <v>97</v>
      </c>
      <c r="K563" s="10">
        <v>2</v>
      </c>
      <c r="L563" s="10">
        <v>178</v>
      </c>
      <c r="M563" s="10">
        <v>89</v>
      </c>
      <c r="N563" s="10">
        <v>18</v>
      </c>
      <c r="Q563" s="9"/>
      <c r="R563" s="9"/>
      <c r="S563" s="9"/>
      <c r="T563" s="9"/>
    </row>
    <row r="564" spans="1:20" x14ac:dyDescent="0.25">
      <c r="A564" s="21" t="s">
        <v>5</v>
      </c>
      <c r="B564" s="21" t="s">
        <v>29</v>
      </c>
      <c r="C564" s="21" t="s">
        <v>43</v>
      </c>
      <c r="D564" s="21" t="s">
        <v>35</v>
      </c>
      <c r="E564" s="21" t="s">
        <v>33</v>
      </c>
      <c r="F564" s="22">
        <v>96</v>
      </c>
      <c r="G564" s="22">
        <v>90</v>
      </c>
      <c r="H564" s="22">
        <v>92</v>
      </c>
      <c r="J564" s="10">
        <v>75</v>
      </c>
      <c r="K564" s="10">
        <v>2</v>
      </c>
      <c r="L564" s="10">
        <v>137</v>
      </c>
      <c r="M564" s="10">
        <v>68.5</v>
      </c>
      <c r="N564" s="10">
        <v>0.5</v>
      </c>
      <c r="Q564" s="14">
        <v>80</v>
      </c>
      <c r="R564" s="14"/>
      <c r="S564" s="14"/>
      <c r="T564" s="14"/>
    </row>
    <row r="565" spans="1:20" x14ac:dyDescent="0.25">
      <c r="A565" s="21" t="s">
        <v>4</v>
      </c>
      <c r="B565" s="21" t="s">
        <v>30</v>
      </c>
      <c r="C565" s="21" t="s">
        <v>45</v>
      </c>
      <c r="D565" s="21" t="s">
        <v>32</v>
      </c>
      <c r="E565" s="21" t="s">
        <v>33</v>
      </c>
      <c r="F565" s="22">
        <v>63</v>
      </c>
      <c r="G565" s="22">
        <v>80</v>
      </c>
      <c r="H565" s="22">
        <v>80</v>
      </c>
      <c r="J565" s="10">
        <v>79</v>
      </c>
      <c r="K565" s="10">
        <v>2</v>
      </c>
      <c r="L565" s="10">
        <v>162</v>
      </c>
      <c r="M565" s="10">
        <v>81</v>
      </c>
      <c r="N565" s="10">
        <v>2</v>
      </c>
      <c r="Q565" s="9" t="s">
        <v>52</v>
      </c>
      <c r="R565" s="9">
        <v>2</v>
      </c>
      <c r="S565" s="9">
        <v>2</v>
      </c>
      <c r="T565" s="9">
        <v>4</v>
      </c>
    </row>
    <row r="566" spans="1:20" x14ac:dyDescent="0.25">
      <c r="A566" s="21" t="s">
        <v>5</v>
      </c>
      <c r="B566" s="21" t="s">
        <v>28</v>
      </c>
      <c r="C566" s="21" t="s">
        <v>43</v>
      </c>
      <c r="D566" s="21" t="s">
        <v>32</v>
      </c>
      <c r="E566" s="21" t="s">
        <v>34</v>
      </c>
      <c r="F566" s="22">
        <v>48</v>
      </c>
      <c r="G566" s="22">
        <v>51</v>
      </c>
      <c r="H566" s="22">
        <v>46</v>
      </c>
      <c r="J566" s="10">
        <v>81</v>
      </c>
      <c r="K566" s="10">
        <v>2</v>
      </c>
      <c r="L566" s="10">
        <v>156</v>
      </c>
      <c r="M566" s="10">
        <v>78</v>
      </c>
      <c r="N566" s="10">
        <v>2</v>
      </c>
      <c r="Q566" s="9" t="s">
        <v>53</v>
      </c>
      <c r="R566" s="9">
        <v>142</v>
      </c>
      <c r="S566" s="9">
        <v>133</v>
      </c>
      <c r="T566" s="9">
        <v>275</v>
      </c>
    </row>
    <row r="567" spans="1:20" x14ac:dyDescent="0.25">
      <c r="A567" s="21" t="s">
        <v>5</v>
      </c>
      <c r="B567" s="21" t="s">
        <v>28</v>
      </c>
      <c r="C567" s="21" t="s">
        <v>14</v>
      </c>
      <c r="D567" s="21" t="s">
        <v>35</v>
      </c>
      <c r="E567" s="21" t="s">
        <v>34</v>
      </c>
      <c r="F567" s="22">
        <v>48</v>
      </c>
      <c r="G567" s="22">
        <v>43</v>
      </c>
      <c r="H567" s="22">
        <v>45</v>
      </c>
      <c r="J567" s="10">
        <v>82</v>
      </c>
      <c r="K567" s="10">
        <v>2</v>
      </c>
      <c r="L567" s="10">
        <v>184</v>
      </c>
      <c r="M567" s="10">
        <v>92</v>
      </c>
      <c r="N567" s="10">
        <v>18</v>
      </c>
      <c r="Q567" s="9" t="s">
        <v>54</v>
      </c>
      <c r="R567" s="9">
        <v>71</v>
      </c>
      <c r="S567" s="9">
        <v>66.5</v>
      </c>
      <c r="T567" s="9">
        <v>68.75</v>
      </c>
    </row>
    <row r="568" spans="1:20" x14ac:dyDescent="0.25">
      <c r="A568" s="21" t="s">
        <v>4</v>
      </c>
      <c r="B568" s="21" t="s">
        <v>31</v>
      </c>
      <c r="C568" s="21" t="s">
        <v>43</v>
      </c>
      <c r="D568" s="21" t="s">
        <v>32</v>
      </c>
      <c r="E568" s="21" t="s">
        <v>33</v>
      </c>
      <c r="F568" s="22">
        <v>92</v>
      </c>
      <c r="G568" s="22">
        <v>100</v>
      </c>
      <c r="H568" s="22">
        <v>100</v>
      </c>
      <c r="J568" s="10">
        <v>64</v>
      </c>
      <c r="K568" s="10">
        <v>2</v>
      </c>
      <c r="L568" s="10">
        <v>129</v>
      </c>
      <c r="M568" s="10">
        <v>64.5</v>
      </c>
      <c r="N568" s="10">
        <v>4.5</v>
      </c>
      <c r="Q568" s="9" t="s">
        <v>55</v>
      </c>
      <c r="R568" s="9">
        <v>50</v>
      </c>
      <c r="S568" s="9">
        <v>4.5</v>
      </c>
      <c r="T568" s="9">
        <v>24.916666666666668</v>
      </c>
    </row>
    <row r="569" spans="1:20" x14ac:dyDescent="0.25">
      <c r="A569" s="21" t="s">
        <v>4</v>
      </c>
      <c r="B569" s="21" t="s">
        <v>30</v>
      </c>
      <c r="C569" s="21" t="s">
        <v>16</v>
      </c>
      <c r="D569" s="21" t="s">
        <v>32</v>
      </c>
      <c r="E569" s="21" t="s">
        <v>33</v>
      </c>
      <c r="F569" s="22">
        <v>61</v>
      </c>
      <c r="G569" s="22">
        <v>71</v>
      </c>
      <c r="H569" s="22">
        <v>78</v>
      </c>
      <c r="J569" s="10">
        <v>78</v>
      </c>
      <c r="K569" s="10">
        <v>2</v>
      </c>
      <c r="L569" s="10">
        <v>163</v>
      </c>
      <c r="M569" s="10">
        <v>81.5</v>
      </c>
      <c r="N569" s="10">
        <v>4.5</v>
      </c>
      <c r="Q569" s="9"/>
      <c r="R569" s="9"/>
      <c r="S569" s="9"/>
      <c r="T569" s="9"/>
    </row>
    <row r="570" spans="1:20" x14ac:dyDescent="0.25">
      <c r="A570" s="21" t="s">
        <v>5</v>
      </c>
      <c r="B570" s="21" t="s">
        <v>28</v>
      </c>
      <c r="C570" s="21" t="s">
        <v>15</v>
      </c>
      <c r="D570" s="21" t="s">
        <v>32</v>
      </c>
      <c r="E570" s="21" t="s">
        <v>34</v>
      </c>
      <c r="F570" s="22">
        <v>63</v>
      </c>
      <c r="G570" s="22">
        <v>48</v>
      </c>
      <c r="H570" s="22">
        <v>47</v>
      </c>
      <c r="J570" s="10">
        <v>92</v>
      </c>
      <c r="K570" s="10">
        <v>2</v>
      </c>
      <c r="L570" s="10">
        <v>197</v>
      </c>
      <c r="M570" s="10">
        <v>98.5</v>
      </c>
      <c r="N570" s="10">
        <v>4.5</v>
      </c>
      <c r="Q570" s="14">
        <v>48</v>
      </c>
      <c r="R570" s="14"/>
      <c r="S570" s="14"/>
      <c r="T570" s="14"/>
    </row>
    <row r="571" spans="1:20" x14ac:dyDescent="0.25">
      <c r="A571" s="21" t="s">
        <v>5</v>
      </c>
      <c r="B571" s="21" t="s">
        <v>30</v>
      </c>
      <c r="C571" s="21" t="s">
        <v>43</v>
      </c>
      <c r="D571" s="21" t="s">
        <v>32</v>
      </c>
      <c r="E571" s="21" t="s">
        <v>34</v>
      </c>
      <c r="F571" s="22">
        <v>68</v>
      </c>
      <c r="G571" s="22">
        <v>68</v>
      </c>
      <c r="H571" s="22">
        <v>67</v>
      </c>
      <c r="J571" s="10">
        <v>72</v>
      </c>
      <c r="K571" s="10">
        <v>2</v>
      </c>
      <c r="L571" s="10">
        <v>131</v>
      </c>
      <c r="M571" s="10">
        <v>65.5</v>
      </c>
      <c r="N571" s="10">
        <v>4.5</v>
      </c>
      <c r="Q571" s="9" t="s">
        <v>52</v>
      </c>
      <c r="R571" s="9">
        <v>2</v>
      </c>
      <c r="S571" s="9">
        <v>2</v>
      </c>
      <c r="T571" s="9">
        <v>4</v>
      </c>
    </row>
    <row r="572" spans="1:20" x14ac:dyDescent="0.25">
      <c r="A572" s="21" t="s">
        <v>5</v>
      </c>
      <c r="B572" s="21" t="s">
        <v>28</v>
      </c>
      <c r="C572" s="21" t="s">
        <v>45</v>
      </c>
      <c r="D572" s="21" t="s">
        <v>35</v>
      </c>
      <c r="E572" s="21" t="s">
        <v>33</v>
      </c>
      <c r="F572" s="22">
        <v>71</v>
      </c>
      <c r="G572" s="22">
        <v>75</v>
      </c>
      <c r="H572" s="22">
        <v>70</v>
      </c>
      <c r="J572" s="10">
        <v>62</v>
      </c>
      <c r="K572" s="10">
        <v>2</v>
      </c>
      <c r="L572" s="10">
        <v>131</v>
      </c>
      <c r="M572" s="10">
        <v>65.5</v>
      </c>
      <c r="N572" s="10">
        <v>4.5</v>
      </c>
      <c r="Q572" s="9" t="s">
        <v>53</v>
      </c>
      <c r="R572" s="9">
        <v>140</v>
      </c>
      <c r="S572" s="9">
        <v>132</v>
      </c>
      <c r="T572" s="9">
        <v>272</v>
      </c>
    </row>
    <row r="573" spans="1:20" x14ac:dyDescent="0.25">
      <c r="A573" s="21" t="s">
        <v>5</v>
      </c>
      <c r="B573" s="21" t="s">
        <v>27</v>
      </c>
      <c r="C573" s="21" t="s">
        <v>43</v>
      </c>
      <c r="D573" s="21" t="s">
        <v>35</v>
      </c>
      <c r="E573" s="21" t="s">
        <v>34</v>
      </c>
      <c r="F573" s="22">
        <v>91</v>
      </c>
      <c r="G573" s="22">
        <v>96</v>
      </c>
      <c r="H573" s="22">
        <v>92</v>
      </c>
      <c r="J573" s="10">
        <v>79</v>
      </c>
      <c r="K573" s="10">
        <v>2</v>
      </c>
      <c r="L573" s="10">
        <v>141</v>
      </c>
      <c r="M573" s="10">
        <v>70.5</v>
      </c>
      <c r="N573" s="10">
        <v>4.5</v>
      </c>
      <c r="Q573" s="9" t="s">
        <v>54</v>
      </c>
      <c r="R573" s="9">
        <v>70</v>
      </c>
      <c r="S573" s="9">
        <v>66</v>
      </c>
      <c r="T573" s="9">
        <v>68</v>
      </c>
    </row>
    <row r="574" spans="1:20" x14ac:dyDescent="0.25">
      <c r="A574" s="21" t="s">
        <v>4</v>
      </c>
      <c r="B574" s="21" t="s">
        <v>29</v>
      </c>
      <c r="C574" s="21" t="s">
        <v>45</v>
      </c>
      <c r="D574" s="21" t="s">
        <v>35</v>
      </c>
      <c r="E574" s="21" t="s">
        <v>34</v>
      </c>
      <c r="F574" s="22">
        <v>53</v>
      </c>
      <c r="G574" s="22">
        <v>62</v>
      </c>
      <c r="H574" s="22">
        <v>56</v>
      </c>
      <c r="J574" s="10">
        <v>79</v>
      </c>
      <c r="K574" s="10">
        <v>2</v>
      </c>
      <c r="L574" s="10">
        <v>141</v>
      </c>
      <c r="M574" s="10">
        <v>70.5</v>
      </c>
      <c r="N574" s="10">
        <v>60.5</v>
      </c>
      <c r="Q574" s="9" t="s">
        <v>55</v>
      </c>
      <c r="R574" s="9">
        <v>648</v>
      </c>
      <c r="S574" s="9">
        <v>882</v>
      </c>
      <c r="T574" s="9">
        <v>515.33333333333337</v>
      </c>
    </row>
    <row r="575" spans="1:20" x14ac:dyDescent="0.25">
      <c r="A575" s="21" t="s">
        <v>4</v>
      </c>
      <c r="B575" s="21" t="s">
        <v>29</v>
      </c>
      <c r="C575" s="21" t="s">
        <v>15</v>
      </c>
      <c r="D575" s="21" t="s">
        <v>32</v>
      </c>
      <c r="E575" s="21" t="s">
        <v>33</v>
      </c>
      <c r="F575" s="22">
        <v>50</v>
      </c>
      <c r="G575" s="22">
        <v>66</v>
      </c>
      <c r="H575" s="22">
        <v>64</v>
      </c>
      <c r="J575" s="10">
        <v>87</v>
      </c>
      <c r="K575" s="10">
        <v>2</v>
      </c>
      <c r="L575" s="10">
        <v>178</v>
      </c>
      <c r="M575" s="10">
        <v>89</v>
      </c>
      <c r="N575" s="10">
        <v>2</v>
      </c>
      <c r="Q575" s="9"/>
      <c r="R575" s="9"/>
      <c r="S575" s="9"/>
      <c r="T575" s="9"/>
    </row>
    <row r="576" spans="1:20" x14ac:dyDescent="0.25">
      <c r="A576" s="21" t="s">
        <v>4</v>
      </c>
      <c r="B576" s="21" t="s">
        <v>31</v>
      </c>
      <c r="C576" s="21" t="s">
        <v>15</v>
      </c>
      <c r="D576" s="21" t="s">
        <v>35</v>
      </c>
      <c r="E576" s="21" t="s">
        <v>34</v>
      </c>
      <c r="F576" s="22">
        <v>74</v>
      </c>
      <c r="G576" s="22">
        <v>81</v>
      </c>
      <c r="H576" s="22">
        <v>71</v>
      </c>
      <c r="J576" s="10">
        <v>40</v>
      </c>
      <c r="K576" s="10">
        <v>2</v>
      </c>
      <c r="L576" s="10">
        <v>98</v>
      </c>
      <c r="M576" s="10">
        <v>49</v>
      </c>
      <c r="N576" s="10">
        <v>2</v>
      </c>
      <c r="Q576" s="14">
        <v>66</v>
      </c>
      <c r="R576" s="14"/>
      <c r="S576" s="14"/>
      <c r="T576" s="14"/>
    </row>
    <row r="577" spans="1:20" x14ac:dyDescent="0.25">
      <c r="A577" s="21" t="s">
        <v>5</v>
      </c>
      <c r="B577" s="21" t="s">
        <v>27</v>
      </c>
      <c r="C577" s="21" t="s">
        <v>14</v>
      </c>
      <c r="D577" s="21" t="s">
        <v>32</v>
      </c>
      <c r="E577" s="21" t="s">
        <v>33</v>
      </c>
      <c r="F577" s="22">
        <v>40</v>
      </c>
      <c r="G577" s="22">
        <v>55</v>
      </c>
      <c r="H577" s="22">
        <v>53</v>
      </c>
      <c r="J577" s="10">
        <v>77</v>
      </c>
      <c r="K577" s="10">
        <v>2</v>
      </c>
      <c r="L577" s="10">
        <v>126</v>
      </c>
      <c r="M577" s="10">
        <v>63</v>
      </c>
      <c r="N577" s="10">
        <v>2</v>
      </c>
      <c r="Q577" s="9" t="s">
        <v>52</v>
      </c>
      <c r="R577" s="9">
        <v>2</v>
      </c>
      <c r="S577" s="9">
        <v>2</v>
      </c>
      <c r="T577" s="9">
        <v>4</v>
      </c>
    </row>
    <row r="578" spans="1:20" x14ac:dyDescent="0.25">
      <c r="A578" s="21" t="s">
        <v>5</v>
      </c>
      <c r="B578" s="21" t="s">
        <v>27</v>
      </c>
      <c r="C578" s="21" t="s">
        <v>45</v>
      </c>
      <c r="D578" s="21" t="s">
        <v>35</v>
      </c>
      <c r="E578" s="21" t="s">
        <v>33</v>
      </c>
      <c r="F578" s="22">
        <v>61</v>
      </c>
      <c r="G578" s="22">
        <v>51</v>
      </c>
      <c r="H578" s="22">
        <v>52</v>
      </c>
      <c r="J578" s="10">
        <v>53</v>
      </c>
      <c r="K578" s="10">
        <v>2</v>
      </c>
      <c r="L578" s="10">
        <v>85</v>
      </c>
      <c r="M578" s="10">
        <v>42.5</v>
      </c>
      <c r="N578" s="10">
        <v>12.5</v>
      </c>
      <c r="Q578" s="9" t="s">
        <v>53</v>
      </c>
      <c r="R578" s="9">
        <v>148</v>
      </c>
      <c r="S578" s="9">
        <v>148</v>
      </c>
      <c r="T578" s="9">
        <v>296</v>
      </c>
    </row>
    <row r="579" spans="1:20" x14ac:dyDescent="0.25">
      <c r="A579" s="21" t="s">
        <v>4</v>
      </c>
      <c r="B579" s="21" t="s">
        <v>28</v>
      </c>
      <c r="C579" s="21" t="s">
        <v>15</v>
      </c>
      <c r="D579" s="21" t="s">
        <v>35</v>
      </c>
      <c r="E579" s="21" t="s">
        <v>34</v>
      </c>
      <c r="F579" s="22">
        <v>81</v>
      </c>
      <c r="G579" s="22">
        <v>91</v>
      </c>
      <c r="H579" s="22">
        <v>89</v>
      </c>
      <c r="J579" s="10">
        <v>32</v>
      </c>
      <c r="K579" s="10">
        <v>2</v>
      </c>
      <c r="L579" s="10">
        <v>72</v>
      </c>
      <c r="M579" s="10">
        <v>36</v>
      </c>
      <c r="N579" s="10">
        <v>18</v>
      </c>
      <c r="Q579" s="9" t="s">
        <v>54</v>
      </c>
      <c r="R579" s="9">
        <v>74</v>
      </c>
      <c r="S579" s="9">
        <v>74</v>
      </c>
      <c r="T579" s="9">
        <v>74</v>
      </c>
    </row>
    <row r="580" spans="1:20" x14ac:dyDescent="0.25">
      <c r="A580" s="21" t="s">
        <v>4</v>
      </c>
      <c r="B580" s="21" t="s">
        <v>28</v>
      </c>
      <c r="C580" s="21" t="s">
        <v>45</v>
      </c>
      <c r="D580" s="21" t="s">
        <v>32</v>
      </c>
      <c r="E580" s="21" t="s">
        <v>33</v>
      </c>
      <c r="F580" s="22">
        <v>48</v>
      </c>
      <c r="G580" s="22">
        <v>56</v>
      </c>
      <c r="H580" s="22">
        <v>58</v>
      </c>
      <c r="J580" s="10">
        <v>55</v>
      </c>
      <c r="K580" s="10">
        <v>2</v>
      </c>
      <c r="L580" s="10">
        <v>151</v>
      </c>
      <c r="M580" s="10">
        <v>75.5</v>
      </c>
      <c r="N580" s="10">
        <v>24.5</v>
      </c>
      <c r="Q580" s="9" t="s">
        <v>55</v>
      </c>
      <c r="R580" s="9">
        <v>162</v>
      </c>
      <c r="S580" s="9">
        <v>50</v>
      </c>
      <c r="T580" s="9">
        <v>70.666666666666671</v>
      </c>
    </row>
    <row r="581" spans="1:20" x14ac:dyDescent="0.25">
      <c r="A581" s="21" t="s">
        <v>4</v>
      </c>
      <c r="B581" s="21" t="s">
        <v>30</v>
      </c>
      <c r="C581" s="21" t="s">
        <v>16</v>
      </c>
      <c r="D581" s="21" t="s">
        <v>35</v>
      </c>
      <c r="E581" s="21" t="s">
        <v>34</v>
      </c>
      <c r="F581" s="22">
        <v>53</v>
      </c>
      <c r="G581" s="22">
        <v>61</v>
      </c>
      <c r="H581" s="22">
        <v>68</v>
      </c>
      <c r="J581" s="10">
        <v>61</v>
      </c>
      <c r="K581" s="10">
        <v>2</v>
      </c>
      <c r="L581" s="10">
        <v>133</v>
      </c>
      <c r="M581" s="10">
        <v>66.5</v>
      </c>
      <c r="N581" s="10">
        <v>0.5</v>
      </c>
      <c r="Q581" s="9"/>
      <c r="R581" s="9"/>
      <c r="S581" s="9"/>
      <c r="T581" s="9"/>
    </row>
    <row r="582" spans="1:20" x14ac:dyDescent="0.25">
      <c r="A582" s="21" t="s">
        <v>4</v>
      </c>
      <c r="B582" s="21" t="s">
        <v>30</v>
      </c>
      <c r="C582" s="21" t="s">
        <v>17</v>
      </c>
      <c r="D582" s="21" t="s">
        <v>35</v>
      </c>
      <c r="E582" s="21" t="s">
        <v>34</v>
      </c>
      <c r="F582" s="22">
        <v>81</v>
      </c>
      <c r="G582" s="22">
        <v>97</v>
      </c>
      <c r="H582" s="22">
        <v>96</v>
      </c>
      <c r="J582" s="10">
        <v>53</v>
      </c>
      <c r="K582" s="10">
        <v>2</v>
      </c>
      <c r="L582" s="10">
        <v>140</v>
      </c>
      <c r="M582" s="10">
        <v>70</v>
      </c>
      <c r="N582" s="10">
        <v>0</v>
      </c>
      <c r="Q582" s="14">
        <v>62</v>
      </c>
      <c r="R582" s="14"/>
      <c r="S582" s="14"/>
      <c r="T582" s="14"/>
    </row>
    <row r="583" spans="1:20" x14ac:dyDescent="0.25">
      <c r="A583" s="21" t="s">
        <v>4</v>
      </c>
      <c r="B583" s="21" t="s">
        <v>31</v>
      </c>
      <c r="C583" s="21" t="s">
        <v>17</v>
      </c>
      <c r="D583" s="21" t="s">
        <v>35</v>
      </c>
      <c r="E583" s="21" t="s">
        <v>34</v>
      </c>
      <c r="F583" s="22">
        <v>77</v>
      </c>
      <c r="G583" s="22">
        <v>79</v>
      </c>
      <c r="H583" s="22">
        <v>80</v>
      </c>
      <c r="J583" s="10">
        <v>73</v>
      </c>
      <c r="K583" s="10">
        <v>2</v>
      </c>
      <c r="L583" s="10">
        <v>128</v>
      </c>
      <c r="M583" s="10">
        <v>64</v>
      </c>
      <c r="N583" s="10">
        <v>8</v>
      </c>
      <c r="Q583" s="9" t="s">
        <v>52</v>
      </c>
      <c r="R583" s="9">
        <v>2</v>
      </c>
      <c r="S583" s="9">
        <v>2</v>
      </c>
      <c r="T583" s="9">
        <v>4</v>
      </c>
    </row>
    <row r="584" spans="1:20" x14ac:dyDescent="0.25">
      <c r="A584" s="21" t="s">
        <v>4</v>
      </c>
      <c r="B584" s="21" t="s">
        <v>30</v>
      </c>
      <c r="C584" s="21" t="s">
        <v>43</v>
      </c>
      <c r="D584" s="21" t="s">
        <v>32</v>
      </c>
      <c r="E584" s="21" t="s">
        <v>34</v>
      </c>
      <c r="F584" s="22">
        <v>63</v>
      </c>
      <c r="G584" s="22">
        <v>73</v>
      </c>
      <c r="H584" s="22">
        <v>78</v>
      </c>
      <c r="J584" s="10">
        <v>74</v>
      </c>
      <c r="K584" s="10">
        <v>2</v>
      </c>
      <c r="L584" s="10">
        <v>154</v>
      </c>
      <c r="M584" s="10">
        <v>77</v>
      </c>
      <c r="N584" s="10">
        <v>8</v>
      </c>
      <c r="Q584" s="9" t="s">
        <v>53</v>
      </c>
      <c r="R584" s="9">
        <v>126</v>
      </c>
      <c r="S584" s="9">
        <v>128</v>
      </c>
      <c r="T584" s="9">
        <v>254</v>
      </c>
    </row>
    <row r="585" spans="1:20" x14ac:dyDescent="0.25">
      <c r="A585" s="21" t="s">
        <v>4</v>
      </c>
      <c r="B585" s="21" t="s">
        <v>30</v>
      </c>
      <c r="C585" s="21" t="s">
        <v>14</v>
      </c>
      <c r="D585" s="21" t="s">
        <v>35</v>
      </c>
      <c r="E585" s="21" t="s">
        <v>33</v>
      </c>
      <c r="F585" s="22">
        <v>73</v>
      </c>
      <c r="G585" s="22">
        <v>75</v>
      </c>
      <c r="H585" s="22">
        <v>80</v>
      </c>
      <c r="J585" s="10">
        <v>63</v>
      </c>
      <c r="K585" s="10">
        <v>2</v>
      </c>
      <c r="L585" s="10">
        <v>148</v>
      </c>
      <c r="M585" s="10">
        <v>74</v>
      </c>
      <c r="N585" s="10">
        <v>0</v>
      </c>
      <c r="Q585" s="9" t="s">
        <v>54</v>
      </c>
      <c r="R585" s="9">
        <v>63</v>
      </c>
      <c r="S585" s="9">
        <v>64</v>
      </c>
      <c r="T585" s="9">
        <v>63.5</v>
      </c>
    </row>
    <row r="586" spans="1:20" x14ac:dyDescent="0.25">
      <c r="A586" s="21" t="s">
        <v>4</v>
      </c>
      <c r="B586" s="21" t="s">
        <v>30</v>
      </c>
      <c r="C586" s="21" t="s">
        <v>45</v>
      </c>
      <c r="D586" s="21" t="s">
        <v>35</v>
      </c>
      <c r="E586" s="21" t="s">
        <v>34</v>
      </c>
      <c r="F586" s="22">
        <v>69</v>
      </c>
      <c r="G586" s="22">
        <v>77</v>
      </c>
      <c r="H586" s="22">
        <v>77</v>
      </c>
      <c r="J586" s="10">
        <v>96</v>
      </c>
      <c r="K586" s="10">
        <v>2</v>
      </c>
      <c r="L586" s="10">
        <v>182</v>
      </c>
      <c r="M586" s="10">
        <v>91</v>
      </c>
      <c r="N586" s="10">
        <v>2</v>
      </c>
      <c r="Q586" s="9" t="s">
        <v>55</v>
      </c>
      <c r="R586" s="9">
        <v>2</v>
      </c>
      <c r="S586" s="9">
        <v>8</v>
      </c>
      <c r="T586" s="9">
        <v>3.6666666666666665</v>
      </c>
    </row>
    <row r="587" spans="1:20" x14ac:dyDescent="0.25">
      <c r="A587" s="21" t="s">
        <v>4</v>
      </c>
      <c r="B587" s="21" t="s">
        <v>29</v>
      </c>
      <c r="C587" s="21" t="s">
        <v>14</v>
      </c>
      <c r="D587" s="21" t="s">
        <v>35</v>
      </c>
      <c r="E587" s="21" t="s">
        <v>34</v>
      </c>
      <c r="F587" s="22">
        <v>65</v>
      </c>
      <c r="G587" s="22">
        <v>76</v>
      </c>
      <c r="H587" s="22">
        <v>76</v>
      </c>
      <c r="J587" s="10">
        <v>63</v>
      </c>
      <c r="K587" s="10">
        <v>2</v>
      </c>
      <c r="L587" s="10">
        <v>160</v>
      </c>
      <c r="M587" s="10">
        <v>80</v>
      </c>
      <c r="N587" s="10">
        <v>0</v>
      </c>
      <c r="Q587" s="9"/>
      <c r="R587" s="9"/>
      <c r="S587" s="9"/>
      <c r="T587" s="9"/>
    </row>
    <row r="588" spans="1:20" x14ac:dyDescent="0.25">
      <c r="A588" s="21" t="s">
        <v>4</v>
      </c>
      <c r="B588" s="21" t="s">
        <v>27</v>
      </c>
      <c r="C588" s="21" t="s">
        <v>15</v>
      </c>
      <c r="D588" s="21" t="s">
        <v>35</v>
      </c>
      <c r="E588" s="21" t="s">
        <v>34</v>
      </c>
      <c r="F588" s="22">
        <v>55</v>
      </c>
      <c r="G588" s="22">
        <v>73</v>
      </c>
      <c r="H588" s="22">
        <v>73</v>
      </c>
      <c r="J588" s="10">
        <v>48</v>
      </c>
      <c r="K588" s="10">
        <v>2</v>
      </c>
      <c r="L588" s="10">
        <v>97</v>
      </c>
      <c r="M588" s="10">
        <v>48.5</v>
      </c>
      <c r="N588" s="10">
        <v>12.5</v>
      </c>
      <c r="Q588" s="14">
        <v>69</v>
      </c>
      <c r="R588" s="14"/>
      <c r="S588" s="14"/>
      <c r="T588" s="14"/>
    </row>
    <row r="589" spans="1:20" x14ac:dyDescent="0.25">
      <c r="A589" s="21" t="s">
        <v>4</v>
      </c>
      <c r="B589" s="21" t="s">
        <v>29</v>
      </c>
      <c r="C589" s="21" t="s">
        <v>43</v>
      </c>
      <c r="D589" s="21" t="s">
        <v>32</v>
      </c>
      <c r="E589" s="21" t="s">
        <v>34</v>
      </c>
      <c r="F589" s="22">
        <v>44</v>
      </c>
      <c r="G589" s="22">
        <v>63</v>
      </c>
      <c r="H589" s="22">
        <v>62</v>
      </c>
      <c r="J589" s="10">
        <v>48</v>
      </c>
      <c r="K589" s="10">
        <v>2</v>
      </c>
      <c r="L589" s="10">
        <v>88</v>
      </c>
      <c r="M589" s="10">
        <v>44</v>
      </c>
      <c r="N589" s="10">
        <v>2</v>
      </c>
      <c r="Q589" s="9" t="s">
        <v>52</v>
      </c>
      <c r="R589" s="9">
        <v>2</v>
      </c>
      <c r="S589" s="9">
        <v>2</v>
      </c>
      <c r="T589" s="9">
        <v>4</v>
      </c>
    </row>
    <row r="590" spans="1:20" x14ac:dyDescent="0.25">
      <c r="A590" s="21" t="s">
        <v>4</v>
      </c>
      <c r="B590" s="21" t="s">
        <v>29</v>
      </c>
      <c r="C590" s="21" t="s">
        <v>45</v>
      </c>
      <c r="D590" s="21" t="s">
        <v>35</v>
      </c>
      <c r="E590" s="21" t="s">
        <v>34</v>
      </c>
      <c r="F590" s="22">
        <v>54</v>
      </c>
      <c r="G590" s="22">
        <v>64</v>
      </c>
      <c r="H590" s="22">
        <v>65</v>
      </c>
      <c r="J590" s="10">
        <v>92</v>
      </c>
      <c r="K590" s="10">
        <v>2</v>
      </c>
      <c r="L590" s="10">
        <v>200</v>
      </c>
      <c r="M590" s="10">
        <v>100</v>
      </c>
      <c r="N590" s="10">
        <v>0</v>
      </c>
      <c r="Q590" s="9" t="s">
        <v>53</v>
      </c>
      <c r="R590" s="9">
        <v>139</v>
      </c>
      <c r="S590" s="9">
        <v>137</v>
      </c>
      <c r="T590" s="9">
        <v>276</v>
      </c>
    </row>
    <row r="591" spans="1:20" x14ac:dyDescent="0.25">
      <c r="A591" s="21" t="s">
        <v>4</v>
      </c>
      <c r="B591" s="21" t="s">
        <v>27</v>
      </c>
      <c r="C591" s="21" t="s">
        <v>17</v>
      </c>
      <c r="D591" s="21" t="s">
        <v>35</v>
      </c>
      <c r="E591" s="21" t="s">
        <v>34</v>
      </c>
      <c r="F591" s="22">
        <v>48</v>
      </c>
      <c r="G591" s="22">
        <v>66</v>
      </c>
      <c r="H591" s="22">
        <v>65</v>
      </c>
      <c r="J591" s="10">
        <v>61</v>
      </c>
      <c r="K591" s="10">
        <v>2</v>
      </c>
      <c r="L591" s="10">
        <v>149</v>
      </c>
      <c r="M591" s="10">
        <v>74.5</v>
      </c>
      <c r="N591" s="10">
        <v>24.5</v>
      </c>
      <c r="Q591" s="9" t="s">
        <v>54</v>
      </c>
      <c r="R591" s="9">
        <v>69.5</v>
      </c>
      <c r="S591" s="9">
        <v>68.5</v>
      </c>
      <c r="T591" s="9">
        <v>69</v>
      </c>
    </row>
    <row r="592" spans="1:20" x14ac:dyDescent="0.25">
      <c r="A592" s="21" t="s">
        <v>5</v>
      </c>
      <c r="B592" s="21" t="s">
        <v>29</v>
      </c>
      <c r="C592" s="21" t="s">
        <v>45</v>
      </c>
      <c r="D592" s="21" t="s">
        <v>32</v>
      </c>
      <c r="E592" s="21" t="s">
        <v>34</v>
      </c>
      <c r="F592" s="22">
        <v>58</v>
      </c>
      <c r="G592" s="22">
        <v>57</v>
      </c>
      <c r="H592" s="22">
        <v>54</v>
      </c>
      <c r="J592" s="10">
        <v>63</v>
      </c>
      <c r="K592" s="10">
        <v>2</v>
      </c>
      <c r="L592" s="10">
        <v>95</v>
      </c>
      <c r="M592" s="10">
        <v>47.5</v>
      </c>
      <c r="N592" s="10">
        <v>0.5</v>
      </c>
      <c r="Q592" s="9" t="s">
        <v>55</v>
      </c>
      <c r="R592" s="9">
        <v>420.5</v>
      </c>
      <c r="S592" s="9">
        <v>544.5</v>
      </c>
      <c r="T592" s="9">
        <v>322</v>
      </c>
    </row>
    <row r="593" spans="1:20" x14ac:dyDescent="0.25">
      <c r="A593" s="21" t="s">
        <v>5</v>
      </c>
      <c r="B593" s="21" t="s">
        <v>27</v>
      </c>
      <c r="C593" s="21" t="s">
        <v>17</v>
      </c>
      <c r="D593" s="21" t="s">
        <v>35</v>
      </c>
      <c r="E593" s="21" t="s">
        <v>34</v>
      </c>
      <c r="F593" s="22">
        <v>71</v>
      </c>
      <c r="G593" s="22">
        <v>62</v>
      </c>
      <c r="H593" s="22">
        <v>50</v>
      </c>
      <c r="J593" s="10">
        <v>68</v>
      </c>
      <c r="K593" s="10">
        <v>2</v>
      </c>
      <c r="L593" s="10">
        <v>135</v>
      </c>
      <c r="M593" s="10">
        <v>67.5</v>
      </c>
      <c r="N593" s="10">
        <v>0.5</v>
      </c>
      <c r="Q593" s="9"/>
      <c r="R593" s="9"/>
      <c r="S593" s="9"/>
      <c r="T593" s="9"/>
    </row>
    <row r="594" spans="1:20" x14ac:dyDescent="0.25">
      <c r="A594" s="21" t="s">
        <v>5</v>
      </c>
      <c r="B594" s="21" t="s">
        <v>31</v>
      </c>
      <c r="C594" s="21" t="s">
        <v>43</v>
      </c>
      <c r="D594" s="21" t="s">
        <v>35</v>
      </c>
      <c r="E594" s="21" t="s">
        <v>34</v>
      </c>
      <c r="F594" s="22">
        <v>68</v>
      </c>
      <c r="G594" s="22">
        <v>68</v>
      </c>
      <c r="H594" s="22">
        <v>64</v>
      </c>
      <c r="J594" s="10">
        <v>71</v>
      </c>
      <c r="K594" s="10">
        <v>2</v>
      </c>
      <c r="L594" s="10">
        <v>145</v>
      </c>
      <c r="M594" s="10">
        <v>72.5</v>
      </c>
      <c r="N594" s="10">
        <v>12.5</v>
      </c>
      <c r="Q594" s="14">
        <v>59</v>
      </c>
      <c r="R594" s="14"/>
      <c r="S594" s="14"/>
      <c r="T594" s="14"/>
    </row>
    <row r="595" spans="1:20" x14ac:dyDescent="0.25">
      <c r="A595" s="21" t="s">
        <v>4</v>
      </c>
      <c r="B595" s="21" t="s">
        <v>31</v>
      </c>
      <c r="C595" s="21" t="s">
        <v>15</v>
      </c>
      <c r="D595" s="21" t="s">
        <v>35</v>
      </c>
      <c r="E595" s="21" t="s">
        <v>34</v>
      </c>
      <c r="F595" s="22">
        <v>74</v>
      </c>
      <c r="G595" s="22">
        <v>76</v>
      </c>
      <c r="H595" s="22">
        <v>73</v>
      </c>
      <c r="J595" s="10">
        <v>91</v>
      </c>
      <c r="K595" s="10">
        <v>2</v>
      </c>
      <c r="L595" s="10">
        <v>188</v>
      </c>
      <c r="M595" s="10">
        <v>94</v>
      </c>
      <c r="N595" s="10">
        <v>8</v>
      </c>
      <c r="Q595" s="9" t="s">
        <v>52</v>
      </c>
      <c r="R595" s="9">
        <v>2</v>
      </c>
      <c r="S595" s="9">
        <v>2</v>
      </c>
      <c r="T595" s="9">
        <v>4</v>
      </c>
    </row>
    <row r="596" spans="1:20" x14ac:dyDescent="0.25">
      <c r="A596" s="21" t="s">
        <v>4</v>
      </c>
      <c r="B596" s="21" t="s">
        <v>29</v>
      </c>
      <c r="C596" s="21" t="s">
        <v>43</v>
      </c>
      <c r="D596" s="21" t="s">
        <v>35</v>
      </c>
      <c r="E596" s="21" t="s">
        <v>33</v>
      </c>
      <c r="F596" s="22">
        <v>92</v>
      </c>
      <c r="G596" s="22">
        <v>100</v>
      </c>
      <c r="H596" s="22">
        <v>99</v>
      </c>
      <c r="J596" s="10">
        <v>53</v>
      </c>
      <c r="K596" s="10">
        <v>2</v>
      </c>
      <c r="L596" s="10">
        <v>118</v>
      </c>
      <c r="M596" s="10">
        <v>59</v>
      </c>
      <c r="N596" s="10">
        <v>18</v>
      </c>
      <c r="Q596" s="9" t="s">
        <v>53</v>
      </c>
      <c r="R596" s="9">
        <v>125</v>
      </c>
      <c r="S596" s="9">
        <v>116</v>
      </c>
      <c r="T596" s="9">
        <v>241</v>
      </c>
    </row>
    <row r="597" spans="1:20" x14ac:dyDescent="0.25">
      <c r="A597" s="21" t="s">
        <v>4</v>
      </c>
      <c r="B597" s="21" t="s">
        <v>29</v>
      </c>
      <c r="C597" s="21" t="s">
        <v>43</v>
      </c>
      <c r="D597" s="21" t="s">
        <v>35</v>
      </c>
      <c r="E597" s="21" t="s">
        <v>33</v>
      </c>
      <c r="F597" s="22">
        <v>56</v>
      </c>
      <c r="G597" s="22">
        <v>79</v>
      </c>
      <c r="H597" s="22">
        <v>72</v>
      </c>
      <c r="J597" s="10">
        <v>50</v>
      </c>
      <c r="K597" s="10">
        <v>2</v>
      </c>
      <c r="L597" s="10">
        <v>130</v>
      </c>
      <c r="M597" s="10">
        <v>65</v>
      </c>
      <c r="N597" s="10">
        <v>2</v>
      </c>
      <c r="Q597" s="9" t="s">
        <v>54</v>
      </c>
      <c r="R597" s="9">
        <v>62.5</v>
      </c>
      <c r="S597" s="9">
        <v>58</v>
      </c>
      <c r="T597" s="9">
        <v>60.25</v>
      </c>
    </row>
    <row r="598" spans="1:20" x14ac:dyDescent="0.25">
      <c r="A598" s="21" t="s">
        <v>5</v>
      </c>
      <c r="B598" s="21" t="s">
        <v>28</v>
      </c>
      <c r="C598" s="21" t="s">
        <v>15</v>
      </c>
      <c r="D598" s="21" t="s">
        <v>32</v>
      </c>
      <c r="E598" s="21" t="s">
        <v>34</v>
      </c>
      <c r="F598" s="22">
        <v>30</v>
      </c>
      <c r="G598" s="22">
        <v>24</v>
      </c>
      <c r="H598" s="22">
        <v>15</v>
      </c>
      <c r="J598" s="10">
        <v>74</v>
      </c>
      <c r="K598" s="10">
        <v>2</v>
      </c>
      <c r="L598" s="10">
        <v>152</v>
      </c>
      <c r="M598" s="10">
        <v>76</v>
      </c>
      <c r="N598" s="10">
        <v>50</v>
      </c>
      <c r="Q598" s="9" t="s">
        <v>55</v>
      </c>
      <c r="R598" s="9">
        <v>84.5</v>
      </c>
      <c r="S598" s="9">
        <v>98</v>
      </c>
      <c r="T598" s="9">
        <v>67.583333333333329</v>
      </c>
    </row>
    <row r="599" spans="1:20" x14ac:dyDescent="0.25">
      <c r="A599" s="21" t="s">
        <v>5</v>
      </c>
      <c r="B599" s="21" t="s">
        <v>27</v>
      </c>
      <c r="C599" s="21" t="s">
        <v>17</v>
      </c>
      <c r="D599" s="21" t="s">
        <v>35</v>
      </c>
      <c r="E599" s="21" t="s">
        <v>34</v>
      </c>
      <c r="F599" s="22">
        <v>53</v>
      </c>
      <c r="G599" s="22">
        <v>54</v>
      </c>
      <c r="H599" s="22">
        <v>48</v>
      </c>
      <c r="J599" s="10">
        <v>40</v>
      </c>
      <c r="K599" s="10">
        <v>2</v>
      </c>
      <c r="L599" s="10">
        <v>108</v>
      </c>
      <c r="M599" s="10">
        <v>54</v>
      </c>
      <c r="N599" s="10">
        <v>2</v>
      </c>
      <c r="Q599" s="9"/>
      <c r="R599" s="9"/>
      <c r="S599" s="9"/>
      <c r="T599" s="9"/>
    </row>
    <row r="600" spans="1:20" x14ac:dyDescent="0.25">
      <c r="A600" s="21" t="s">
        <v>4</v>
      </c>
      <c r="B600" s="21" t="s">
        <v>30</v>
      </c>
      <c r="C600" s="21" t="s">
        <v>15</v>
      </c>
      <c r="D600" s="21" t="s">
        <v>35</v>
      </c>
      <c r="E600" s="21" t="s">
        <v>34</v>
      </c>
      <c r="F600" s="22">
        <v>69</v>
      </c>
      <c r="G600" s="22">
        <v>77</v>
      </c>
      <c r="H600" s="22">
        <v>73</v>
      </c>
      <c r="J600" s="10">
        <v>61</v>
      </c>
      <c r="K600" s="10">
        <v>2</v>
      </c>
      <c r="L600" s="10">
        <v>103</v>
      </c>
      <c r="M600" s="10">
        <v>51.5</v>
      </c>
      <c r="N600" s="10">
        <v>0.5</v>
      </c>
      <c r="Q600" s="14">
        <v>45</v>
      </c>
      <c r="R600" s="14"/>
      <c r="S600" s="14"/>
      <c r="T600" s="14"/>
    </row>
    <row r="601" spans="1:20" x14ac:dyDescent="0.25">
      <c r="A601" s="21" t="s">
        <v>4</v>
      </c>
      <c r="B601" s="21" t="s">
        <v>30</v>
      </c>
      <c r="C601" s="21" t="s">
        <v>17</v>
      </c>
      <c r="D601" s="21" t="s">
        <v>35</v>
      </c>
      <c r="E601" s="21" t="s">
        <v>34</v>
      </c>
      <c r="F601" s="22">
        <v>65</v>
      </c>
      <c r="G601" s="22">
        <v>82</v>
      </c>
      <c r="H601" s="22">
        <v>81</v>
      </c>
      <c r="J601" s="10">
        <v>81</v>
      </c>
      <c r="K601" s="10">
        <v>2</v>
      </c>
      <c r="L601" s="10">
        <v>180</v>
      </c>
      <c r="M601" s="10">
        <v>90</v>
      </c>
      <c r="N601" s="10">
        <v>2</v>
      </c>
      <c r="Q601" s="9" t="s">
        <v>52</v>
      </c>
      <c r="R601" s="9">
        <v>2</v>
      </c>
      <c r="S601" s="9">
        <v>2</v>
      </c>
      <c r="T601" s="9">
        <v>4</v>
      </c>
    </row>
    <row r="602" spans="1:20" x14ac:dyDescent="0.25">
      <c r="A602" s="21" t="s">
        <v>4</v>
      </c>
      <c r="B602" s="21" t="s">
        <v>30</v>
      </c>
      <c r="C602" s="21" t="s">
        <v>16</v>
      </c>
      <c r="D602" s="21" t="s">
        <v>35</v>
      </c>
      <c r="E602" s="21" t="s">
        <v>34</v>
      </c>
      <c r="F602" s="22">
        <v>54</v>
      </c>
      <c r="G602" s="22">
        <v>60</v>
      </c>
      <c r="H602" s="22">
        <v>63</v>
      </c>
      <c r="J602" s="10">
        <v>48</v>
      </c>
      <c r="K602" s="10">
        <v>2</v>
      </c>
      <c r="L602" s="10">
        <v>114</v>
      </c>
      <c r="M602" s="10">
        <v>57</v>
      </c>
      <c r="N602" s="10">
        <v>2</v>
      </c>
      <c r="Q602" s="9" t="s">
        <v>53</v>
      </c>
      <c r="R602" s="9">
        <v>132</v>
      </c>
      <c r="S602" s="9">
        <v>131</v>
      </c>
      <c r="T602" s="9">
        <v>263</v>
      </c>
    </row>
    <row r="603" spans="1:20" x14ac:dyDescent="0.25">
      <c r="A603" s="21" t="s">
        <v>4</v>
      </c>
      <c r="B603" s="21" t="s">
        <v>29</v>
      </c>
      <c r="C603" s="21" t="s">
        <v>15</v>
      </c>
      <c r="D603" s="21" t="s">
        <v>35</v>
      </c>
      <c r="E603" s="21" t="s">
        <v>34</v>
      </c>
      <c r="F603" s="22">
        <v>29</v>
      </c>
      <c r="G603" s="22">
        <v>29</v>
      </c>
      <c r="H603" s="22">
        <v>30</v>
      </c>
      <c r="J603" s="10">
        <v>53</v>
      </c>
      <c r="K603" s="10">
        <v>2</v>
      </c>
      <c r="L603" s="10">
        <v>129</v>
      </c>
      <c r="M603" s="10">
        <v>64.5</v>
      </c>
      <c r="N603" s="10">
        <v>24.5</v>
      </c>
      <c r="Q603" s="9" t="s">
        <v>54</v>
      </c>
      <c r="R603" s="9">
        <v>66</v>
      </c>
      <c r="S603" s="9">
        <v>65.5</v>
      </c>
      <c r="T603" s="9">
        <v>65.75</v>
      </c>
    </row>
    <row r="604" spans="1:20" x14ac:dyDescent="0.25">
      <c r="A604" s="21" t="s">
        <v>4</v>
      </c>
      <c r="B604" s="21" t="s">
        <v>31</v>
      </c>
      <c r="C604" s="21" t="s">
        <v>45</v>
      </c>
      <c r="D604" s="21" t="s">
        <v>35</v>
      </c>
      <c r="E604" s="21" t="s">
        <v>34</v>
      </c>
      <c r="F604" s="22">
        <v>76</v>
      </c>
      <c r="G604" s="22">
        <v>78</v>
      </c>
      <c r="H604" s="22">
        <v>80</v>
      </c>
      <c r="J604" s="10">
        <v>81</v>
      </c>
      <c r="K604" s="10">
        <v>2</v>
      </c>
      <c r="L604" s="10">
        <v>193</v>
      </c>
      <c r="M604" s="10">
        <v>96.5</v>
      </c>
      <c r="N604" s="10">
        <v>0.5</v>
      </c>
      <c r="Q604" s="9" t="s">
        <v>55</v>
      </c>
      <c r="R604" s="9">
        <v>338</v>
      </c>
      <c r="S604" s="9">
        <v>220.5</v>
      </c>
      <c r="T604" s="9">
        <v>186.25</v>
      </c>
    </row>
    <row r="605" spans="1:20" x14ac:dyDescent="0.25">
      <c r="A605" s="21" t="s">
        <v>5</v>
      </c>
      <c r="B605" s="21" t="s">
        <v>30</v>
      </c>
      <c r="C605" s="21" t="s">
        <v>15</v>
      </c>
      <c r="D605" s="21" t="s">
        <v>32</v>
      </c>
      <c r="E605" s="21" t="s">
        <v>34</v>
      </c>
      <c r="F605" s="22">
        <v>60</v>
      </c>
      <c r="G605" s="22">
        <v>57</v>
      </c>
      <c r="H605" s="22">
        <v>51</v>
      </c>
      <c r="J605" s="10">
        <v>77</v>
      </c>
      <c r="K605" s="10">
        <v>2</v>
      </c>
      <c r="L605" s="10">
        <v>159</v>
      </c>
      <c r="M605" s="10">
        <v>79.5</v>
      </c>
      <c r="N605" s="10">
        <v>0.5</v>
      </c>
      <c r="Q605" s="9"/>
      <c r="R605" s="9"/>
      <c r="S605" s="9"/>
      <c r="T605" s="9"/>
    </row>
    <row r="606" spans="1:20" x14ac:dyDescent="0.25">
      <c r="A606" s="21" t="s">
        <v>5</v>
      </c>
      <c r="B606" s="21" t="s">
        <v>30</v>
      </c>
      <c r="C606" s="21" t="s">
        <v>16</v>
      </c>
      <c r="D606" s="21" t="s">
        <v>32</v>
      </c>
      <c r="E606" s="21" t="s">
        <v>33</v>
      </c>
      <c r="F606" s="22">
        <v>84</v>
      </c>
      <c r="G606" s="22">
        <v>89</v>
      </c>
      <c r="H606" s="22">
        <v>90</v>
      </c>
      <c r="J606" s="10">
        <v>63</v>
      </c>
      <c r="K606" s="10">
        <v>2</v>
      </c>
      <c r="L606" s="10">
        <v>151</v>
      </c>
      <c r="M606" s="10">
        <v>75.5</v>
      </c>
      <c r="N606" s="10">
        <v>12.5</v>
      </c>
      <c r="Q606" s="14">
        <v>67</v>
      </c>
      <c r="R606" s="14"/>
      <c r="S606" s="14"/>
      <c r="T606" s="14"/>
    </row>
    <row r="607" spans="1:20" x14ac:dyDescent="0.25">
      <c r="A607" s="21" t="s">
        <v>5</v>
      </c>
      <c r="B607" s="21" t="s">
        <v>29</v>
      </c>
      <c r="C607" s="21" t="s">
        <v>17</v>
      </c>
      <c r="D607" s="21" t="s">
        <v>35</v>
      </c>
      <c r="E607" s="21" t="s">
        <v>34</v>
      </c>
      <c r="F607" s="22">
        <v>75</v>
      </c>
      <c r="G607" s="22">
        <v>72</v>
      </c>
      <c r="H607" s="22">
        <v>62</v>
      </c>
      <c r="J607" s="10">
        <v>73</v>
      </c>
      <c r="K607" s="10">
        <v>2</v>
      </c>
      <c r="L607" s="10">
        <v>155</v>
      </c>
      <c r="M607" s="10">
        <v>77.5</v>
      </c>
      <c r="N607" s="10">
        <v>12.5</v>
      </c>
      <c r="Q607" s="9" t="s">
        <v>52</v>
      </c>
      <c r="R607" s="9">
        <v>2</v>
      </c>
      <c r="S607" s="9">
        <v>2</v>
      </c>
      <c r="T607" s="9">
        <v>4</v>
      </c>
    </row>
    <row r="608" spans="1:20" x14ac:dyDescent="0.25">
      <c r="A608" s="21" t="s">
        <v>4</v>
      </c>
      <c r="B608" s="21" t="s">
        <v>29</v>
      </c>
      <c r="C608" s="21" t="s">
        <v>14</v>
      </c>
      <c r="D608" s="21" t="s">
        <v>35</v>
      </c>
      <c r="E608" s="21" t="s">
        <v>34</v>
      </c>
      <c r="F608" s="22">
        <v>85</v>
      </c>
      <c r="G608" s="22">
        <v>84</v>
      </c>
      <c r="H608" s="22">
        <v>82</v>
      </c>
      <c r="J608" s="10">
        <v>69</v>
      </c>
      <c r="K608" s="10">
        <v>2</v>
      </c>
      <c r="L608" s="10">
        <v>154</v>
      </c>
      <c r="M608" s="10">
        <v>77</v>
      </c>
      <c r="N608" s="10">
        <v>0</v>
      </c>
      <c r="Q608" s="9" t="s">
        <v>53</v>
      </c>
      <c r="R608" s="9">
        <v>165</v>
      </c>
      <c r="S608" s="9">
        <v>163</v>
      </c>
      <c r="T608" s="9">
        <v>328</v>
      </c>
    </row>
    <row r="609" spans="1:20" x14ac:dyDescent="0.25">
      <c r="A609" s="21" t="s">
        <v>4</v>
      </c>
      <c r="B609" s="21" t="s">
        <v>29</v>
      </c>
      <c r="C609" s="21" t="s">
        <v>16</v>
      </c>
      <c r="D609" s="21" t="s">
        <v>32</v>
      </c>
      <c r="E609" s="21" t="s">
        <v>34</v>
      </c>
      <c r="F609" s="22">
        <v>40</v>
      </c>
      <c r="G609" s="22">
        <v>58</v>
      </c>
      <c r="H609" s="22">
        <v>54</v>
      </c>
      <c r="J609" s="10">
        <v>65</v>
      </c>
      <c r="K609" s="10">
        <v>2</v>
      </c>
      <c r="L609" s="10">
        <v>152</v>
      </c>
      <c r="M609" s="10">
        <v>76</v>
      </c>
      <c r="N609" s="10">
        <v>0</v>
      </c>
      <c r="Q609" s="9" t="s">
        <v>54</v>
      </c>
      <c r="R609" s="9">
        <v>82.5</v>
      </c>
      <c r="S609" s="9">
        <v>81.5</v>
      </c>
      <c r="T609" s="9">
        <v>82</v>
      </c>
    </row>
    <row r="610" spans="1:20" x14ac:dyDescent="0.25">
      <c r="A610" s="21" t="s">
        <v>4</v>
      </c>
      <c r="B610" s="21" t="s">
        <v>31</v>
      </c>
      <c r="C610" s="21" t="s">
        <v>45</v>
      </c>
      <c r="D610" s="21" t="s">
        <v>35</v>
      </c>
      <c r="E610" s="21" t="s">
        <v>34</v>
      </c>
      <c r="F610" s="22">
        <v>61</v>
      </c>
      <c r="G610" s="22">
        <v>64</v>
      </c>
      <c r="H610" s="22">
        <v>62</v>
      </c>
      <c r="J610" s="10">
        <v>55</v>
      </c>
      <c r="K610" s="10">
        <v>2</v>
      </c>
      <c r="L610" s="10">
        <v>146</v>
      </c>
      <c r="M610" s="10">
        <v>73</v>
      </c>
      <c r="N610" s="10">
        <v>0</v>
      </c>
      <c r="Q610" s="9" t="s">
        <v>55</v>
      </c>
      <c r="R610" s="9">
        <v>4.5</v>
      </c>
      <c r="S610" s="9">
        <v>40.5</v>
      </c>
      <c r="T610" s="9">
        <v>15.333333333333334</v>
      </c>
    </row>
    <row r="611" spans="1:20" x14ac:dyDescent="0.25">
      <c r="A611" s="21" t="s">
        <v>4</v>
      </c>
      <c r="B611" s="21" t="s">
        <v>28</v>
      </c>
      <c r="C611" s="21" t="s">
        <v>14</v>
      </c>
      <c r="D611" s="21" t="s">
        <v>35</v>
      </c>
      <c r="E611" s="21" t="s">
        <v>34</v>
      </c>
      <c r="F611" s="22">
        <v>58</v>
      </c>
      <c r="G611" s="22">
        <v>63</v>
      </c>
      <c r="H611" s="22">
        <v>65</v>
      </c>
      <c r="J611" s="10">
        <v>44</v>
      </c>
      <c r="K611" s="10">
        <v>2</v>
      </c>
      <c r="L611" s="10">
        <v>125</v>
      </c>
      <c r="M611" s="10">
        <v>62.5</v>
      </c>
      <c r="N611" s="10">
        <v>0.5</v>
      </c>
      <c r="Q611" s="9"/>
      <c r="R611" s="9"/>
      <c r="S611" s="9"/>
      <c r="T611" s="9"/>
    </row>
    <row r="612" spans="1:20" x14ac:dyDescent="0.25">
      <c r="A612" s="21" t="s">
        <v>5</v>
      </c>
      <c r="B612" s="21" t="s">
        <v>30</v>
      </c>
      <c r="C612" s="21" t="s">
        <v>45</v>
      </c>
      <c r="D612" s="21" t="s">
        <v>32</v>
      </c>
      <c r="E612" s="21" t="s">
        <v>33</v>
      </c>
      <c r="F612" s="22">
        <v>69</v>
      </c>
      <c r="G612" s="22">
        <v>60</v>
      </c>
      <c r="H612" s="22">
        <v>63</v>
      </c>
      <c r="J612" s="10">
        <v>54</v>
      </c>
      <c r="K612" s="10">
        <v>2</v>
      </c>
      <c r="L612" s="10">
        <v>129</v>
      </c>
      <c r="M612" s="10">
        <v>64.5</v>
      </c>
      <c r="N612" s="10">
        <v>0.5</v>
      </c>
      <c r="Q612" s="14">
        <v>69</v>
      </c>
      <c r="R612" s="14"/>
      <c r="S612" s="14"/>
      <c r="T612" s="14"/>
    </row>
    <row r="613" spans="1:20" x14ac:dyDescent="0.25">
      <c r="A613" s="21" t="s">
        <v>4</v>
      </c>
      <c r="B613" s="21" t="s">
        <v>29</v>
      </c>
      <c r="C613" s="21" t="s">
        <v>45</v>
      </c>
      <c r="D613" s="21" t="s">
        <v>35</v>
      </c>
      <c r="E613" s="21" t="s">
        <v>34</v>
      </c>
      <c r="F613" s="22">
        <v>58</v>
      </c>
      <c r="G613" s="22">
        <v>59</v>
      </c>
      <c r="H613" s="22">
        <v>66</v>
      </c>
      <c r="J613" s="10">
        <v>48</v>
      </c>
      <c r="K613" s="10">
        <v>2</v>
      </c>
      <c r="L613" s="10">
        <v>131</v>
      </c>
      <c r="M613" s="10">
        <v>65.5</v>
      </c>
      <c r="N613" s="10">
        <v>0.5</v>
      </c>
      <c r="Q613" s="9" t="s">
        <v>52</v>
      </c>
      <c r="R613" s="9">
        <v>2</v>
      </c>
      <c r="S613" s="9">
        <v>2</v>
      </c>
      <c r="T613" s="9">
        <v>4</v>
      </c>
    </row>
    <row r="614" spans="1:20" x14ac:dyDescent="0.25">
      <c r="A614" s="21" t="s">
        <v>5</v>
      </c>
      <c r="B614" s="21" t="s">
        <v>29</v>
      </c>
      <c r="C614" s="21" t="s">
        <v>43</v>
      </c>
      <c r="D614" s="21" t="s">
        <v>35</v>
      </c>
      <c r="E614" s="21" t="s">
        <v>33</v>
      </c>
      <c r="F614" s="22">
        <v>94</v>
      </c>
      <c r="G614" s="22">
        <v>90</v>
      </c>
      <c r="H614" s="22">
        <v>91</v>
      </c>
      <c r="J614" s="10">
        <v>58</v>
      </c>
      <c r="K614" s="10">
        <v>2</v>
      </c>
      <c r="L614" s="10">
        <v>111</v>
      </c>
      <c r="M614" s="10">
        <v>55.5</v>
      </c>
      <c r="N614" s="10">
        <v>4.5</v>
      </c>
      <c r="Q614" s="9" t="s">
        <v>53</v>
      </c>
      <c r="R614" s="9">
        <v>146</v>
      </c>
      <c r="S614" s="9">
        <v>137</v>
      </c>
      <c r="T614" s="9">
        <v>283</v>
      </c>
    </row>
    <row r="615" spans="1:20" x14ac:dyDescent="0.25">
      <c r="A615" s="21" t="s">
        <v>4</v>
      </c>
      <c r="B615" s="21" t="s">
        <v>29</v>
      </c>
      <c r="C615" s="21" t="s">
        <v>14</v>
      </c>
      <c r="D615" s="21" t="s">
        <v>35</v>
      </c>
      <c r="E615" s="21" t="s">
        <v>34</v>
      </c>
      <c r="F615" s="22">
        <v>65</v>
      </c>
      <c r="G615" s="22">
        <v>77</v>
      </c>
      <c r="H615" s="22">
        <v>74</v>
      </c>
      <c r="J615" s="10">
        <v>71</v>
      </c>
      <c r="K615" s="10">
        <v>2</v>
      </c>
      <c r="L615" s="10">
        <v>112</v>
      </c>
      <c r="M615" s="10">
        <v>56</v>
      </c>
      <c r="N615" s="10">
        <v>72</v>
      </c>
      <c r="Q615" s="9" t="s">
        <v>54</v>
      </c>
      <c r="R615" s="9">
        <v>73</v>
      </c>
      <c r="S615" s="9">
        <v>68.5</v>
      </c>
      <c r="T615" s="9">
        <v>70.75</v>
      </c>
    </row>
    <row r="616" spans="1:20" x14ac:dyDescent="0.25">
      <c r="A616" s="21" t="s">
        <v>4</v>
      </c>
      <c r="B616" s="21" t="s">
        <v>27</v>
      </c>
      <c r="C616" s="21" t="s">
        <v>14</v>
      </c>
      <c r="D616" s="21" t="s">
        <v>35</v>
      </c>
      <c r="E616" s="21" t="s">
        <v>34</v>
      </c>
      <c r="F616" s="22">
        <v>82</v>
      </c>
      <c r="G616" s="22">
        <v>93</v>
      </c>
      <c r="H616" s="22">
        <v>93</v>
      </c>
      <c r="J616" s="10">
        <v>68</v>
      </c>
      <c r="K616" s="10">
        <v>2</v>
      </c>
      <c r="L616" s="10">
        <v>132</v>
      </c>
      <c r="M616" s="10">
        <v>66</v>
      </c>
      <c r="N616" s="10">
        <v>8</v>
      </c>
      <c r="Q616" s="9" t="s">
        <v>55</v>
      </c>
      <c r="R616" s="9">
        <v>32</v>
      </c>
      <c r="S616" s="9">
        <v>0.5</v>
      </c>
      <c r="T616" s="9">
        <v>17.583333333333332</v>
      </c>
    </row>
    <row r="617" spans="1:20" x14ac:dyDescent="0.25">
      <c r="A617" s="21" t="s">
        <v>4</v>
      </c>
      <c r="B617" s="21" t="s">
        <v>29</v>
      </c>
      <c r="C617" s="21" t="s">
        <v>15</v>
      </c>
      <c r="D617" s="21" t="s">
        <v>35</v>
      </c>
      <c r="E617" s="21" t="s">
        <v>34</v>
      </c>
      <c r="F617" s="22">
        <v>60</v>
      </c>
      <c r="G617" s="22">
        <v>68</v>
      </c>
      <c r="H617" s="22">
        <v>72</v>
      </c>
      <c r="J617" s="10">
        <v>74</v>
      </c>
      <c r="K617" s="10">
        <v>2</v>
      </c>
      <c r="L617" s="10">
        <v>149</v>
      </c>
      <c r="M617" s="10">
        <v>74.5</v>
      </c>
      <c r="N617" s="10">
        <v>4.5</v>
      </c>
      <c r="Q617" s="9"/>
      <c r="R617" s="9"/>
      <c r="S617" s="9"/>
      <c r="T617" s="9"/>
    </row>
    <row r="618" spans="1:20" x14ac:dyDescent="0.25">
      <c r="A618" s="21" t="s">
        <v>4</v>
      </c>
      <c r="B618" s="21" t="s">
        <v>31</v>
      </c>
      <c r="C618" s="21" t="s">
        <v>43</v>
      </c>
      <c r="D618" s="21" t="s">
        <v>35</v>
      </c>
      <c r="E618" s="21" t="s">
        <v>34</v>
      </c>
      <c r="F618" s="22">
        <v>37</v>
      </c>
      <c r="G618" s="22">
        <v>45</v>
      </c>
      <c r="H618" s="22">
        <v>38</v>
      </c>
      <c r="J618" s="10">
        <v>92</v>
      </c>
      <c r="K618" s="10">
        <v>2</v>
      </c>
      <c r="L618" s="10">
        <v>199</v>
      </c>
      <c r="M618" s="10">
        <v>99.5</v>
      </c>
      <c r="N618" s="10">
        <v>0.5</v>
      </c>
      <c r="Q618" s="14">
        <v>59</v>
      </c>
      <c r="R618" s="14"/>
      <c r="S618" s="14"/>
      <c r="T618" s="14"/>
    </row>
    <row r="619" spans="1:20" x14ac:dyDescent="0.25">
      <c r="A619" s="21" t="s">
        <v>5</v>
      </c>
      <c r="B619" s="21" t="s">
        <v>30</v>
      </c>
      <c r="C619" s="21" t="s">
        <v>43</v>
      </c>
      <c r="D619" s="21" t="s">
        <v>35</v>
      </c>
      <c r="E619" s="21" t="s">
        <v>34</v>
      </c>
      <c r="F619" s="22">
        <v>88</v>
      </c>
      <c r="G619" s="22">
        <v>78</v>
      </c>
      <c r="H619" s="22">
        <v>83</v>
      </c>
      <c r="J619" s="10">
        <v>56</v>
      </c>
      <c r="K619" s="10">
        <v>2</v>
      </c>
      <c r="L619" s="10">
        <v>151</v>
      </c>
      <c r="M619" s="10">
        <v>75.5</v>
      </c>
      <c r="N619" s="10">
        <v>24.5</v>
      </c>
      <c r="Q619" s="9" t="s">
        <v>52</v>
      </c>
      <c r="R619" s="9">
        <v>2</v>
      </c>
      <c r="S619" s="9">
        <v>2</v>
      </c>
      <c r="T619" s="9">
        <v>4</v>
      </c>
    </row>
    <row r="620" spans="1:20" x14ac:dyDescent="0.25">
      <c r="A620" s="21" t="s">
        <v>5</v>
      </c>
      <c r="B620" s="21" t="s">
        <v>30</v>
      </c>
      <c r="C620" s="21" t="s">
        <v>16</v>
      </c>
      <c r="D620" s="21" t="s">
        <v>35</v>
      </c>
      <c r="E620" s="21" t="s">
        <v>34</v>
      </c>
      <c r="F620" s="22">
        <v>95</v>
      </c>
      <c r="G620" s="22">
        <v>81</v>
      </c>
      <c r="H620" s="22">
        <v>84</v>
      </c>
      <c r="J620" s="10">
        <v>30</v>
      </c>
      <c r="K620" s="10">
        <v>2</v>
      </c>
      <c r="L620" s="10">
        <v>39</v>
      </c>
      <c r="M620" s="10">
        <v>19.5</v>
      </c>
      <c r="N620" s="10">
        <v>40.5</v>
      </c>
      <c r="Q620" s="9" t="s">
        <v>53</v>
      </c>
      <c r="R620" s="9">
        <v>112</v>
      </c>
      <c r="S620" s="9">
        <v>120</v>
      </c>
      <c r="T620" s="9">
        <v>232</v>
      </c>
    </row>
    <row r="621" spans="1:20" x14ac:dyDescent="0.25">
      <c r="A621" s="21" t="s">
        <v>5</v>
      </c>
      <c r="B621" s="21" t="s">
        <v>29</v>
      </c>
      <c r="C621" s="21" t="s">
        <v>14</v>
      </c>
      <c r="D621" s="21" t="s">
        <v>32</v>
      </c>
      <c r="E621" s="21" t="s">
        <v>33</v>
      </c>
      <c r="F621" s="22">
        <v>65</v>
      </c>
      <c r="G621" s="22">
        <v>73</v>
      </c>
      <c r="H621" s="22">
        <v>68</v>
      </c>
      <c r="J621" s="10">
        <v>53</v>
      </c>
      <c r="K621" s="10">
        <v>2</v>
      </c>
      <c r="L621" s="10">
        <v>102</v>
      </c>
      <c r="M621" s="10">
        <v>51</v>
      </c>
      <c r="N621" s="10">
        <v>18</v>
      </c>
      <c r="Q621" s="9" t="s">
        <v>54</v>
      </c>
      <c r="R621" s="9">
        <v>56</v>
      </c>
      <c r="S621" s="9">
        <v>60</v>
      </c>
      <c r="T621" s="9">
        <v>58</v>
      </c>
    </row>
    <row r="622" spans="1:20" x14ac:dyDescent="0.25">
      <c r="A622" s="21" t="s">
        <v>4</v>
      </c>
      <c r="B622" s="21" t="s">
        <v>29</v>
      </c>
      <c r="C622" s="21" t="s">
        <v>15</v>
      </c>
      <c r="D622" s="21" t="s">
        <v>32</v>
      </c>
      <c r="E622" s="21" t="s">
        <v>34</v>
      </c>
      <c r="F622" s="22">
        <v>35</v>
      </c>
      <c r="G622" s="22">
        <v>61</v>
      </c>
      <c r="H622" s="22">
        <v>54</v>
      </c>
      <c r="J622" s="10">
        <v>69</v>
      </c>
      <c r="K622" s="10">
        <v>2</v>
      </c>
      <c r="L622" s="10">
        <v>150</v>
      </c>
      <c r="M622" s="10">
        <v>75</v>
      </c>
      <c r="N622" s="10">
        <v>8</v>
      </c>
      <c r="Q622" s="9" t="s">
        <v>55</v>
      </c>
      <c r="R622" s="9">
        <v>450</v>
      </c>
      <c r="S622" s="9">
        <v>648</v>
      </c>
      <c r="T622" s="9">
        <v>371.33333333333331</v>
      </c>
    </row>
    <row r="623" spans="1:20" x14ac:dyDescent="0.25">
      <c r="A623" s="21" t="s">
        <v>5</v>
      </c>
      <c r="B623" s="21" t="s">
        <v>28</v>
      </c>
      <c r="C623" s="21" t="s">
        <v>43</v>
      </c>
      <c r="D623" s="21" t="s">
        <v>32</v>
      </c>
      <c r="E623" s="21" t="s">
        <v>34</v>
      </c>
      <c r="F623" s="22">
        <v>62</v>
      </c>
      <c r="G623" s="22">
        <v>63</v>
      </c>
      <c r="H623" s="22">
        <v>56</v>
      </c>
      <c r="J623" s="10">
        <v>65</v>
      </c>
      <c r="K623" s="10">
        <v>2</v>
      </c>
      <c r="L623" s="10">
        <v>163</v>
      </c>
      <c r="M623" s="10">
        <v>81.5</v>
      </c>
      <c r="N623" s="10">
        <v>0.5</v>
      </c>
      <c r="Q623" s="9"/>
      <c r="R623" s="9"/>
      <c r="S623" s="9"/>
      <c r="T623" s="9"/>
    </row>
    <row r="624" spans="1:20" x14ac:dyDescent="0.25">
      <c r="A624" s="21" t="s">
        <v>5</v>
      </c>
      <c r="B624" s="21" t="s">
        <v>29</v>
      </c>
      <c r="C624" s="21" t="s">
        <v>15</v>
      </c>
      <c r="D624" s="21" t="s">
        <v>32</v>
      </c>
      <c r="E624" s="21" t="s">
        <v>33</v>
      </c>
      <c r="F624" s="22">
        <v>58</v>
      </c>
      <c r="G624" s="22">
        <v>51</v>
      </c>
      <c r="H624" s="22">
        <v>52</v>
      </c>
      <c r="J624" s="10">
        <v>54</v>
      </c>
      <c r="K624" s="10">
        <v>2</v>
      </c>
      <c r="L624" s="10">
        <v>123</v>
      </c>
      <c r="M624" s="10">
        <v>61.5</v>
      </c>
      <c r="N624" s="10">
        <v>4.5</v>
      </c>
      <c r="Q624" s="14">
        <v>82</v>
      </c>
      <c r="R624" s="14"/>
      <c r="S624" s="14"/>
      <c r="T624" s="14"/>
    </row>
    <row r="625" spans="1:20" x14ac:dyDescent="0.25">
      <c r="A625" s="21" t="s">
        <v>5</v>
      </c>
      <c r="B625" s="21" t="s">
        <v>27</v>
      </c>
      <c r="C625" s="21" t="s">
        <v>45</v>
      </c>
      <c r="D625" s="21" t="s">
        <v>35</v>
      </c>
      <c r="E625" s="21" t="s">
        <v>33</v>
      </c>
      <c r="F625" s="22">
        <v>100</v>
      </c>
      <c r="G625" s="22">
        <v>96</v>
      </c>
      <c r="H625" s="22">
        <v>86</v>
      </c>
      <c r="J625" s="10">
        <v>29</v>
      </c>
      <c r="K625" s="10">
        <v>2</v>
      </c>
      <c r="L625" s="10">
        <v>59</v>
      </c>
      <c r="M625" s="10">
        <v>29.5</v>
      </c>
      <c r="N625" s="10">
        <v>0.5</v>
      </c>
      <c r="Q625" s="9" t="s">
        <v>52</v>
      </c>
      <c r="R625" s="9">
        <v>2</v>
      </c>
      <c r="S625" s="9">
        <v>2</v>
      </c>
      <c r="T625" s="9">
        <v>4</v>
      </c>
    </row>
    <row r="626" spans="1:20" x14ac:dyDescent="0.25">
      <c r="A626" s="21" t="s">
        <v>4</v>
      </c>
      <c r="B626" s="21" t="s">
        <v>31</v>
      </c>
      <c r="C626" s="21" t="s">
        <v>43</v>
      </c>
      <c r="D626" s="21" t="s">
        <v>32</v>
      </c>
      <c r="E626" s="21" t="s">
        <v>34</v>
      </c>
      <c r="F626" s="22">
        <v>61</v>
      </c>
      <c r="G626" s="22">
        <v>58</v>
      </c>
      <c r="H626" s="22">
        <v>62</v>
      </c>
      <c r="J626" s="10">
        <v>76</v>
      </c>
      <c r="K626" s="10">
        <v>2</v>
      </c>
      <c r="L626" s="10">
        <v>158</v>
      </c>
      <c r="M626" s="10">
        <v>79</v>
      </c>
      <c r="N626" s="10">
        <v>2</v>
      </c>
      <c r="Q626" s="9" t="s">
        <v>53</v>
      </c>
      <c r="R626" s="9">
        <v>142</v>
      </c>
      <c r="S626" s="9">
        <v>138</v>
      </c>
      <c r="T626" s="9">
        <v>280</v>
      </c>
    </row>
    <row r="627" spans="1:20" x14ac:dyDescent="0.25">
      <c r="A627" s="21" t="s">
        <v>5</v>
      </c>
      <c r="B627" s="21" t="s">
        <v>30</v>
      </c>
      <c r="C627" s="21" t="s">
        <v>45</v>
      </c>
      <c r="D627" s="21" t="s">
        <v>35</v>
      </c>
      <c r="E627" s="21" t="s">
        <v>33</v>
      </c>
      <c r="F627" s="22">
        <v>100</v>
      </c>
      <c r="G627" s="22">
        <v>97</v>
      </c>
      <c r="H627" s="22">
        <v>99</v>
      </c>
      <c r="J627" s="10">
        <v>60</v>
      </c>
      <c r="K627" s="10">
        <v>2</v>
      </c>
      <c r="L627" s="10">
        <v>108</v>
      </c>
      <c r="M627" s="10">
        <v>54</v>
      </c>
      <c r="N627" s="10">
        <v>18</v>
      </c>
      <c r="Q627" s="9" t="s">
        <v>54</v>
      </c>
      <c r="R627" s="9">
        <v>71</v>
      </c>
      <c r="S627" s="9">
        <v>69</v>
      </c>
      <c r="T627" s="9">
        <v>70</v>
      </c>
    </row>
    <row r="628" spans="1:20" x14ac:dyDescent="0.25">
      <c r="A628" s="21" t="s">
        <v>5</v>
      </c>
      <c r="B628" s="21" t="s">
        <v>28</v>
      </c>
      <c r="C628" s="21" t="s">
        <v>14</v>
      </c>
      <c r="D628" s="21" t="s">
        <v>32</v>
      </c>
      <c r="E628" s="21" t="s">
        <v>33</v>
      </c>
      <c r="F628" s="22">
        <v>69</v>
      </c>
      <c r="G628" s="22">
        <v>70</v>
      </c>
      <c r="H628" s="22">
        <v>63</v>
      </c>
      <c r="J628" s="10">
        <v>84</v>
      </c>
      <c r="K628" s="10">
        <v>2</v>
      </c>
      <c r="L628" s="10">
        <v>179</v>
      </c>
      <c r="M628" s="10">
        <v>89.5</v>
      </c>
      <c r="N628" s="10">
        <v>0.5</v>
      </c>
      <c r="Q628" s="9" t="s">
        <v>55</v>
      </c>
      <c r="R628" s="9">
        <v>162</v>
      </c>
      <c r="S628" s="9">
        <v>98</v>
      </c>
      <c r="T628" s="9">
        <v>88</v>
      </c>
    </row>
    <row r="629" spans="1:20" x14ac:dyDescent="0.25">
      <c r="A629" s="21" t="s">
        <v>5</v>
      </c>
      <c r="B629" s="21" t="s">
        <v>30</v>
      </c>
      <c r="C629" s="21" t="s">
        <v>14</v>
      </c>
      <c r="D629" s="21" t="s">
        <v>35</v>
      </c>
      <c r="E629" s="21" t="s">
        <v>34</v>
      </c>
      <c r="F629" s="22">
        <v>61</v>
      </c>
      <c r="G629" s="22">
        <v>48</v>
      </c>
      <c r="H629" s="22">
        <v>46</v>
      </c>
      <c r="J629" s="10">
        <v>75</v>
      </c>
      <c r="K629" s="10">
        <v>2</v>
      </c>
      <c r="L629" s="10">
        <v>134</v>
      </c>
      <c r="M629" s="10">
        <v>67</v>
      </c>
      <c r="N629" s="10">
        <v>50</v>
      </c>
      <c r="Q629" s="9"/>
      <c r="R629" s="9"/>
      <c r="S629" s="9"/>
      <c r="T629" s="9"/>
    </row>
    <row r="630" spans="1:20" x14ac:dyDescent="0.25">
      <c r="A630" s="21" t="s">
        <v>5</v>
      </c>
      <c r="B630" s="21" t="s">
        <v>30</v>
      </c>
      <c r="C630" s="21" t="s">
        <v>45</v>
      </c>
      <c r="D630" s="21" t="s">
        <v>32</v>
      </c>
      <c r="E630" s="21" t="s">
        <v>34</v>
      </c>
      <c r="F630" s="22">
        <v>49</v>
      </c>
      <c r="G630" s="22">
        <v>57</v>
      </c>
      <c r="H630" s="22">
        <v>46</v>
      </c>
      <c r="J630" s="10">
        <v>85</v>
      </c>
      <c r="K630" s="10">
        <v>2</v>
      </c>
      <c r="L630" s="10">
        <v>166</v>
      </c>
      <c r="M630" s="10">
        <v>83</v>
      </c>
      <c r="N630" s="10">
        <v>2</v>
      </c>
      <c r="Q630" s="14">
        <v>74</v>
      </c>
      <c r="R630" s="14"/>
      <c r="S630" s="14"/>
      <c r="T630" s="14"/>
    </row>
    <row r="631" spans="1:20" x14ac:dyDescent="0.25">
      <c r="A631" s="21" t="s">
        <v>4</v>
      </c>
      <c r="B631" s="21" t="s">
        <v>29</v>
      </c>
      <c r="C631" s="21" t="s">
        <v>17</v>
      </c>
      <c r="D631" s="21" t="s">
        <v>35</v>
      </c>
      <c r="E631" s="21" t="s">
        <v>33</v>
      </c>
      <c r="F631" s="22">
        <v>44</v>
      </c>
      <c r="G631" s="22">
        <v>51</v>
      </c>
      <c r="H631" s="22">
        <v>55</v>
      </c>
      <c r="J631" s="10">
        <v>40</v>
      </c>
      <c r="K631" s="10">
        <v>2</v>
      </c>
      <c r="L631" s="10">
        <v>112</v>
      </c>
      <c r="M631" s="10">
        <v>56</v>
      </c>
      <c r="N631" s="10">
        <v>8</v>
      </c>
      <c r="Q631" s="9" t="s">
        <v>52</v>
      </c>
      <c r="R631" s="9">
        <v>2</v>
      </c>
      <c r="S631" s="9">
        <v>2</v>
      </c>
      <c r="T631" s="9">
        <v>4</v>
      </c>
    </row>
    <row r="632" spans="1:20" x14ac:dyDescent="0.25">
      <c r="A632" s="21" t="s">
        <v>5</v>
      </c>
      <c r="B632" s="21" t="s">
        <v>30</v>
      </c>
      <c r="C632" s="21" t="s">
        <v>45</v>
      </c>
      <c r="D632" s="21" t="s">
        <v>35</v>
      </c>
      <c r="E632" s="21" t="s">
        <v>34</v>
      </c>
      <c r="F632" s="22">
        <v>67</v>
      </c>
      <c r="G632" s="22">
        <v>64</v>
      </c>
      <c r="H632" s="22">
        <v>70</v>
      </c>
      <c r="J632" s="10">
        <v>61</v>
      </c>
      <c r="K632" s="10">
        <v>2</v>
      </c>
      <c r="L632" s="10">
        <v>126</v>
      </c>
      <c r="M632" s="10">
        <v>63</v>
      </c>
      <c r="N632" s="10">
        <v>2</v>
      </c>
      <c r="Q632" s="9" t="s">
        <v>53</v>
      </c>
      <c r="R632" s="9">
        <v>142</v>
      </c>
      <c r="S632" s="9">
        <v>142</v>
      </c>
      <c r="T632" s="9">
        <v>284</v>
      </c>
    </row>
    <row r="633" spans="1:20" x14ac:dyDescent="0.25">
      <c r="A633" s="21" t="s">
        <v>5</v>
      </c>
      <c r="B633" s="21" t="s">
        <v>28</v>
      </c>
      <c r="C633" s="21" t="s">
        <v>15</v>
      </c>
      <c r="D633" s="21" t="s">
        <v>35</v>
      </c>
      <c r="E633" s="21" t="s">
        <v>34</v>
      </c>
      <c r="F633" s="22">
        <v>79</v>
      </c>
      <c r="G633" s="22">
        <v>60</v>
      </c>
      <c r="H633" s="22">
        <v>65</v>
      </c>
      <c r="J633" s="10">
        <v>58</v>
      </c>
      <c r="K633" s="10">
        <v>2</v>
      </c>
      <c r="L633" s="10">
        <v>128</v>
      </c>
      <c r="M633" s="10">
        <v>64</v>
      </c>
      <c r="N633" s="10">
        <v>2</v>
      </c>
      <c r="Q633" s="9" t="s">
        <v>54</v>
      </c>
      <c r="R633" s="9">
        <v>71</v>
      </c>
      <c r="S633" s="9">
        <v>71</v>
      </c>
      <c r="T633" s="9">
        <v>71</v>
      </c>
    </row>
    <row r="634" spans="1:20" x14ac:dyDescent="0.25">
      <c r="A634" s="21" t="s">
        <v>4</v>
      </c>
      <c r="B634" s="21" t="s">
        <v>28</v>
      </c>
      <c r="C634" s="21" t="s">
        <v>43</v>
      </c>
      <c r="D634" s="21" t="s">
        <v>35</v>
      </c>
      <c r="E634" s="21" t="s">
        <v>33</v>
      </c>
      <c r="F634" s="22">
        <v>66</v>
      </c>
      <c r="G634" s="22">
        <v>74</v>
      </c>
      <c r="H634" s="22">
        <v>81</v>
      </c>
      <c r="J634" s="10">
        <v>69</v>
      </c>
      <c r="K634" s="10">
        <v>2</v>
      </c>
      <c r="L634" s="10">
        <v>123</v>
      </c>
      <c r="M634" s="10">
        <v>61.5</v>
      </c>
      <c r="N634" s="10">
        <v>4.5</v>
      </c>
      <c r="Q634" s="9" t="s">
        <v>55</v>
      </c>
      <c r="R634" s="9">
        <v>200</v>
      </c>
      <c r="S634" s="9">
        <v>50</v>
      </c>
      <c r="T634" s="9">
        <v>83.333333333333329</v>
      </c>
    </row>
    <row r="635" spans="1:20" x14ac:dyDescent="0.25">
      <c r="A635" s="21" t="s">
        <v>4</v>
      </c>
      <c r="B635" s="21" t="s">
        <v>29</v>
      </c>
      <c r="C635" s="21" t="s">
        <v>15</v>
      </c>
      <c r="D635" s="21" t="s">
        <v>35</v>
      </c>
      <c r="E635" s="21" t="s">
        <v>34</v>
      </c>
      <c r="F635" s="22">
        <v>75</v>
      </c>
      <c r="G635" s="22">
        <v>88</v>
      </c>
      <c r="H635" s="22">
        <v>85</v>
      </c>
      <c r="J635" s="10">
        <v>58</v>
      </c>
      <c r="K635" s="10">
        <v>2</v>
      </c>
      <c r="L635" s="10">
        <v>125</v>
      </c>
      <c r="M635" s="10">
        <v>62.5</v>
      </c>
      <c r="N635" s="10">
        <v>24.5</v>
      </c>
      <c r="Q635" s="9"/>
      <c r="R635" s="9"/>
      <c r="S635" s="9"/>
      <c r="T635" s="9"/>
    </row>
    <row r="636" spans="1:20" x14ac:dyDescent="0.25">
      <c r="A636" s="21" t="s">
        <v>5</v>
      </c>
      <c r="B636" s="21" t="s">
        <v>30</v>
      </c>
      <c r="C636" s="21" t="s">
        <v>17</v>
      </c>
      <c r="D636" s="21" t="s">
        <v>35</v>
      </c>
      <c r="E636" s="21" t="s">
        <v>34</v>
      </c>
      <c r="F636" s="22">
        <v>84</v>
      </c>
      <c r="G636" s="22">
        <v>84</v>
      </c>
      <c r="H636" s="22">
        <v>80</v>
      </c>
      <c r="J636" s="10">
        <v>94</v>
      </c>
      <c r="K636" s="10">
        <v>2</v>
      </c>
      <c r="L636" s="10">
        <v>181</v>
      </c>
      <c r="M636" s="10">
        <v>90.5</v>
      </c>
      <c r="N636" s="10">
        <v>0.5</v>
      </c>
      <c r="Q636" s="14">
        <v>80</v>
      </c>
      <c r="R636" s="14"/>
      <c r="S636" s="14"/>
      <c r="T636" s="14"/>
    </row>
    <row r="637" spans="1:20" x14ac:dyDescent="0.25">
      <c r="A637" s="21" t="s">
        <v>5</v>
      </c>
      <c r="B637" s="21" t="s">
        <v>27</v>
      </c>
      <c r="C637" s="21" t="s">
        <v>15</v>
      </c>
      <c r="D637" s="21" t="s">
        <v>35</v>
      </c>
      <c r="E637" s="21" t="s">
        <v>34</v>
      </c>
      <c r="F637" s="22">
        <v>71</v>
      </c>
      <c r="G637" s="22">
        <v>74</v>
      </c>
      <c r="H637" s="22">
        <v>64</v>
      </c>
      <c r="J637" s="10">
        <v>65</v>
      </c>
      <c r="K637" s="10">
        <v>2</v>
      </c>
      <c r="L637" s="10">
        <v>151</v>
      </c>
      <c r="M637" s="10">
        <v>75.5</v>
      </c>
      <c r="N637" s="10">
        <v>4.5</v>
      </c>
      <c r="Q637" s="9" t="s">
        <v>52</v>
      </c>
      <c r="R637" s="9">
        <v>2</v>
      </c>
      <c r="S637" s="9">
        <v>2</v>
      </c>
      <c r="T637" s="9">
        <v>4</v>
      </c>
    </row>
    <row r="638" spans="1:20" x14ac:dyDescent="0.25">
      <c r="A638" s="21" t="s">
        <v>4</v>
      </c>
      <c r="B638" s="21" t="s">
        <v>28</v>
      </c>
      <c r="C638" s="21" t="s">
        <v>15</v>
      </c>
      <c r="D638" s="21" t="s">
        <v>32</v>
      </c>
      <c r="E638" s="21" t="s">
        <v>33</v>
      </c>
      <c r="F638" s="22">
        <v>67</v>
      </c>
      <c r="G638" s="22">
        <v>80</v>
      </c>
      <c r="H638" s="22">
        <v>81</v>
      </c>
      <c r="J638" s="10">
        <v>82</v>
      </c>
      <c r="K638" s="10">
        <v>2</v>
      </c>
      <c r="L638" s="10">
        <v>186</v>
      </c>
      <c r="M638" s="10">
        <v>93</v>
      </c>
      <c r="N638" s="10">
        <v>0</v>
      </c>
      <c r="Q638" s="9" t="s">
        <v>53</v>
      </c>
      <c r="R638" s="9">
        <v>107</v>
      </c>
      <c r="S638" s="9">
        <v>106</v>
      </c>
      <c r="T638" s="9">
        <v>213</v>
      </c>
    </row>
    <row r="639" spans="1:20" x14ac:dyDescent="0.25">
      <c r="A639" s="21" t="s">
        <v>4</v>
      </c>
      <c r="B639" s="21" t="s">
        <v>30</v>
      </c>
      <c r="C639" s="21" t="s">
        <v>17</v>
      </c>
      <c r="D639" s="21" t="s">
        <v>35</v>
      </c>
      <c r="E639" s="21" t="s">
        <v>33</v>
      </c>
      <c r="F639" s="22">
        <v>80</v>
      </c>
      <c r="G639" s="22">
        <v>92</v>
      </c>
      <c r="H639" s="22">
        <v>88</v>
      </c>
      <c r="J639" s="10">
        <v>60</v>
      </c>
      <c r="K639" s="10">
        <v>2</v>
      </c>
      <c r="L639" s="10">
        <v>140</v>
      </c>
      <c r="M639" s="10">
        <v>70</v>
      </c>
      <c r="N639" s="10">
        <v>8</v>
      </c>
      <c r="Q639" s="9" t="s">
        <v>54</v>
      </c>
      <c r="R639" s="9">
        <v>53.5</v>
      </c>
      <c r="S639" s="9">
        <v>53</v>
      </c>
      <c r="T639" s="9">
        <v>53.25</v>
      </c>
    </row>
    <row r="640" spans="1:20" x14ac:dyDescent="0.25">
      <c r="A640" s="21" t="s">
        <v>5</v>
      </c>
      <c r="B640" s="21" t="s">
        <v>31</v>
      </c>
      <c r="C640" s="21" t="s">
        <v>45</v>
      </c>
      <c r="D640" s="21" t="s">
        <v>35</v>
      </c>
      <c r="E640" s="21" t="s">
        <v>34</v>
      </c>
      <c r="F640" s="22">
        <v>86</v>
      </c>
      <c r="G640" s="22">
        <v>76</v>
      </c>
      <c r="H640" s="22">
        <v>74</v>
      </c>
      <c r="J640" s="10">
        <v>37</v>
      </c>
      <c r="K640" s="10">
        <v>2</v>
      </c>
      <c r="L640" s="10">
        <v>83</v>
      </c>
      <c r="M640" s="10">
        <v>41.5</v>
      </c>
      <c r="N640" s="10">
        <v>24.5</v>
      </c>
      <c r="Q640" s="9" t="s">
        <v>55</v>
      </c>
      <c r="R640" s="9">
        <v>1300.5</v>
      </c>
      <c r="S640" s="9">
        <v>1352</v>
      </c>
      <c r="T640" s="9">
        <v>884.25</v>
      </c>
    </row>
    <row r="641" spans="1:20" x14ac:dyDescent="0.25">
      <c r="A641" s="21" t="s">
        <v>4</v>
      </c>
      <c r="B641" s="21" t="s">
        <v>30</v>
      </c>
      <c r="C641" s="21" t="s">
        <v>14</v>
      </c>
      <c r="D641" s="21" t="s">
        <v>35</v>
      </c>
      <c r="E641" s="21" t="s">
        <v>34</v>
      </c>
      <c r="F641" s="22">
        <v>76</v>
      </c>
      <c r="G641" s="22">
        <v>74</v>
      </c>
      <c r="H641" s="22">
        <v>73</v>
      </c>
      <c r="J641" s="10">
        <v>88</v>
      </c>
      <c r="K641" s="10">
        <v>2</v>
      </c>
      <c r="L641" s="10">
        <v>161</v>
      </c>
      <c r="M641" s="10">
        <v>80.5</v>
      </c>
      <c r="N641" s="10">
        <v>12.5</v>
      </c>
      <c r="Q641" s="9"/>
      <c r="R641" s="9"/>
      <c r="S641" s="9"/>
      <c r="T641" s="9"/>
    </row>
    <row r="642" spans="1:20" x14ac:dyDescent="0.25">
      <c r="A642" s="21" t="s">
        <v>5</v>
      </c>
      <c r="B642" s="21" t="s">
        <v>30</v>
      </c>
      <c r="C642" s="21" t="s">
        <v>15</v>
      </c>
      <c r="D642" s="21" t="s">
        <v>35</v>
      </c>
      <c r="E642" s="21" t="s">
        <v>34</v>
      </c>
      <c r="F642" s="22">
        <v>41</v>
      </c>
      <c r="G642" s="22">
        <v>52</v>
      </c>
      <c r="H642" s="22">
        <v>51</v>
      </c>
      <c r="J642" s="10">
        <v>95</v>
      </c>
      <c r="K642" s="10">
        <v>2</v>
      </c>
      <c r="L642" s="10">
        <v>165</v>
      </c>
      <c r="M642" s="10">
        <v>82.5</v>
      </c>
      <c r="N642" s="10">
        <v>4.5</v>
      </c>
      <c r="Q642" s="14">
        <v>42</v>
      </c>
      <c r="R642" s="14"/>
      <c r="S642" s="14"/>
      <c r="T642" s="14"/>
    </row>
    <row r="643" spans="1:20" x14ac:dyDescent="0.25">
      <c r="A643" s="21" t="s">
        <v>4</v>
      </c>
      <c r="B643" s="21" t="s">
        <v>30</v>
      </c>
      <c r="C643" s="21" t="s">
        <v>14</v>
      </c>
      <c r="D643" s="21" t="s">
        <v>32</v>
      </c>
      <c r="E643" s="21" t="s">
        <v>33</v>
      </c>
      <c r="F643" s="22">
        <v>74</v>
      </c>
      <c r="G643" s="22">
        <v>88</v>
      </c>
      <c r="H643" s="22">
        <v>90</v>
      </c>
      <c r="J643" s="10">
        <v>65</v>
      </c>
      <c r="K643" s="10">
        <v>2</v>
      </c>
      <c r="L643" s="10">
        <v>141</v>
      </c>
      <c r="M643" s="10">
        <v>70.5</v>
      </c>
      <c r="N643" s="10">
        <v>12.5</v>
      </c>
      <c r="Q643" s="9" t="s">
        <v>52</v>
      </c>
      <c r="R643" s="9">
        <v>2</v>
      </c>
      <c r="S643" s="9">
        <v>2</v>
      </c>
      <c r="T643" s="9">
        <v>4</v>
      </c>
    </row>
    <row r="644" spans="1:20" x14ac:dyDescent="0.25">
      <c r="A644" s="21" t="s">
        <v>4</v>
      </c>
      <c r="B644" s="21" t="s">
        <v>28</v>
      </c>
      <c r="C644" s="21" t="s">
        <v>17</v>
      </c>
      <c r="D644" s="21" t="s">
        <v>32</v>
      </c>
      <c r="E644" s="21" t="s">
        <v>34</v>
      </c>
      <c r="F644" s="22">
        <v>72</v>
      </c>
      <c r="G644" s="22">
        <v>81</v>
      </c>
      <c r="H644" s="22">
        <v>79</v>
      </c>
      <c r="J644" s="10">
        <v>35</v>
      </c>
      <c r="K644" s="10">
        <v>2</v>
      </c>
      <c r="L644" s="10">
        <v>115</v>
      </c>
      <c r="M644" s="10">
        <v>57.5</v>
      </c>
      <c r="N644" s="10">
        <v>24.5</v>
      </c>
      <c r="Q644" s="9" t="s">
        <v>53</v>
      </c>
      <c r="R644" s="9">
        <v>113</v>
      </c>
      <c r="S644" s="9">
        <v>116</v>
      </c>
      <c r="T644" s="9">
        <v>229</v>
      </c>
    </row>
    <row r="645" spans="1:20" x14ac:dyDescent="0.25">
      <c r="A645" s="21" t="s">
        <v>4</v>
      </c>
      <c r="B645" s="21" t="s">
        <v>31</v>
      </c>
      <c r="C645" s="21" t="s">
        <v>15</v>
      </c>
      <c r="D645" s="21" t="s">
        <v>35</v>
      </c>
      <c r="E645" s="21" t="s">
        <v>33</v>
      </c>
      <c r="F645" s="22">
        <v>74</v>
      </c>
      <c r="G645" s="22">
        <v>79</v>
      </c>
      <c r="H645" s="22">
        <v>80</v>
      </c>
      <c r="J645" s="10">
        <v>62</v>
      </c>
      <c r="K645" s="10">
        <v>2</v>
      </c>
      <c r="L645" s="10">
        <v>119</v>
      </c>
      <c r="M645" s="10">
        <v>59.5</v>
      </c>
      <c r="N645" s="10">
        <v>24.5</v>
      </c>
      <c r="Q645" s="9" t="s">
        <v>54</v>
      </c>
      <c r="R645" s="9">
        <v>56.5</v>
      </c>
      <c r="S645" s="9">
        <v>58</v>
      </c>
      <c r="T645" s="9">
        <v>57.25</v>
      </c>
    </row>
    <row r="646" spans="1:20" x14ac:dyDescent="0.25">
      <c r="A646" s="21" t="s">
        <v>5</v>
      </c>
      <c r="B646" s="21" t="s">
        <v>28</v>
      </c>
      <c r="C646" s="21" t="s">
        <v>15</v>
      </c>
      <c r="D646" s="21" t="s">
        <v>35</v>
      </c>
      <c r="E646" s="21" t="s">
        <v>34</v>
      </c>
      <c r="F646" s="22">
        <v>70</v>
      </c>
      <c r="G646" s="22">
        <v>65</v>
      </c>
      <c r="H646" s="22">
        <v>60</v>
      </c>
      <c r="J646" s="10">
        <v>58</v>
      </c>
      <c r="K646" s="10">
        <v>2</v>
      </c>
      <c r="L646" s="10">
        <v>103</v>
      </c>
      <c r="M646" s="10">
        <v>51.5</v>
      </c>
      <c r="N646" s="10">
        <v>0.5</v>
      </c>
      <c r="Q646" s="9" t="s">
        <v>55</v>
      </c>
      <c r="R646" s="9">
        <v>60.5</v>
      </c>
      <c r="S646" s="9">
        <v>8</v>
      </c>
      <c r="T646" s="9">
        <v>23.583333333333332</v>
      </c>
    </row>
    <row r="647" spans="1:20" x14ac:dyDescent="0.25">
      <c r="A647" s="21" t="s">
        <v>4</v>
      </c>
      <c r="B647" s="21" t="s">
        <v>28</v>
      </c>
      <c r="C647" s="21" t="s">
        <v>43</v>
      </c>
      <c r="D647" s="21" t="s">
        <v>35</v>
      </c>
      <c r="E647" s="21" t="s">
        <v>33</v>
      </c>
      <c r="F647" s="22">
        <v>65</v>
      </c>
      <c r="G647" s="22">
        <v>81</v>
      </c>
      <c r="H647" s="22">
        <v>81</v>
      </c>
      <c r="J647" s="10">
        <v>100</v>
      </c>
      <c r="K647" s="10">
        <v>2</v>
      </c>
      <c r="L647" s="10">
        <v>182</v>
      </c>
      <c r="M647" s="10">
        <v>91</v>
      </c>
      <c r="N647" s="10">
        <v>50</v>
      </c>
      <c r="Q647" s="9"/>
      <c r="R647" s="9"/>
      <c r="S647" s="9"/>
      <c r="T647" s="9"/>
    </row>
    <row r="648" spans="1:20" x14ac:dyDescent="0.25">
      <c r="A648" s="21" t="s">
        <v>4</v>
      </c>
      <c r="B648" s="21" t="s">
        <v>30</v>
      </c>
      <c r="C648" s="21" t="s">
        <v>14</v>
      </c>
      <c r="D648" s="21" t="s">
        <v>35</v>
      </c>
      <c r="E648" s="21" t="s">
        <v>34</v>
      </c>
      <c r="F648" s="22">
        <v>59</v>
      </c>
      <c r="G648" s="22">
        <v>70</v>
      </c>
      <c r="H648" s="22">
        <v>65</v>
      </c>
      <c r="J648" s="10">
        <v>61</v>
      </c>
      <c r="K648" s="10">
        <v>2</v>
      </c>
      <c r="L648" s="10">
        <v>120</v>
      </c>
      <c r="M648" s="10">
        <v>60</v>
      </c>
      <c r="N648" s="10">
        <v>8</v>
      </c>
      <c r="Q648" s="14">
        <v>87</v>
      </c>
      <c r="R648" s="14"/>
      <c r="S648" s="14"/>
      <c r="T648" s="14"/>
    </row>
    <row r="649" spans="1:20" x14ac:dyDescent="0.25">
      <c r="A649" s="21" t="s">
        <v>4</v>
      </c>
      <c r="B649" s="21" t="s">
        <v>31</v>
      </c>
      <c r="C649" s="21" t="s">
        <v>15</v>
      </c>
      <c r="D649" s="21" t="s">
        <v>32</v>
      </c>
      <c r="E649" s="21" t="s">
        <v>34</v>
      </c>
      <c r="F649" s="22">
        <v>64</v>
      </c>
      <c r="G649" s="22">
        <v>62</v>
      </c>
      <c r="H649" s="22">
        <v>68</v>
      </c>
      <c r="J649" s="10">
        <v>100</v>
      </c>
      <c r="K649" s="10">
        <v>2</v>
      </c>
      <c r="L649" s="10">
        <v>196</v>
      </c>
      <c r="M649" s="10">
        <v>98</v>
      </c>
      <c r="N649" s="10">
        <v>2</v>
      </c>
      <c r="Q649" s="9" t="s">
        <v>52</v>
      </c>
      <c r="R649" s="9">
        <v>2</v>
      </c>
      <c r="S649" s="9">
        <v>2</v>
      </c>
      <c r="T649" s="9">
        <v>4</v>
      </c>
    </row>
    <row r="650" spans="1:20" x14ac:dyDescent="0.25">
      <c r="A650" s="21" t="s">
        <v>4</v>
      </c>
      <c r="B650" s="21" t="s">
        <v>28</v>
      </c>
      <c r="C650" s="21" t="s">
        <v>15</v>
      </c>
      <c r="D650" s="21" t="s">
        <v>35</v>
      </c>
      <c r="E650" s="21" t="s">
        <v>34</v>
      </c>
      <c r="F650" s="22">
        <v>50</v>
      </c>
      <c r="G650" s="22">
        <v>53</v>
      </c>
      <c r="H650" s="22">
        <v>55</v>
      </c>
      <c r="J650" s="10">
        <v>69</v>
      </c>
      <c r="K650" s="10">
        <v>2</v>
      </c>
      <c r="L650" s="10">
        <v>133</v>
      </c>
      <c r="M650" s="10">
        <v>66.5</v>
      </c>
      <c r="N650" s="10">
        <v>24.5</v>
      </c>
      <c r="Q650" s="9" t="s">
        <v>53</v>
      </c>
      <c r="R650" s="9">
        <v>174</v>
      </c>
      <c r="S650" s="9">
        <v>156</v>
      </c>
      <c r="T650" s="9">
        <v>330</v>
      </c>
    </row>
    <row r="651" spans="1:20" x14ac:dyDescent="0.25">
      <c r="A651" s="21" t="s">
        <v>4</v>
      </c>
      <c r="B651" s="21" t="s">
        <v>30</v>
      </c>
      <c r="C651" s="21" t="s">
        <v>45</v>
      </c>
      <c r="D651" s="21" t="s">
        <v>35</v>
      </c>
      <c r="E651" s="21" t="s">
        <v>33</v>
      </c>
      <c r="F651" s="22">
        <v>69</v>
      </c>
      <c r="G651" s="22">
        <v>79</v>
      </c>
      <c r="H651" s="22">
        <v>81</v>
      </c>
      <c r="J651" s="10">
        <v>61</v>
      </c>
      <c r="K651" s="10">
        <v>2</v>
      </c>
      <c r="L651" s="10">
        <v>94</v>
      </c>
      <c r="M651" s="10">
        <v>47</v>
      </c>
      <c r="N651" s="10">
        <v>2</v>
      </c>
      <c r="Q651" s="9" t="s">
        <v>54</v>
      </c>
      <c r="R651" s="9">
        <v>87</v>
      </c>
      <c r="S651" s="9">
        <v>78</v>
      </c>
      <c r="T651" s="9">
        <v>82.5</v>
      </c>
    </row>
    <row r="652" spans="1:20" x14ac:dyDescent="0.25">
      <c r="A652" s="21" t="s">
        <v>5</v>
      </c>
      <c r="B652" s="21" t="s">
        <v>29</v>
      </c>
      <c r="C652" s="21" t="s">
        <v>17</v>
      </c>
      <c r="D652" s="21" t="s">
        <v>32</v>
      </c>
      <c r="E652" s="21" t="s">
        <v>33</v>
      </c>
      <c r="F652" s="22">
        <v>51</v>
      </c>
      <c r="G652" s="22">
        <v>56</v>
      </c>
      <c r="H652" s="22">
        <v>53</v>
      </c>
      <c r="J652" s="10">
        <v>49</v>
      </c>
      <c r="K652" s="10">
        <v>2</v>
      </c>
      <c r="L652" s="10">
        <v>103</v>
      </c>
      <c r="M652" s="10">
        <v>51.5</v>
      </c>
      <c r="N652" s="10">
        <v>60.5</v>
      </c>
      <c r="Q652" s="9" t="s">
        <v>55</v>
      </c>
      <c r="R652" s="9">
        <v>32</v>
      </c>
      <c r="S652" s="9">
        <v>18</v>
      </c>
      <c r="T652" s="9">
        <v>43.666666666666664</v>
      </c>
    </row>
    <row r="653" spans="1:20" x14ac:dyDescent="0.25">
      <c r="A653" s="21" t="s">
        <v>4</v>
      </c>
      <c r="B653" s="21" t="s">
        <v>27</v>
      </c>
      <c r="C653" s="21" t="s">
        <v>15</v>
      </c>
      <c r="D653" s="21" t="s">
        <v>35</v>
      </c>
      <c r="E653" s="21" t="s">
        <v>33</v>
      </c>
      <c r="F653" s="22">
        <v>68</v>
      </c>
      <c r="G653" s="22">
        <v>80</v>
      </c>
      <c r="H653" s="22">
        <v>76</v>
      </c>
      <c r="J653" s="10">
        <v>44</v>
      </c>
      <c r="K653" s="10">
        <v>2</v>
      </c>
      <c r="L653" s="10">
        <v>106</v>
      </c>
      <c r="M653" s="10">
        <v>53</v>
      </c>
      <c r="N653" s="10">
        <v>8</v>
      </c>
      <c r="Q653" s="9"/>
      <c r="R653" s="9"/>
      <c r="S653" s="9"/>
      <c r="T653" s="9"/>
    </row>
    <row r="654" spans="1:20" x14ac:dyDescent="0.25">
      <c r="A654" s="21" t="s">
        <v>4</v>
      </c>
      <c r="B654" s="21" t="s">
        <v>30</v>
      </c>
      <c r="C654" s="21" t="s">
        <v>45</v>
      </c>
      <c r="D654" s="21" t="s">
        <v>35</v>
      </c>
      <c r="E654" s="21" t="s">
        <v>33</v>
      </c>
      <c r="F654" s="22">
        <v>85</v>
      </c>
      <c r="G654" s="22">
        <v>86</v>
      </c>
      <c r="H654" s="22">
        <v>98</v>
      </c>
      <c r="J654" s="10">
        <v>67</v>
      </c>
      <c r="K654" s="10">
        <v>2</v>
      </c>
      <c r="L654" s="10">
        <v>134</v>
      </c>
      <c r="M654" s="10">
        <v>67</v>
      </c>
      <c r="N654" s="10">
        <v>18</v>
      </c>
      <c r="Q654" s="14">
        <v>83</v>
      </c>
      <c r="R654" s="14"/>
      <c r="S654" s="14"/>
      <c r="T654" s="14"/>
    </row>
    <row r="655" spans="1:20" x14ac:dyDescent="0.25">
      <c r="A655" s="21" t="s">
        <v>4</v>
      </c>
      <c r="B655" s="21" t="s">
        <v>27</v>
      </c>
      <c r="C655" s="21" t="s">
        <v>14</v>
      </c>
      <c r="D655" s="21" t="s">
        <v>35</v>
      </c>
      <c r="E655" s="21" t="s">
        <v>33</v>
      </c>
      <c r="F655" s="22">
        <v>65</v>
      </c>
      <c r="G655" s="22">
        <v>70</v>
      </c>
      <c r="H655" s="22">
        <v>74</v>
      </c>
      <c r="J655" s="10">
        <v>79</v>
      </c>
      <c r="K655" s="10">
        <v>2</v>
      </c>
      <c r="L655" s="10">
        <v>125</v>
      </c>
      <c r="M655" s="10">
        <v>62.5</v>
      </c>
      <c r="N655" s="10">
        <v>12.5</v>
      </c>
      <c r="Q655" s="9" t="s">
        <v>52</v>
      </c>
      <c r="R655" s="9">
        <v>2</v>
      </c>
      <c r="S655" s="9">
        <v>2</v>
      </c>
      <c r="T655" s="9">
        <v>4</v>
      </c>
    </row>
    <row r="656" spans="1:20" x14ac:dyDescent="0.25">
      <c r="A656" s="21" t="s">
        <v>4</v>
      </c>
      <c r="B656" s="21" t="s">
        <v>28</v>
      </c>
      <c r="C656" s="21" t="s">
        <v>17</v>
      </c>
      <c r="D656" s="21" t="s">
        <v>35</v>
      </c>
      <c r="E656" s="21" t="s">
        <v>34</v>
      </c>
      <c r="F656" s="22">
        <v>73</v>
      </c>
      <c r="G656" s="22">
        <v>79</v>
      </c>
      <c r="H656" s="22">
        <v>79</v>
      </c>
      <c r="J656" s="10">
        <v>66</v>
      </c>
      <c r="K656" s="10">
        <v>2</v>
      </c>
      <c r="L656" s="10">
        <v>155</v>
      </c>
      <c r="M656" s="10">
        <v>77.5</v>
      </c>
      <c r="N656" s="10">
        <v>24.5</v>
      </c>
      <c r="Q656" s="9" t="s">
        <v>53</v>
      </c>
      <c r="R656" s="9">
        <v>128</v>
      </c>
      <c r="S656" s="9">
        <v>127</v>
      </c>
      <c r="T656" s="9">
        <v>255</v>
      </c>
    </row>
    <row r="657" spans="1:20" x14ac:dyDescent="0.25">
      <c r="A657" s="21" t="s">
        <v>4</v>
      </c>
      <c r="B657" s="21" t="s">
        <v>28</v>
      </c>
      <c r="C657" s="21" t="s">
        <v>45</v>
      </c>
      <c r="D657" s="21" t="s">
        <v>35</v>
      </c>
      <c r="E657" s="21" t="s">
        <v>34</v>
      </c>
      <c r="F657" s="22">
        <v>62</v>
      </c>
      <c r="G657" s="22">
        <v>67</v>
      </c>
      <c r="H657" s="22">
        <v>67</v>
      </c>
      <c r="J657" s="10">
        <v>75</v>
      </c>
      <c r="K657" s="10">
        <v>2</v>
      </c>
      <c r="L657" s="10">
        <v>173</v>
      </c>
      <c r="M657" s="10">
        <v>86.5</v>
      </c>
      <c r="N657" s="10">
        <v>4.5</v>
      </c>
      <c r="Q657" s="9" t="s">
        <v>54</v>
      </c>
      <c r="R657" s="9">
        <v>64</v>
      </c>
      <c r="S657" s="9">
        <v>63.5</v>
      </c>
      <c r="T657" s="9">
        <v>63.75</v>
      </c>
    </row>
    <row r="658" spans="1:20" x14ac:dyDescent="0.25">
      <c r="A658" s="21" t="s">
        <v>5</v>
      </c>
      <c r="B658" s="21" t="s">
        <v>29</v>
      </c>
      <c r="C658" s="21" t="s">
        <v>14</v>
      </c>
      <c r="D658" s="21" t="s">
        <v>32</v>
      </c>
      <c r="E658" s="21" t="s">
        <v>34</v>
      </c>
      <c r="F658" s="22">
        <v>77</v>
      </c>
      <c r="G658" s="22">
        <v>67</v>
      </c>
      <c r="H658" s="22">
        <v>64</v>
      </c>
      <c r="J658" s="10">
        <v>84</v>
      </c>
      <c r="K658" s="10">
        <v>2</v>
      </c>
      <c r="L658" s="10">
        <v>164</v>
      </c>
      <c r="M658" s="10">
        <v>82</v>
      </c>
      <c r="N658" s="10">
        <v>8</v>
      </c>
      <c r="Q658" s="9" t="s">
        <v>55</v>
      </c>
      <c r="R658" s="9">
        <v>968</v>
      </c>
      <c r="S658" s="9">
        <v>1200.5</v>
      </c>
      <c r="T658" s="9">
        <v>722.91666666666663</v>
      </c>
    </row>
    <row r="659" spans="1:20" x14ac:dyDescent="0.25">
      <c r="A659" s="21" t="s">
        <v>5</v>
      </c>
      <c r="B659" s="21" t="s">
        <v>30</v>
      </c>
      <c r="C659" s="21" t="s">
        <v>17</v>
      </c>
      <c r="D659" s="21" t="s">
        <v>35</v>
      </c>
      <c r="E659" s="21" t="s">
        <v>34</v>
      </c>
      <c r="F659" s="22">
        <v>69</v>
      </c>
      <c r="G659" s="22">
        <v>66</v>
      </c>
      <c r="H659" s="22">
        <v>61</v>
      </c>
      <c r="J659" s="10">
        <v>71</v>
      </c>
      <c r="K659" s="10">
        <v>2</v>
      </c>
      <c r="L659" s="10">
        <v>138</v>
      </c>
      <c r="M659" s="10">
        <v>69</v>
      </c>
      <c r="N659" s="10">
        <v>50</v>
      </c>
      <c r="Q659" s="9"/>
      <c r="R659" s="9"/>
      <c r="S659" s="9"/>
      <c r="T659" s="9"/>
    </row>
    <row r="660" spans="1:20" x14ac:dyDescent="0.25">
      <c r="A660" s="21" t="s">
        <v>4</v>
      </c>
      <c r="B660" s="21" t="s">
        <v>30</v>
      </c>
      <c r="C660" s="21" t="s">
        <v>14</v>
      </c>
      <c r="D660" s="21" t="s">
        <v>32</v>
      </c>
      <c r="E660" s="21" t="s">
        <v>34</v>
      </c>
      <c r="F660" s="22">
        <v>43</v>
      </c>
      <c r="G660" s="22">
        <v>60</v>
      </c>
      <c r="H660" s="22">
        <v>58</v>
      </c>
      <c r="J660" s="10">
        <v>67</v>
      </c>
      <c r="K660" s="10">
        <v>2</v>
      </c>
      <c r="L660" s="10">
        <v>161</v>
      </c>
      <c r="M660" s="10">
        <v>80.5</v>
      </c>
      <c r="N660" s="10">
        <v>0.5</v>
      </c>
      <c r="Q660" s="14">
        <v>66</v>
      </c>
      <c r="R660" s="14"/>
      <c r="S660" s="14"/>
      <c r="T660" s="14"/>
    </row>
    <row r="661" spans="1:20" x14ac:dyDescent="0.25">
      <c r="A661" s="21" t="s">
        <v>5</v>
      </c>
      <c r="B661" s="21" t="s">
        <v>30</v>
      </c>
      <c r="C661" s="21" t="s">
        <v>14</v>
      </c>
      <c r="D661" s="21" t="s">
        <v>35</v>
      </c>
      <c r="E661" s="21" t="s">
        <v>34</v>
      </c>
      <c r="F661" s="22">
        <v>90</v>
      </c>
      <c r="G661" s="22">
        <v>87</v>
      </c>
      <c r="H661" s="22">
        <v>85</v>
      </c>
      <c r="J661" s="10">
        <v>80</v>
      </c>
      <c r="K661" s="10">
        <v>2</v>
      </c>
      <c r="L661" s="10">
        <v>180</v>
      </c>
      <c r="M661" s="10">
        <v>90</v>
      </c>
      <c r="N661" s="10">
        <v>8</v>
      </c>
      <c r="Q661" s="9" t="s">
        <v>52</v>
      </c>
      <c r="R661" s="9">
        <v>2</v>
      </c>
      <c r="S661" s="9">
        <v>2</v>
      </c>
      <c r="T661" s="9">
        <v>4</v>
      </c>
    </row>
    <row r="662" spans="1:20" x14ac:dyDescent="0.25">
      <c r="A662" s="21" t="s">
        <v>5</v>
      </c>
      <c r="B662" s="21" t="s">
        <v>29</v>
      </c>
      <c r="C662" s="21" t="s">
        <v>45</v>
      </c>
      <c r="D662" s="21" t="s">
        <v>32</v>
      </c>
      <c r="E662" s="21" t="s">
        <v>34</v>
      </c>
      <c r="F662" s="22">
        <v>74</v>
      </c>
      <c r="G662" s="22">
        <v>77</v>
      </c>
      <c r="H662" s="22">
        <v>73</v>
      </c>
      <c r="J662" s="10">
        <v>86</v>
      </c>
      <c r="K662" s="10">
        <v>2</v>
      </c>
      <c r="L662" s="10">
        <v>150</v>
      </c>
      <c r="M662" s="10">
        <v>75</v>
      </c>
      <c r="N662" s="10">
        <v>2</v>
      </c>
      <c r="Q662" s="9" t="s">
        <v>53</v>
      </c>
      <c r="R662" s="9">
        <v>133</v>
      </c>
      <c r="S662" s="9">
        <v>126</v>
      </c>
      <c r="T662" s="9">
        <v>259</v>
      </c>
    </row>
    <row r="663" spans="1:20" x14ac:dyDescent="0.25">
      <c r="A663" s="21" t="s">
        <v>5</v>
      </c>
      <c r="B663" s="21" t="s">
        <v>29</v>
      </c>
      <c r="C663" s="21" t="s">
        <v>17</v>
      </c>
      <c r="D663" s="21" t="s">
        <v>35</v>
      </c>
      <c r="E663" s="21" t="s">
        <v>34</v>
      </c>
      <c r="F663" s="22">
        <v>73</v>
      </c>
      <c r="G663" s="22">
        <v>66</v>
      </c>
      <c r="H663" s="22">
        <v>63</v>
      </c>
      <c r="J663" s="10">
        <v>76</v>
      </c>
      <c r="K663" s="10">
        <v>2</v>
      </c>
      <c r="L663" s="10">
        <v>147</v>
      </c>
      <c r="M663" s="10">
        <v>73.5</v>
      </c>
      <c r="N663" s="10">
        <v>0.5</v>
      </c>
      <c r="Q663" s="9" t="s">
        <v>54</v>
      </c>
      <c r="R663" s="9">
        <v>66.5</v>
      </c>
      <c r="S663" s="9">
        <v>63</v>
      </c>
      <c r="T663" s="9">
        <v>64.75</v>
      </c>
    </row>
    <row r="664" spans="1:20" x14ac:dyDescent="0.25">
      <c r="A664" s="21" t="s">
        <v>4</v>
      </c>
      <c r="B664" s="21" t="s">
        <v>30</v>
      </c>
      <c r="C664" s="21" t="s">
        <v>45</v>
      </c>
      <c r="D664" s="21" t="s">
        <v>32</v>
      </c>
      <c r="E664" s="21" t="s">
        <v>34</v>
      </c>
      <c r="F664" s="22">
        <v>55</v>
      </c>
      <c r="G664" s="22">
        <v>71</v>
      </c>
      <c r="H664" s="22">
        <v>69</v>
      </c>
      <c r="J664" s="10">
        <v>41</v>
      </c>
      <c r="K664" s="10">
        <v>2</v>
      </c>
      <c r="L664" s="10">
        <v>103</v>
      </c>
      <c r="M664" s="10">
        <v>51.5</v>
      </c>
      <c r="N664" s="10">
        <v>0.5</v>
      </c>
      <c r="Q664" s="9" t="s">
        <v>55</v>
      </c>
      <c r="R664" s="9">
        <v>220.5</v>
      </c>
      <c r="S664" s="9">
        <v>98</v>
      </c>
      <c r="T664" s="9">
        <v>110.25</v>
      </c>
    </row>
    <row r="665" spans="1:20" x14ac:dyDescent="0.25">
      <c r="A665" s="21" t="s">
        <v>4</v>
      </c>
      <c r="B665" s="21" t="s">
        <v>29</v>
      </c>
      <c r="C665" s="21" t="s">
        <v>15</v>
      </c>
      <c r="D665" s="21" t="s">
        <v>35</v>
      </c>
      <c r="E665" s="21" t="s">
        <v>34</v>
      </c>
      <c r="F665" s="22">
        <v>65</v>
      </c>
      <c r="G665" s="22">
        <v>69</v>
      </c>
      <c r="H665" s="22">
        <v>67</v>
      </c>
      <c r="J665" s="10">
        <v>74</v>
      </c>
      <c r="K665" s="10">
        <v>2</v>
      </c>
      <c r="L665" s="10">
        <v>178</v>
      </c>
      <c r="M665" s="10">
        <v>89</v>
      </c>
      <c r="N665" s="10">
        <v>2</v>
      </c>
      <c r="Q665" s="9"/>
      <c r="R665" s="9"/>
      <c r="S665" s="9"/>
      <c r="T665" s="9"/>
    </row>
    <row r="666" spans="1:20" x14ac:dyDescent="0.25">
      <c r="A666" s="21" t="s">
        <v>5</v>
      </c>
      <c r="B666" s="21" t="s">
        <v>30</v>
      </c>
      <c r="C666" s="21" t="s">
        <v>14</v>
      </c>
      <c r="D666" s="21" t="s">
        <v>35</v>
      </c>
      <c r="E666" s="21" t="s">
        <v>34</v>
      </c>
      <c r="F666" s="22">
        <v>80</v>
      </c>
      <c r="G666" s="22">
        <v>63</v>
      </c>
      <c r="H666" s="22">
        <v>63</v>
      </c>
      <c r="J666" s="10">
        <v>72</v>
      </c>
      <c r="K666" s="10">
        <v>2</v>
      </c>
      <c r="L666" s="10">
        <v>160</v>
      </c>
      <c r="M666" s="10">
        <v>80</v>
      </c>
      <c r="N666" s="10">
        <v>2</v>
      </c>
      <c r="Q666" s="14">
        <v>56</v>
      </c>
      <c r="R666" s="14"/>
      <c r="S666" s="14"/>
      <c r="T666" s="14"/>
    </row>
    <row r="667" spans="1:20" x14ac:dyDescent="0.25">
      <c r="A667" s="21" t="s">
        <v>4</v>
      </c>
      <c r="B667" s="21" t="s">
        <v>29</v>
      </c>
      <c r="C667" s="21" t="s">
        <v>17</v>
      </c>
      <c r="D667" s="21" t="s">
        <v>32</v>
      </c>
      <c r="E667" s="21" t="s">
        <v>33</v>
      </c>
      <c r="F667" s="22">
        <v>50</v>
      </c>
      <c r="G667" s="22">
        <v>60</v>
      </c>
      <c r="H667" s="22">
        <v>60</v>
      </c>
      <c r="J667" s="10">
        <v>74</v>
      </c>
      <c r="K667" s="10">
        <v>2</v>
      </c>
      <c r="L667" s="10">
        <v>159</v>
      </c>
      <c r="M667" s="10">
        <v>79.5</v>
      </c>
      <c r="N667" s="10">
        <v>0.5</v>
      </c>
      <c r="Q667" s="9" t="s">
        <v>52</v>
      </c>
      <c r="R667" s="9">
        <v>2</v>
      </c>
      <c r="S667" s="9">
        <v>2</v>
      </c>
      <c r="T667" s="9">
        <v>4</v>
      </c>
    </row>
    <row r="668" spans="1:20" x14ac:dyDescent="0.25">
      <c r="A668" s="21" t="s">
        <v>4</v>
      </c>
      <c r="B668" s="21" t="s">
        <v>29</v>
      </c>
      <c r="C668" s="21" t="s">
        <v>45</v>
      </c>
      <c r="D668" s="21" t="s">
        <v>32</v>
      </c>
      <c r="E668" s="21" t="s">
        <v>33</v>
      </c>
      <c r="F668" s="22">
        <v>63</v>
      </c>
      <c r="G668" s="22">
        <v>73</v>
      </c>
      <c r="H668" s="22">
        <v>71</v>
      </c>
      <c r="J668" s="10">
        <v>70</v>
      </c>
      <c r="K668" s="10">
        <v>2</v>
      </c>
      <c r="L668" s="10">
        <v>125</v>
      </c>
      <c r="M668" s="10">
        <v>62.5</v>
      </c>
      <c r="N668" s="10">
        <v>12.5</v>
      </c>
      <c r="Q668" s="9" t="s">
        <v>53</v>
      </c>
      <c r="R668" s="9">
        <v>153</v>
      </c>
      <c r="S668" s="9">
        <v>147</v>
      </c>
      <c r="T668" s="9">
        <v>300</v>
      </c>
    </row>
    <row r="669" spans="1:20" x14ac:dyDescent="0.25">
      <c r="A669" s="21" t="s">
        <v>4</v>
      </c>
      <c r="B669" s="21" t="s">
        <v>28</v>
      </c>
      <c r="C669" s="21" t="s">
        <v>43</v>
      </c>
      <c r="D669" s="21" t="s">
        <v>32</v>
      </c>
      <c r="E669" s="21" t="s">
        <v>34</v>
      </c>
      <c r="F669" s="22">
        <v>77</v>
      </c>
      <c r="G669" s="22">
        <v>85</v>
      </c>
      <c r="H669" s="22">
        <v>87</v>
      </c>
      <c r="J669" s="10">
        <v>65</v>
      </c>
      <c r="K669" s="10">
        <v>2</v>
      </c>
      <c r="L669" s="10">
        <v>162</v>
      </c>
      <c r="M669" s="10">
        <v>81</v>
      </c>
      <c r="N669" s="10">
        <v>0</v>
      </c>
      <c r="Q669" s="9" t="s">
        <v>54</v>
      </c>
      <c r="R669" s="9">
        <v>76.5</v>
      </c>
      <c r="S669" s="9">
        <v>73.5</v>
      </c>
      <c r="T669" s="9">
        <v>75</v>
      </c>
    </row>
    <row r="670" spans="1:20" x14ac:dyDescent="0.25">
      <c r="A670" s="21" t="s">
        <v>5</v>
      </c>
      <c r="B670" s="21" t="s">
        <v>29</v>
      </c>
      <c r="C670" s="21" t="s">
        <v>45</v>
      </c>
      <c r="D670" s="21" t="s">
        <v>35</v>
      </c>
      <c r="E670" s="21" t="s">
        <v>34</v>
      </c>
      <c r="F670" s="22">
        <v>73</v>
      </c>
      <c r="G670" s="22">
        <v>74</v>
      </c>
      <c r="H670" s="22">
        <v>61</v>
      </c>
      <c r="J670" s="10">
        <v>59</v>
      </c>
      <c r="K670" s="10">
        <v>2</v>
      </c>
      <c r="L670" s="10">
        <v>135</v>
      </c>
      <c r="M670" s="10">
        <v>67.5</v>
      </c>
      <c r="N670" s="10">
        <v>12.5</v>
      </c>
      <c r="Q670" s="9" t="s">
        <v>55</v>
      </c>
      <c r="R670" s="9">
        <v>144.5</v>
      </c>
      <c r="S670" s="9">
        <v>0.5</v>
      </c>
      <c r="T670" s="9">
        <v>51.333333333333336</v>
      </c>
    </row>
    <row r="671" spans="1:20" x14ac:dyDescent="0.25">
      <c r="A671" s="21" t="s">
        <v>5</v>
      </c>
      <c r="B671" s="21" t="s">
        <v>30</v>
      </c>
      <c r="C671" s="21" t="s">
        <v>14</v>
      </c>
      <c r="D671" s="21" t="s">
        <v>35</v>
      </c>
      <c r="E671" s="21" t="s">
        <v>33</v>
      </c>
      <c r="F671" s="22">
        <v>81</v>
      </c>
      <c r="G671" s="22">
        <v>72</v>
      </c>
      <c r="H671" s="22">
        <v>77</v>
      </c>
      <c r="J671" s="10">
        <v>64</v>
      </c>
      <c r="K671" s="10">
        <v>2</v>
      </c>
      <c r="L671" s="10">
        <v>130</v>
      </c>
      <c r="M671" s="10">
        <v>65</v>
      </c>
      <c r="N671" s="10">
        <v>18</v>
      </c>
      <c r="Q671" s="9"/>
      <c r="R671" s="9"/>
      <c r="S671" s="9"/>
      <c r="T671" s="9"/>
    </row>
    <row r="672" spans="1:20" x14ac:dyDescent="0.25">
      <c r="A672" s="21" t="s">
        <v>4</v>
      </c>
      <c r="B672" s="21" t="s">
        <v>29</v>
      </c>
      <c r="C672" s="21" t="s">
        <v>15</v>
      </c>
      <c r="D672" s="21" t="s">
        <v>32</v>
      </c>
      <c r="E672" s="21" t="s">
        <v>34</v>
      </c>
      <c r="F672" s="22">
        <v>66</v>
      </c>
      <c r="G672" s="22">
        <v>76</v>
      </c>
      <c r="H672" s="22">
        <v>68</v>
      </c>
      <c r="J672" s="10">
        <v>50</v>
      </c>
      <c r="K672" s="10">
        <v>2</v>
      </c>
      <c r="L672" s="10">
        <v>108</v>
      </c>
      <c r="M672" s="10">
        <v>54</v>
      </c>
      <c r="N672" s="10">
        <v>2</v>
      </c>
      <c r="Q672" s="14">
        <v>55</v>
      </c>
      <c r="R672" s="14"/>
      <c r="S672" s="14"/>
      <c r="T672" s="14"/>
    </row>
    <row r="673" spans="1:20" x14ac:dyDescent="0.25">
      <c r="A673" s="21" t="s">
        <v>5</v>
      </c>
      <c r="B673" s="21" t="s">
        <v>30</v>
      </c>
      <c r="C673" s="21" t="s">
        <v>14</v>
      </c>
      <c r="D673" s="21" t="s">
        <v>32</v>
      </c>
      <c r="E673" s="21" t="s">
        <v>34</v>
      </c>
      <c r="F673" s="22">
        <v>52</v>
      </c>
      <c r="G673" s="22">
        <v>57</v>
      </c>
      <c r="H673" s="22">
        <v>50</v>
      </c>
      <c r="J673" s="10">
        <v>69</v>
      </c>
      <c r="K673" s="10">
        <v>2</v>
      </c>
      <c r="L673" s="10">
        <v>160</v>
      </c>
      <c r="M673" s="10">
        <v>80</v>
      </c>
      <c r="N673" s="10">
        <v>2</v>
      </c>
      <c r="Q673" s="9" t="s">
        <v>52</v>
      </c>
      <c r="R673" s="9">
        <v>2</v>
      </c>
      <c r="S673" s="9">
        <v>2</v>
      </c>
      <c r="T673" s="9">
        <v>4</v>
      </c>
    </row>
    <row r="674" spans="1:20" x14ac:dyDescent="0.25">
      <c r="A674" s="21" t="s">
        <v>4</v>
      </c>
      <c r="B674" s="21" t="s">
        <v>29</v>
      </c>
      <c r="C674" s="21" t="s">
        <v>45</v>
      </c>
      <c r="D674" s="21" t="s">
        <v>35</v>
      </c>
      <c r="E674" s="21" t="s">
        <v>34</v>
      </c>
      <c r="F674" s="22">
        <v>69</v>
      </c>
      <c r="G674" s="22">
        <v>78</v>
      </c>
      <c r="H674" s="22">
        <v>76</v>
      </c>
      <c r="J674" s="10">
        <v>51</v>
      </c>
      <c r="K674" s="10">
        <v>2</v>
      </c>
      <c r="L674" s="10">
        <v>109</v>
      </c>
      <c r="M674" s="10">
        <v>54.5</v>
      </c>
      <c r="N674" s="10">
        <v>4.5</v>
      </c>
      <c r="Q674" s="9" t="s">
        <v>53</v>
      </c>
      <c r="R674" s="9">
        <v>145</v>
      </c>
      <c r="S674" s="9">
        <v>137</v>
      </c>
      <c r="T674" s="9">
        <v>282</v>
      </c>
    </row>
    <row r="675" spans="1:20" x14ac:dyDescent="0.25">
      <c r="A675" s="21" t="s">
        <v>4</v>
      </c>
      <c r="B675" s="21" t="s">
        <v>29</v>
      </c>
      <c r="C675" s="21" t="s">
        <v>14</v>
      </c>
      <c r="D675" s="21" t="s">
        <v>35</v>
      </c>
      <c r="E675" s="21" t="s">
        <v>33</v>
      </c>
      <c r="F675" s="22">
        <v>65</v>
      </c>
      <c r="G675" s="22">
        <v>84</v>
      </c>
      <c r="H675" s="22">
        <v>84</v>
      </c>
      <c r="J675" s="10">
        <v>68</v>
      </c>
      <c r="K675" s="10">
        <v>2</v>
      </c>
      <c r="L675" s="10">
        <v>156</v>
      </c>
      <c r="M675" s="10">
        <v>78</v>
      </c>
      <c r="N675" s="10">
        <v>8</v>
      </c>
      <c r="Q675" s="9" t="s">
        <v>54</v>
      </c>
      <c r="R675" s="9">
        <v>72.5</v>
      </c>
      <c r="S675" s="9">
        <v>68.5</v>
      </c>
      <c r="T675" s="9">
        <v>70.5</v>
      </c>
    </row>
    <row r="676" spans="1:20" x14ac:dyDescent="0.25">
      <c r="A676" s="21" t="s">
        <v>4</v>
      </c>
      <c r="B676" s="21" t="s">
        <v>30</v>
      </c>
      <c r="C676" s="21" t="s">
        <v>15</v>
      </c>
      <c r="D676" s="21" t="s">
        <v>35</v>
      </c>
      <c r="E676" s="21" t="s">
        <v>33</v>
      </c>
      <c r="F676" s="22">
        <v>69</v>
      </c>
      <c r="G676" s="22">
        <v>77</v>
      </c>
      <c r="H676" s="22">
        <v>78</v>
      </c>
      <c r="J676" s="10">
        <v>85</v>
      </c>
      <c r="K676" s="10">
        <v>2</v>
      </c>
      <c r="L676" s="10">
        <v>184</v>
      </c>
      <c r="M676" s="10">
        <v>92</v>
      </c>
      <c r="N676" s="10">
        <v>72</v>
      </c>
      <c r="Q676" s="9" t="s">
        <v>55</v>
      </c>
      <c r="R676" s="9">
        <v>112.5</v>
      </c>
      <c r="S676" s="9">
        <v>84.5</v>
      </c>
      <c r="T676" s="9">
        <v>71</v>
      </c>
    </row>
    <row r="677" spans="1:20" x14ac:dyDescent="0.25">
      <c r="A677" s="21" t="s">
        <v>4</v>
      </c>
      <c r="B677" s="21" t="s">
        <v>28</v>
      </c>
      <c r="C677" s="21" t="s">
        <v>45</v>
      </c>
      <c r="D677" s="21" t="s">
        <v>35</v>
      </c>
      <c r="E677" s="21" t="s">
        <v>33</v>
      </c>
      <c r="F677" s="22">
        <v>50</v>
      </c>
      <c r="G677" s="22">
        <v>64</v>
      </c>
      <c r="H677" s="22">
        <v>66</v>
      </c>
      <c r="J677" s="10">
        <v>65</v>
      </c>
      <c r="K677" s="10">
        <v>2</v>
      </c>
      <c r="L677" s="10">
        <v>144</v>
      </c>
      <c r="M677" s="10">
        <v>72</v>
      </c>
      <c r="N677" s="10">
        <v>8</v>
      </c>
      <c r="Q677" s="9"/>
      <c r="R677" s="9"/>
      <c r="S677" s="9"/>
      <c r="T677" s="9"/>
    </row>
    <row r="678" spans="1:20" x14ac:dyDescent="0.25">
      <c r="A678" s="21" t="s">
        <v>4</v>
      </c>
      <c r="B678" s="21" t="s">
        <v>31</v>
      </c>
      <c r="C678" s="21" t="s">
        <v>45</v>
      </c>
      <c r="D678" s="21" t="s">
        <v>35</v>
      </c>
      <c r="E678" s="21" t="s">
        <v>33</v>
      </c>
      <c r="F678" s="22">
        <v>73</v>
      </c>
      <c r="G678" s="22">
        <v>78</v>
      </c>
      <c r="H678" s="22">
        <v>76</v>
      </c>
      <c r="J678" s="10">
        <v>73</v>
      </c>
      <c r="K678" s="10">
        <v>2</v>
      </c>
      <c r="L678" s="10">
        <v>158</v>
      </c>
      <c r="M678" s="10">
        <v>79</v>
      </c>
      <c r="N678" s="10">
        <v>0</v>
      </c>
      <c r="Q678" s="14">
        <v>52</v>
      </c>
      <c r="R678" s="14"/>
      <c r="S678" s="14"/>
      <c r="T678" s="14"/>
    </row>
    <row r="679" spans="1:20" x14ac:dyDescent="0.25">
      <c r="A679" s="21" t="s">
        <v>4</v>
      </c>
      <c r="B679" s="21" t="s">
        <v>29</v>
      </c>
      <c r="C679" s="21" t="s">
        <v>17</v>
      </c>
      <c r="D679" s="21" t="s">
        <v>35</v>
      </c>
      <c r="E679" s="21" t="s">
        <v>33</v>
      </c>
      <c r="F679" s="22">
        <v>70</v>
      </c>
      <c r="G679" s="22">
        <v>82</v>
      </c>
      <c r="H679" s="22">
        <v>76</v>
      </c>
      <c r="J679" s="10">
        <v>62</v>
      </c>
      <c r="K679" s="10">
        <v>2</v>
      </c>
      <c r="L679" s="10">
        <v>134</v>
      </c>
      <c r="M679" s="10">
        <v>67</v>
      </c>
      <c r="N679" s="10">
        <v>0</v>
      </c>
      <c r="Q679" s="9" t="s">
        <v>52</v>
      </c>
      <c r="R679" s="9">
        <v>2</v>
      </c>
      <c r="S679" s="9">
        <v>2</v>
      </c>
      <c r="T679" s="9">
        <v>4</v>
      </c>
    </row>
    <row r="680" spans="1:20" x14ac:dyDescent="0.25">
      <c r="A680" s="21" t="s">
        <v>5</v>
      </c>
      <c r="B680" s="21" t="s">
        <v>30</v>
      </c>
      <c r="C680" s="21" t="s">
        <v>14</v>
      </c>
      <c r="D680" s="21" t="s">
        <v>32</v>
      </c>
      <c r="E680" s="21" t="s">
        <v>34</v>
      </c>
      <c r="F680" s="22">
        <v>81</v>
      </c>
      <c r="G680" s="22">
        <v>75</v>
      </c>
      <c r="H680" s="22">
        <v>78</v>
      </c>
      <c r="J680" s="10">
        <v>77</v>
      </c>
      <c r="K680" s="10">
        <v>2</v>
      </c>
      <c r="L680" s="10">
        <v>131</v>
      </c>
      <c r="M680" s="10">
        <v>65.5</v>
      </c>
      <c r="N680" s="10">
        <v>4.5</v>
      </c>
      <c r="Q680" s="9" t="s">
        <v>53</v>
      </c>
      <c r="R680" s="9">
        <v>122</v>
      </c>
      <c r="S680" s="9">
        <v>127</v>
      </c>
      <c r="T680" s="9">
        <v>249</v>
      </c>
    </row>
    <row r="681" spans="1:20" x14ac:dyDescent="0.25">
      <c r="A681" s="21" t="s">
        <v>5</v>
      </c>
      <c r="B681" s="21" t="s">
        <v>30</v>
      </c>
      <c r="C681" s="21" t="s">
        <v>45</v>
      </c>
      <c r="D681" s="21" t="s">
        <v>32</v>
      </c>
      <c r="E681" s="21" t="s">
        <v>34</v>
      </c>
      <c r="F681" s="22">
        <v>63</v>
      </c>
      <c r="G681" s="22">
        <v>61</v>
      </c>
      <c r="H681" s="22">
        <v>60</v>
      </c>
      <c r="J681" s="10">
        <v>69</v>
      </c>
      <c r="K681" s="10">
        <v>2</v>
      </c>
      <c r="L681" s="10">
        <v>127</v>
      </c>
      <c r="M681" s="10">
        <v>63.5</v>
      </c>
      <c r="N681" s="10">
        <v>12.5</v>
      </c>
      <c r="Q681" s="9" t="s">
        <v>54</v>
      </c>
      <c r="R681" s="9">
        <v>61</v>
      </c>
      <c r="S681" s="9">
        <v>63.5</v>
      </c>
      <c r="T681" s="9">
        <v>62.25</v>
      </c>
    </row>
    <row r="682" spans="1:20" x14ac:dyDescent="0.25">
      <c r="A682" s="21" t="s">
        <v>4</v>
      </c>
      <c r="B682" s="21" t="s">
        <v>30</v>
      </c>
      <c r="C682" s="21" t="s">
        <v>15</v>
      </c>
      <c r="D682" s="21" t="s">
        <v>35</v>
      </c>
      <c r="E682" s="21" t="s">
        <v>34</v>
      </c>
      <c r="F682" s="22">
        <v>67</v>
      </c>
      <c r="G682" s="22">
        <v>72</v>
      </c>
      <c r="H682" s="22">
        <v>74</v>
      </c>
      <c r="J682" s="10">
        <v>43</v>
      </c>
      <c r="K682" s="10">
        <v>2</v>
      </c>
      <c r="L682" s="10">
        <v>118</v>
      </c>
      <c r="M682" s="10">
        <v>59</v>
      </c>
      <c r="N682" s="10">
        <v>2</v>
      </c>
      <c r="Q682" s="9" t="s">
        <v>55</v>
      </c>
      <c r="R682" s="9">
        <v>50</v>
      </c>
      <c r="S682" s="9">
        <v>180.5</v>
      </c>
      <c r="T682" s="9">
        <v>78.916666666666671</v>
      </c>
    </row>
    <row r="683" spans="1:20" x14ac:dyDescent="0.25">
      <c r="A683" s="21" t="s">
        <v>5</v>
      </c>
      <c r="B683" s="21" t="s">
        <v>28</v>
      </c>
      <c r="C683" s="21" t="s">
        <v>15</v>
      </c>
      <c r="D683" s="21" t="s">
        <v>35</v>
      </c>
      <c r="E683" s="21" t="s">
        <v>34</v>
      </c>
      <c r="F683" s="22">
        <v>60</v>
      </c>
      <c r="G683" s="22">
        <v>68</v>
      </c>
      <c r="H683" s="22">
        <v>60</v>
      </c>
      <c r="J683" s="10">
        <v>90</v>
      </c>
      <c r="K683" s="10">
        <v>2</v>
      </c>
      <c r="L683" s="10">
        <v>172</v>
      </c>
      <c r="M683" s="10">
        <v>86</v>
      </c>
      <c r="N683" s="10">
        <v>2</v>
      </c>
      <c r="Q683" s="9"/>
      <c r="R683" s="9"/>
      <c r="S683" s="9"/>
      <c r="T683" s="9"/>
    </row>
    <row r="684" spans="1:20" x14ac:dyDescent="0.25">
      <c r="A684" s="21" t="s">
        <v>5</v>
      </c>
      <c r="B684" s="21" t="s">
        <v>28</v>
      </c>
      <c r="C684" s="21" t="s">
        <v>15</v>
      </c>
      <c r="D684" s="21" t="s">
        <v>35</v>
      </c>
      <c r="E684" s="21" t="s">
        <v>34</v>
      </c>
      <c r="F684" s="22">
        <v>62</v>
      </c>
      <c r="G684" s="22">
        <v>55</v>
      </c>
      <c r="H684" s="22">
        <v>54</v>
      </c>
      <c r="J684" s="10">
        <v>74</v>
      </c>
      <c r="K684" s="10">
        <v>2</v>
      </c>
      <c r="L684" s="10">
        <v>150</v>
      </c>
      <c r="M684" s="10">
        <v>75</v>
      </c>
      <c r="N684" s="10">
        <v>8</v>
      </c>
      <c r="Q684" s="14">
        <v>72</v>
      </c>
      <c r="R684" s="14"/>
      <c r="S684" s="14"/>
      <c r="T684" s="14"/>
    </row>
    <row r="685" spans="1:20" x14ac:dyDescent="0.25">
      <c r="A685" s="21" t="s">
        <v>4</v>
      </c>
      <c r="B685" s="21" t="s">
        <v>29</v>
      </c>
      <c r="C685" s="21" t="s">
        <v>17</v>
      </c>
      <c r="D685" s="21" t="s">
        <v>32</v>
      </c>
      <c r="E685" s="21" t="s">
        <v>33</v>
      </c>
      <c r="F685" s="22">
        <v>29</v>
      </c>
      <c r="G685" s="22">
        <v>40</v>
      </c>
      <c r="H685" s="22">
        <v>44</v>
      </c>
      <c r="J685" s="10">
        <v>73</v>
      </c>
      <c r="K685" s="10">
        <v>2</v>
      </c>
      <c r="L685" s="10">
        <v>129</v>
      </c>
      <c r="M685" s="10">
        <v>64.5</v>
      </c>
      <c r="N685" s="10">
        <v>4.5</v>
      </c>
      <c r="Q685" s="9" t="s">
        <v>52</v>
      </c>
      <c r="R685" s="9">
        <v>2</v>
      </c>
      <c r="S685" s="9">
        <v>2</v>
      </c>
      <c r="T685" s="9">
        <v>4</v>
      </c>
    </row>
    <row r="686" spans="1:20" x14ac:dyDescent="0.25">
      <c r="A686" s="21" t="s">
        <v>5</v>
      </c>
      <c r="B686" s="21" t="s">
        <v>28</v>
      </c>
      <c r="C686" s="21" t="s">
        <v>45</v>
      </c>
      <c r="D686" s="21" t="s">
        <v>35</v>
      </c>
      <c r="E686" s="21" t="s">
        <v>33</v>
      </c>
      <c r="F686" s="22">
        <v>62</v>
      </c>
      <c r="G686" s="22">
        <v>66</v>
      </c>
      <c r="H686" s="22">
        <v>68</v>
      </c>
      <c r="J686" s="10">
        <v>55</v>
      </c>
      <c r="K686" s="10">
        <v>2</v>
      </c>
      <c r="L686" s="10">
        <v>140</v>
      </c>
      <c r="M686" s="10">
        <v>70</v>
      </c>
      <c r="N686" s="10">
        <v>2</v>
      </c>
      <c r="Q686" s="9" t="s">
        <v>53</v>
      </c>
      <c r="R686" s="9">
        <v>122</v>
      </c>
      <c r="S686" s="9">
        <v>125</v>
      </c>
      <c r="T686" s="9">
        <v>247</v>
      </c>
    </row>
    <row r="687" spans="1:20" x14ac:dyDescent="0.25">
      <c r="A687" s="21" t="s">
        <v>4</v>
      </c>
      <c r="B687" s="21" t="s">
        <v>31</v>
      </c>
      <c r="C687" s="21" t="s">
        <v>16</v>
      </c>
      <c r="D687" s="21" t="s">
        <v>35</v>
      </c>
      <c r="E687" s="21" t="s">
        <v>33</v>
      </c>
      <c r="F687" s="22">
        <v>94</v>
      </c>
      <c r="G687" s="22">
        <v>99</v>
      </c>
      <c r="H687" s="22">
        <v>100</v>
      </c>
      <c r="J687" s="10">
        <v>65</v>
      </c>
      <c r="K687" s="10">
        <v>2</v>
      </c>
      <c r="L687" s="10">
        <v>136</v>
      </c>
      <c r="M687" s="10">
        <v>68</v>
      </c>
      <c r="N687" s="10">
        <v>2</v>
      </c>
      <c r="Q687" s="9" t="s">
        <v>54</v>
      </c>
      <c r="R687" s="9">
        <v>61</v>
      </c>
      <c r="S687" s="9">
        <v>62.5</v>
      </c>
      <c r="T687" s="9">
        <v>61.75</v>
      </c>
    </row>
    <row r="688" spans="1:20" x14ac:dyDescent="0.25">
      <c r="A688" s="21" t="s">
        <v>5</v>
      </c>
      <c r="B688" s="21" t="s">
        <v>31</v>
      </c>
      <c r="C688" s="21" t="s">
        <v>45</v>
      </c>
      <c r="D688" s="21" t="s">
        <v>35</v>
      </c>
      <c r="E688" s="21" t="s">
        <v>33</v>
      </c>
      <c r="F688" s="22">
        <v>85</v>
      </c>
      <c r="G688" s="22">
        <v>75</v>
      </c>
      <c r="H688" s="22">
        <v>68</v>
      </c>
      <c r="J688" s="10">
        <v>80</v>
      </c>
      <c r="K688" s="10">
        <v>2</v>
      </c>
      <c r="L688" s="10">
        <v>126</v>
      </c>
      <c r="M688" s="10">
        <v>63</v>
      </c>
      <c r="N688" s="10">
        <v>0</v>
      </c>
      <c r="Q688" s="9" t="s">
        <v>55</v>
      </c>
      <c r="R688" s="9">
        <v>242</v>
      </c>
      <c r="S688" s="9">
        <v>144.5</v>
      </c>
      <c r="T688" s="9">
        <v>129.58333333333334</v>
      </c>
    </row>
    <row r="689" spans="1:20" x14ac:dyDescent="0.25">
      <c r="A689" s="21" t="s">
        <v>5</v>
      </c>
      <c r="B689" s="21" t="s">
        <v>30</v>
      </c>
      <c r="C689" s="21" t="s">
        <v>14</v>
      </c>
      <c r="D689" s="21" t="s">
        <v>32</v>
      </c>
      <c r="E689" s="21" t="s">
        <v>34</v>
      </c>
      <c r="F689" s="22">
        <v>77</v>
      </c>
      <c r="G689" s="22">
        <v>78</v>
      </c>
      <c r="H689" s="22">
        <v>73</v>
      </c>
      <c r="J689" s="10">
        <v>50</v>
      </c>
      <c r="K689" s="10">
        <v>2</v>
      </c>
      <c r="L689" s="10">
        <v>120</v>
      </c>
      <c r="M689" s="10">
        <v>60</v>
      </c>
      <c r="N689" s="10">
        <v>0</v>
      </c>
      <c r="Q689" s="9"/>
      <c r="R689" s="9"/>
      <c r="S689" s="9"/>
      <c r="T689" s="9"/>
    </row>
    <row r="690" spans="1:20" x14ac:dyDescent="0.25">
      <c r="A690" s="21" t="s">
        <v>5</v>
      </c>
      <c r="B690" s="21" t="s">
        <v>27</v>
      </c>
      <c r="C690" s="21" t="s">
        <v>15</v>
      </c>
      <c r="D690" s="21" t="s">
        <v>32</v>
      </c>
      <c r="E690" s="21" t="s">
        <v>34</v>
      </c>
      <c r="F690" s="22">
        <v>53</v>
      </c>
      <c r="G690" s="22">
        <v>58</v>
      </c>
      <c r="H690" s="22">
        <v>44</v>
      </c>
      <c r="J690" s="10">
        <v>63</v>
      </c>
      <c r="K690" s="10">
        <v>2</v>
      </c>
      <c r="L690" s="10">
        <v>144</v>
      </c>
      <c r="M690" s="10">
        <v>72</v>
      </c>
      <c r="N690" s="10">
        <v>2</v>
      </c>
      <c r="Q690" s="14">
        <v>68</v>
      </c>
      <c r="R690" s="14"/>
      <c r="S690" s="14"/>
      <c r="T690" s="14"/>
    </row>
    <row r="691" spans="1:20" x14ac:dyDescent="0.25">
      <c r="A691" s="21" t="s">
        <v>5</v>
      </c>
      <c r="B691" s="21" t="s">
        <v>31</v>
      </c>
      <c r="C691" s="21" t="s">
        <v>45</v>
      </c>
      <c r="D691" s="21" t="s">
        <v>32</v>
      </c>
      <c r="E691" s="21" t="s">
        <v>34</v>
      </c>
      <c r="F691" s="22">
        <v>93</v>
      </c>
      <c r="G691" s="22">
        <v>90</v>
      </c>
      <c r="H691" s="22">
        <v>83</v>
      </c>
      <c r="J691" s="10">
        <v>77</v>
      </c>
      <c r="K691" s="10">
        <v>2</v>
      </c>
      <c r="L691" s="10">
        <v>172</v>
      </c>
      <c r="M691" s="10">
        <v>86</v>
      </c>
      <c r="N691" s="10">
        <v>2</v>
      </c>
      <c r="Q691" s="9" t="s">
        <v>52</v>
      </c>
      <c r="R691" s="9">
        <v>2</v>
      </c>
      <c r="S691" s="9">
        <v>2</v>
      </c>
      <c r="T691" s="9">
        <v>4</v>
      </c>
    </row>
    <row r="692" spans="1:20" x14ac:dyDescent="0.25">
      <c r="A692" s="21" t="s">
        <v>4</v>
      </c>
      <c r="B692" s="21" t="s">
        <v>29</v>
      </c>
      <c r="C692" s="21" t="s">
        <v>14</v>
      </c>
      <c r="D692" s="21" t="s">
        <v>35</v>
      </c>
      <c r="E692" s="21" t="s">
        <v>34</v>
      </c>
      <c r="F692" s="22">
        <v>49</v>
      </c>
      <c r="G692" s="22">
        <v>53</v>
      </c>
      <c r="H692" s="22">
        <v>53</v>
      </c>
      <c r="J692" s="10">
        <v>73</v>
      </c>
      <c r="K692" s="10">
        <v>2</v>
      </c>
      <c r="L692" s="10">
        <v>135</v>
      </c>
      <c r="M692" s="10">
        <v>67.5</v>
      </c>
      <c r="N692" s="10">
        <v>84.5</v>
      </c>
      <c r="Q692" s="9" t="s">
        <v>53</v>
      </c>
      <c r="R692" s="9">
        <v>167</v>
      </c>
      <c r="S692" s="9">
        <v>158</v>
      </c>
      <c r="T692" s="9">
        <v>325</v>
      </c>
    </row>
    <row r="693" spans="1:20" x14ac:dyDescent="0.25">
      <c r="A693" s="21" t="s">
        <v>4</v>
      </c>
      <c r="B693" s="21" t="s">
        <v>31</v>
      </c>
      <c r="C693" s="21" t="s">
        <v>14</v>
      </c>
      <c r="D693" s="21" t="s">
        <v>32</v>
      </c>
      <c r="E693" s="21" t="s">
        <v>34</v>
      </c>
      <c r="F693" s="22">
        <v>73</v>
      </c>
      <c r="G693" s="22">
        <v>76</v>
      </c>
      <c r="H693" s="22">
        <v>78</v>
      </c>
      <c r="J693" s="10">
        <v>81</v>
      </c>
      <c r="K693" s="10">
        <v>2</v>
      </c>
      <c r="L693" s="10">
        <v>149</v>
      </c>
      <c r="M693" s="10">
        <v>74.5</v>
      </c>
      <c r="N693" s="10">
        <v>12.5</v>
      </c>
      <c r="Q693" s="9" t="s">
        <v>54</v>
      </c>
      <c r="R693" s="9">
        <v>83.5</v>
      </c>
      <c r="S693" s="9">
        <v>79</v>
      </c>
      <c r="T693" s="9">
        <v>81.25</v>
      </c>
    </row>
    <row r="694" spans="1:20" x14ac:dyDescent="0.25">
      <c r="A694" s="21" t="s">
        <v>4</v>
      </c>
      <c r="B694" s="21" t="s">
        <v>29</v>
      </c>
      <c r="C694" s="21" t="s">
        <v>43</v>
      </c>
      <c r="D694" s="21" t="s">
        <v>32</v>
      </c>
      <c r="E694" s="21" t="s">
        <v>33</v>
      </c>
      <c r="F694" s="22">
        <v>66</v>
      </c>
      <c r="G694" s="22">
        <v>74</v>
      </c>
      <c r="H694" s="22">
        <v>81</v>
      </c>
      <c r="J694" s="10">
        <v>66</v>
      </c>
      <c r="K694" s="10">
        <v>2</v>
      </c>
      <c r="L694" s="10">
        <v>144</v>
      </c>
      <c r="M694" s="10">
        <v>72</v>
      </c>
      <c r="N694" s="10">
        <v>32</v>
      </c>
      <c r="Q694" s="9" t="s">
        <v>55</v>
      </c>
      <c r="R694" s="9">
        <v>264.5</v>
      </c>
      <c r="S694" s="9">
        <v>450</v>
      </c>
      <c r="T694" s="9">
        <v>244.91666666666666</v>
      </c>
    </row>
    <row r="695" spans="1:20" x14ac:dyDescent="0.25">
      <c r="A695" s="21" t="s">
        <v>4</v>
      </c>
      <c r="B695" s="21" t="s">
        <v>30</v>
      </c>
      <c r="C695" s="21" t="s">
        <v>14</v>
      </c>
      <c r="D695" s="21" t="s">
        <v>35</v>
      </c>
      <c r="E695" s="21" t="s">
        <v>34</v>
      </c>
      <c r="F695" s="22">
        <v>77</v>
      </c>
      <c r="G695" s="22">
        <v>77</v>
      </c>
      <c r="H695" s="22">
        <v>73</v>
      </c>
      <c r="J695" s="10">
        <v>52</v>
      </c>
      <c r="K695" s="10">
        <v>2</v>
      </c>
      <c r="L695" s="10">
        <v>107</v>
      </c>
      <c r="M695" s="10">
        <v>53.5</v>
      </c>
      <c r="N695" s="10">
        <v>24.5</v>
      </c>
      <c r="Q695" s="9"/>
      <c r="R695" s="9"/>
      <c r="S695" s="9"/>
      <c r="T695" s="9"/>
    </row>
    <row r="696" spans="1:20" x14ac:dyDescent="0.25">
      <c r="A696" s="21" t="s">
        <v>4</v>
      </c>
      <c r="B696" s="21" t="s">
        <v>29</v>
      </c>
      <c r="C696" s="21" t="s">
        <v>17</v>
      </c>
      <c r="D696" s="21" t="s">
        <v>35</v>
      </c>
      <c r="E696" s="21" t="s">
        <v>34</v>
      </c>
      <c r="F696" s="22">
        <v>49</v>
      </c>
      <c r="G696" s="22">
        <v>63</v>
      </c>
      <c r="H696" s="22">
        <v>56</v>
      </c>
      <c r="J696" s="10">
        <v>69</v>
      </c>
      <c r="K696" s="10">
        <v>2</v>
      </c>
      <c r="L696" s="10">
        <v>154</v>
      </c>
      <c r="M696" s="10">
        <v>77</v>
      </c>
      <c r="N696" s="10">
        <v>2</v>
      </c>
      <c r="Q696" s="14">
        <v>76</v>
      </c>
      <c r="R696" s="14"/>
      <c r="S696" s="14"/>
      <c r="T696" s="14"/>
    </row>
    <row r="697" spans="1:20" x14ac:dyDescent="0.25">
      <c r="A697" s="21" t="s">
        <v>4</v>
      </c>
      <c r="B697" s="21" t="s">
        <v>30</v>
      </c>
      <c r="C697" s="21" t="s">
        <v>45</v>
      </c>
      <c r="D697" s="21" t="s">
        <v>32</v>
      </c>
      <c r="E697" s="21" t="s">
        <v>34</v>
      </c>
      <c r="F697" s="22">
        <v>79</v>
      </c>
      <c r="G697" s="22">
        <v>89</v>
      </c>
      <c r="H697" s="22">
        <v>86</v>
      </c>
      <c r="J697" s="10">
        <v>65</v>
      </c>
      <c r="K697" s="10">
        <v>2</v>
      </c>
      <c r="L697" s="10">
        <v>168</v>
      </c>
      <c r="M697" s="10">
        <v>84</v>
      </c>
      <c r="N697" s="10">
        <v>0</v>
      </c>
      <c r="Q697" s="9" t="s">
        <v>52</v>
      </c>
      <c r="R697" s="9">
        <v>2</v>
      </c>
      <c r="S697" s="9">
        <v>2</v>
      </c>
      <c r="T697" s="9">
        <v>4</v>
      </c>
    </row>
    <row r="698" spans="1:20" x14ac:dyDescent="0.25">
      <c r="A698" s="21" t="s">
        <v>4</v>
      </c>
      <c r="B698" s="21" t="s">
        <v>29</v>
      </c>
      <c r="C698" s="21" t="s">
        <v>14</v>
      </c>
      <c r="D698" s="21" t="s">
        <v>35</v>
      </c>
      <c r="E698" s="21" t="s">
        <v>33</v>
      </c>
      <c r="F698" s="22">
        <v>75</v>
      </c>
      <c r="G698" s="22">
        <v>82</v>
      </c>
      <c r="H698" s="22">
        <v>90</v>
      </c>
      <c r="J698" s="10">
        <v>69</v>
      </c>
      <c r="K698" s="10">
        <v>2</v>
      </c>
      <c r="L698" s="10">
        <v>155</v>
      </c>
      <c r="M698" s="10">
        <v>77.5</v>
      </c>
      <c r="N698" s="10">
        <v>0.5</v>
      </c>
      <c r="Q698" s="9" t="s">
        <v>53</v>
      </c>
      <c r="R698" s="9">
        <v>107</v>
      </c>
      <c r="S698" s="9">
        <v>108</v>
      </c>
      <c r="T698" s="9">
        <v>215</v>
      </c>
    </row>
    <row r="699" spans="1:20" x14ac:dyDescent="0.25">
      <c r="A699" s="21" t="s">
        <v>4</v>
      </c>
      <c r="B699" s="21" t="s">
        <v>27</v>
      </c>
      <c r="C699" s="21" t="s">
        <v>43</v>
      </c>
      <c r="D699" s="21" t="s">
        <v>35</v>
      </c>
      <c r="E699" s="21" t="s">
        <v>34</v>
      </c>
      <c r="F699" s="22">
        <v>59</v>
      </c>
      <c r="G699" s="22">
        <v>72</v>
      </c>
      <c r="H699" s="22">
        <v>70</v>
      </c>
      <c r="J699" s="10">
        <v>50</v>
      </c>
      <c r="K699" s="10">
        <v>2</v>
      </c>
      <c r="L699" s="10">
        <v>130</v>
      </c>
      <c r="M699" s="10">
        <v>65</v>
      </c>
      <c r="N699" s="10">
        <v>2</v>
      </c>
      <c r="Q699" s="9" t="s">
        <v>54</v>
      </c>
      <c r="R699" s="9">
        <v>53.5</v>
      </c>
      <c r="S699" s="9">
        <v>54</v>
      </c>
      <c r="T699" s="9">
        <v>53.75</v>
      </c>
    </row>
    <row r="700" spans="1:20" x14ac:dyDescent="0.25">
      <c r="A700" s="21" t="s">
        <v>4</v>
      </c>
      <c r="B700" s="21" t="s">
        <v>30</v>
      </c>
      <c r="C700" s="21" t="s">
        <v>14</v>
      </c>
      <c r="D700" s="21" t="s">
        <v>35</v>
      </c>
      <c r="E700" s="21" t="s">
        <v>33</v>
      </c>
      <c r="F700" s="22">
        <v>57</v>
      </c>
      <c r="G700" s="22">
        <v>78</v>
      </c>
      <c r="H700" s="22">
        <v>79</v>
      </c>
      <c r="J700" s="10">
        <v>73</v>
      </c>
      <c r="K700" s="10">
        <v>2</v>
      </c>
      <c r="L700" s="10">
        <v>154</v>
      </c>
      <c r="M700" s="10">
        <v>77</v>
      </c>
      <c r="N700" s="10">
        <v>2</v>
      </c>
      <c r="Q700" s="9" t="s">
        <v>55</v>
      </c>
      <c r="R700" s="9">
        <v>220.5</v>
      </c>
      <c r="S700" s="9">
        <v>288</v>
      </c>
      <c r="T700" s="9">
        <v>169.58333333333334</v>
      </c>
    </row>
    <row r="701" spans="1:20" x14ac:dyDescent="0.25">
      <c r="A701" s="21" t="s">
        <v>5</v>
      </c>
      <c r="B701" s="21" t="s">
        <v>29</v>
      </c>
      <c r="C701" s="21" t="s">
        <v>15</v>
      </c>
      <c r="D701" s="21" t="s">
        <v>32</v>
      </c>
      <c r="E701" s="21" t="s">
        <v>34</v>
      </c>
      <c r="F701" s="22">
        <v>66</v>
      </c>
      <c r="G701" s="22">
        <v>66</v>
      </c>
      <c r="H701" s="22">
        <v>59</v>
      </c>
      <c r="J701" s="10">
        <v>70</v>
      </c>
      <c r="K701" s="10">
        <v>2</v>
      </c>
      <c r="L701" s="10">
        <v>158</v>
      </c>
      <c r="M701" s="10">
        <v>79</v>
      </c>
      <c r="N701" s="10">
        <v>18</v>
      </c>
      <c r="Q701" s="9"/>
      <c r="R701" s="9"/>
      <c r="S701" s="9"/>
      <c r="T701" s="9"/>
    </row>
    <row r="702" spans="1:20" x14ac:dyDescent="0.25">
      <c r="A702" s="21" t="s">
        <v>4</v>
      </c>
      <c r="B702" s="21" t="s">
        <v>31</v>
      </c>
      <c r="C702" s="21" t="s">
        <v>43</v>
      </c>
      <c r="D702" s="21" t="s">
        <v>35</v>
      </c>
      <c r="E702" s="21" t="s">
        <v>33</v>
      </c>
      <c r="F702" s="22">
        <v>79</v>
      </c>
      <c r="G702" s="22">
        <v>81</v>
      </c>
      <c r="H702" s="22">
        <v>82</v>
      </c>
      <c r="J702" s="10">
        <v>81</v>
      </c>
      <c r="K702" s="10">
        <v>2</v>
      </c>
      <c r="L702" s="10">
        <v>153</v>
      </c>
      <c r="M702" s="10">
        <v>76.5</v>
      </c>
      <c r="N702" s="10">
        <v>4.5</v>
      </c>
      <c r="Q702" s="14">
        <v>67</v>
      </c>
      <c r="R702" s="14"/>
      <c r="S702" s="14"/>
      <c r="T702" s="14"/>
    </row>
    <row r="703" spans="1:20" x14ac:dyDescent="0.25">
      <c r="A703" s="21" t="s">
        <v>4</v>
      </c>
      <c r="B703" s="21" t="s">
        <v>28</v>
      </c>
      <c r="C703" s="21" t="s">
        <v>17</v>
      </c>
      <c r="D703" s="21" t="s">
        <v>35</v>
      </c>
      <c r="E703" s="21" t="s">
        <v>34</v>
      </c>
      <c r="F703" s="22">
        <v>57</v>
      </c>
      <c r="G703" s="22">
        <v>67</v>
      </c>
      <c r="H703" s="22">
        <v>72</v>
      </c>
      <c r="J703" s="10">
        <v>63</v>
      </c>
      <c r="K703" s="10">
        <v>2</v>
      </c>
      <c r="L703" s="10">
        <v>121</v>
      </c>
      <c r="M703" s="10">
        <v>60.5</v>
      </c>
      <c r="N703" s="10">
        <v>0.5</v>
      </c>
      <c r="Q703" s="9" t="s">
        <v>52</v>
      </c>
      <c r="R703" s="9">
        <v>2</v>
      </c>
      <c r="S703" s="9">
        <v>2</v>
      </c>
      <c r="T703" s="9">
        <v>4</v>
      </c>
    </row>
    <row r="704" spans="1:20" x14ac:dyDescent="0.25">
      <c r="A704" s="21" t="s">
        <v>5</v>
      </c>
      <c r="B704" s="21" t="s">
        <v>27</v>
      </c>
      <c r="C704" s="21" t="s">
        <v>43</v>
      </c>
      <c r="D704" s="21" t="s">
        <v>35</v>
      </c>
      <c r="E704" s="21" t="s">
        <v>33</v>
      </c>
      <c r="F704" s="22">
        <v>87</v>
      </c>
      <c r="G704" s="22">
        <v>84</v>
      </c>
      <c r="H704" s="22">
        <v>87</v>
      </c>
      <c r="J704" s="10">
        <v>67</v>
      </c>
      <c r="K704" s="10">
        <v>2</v>
      </c>
      <c r="L704" s="10">
        <v>146</v>
      </c>
      <c r="M704" s="10">
        <v>73</v>
      </c>
      <c r="N704" s="10">
        <v>2</v>
      </c>
      <c r="Q704" s="9" t="s">
        <v>53</v>
      </c>
      <c r="R704" s="9">
        <v>173</v>
      </c>
      <c r="S704" s="9">
        <v>161</v>
      </c>
      <c r="T704" s="9">
        <v>334</v>
      </c>
    </row>
    <row r="705" spans="1:20" x14ac:dyDescent="0.25">
      <c r="A705" s="21" t="s">
        <v>4</v>
      </c>
      <c r="B705" s="21" t="s">
        <v>30</v>
      </c>
      <c r="C705" s="21" t="s">
        <v>45</v>
      </c>
      <c r="D705" s="21" t="s">
        <v>35</v>
      </c>
      <c r="E705" s="21" t="s">
        <v>34</v>
      </c>
      <c r="F705" s="22">
        <v>63</v>
      </c>
      <c r="G705" s="22">
        <v>64</v>
      </c>
      <c r="H705" s="22">
        <v>67</v>
      </c>
      <c r="J705" s="10">
        <v>60</v>
      </c>
      <c r="K705" s="10">
        <v>2</v>
      </c>
      <c r="L705" s="10">
        <v>128</v>
      </c>
      <c r="M705" s="10">
        <v>64</v>
      </c>
      <c r="N705" s="10">
        <v>32</v>
      </c>
      <c r="Q705" s="9" t="s">
        <v>54</v>
      </c>
      <c r="R705" s="9">
        <v>86.5</v>
      </c>
      <c r="S705" s="9">
        <v>80.5</v>
      </c>
      <c r="T705" s="9">
        <v>83.5</v>
      </c>
    </row>
    <row r="706" spans="1:20" x14ac:dyDescent="0.25">
      <c r="A706" s="21" t="s">
        <v>4</v>
      </c>
      <c r="B706" s="21" t="s">
        <v>28</v>
      </c>
      <c r="C706" s="21" t="s">
        <v>17</v>
      </c>
      <c r="D706" s="21" t="s">
        <v>32</v>
      </c>
      <c r="E706" s="21" t="s">
        <v>33</v>
      </c>
      <c r="F706" s="22">
        <v>59</v>
      </c>
      <c r="G706" s="22">
        <v>63</v>
      </c>
      <c r="H706" s="22">
        <v>64</v>
      </c>
      <c r="J706" s="10">
        <v>62</v>
      </c>
      <c r="K706" s="10">
        <v>2</v>
      </c>
      <c r="L706" s="10">
        <v>109</v>
      </c>
      <c r="M706" s="10">
        <v>54.5</v>
      </c>
      <c r="N706" s="10">
        <v>0.5</v>
      </c>
      <c r="Q706" s="9" t="s">
        <v>55</v>
      </c>
      <c r="R706" s="9">
        <v>0.5</v>
      </c>
      <c r="S706" s="9">
        <v>12.5</v>
      </c>
      <c r="T706" s="9">
        <v>16.333333333333332</v>
      </c>
    </row>
    <row r="707" spans="1:20" x14ac:dyDescent="0.25">
      <c r="A707" s="21" t="s">
        <v>5</v>
      </c>
      <c r="B707" s="21" t="s">
        <v>27</v>
      </c>
      <c r="C707" s="21" t="s">
        <v>43</v>
      </c>
      <c r="D707" s="21" t="s">
        <v>32</v>
      </c>
      <c r="E707" s="21" t="s">
        <v>34</v>
      </c>
      <c r="F707" s="22">
        <v>62</v>
      </c>
      <c r="G707" s="22">
        <v>72</v>
      </c>
      <c r="H707" s="22">
        <v>65</v>
      </c>
      <c r="J707" s="10">
        <v>29</v>
      </c>
      <c r="K707" s="10">
        <v>2</v>
      </c>
      <c r="L707" s="10">
        <v>84</v>
      </c>
      <c r="M707" s="10">
        <v>42</v>
      </c>
      <c r="N707" s="10">
        <v>8</v>
      </c>
      <c r="Q707" s="9"/>
      <c r="R707" s="9"/>
      <c r="S707" s="9"/>
      <c r="T707" s="9"/>
    </row>
    <row r="708" spans="1:20" x14ac:dyDescent="0.25">
      <c r="A708" s="21" t="s">
        <v>5</v>
      </c>
      <c r="B708" s="21" t="s">
        <v>30</v>
      </c>
      <c r="C708" s="21" t="s">
        <v>15</v>
      </c>
      <c r="D708" s="21" t="s">
        <v>35</v>
      </c>
      <c r="E708" s="21" t="s">
        <v>34</v>
      </c>
      <c r="F708" s="22">
        <v>46</v>
      </c>
      <c r="G708" s="22">
        <v>34</v>
      </c>
      <c r="H708" s="22">
        <v>36</v>
      </c>
      <c r="J708" s="10">
        <v>62</v>
      </c>
      <c r="K708" s="10">
        <v>2</v>
      </c>
      <c r="L708" s="10">
        <v>134</v>
      </c>
      <c r="M708" s="10">
        <v>67</v>
      </c>
      <c r="N708" s="10">
        <v>2</v>
      </c>
      <c r="Q708" s="14">
        <v>83</v>
      </c>
      <c r="R708" s="14"/>
      <c r="S708" s="14"/>
      <c r="T708" s="14"/>
    </row>
    <row r="709" spans="1:20" x14ac:dyDescent="0.25">
      <c r="A709" s="21" t="s">
        <v>5</v>
      </c>
      <c r="B709" s="21" t="s">
        <v>29</v>
      </c>
      <c r="C709" s="21" t="s">
        <v>45</v>
      </c>
      <c r="D709" s="21" t="s">
        <v>35</v>
      </c>
      <c r="E709" s="21" t="s">
        <v>34</v>
      </c>
      <c r="F709" s="22">
        <v>66</v>
      </c>
      <c r="G709" s="22">
        <v>59</v>
      </c>
      <c r="H709" s="22">
        <v>52</v>
      </c>
      <c r="J709" s="10">
        <v>94</v>
      </c>
      <c r="K709" s="10">
        <v>2</v>
      </c>
      <c r="L709" s="10">
        <v>199</v>
      </c>
      <c r="M709" s="10">
        <v>99.5</v>
      </c>
      <c r="N709" s="10">
        <v>0.5</v>
      </c>
      <c r="Q709" s="9" t="s">
        <v>52</v>
      </c>
      <c r="R709" s="9">
        <v>2</v>
      </c>
      <c r="S709" s="9">
        <v>2</v>
      </c>
      <c r="T709" s="9">
        <v>4</v>
      </c>
    </row>
    <row r="710" spans="1:20" x14ac:dyDescent="0.25">
      <c r="A710" s="21" t="s">
        <v>5</v>
      </c>
      <c r="B710" s="21" t="s">
        <v>30</v>
      </c>
      <c r="C710" s="21" t="s">
        <v>15</v>
      </c>
      <c r="D710" s="21" t="s">
        <v>35</v>
      </c>
      <c r="E710" s="21" t="s">
        <v>34</v>
      </c>
      <c r="F710" s="22">
        <v>89</v>
      </c>
      <c r="G710" s="22">
        <v>87</v>
      </c>
      <c r="H710" s="22">
        <v>79</v>
      </c>
      <c r="J710" s="10">
        <v>85</v>
      </c>
      <c r="K710" s="10">
        <v>2</v>
      </c>
      <c r="L710" s="10">
        <v>143</v>
      </c>
      <c r="M710" s="10">
        <v>71.5</v>
      </c>
      <c r="N710" s="10">
        <v>24.5</v>
      </c>
      <c r="Q710" s="9" t="s">
        <v>53</v>
      </c>
      <c r="R710" s="9">
        <v>157</v>
      </c>
      <c r="S710" s="9">
        <v>161</v>
      </c>
      <c r="T710" s="9">
        <v>318</v>
      </c>
    </row>
    <row r="711" spans="1:20" x14ac:dyDescent="0.25">
      <c r="A711" s="21" t="s">
        <v>4</v>
      </c>
      <c r="B711" s="21" t="s">
        <v>30</v>
      </c>
      <c r="C711" s="21" t="s">
        <v>14</v>
      </c>
      <c r="D711" s="21" t="s">
        <v>32</v>
      </c>
      <c r="E711" s="21" t="s">
        <v>33</v>
      </c>
      <c r="F711" s="22">
        <v>42</v>
      </c>
      <c r="G711" s="22">
        <v>61</v>
      </c>
      <c r="H711" s="22">
        <v>58</v>
      </c>
      <c r="J711" s="10">
        <v>77</v>
      </c>
      <c r="K711" s="10">
        <v>2</v>
      </c>
      <c r="L711" s="10">
        <v>151</v>
      </c>
      <c r="M711" s="10">
        <v>75.5</v>
      </c>
      <c r="N711" s="10">
        <v>12.5</v>
      </c>
      <c r="Q711" s="9" t="s">
        <v>54</v>
      </c>
      <c r="R711" s="9">
        <v>78.5</v>
      </c>
      <c r="S711" s="9">
        <v>80.5</v>
      </c>
      <c r="T711" s="9">
        <v>79.5</v>
      </c>
    </row>
    <row r="712" spans="1:20" x14ac:dyDescent="0.25">
      <c r="A712" s="21" t="s">
        <v>5</v>
      </c>
      <c r="B712" s="21" t="s">
        <v>29</v>
      </c>
      <c r="C712" s="21" t="s">
        <v>45</v>
      </c>
      <c r="D712" s="21" t="s">
        <v>35</v>
      </c>
      <c r="E712" s="21" t="s">
        <v>33</v>
      </c>
      <c r="F712" s="22">
        <v>93</v>
      </c>
      <c r="G712" s="22">
        <v>84</v>
      </c>
      <c r="H712" s="22">
        <v>90</v>
      </c>
      <c r="J712" s="10">
        <v>53</v>
      </c>
      <c r="K712" s="10">
        <v>2</v>
      </c>
      <c r="L712" s="10">
        <v>102</v>
      </c>
      <c r="M712" s="10">
        <v>51</v>
      </c>
      <c r="N712" s="10">
        <v>98</v>
      </c>
      <c r="Q712" s="9" t="s">
        <v>55</v>
      </c>
      <c r="R712" s="9">
        <v>24.5</v>
      </c>
      <c r="S712" s="9">
        <v>24.5</v>
      </c>
      <c r="T712" s="9">
        <v>17.666666666666668</v>
      </c>
    </row>
    <row r="713" spans="1:20" x14ac:dyDescent="0.25">
      <c r="A713" s="21" t="s">
        <v>4</v>
      </c>
      <c r="B713" s="21" t="s">
        <v>31</v>
      </c>
      <c r="C713" s="21" t="s">
        <v>17</v>
      </c>
      <c r="D713" s="21" t="s">
        <v>35</v>
      </c>
      <c r="E713" s="21" t="s">
        <v>33</v>
      </c>
      <c r="F713" s="22">
        <v>80</v>
      </c>
      <c r="G713" s="22">
        <v>85</v>
      </c>
      <c r="H713" s="22">
        <v>85</v>
      </c>
      <c r="J713" s="10">
        <v>93</v>
      </c>
      <c r="K713" s="10">
        <v>2</v>
      </c>
      <c r="L713" s="10">
        <v>173</v>
      </c>
      <c r="M713" s="10">
        <v>86.5</v>
      </c>
      <c r="N713" s="10">
        <v>24.5</v>
      </c>
      <c r="Q713" s="9"/>
      <c r="R713" s="9"/>
      <c r="S713" s="9"/>
      <c r="T713" s="9"/>
    </row>
    <row r="714" spans="1:20" x14ac:dyDescent="0.25">
      <c r="A714" s="21" t="s">
        <v>4</v>
      </c>
      <c r="B714" s="21" t="s">
        <v>30</v>
      </c>
      <c r="C714" s="21" t="s">
        <v>45</v>
      </c>
      <c r="D714" s="21" t="s">
        <v>35</v>
      </c>
      <c r="E714" s="21" t="s">
        <v>34</v>
      </c>
      <c r="F714" s="22">
        <v>98</v>
      </c>
      <c r="G714" s="22">
        <v>100</v>
      </c>
      <c r="H714" s="22">
        <v>99</v>
      </c>
      <c r="J714" s="10">
        <v>49</v>
      </c>
      <c r="K714" s="10">
        <v>2</v>
      </c>
      <c r="L714" s="10">
        <v>106</v>
      </c>
      <c r="M714" s="10">
        <v>53</v>
      </c>
      <c r="N714" s="10">
        <v>0</v>
      </c>
      <c r="Q714" s="14">
        <v>63</v>
      </c>
      <c r="R714" s="14"/>
      <c r="S714" s="14"/>
      <c r="T714" s="14"/>
    </row>
    <row r="715" spans="1:20" x14ac:dyDescent="0.25">
      <c r="A715" s="21" t="s">
        <v>5</v>
      </c>
      <c r="B715" s="21" t="s">
        <v>30</v>
      </c>
      <c r="C715" s="21" t="s">
        <v>16</v>
      </c>
      <c r="D715" s="21" t="s">
        <v>35</v>
      </c>
      <c r="E715" s="21" t="s">
        <v>34</v>
      </c>
      <c r="F715" s="22">
        <v>81</v>
      </c>
      <c r="G715" s="22">
        <v>81</v>
      </c>
      <c r="H715" s="22">
        <v>84</v>
      </c>
      <c r="J715" s="10">
        <v>73</v>
      </c>
      <c r="K715" s="10">
        <v>2</v>
      </c>
      <c r="L715" s="10">
        <v>154</v>
      </c>
      <c r="M715" s="10">
        <v>77</v>
      </c>
      <c r="N715" s="10">
        <v>2</v>
      </c>
      <c r="Q715" s="9" t="s">
        <v>52</v>
      </c>
      <c r="R715" s="9">
        <v>2</v>
      </c>
      <c r="S715" s="9">
        <v>2</v>
      </c>
      <c r="T715" s="9">
        <v>4</v>
      </c>
    </row>
    <row r="716" spans="1:20" x14ac:dyDescent="0.25">
      <c r="A716" s="21" t="s">
        <v>4</v>
      </c>
      <c r="B716" s="21" t="s">
        <v>28</v>
      </c>
      <c r="C716" s="21" t="s">
        <v>17</v>
      </c>
      <c r="D716" s="21" t="s">
        <v>35</v>
      </c>
      <c r="E716" s="21" t="s">
        <v>33</v>
      </c>
      <c r="F716" s="22">
        <v>60</v>
      </c>
      <c r="G716" s="22">
        <v>70</v>
      </c>
      <c r="H716" s="22">
        <v>74</v>
      </c>
      <c r="J716" s="10">
        <v>66</v>
      </c>
      <c r="K716" s="10">
        <v>2</v>
      </c>
      <c r="L716" s="10">
        <v>155</v>
      </c>
      <c r="M716" s="10">
        <v>77.5</v>
      </c>
      <c r="N716" s="10">
        <v>24.5</v>
      </c>
      <c r="Q716" s="9" t="s">
        <v>53</v>
      </c>
      <c r="R716" s="9">
        <v>126</v>
      </c>
      <c r="S716" s="9">
        <v>141</v>
      </c>
      <c r="T716" s="9">
        <v>267</v>
      </c>
    </row>
    <row r="717" spans="1:20" x14ac:dyDescent="0.25">
      <c r="A717" s="21" t="s">
        <v>4</v>
      </c>
      <c r="B717" s="21" t="s">
        <v>28</v>
      </c>
      <c r="C717" s="21" t="s">
        <v>14</v>
      </c>
      <c r="D717" s="21" t="s">
        <v>32</v>
      </c>
      <c r="E717" s="21" t="s">
        <v>33</v>
      </c>
      <c r="F717" s="22">
        <v>76</v>
      </c>
      <c r="G717" s="22">
        <v>94</v>
      </c>
      <c r="H717" s="22">
        <v>87</v>
      </c>
      <c r="J717" s="10">
        <v>77</v>
      </c>
      <c r="K717" s="10">
        <v>2</v>
      </c>
      <c r="L717" s="10">
        <v>150</v>
      </c>
      <c r="M717" s="10">
        <v>75</v>
      </c>
      <c r="N717" s="10">
        <v>8</v>
      </c>
      <c r="Q717" s="9" t="s">
        <v>54</v>
      </c>
      <c r="R717" s="9">
        <v>63</v>
      </c>
      <c r="S717" s="9">
        <v>70.5</v>
      </c>
      <c r="T717" s="9">
        <v>66.75</v>
      </c>
    </row>
    <row r="718" spans="1:20" x14ac:dyDescent="0.25">
      <c r="A718" s="21" t="s">
        <v>5</v>
      </c>
      <c r="B718" s="21" t="s">
        <v>29</v>
      </c>
      <c r="C718" s="21" t="s">
        <v>14</v>
      </c>
      <c r="D718" s="21" t="s">
        <v>35</v>
      </c>
      <c r="E718" s="21" t="s">
        <v>33</v>
      </c>
      <c r="F718" s="22">
        <v>73</v>
      </c>
      <c r="G718" s="22">
        <v>78</v>
      </c>
      <c r="H718" s="22">
        <v>72</v>
      </c>
      <c r="J718" s="10">
        <v>49</v>
      </c>
      <c r="K718" s="10">
        <v>2</v>
      </c>
      <c r="L718" s="10">
        <v>119</v>
      </c>
      <c r="M718" s="10">
        <v>59.5</v>
      </c>
      <c r="N718" s="10">
        <v>24.5</v>
      </c>
      <c r="Q718" s="9" t="s">
        <v>55</v>
      </c>
      <c r="R718" s="9">
        <v>18</v>
      </c>
      <c r="S718" s="9">
        <v>24.5</v>
      </c>
      <c r="T718" s="9">
        <v>32.916666666666664</v>
      </c>
    </row>
    <row r="719" spans="1:20" x14ac:dyDescent="0.25">
      <c r="A719" s="21" t="s">
        <v>4</v>
      </c>
      <c r="B719" s="21" t="s">
        <v>29</v>
      </c>
      <c r="C719" s="21" t="s">
        <v>14</v>
      </c>
      <c r="D719" s="21" t="s">
        <v>35</v>
      </c>
      <c r="E719" s="21" t="s">
        <v>33</v>
      </c>
      <c r="F719" s="22">
        <v>96</v>
      </c>
      <c r="G719" s="22">
        <v>96</v>
      </c>
      <c r="H719" s="22">
        <v>99</v>
      </c>
      <c r="J719" s="10">
        <v>79</v>
      </c>
      <c r="K719" s="10">
        <v>2</v>
      </c>
      <c r="L719" s="10">
        <v>175</v>
      </c>
      <c r="M719" s="10">
        <v>87.5</v>
      </c>
      <c r="N719" s="10">
        <v>4.5</v>
      </c>
      <c r="Q719" s="9"/>
      <c r="R719" s="9"/>
      <c r="S719" s="9"/>
      <c r="T719" s="9"/>
    </row>
    <row r="720" spans="1:20" x14ac:dyDescent="0.25">
      <c r="A720" s="21" t="s">
        <v>4</v>
      </c>
      <c r="B720" s="21" t="s">
        <v>29</v>
      </c>
      <c r="C720" s="21" t="s">
        <v>15</v>
      </c>
      <c r="D720" s="21" t="s">
        <v>35</v>
      </c>
      <c r="E720" s="21" t="s">
        <v>34</v>
      </c>
      <c r="F720" s="22">
        <v>76</v>
      </c>
      <c r="G720" s="22">
        <v>76</v>
      </c>
      <c r="H720" s="22">
        <v>74</v>
      </c>
      <c r="J720" s="10">
        <v>75</v>
      </c>
      <c r="K720" s="10">
        <v>2</v>
      </c>
      <c r="L720" s="10">
        <v>172</v>
      </c>
      <c r="M720" s="10">
        <v>86</v>
      </c>
      <c r="N720" s="10">
        <v>32</v>
      </c>
      <c r="Q720" s="14">
        <v>54</v>
      </c>
      <c r="R720" s="14"/>
      <c r="S720" s="14"/>
      <c r="T720" s="14"/>
    </row>
    <row r="721" spans="1:20" x14ac:dyDescent="0.25">
      <c r="A721" s="21" t="s">
        <v>5</v>
      </c>
      <c r="B721" s="21" t="s">
        <v>31</v>
      </c>
      <c r="C721" s="21" t="s">
        <v>14</v>
      </c>
      <c r="D721" s="21" t="s">
        <v>32</v>
      </c>
      <c r="E721" s="21" t="s">
        <v>33</v>
      </c>
      <c r="F721" s="22">
        <v>91</v>
      </c>
      <c r="G721" s="22">
        <v>73</v>
      </c>
      <c r="H721" s="22">
        <v>80</v>
      </c>
      <c r="J721" s="10">
        <v>59</v>
      </c>
      <c r="K721" s="10">
        <v>2</v>
      </c>
      <c r="L721" s="10">
        <v>142</v>
      </c>
      <c r="M721" s="10">
        <v>71</v>
      </c>
      <c r="N721" s="10">
        <v>2</v>
      </c>
      <c r="Q721" s="9" t="s">
        <v>52</v>
      </c>
      <c r="R721" s="9">
        <v>2</v>
      </c>
      <c r="S721" s="9">
        <v>2</v>
      </c>
      <c r="T721" s="9">
        <v>4</v>
      </c>
    </row>
    <row r="722" spans="1:20" x14ac:dyDescent="0.25">
      <c r="A722" s="21" t="s">
        <v>4</v>
      </c>
      <c r="B722" s="21" t="s">
        <v>29</v>
      </c>
      <c r="C722" s="21" t="s">
        <v>45</v>
      </c>
      <c r="D722" s="21" t="s">
        <v>32</v>
      </c>
      <c r="E722" s="21" t="s">
        <v>34</v>
      </c>
      <c r="F722" s="22">
        <v>62</v>
      </c>
      <c r="G722" s="22">
        <v>72</v>
      </c>
      <c r="H722" s="22">
        <v>70</v>
      </c>
      <c r="J722" s="10">
        <v>57</v>
      </c>
      <c r="K722" s="10">
        <v>2</v>
      </c>
      <c r="L722" s="10">
        <v>157</v>
      </c>
      <c r="M722" s="10">
        <v>78.5</v>
      </c>
      <c r="N722" s="10">
        <v>0.5</v>
      </c>
      <c r="Q722" s="9" t="s">
        <v>53</v>
      </c>
      <c r="R722" s="9">
        <v>132</v>
      </c>
      <c r="S722" s="9">
        <v>131</v>
      </c>
      <c r="T722" s="9">
        <v>263</v>
      </c>
    </row>
    <row r="723" spans="1:20" x14ac:dyDescent="0.25">
      <c r="A723" s="21" t="s">
        <v>5</v>
      </c>
      <c r="B723" s="21" t="s">
        <v>30</v>
      </c>
      <c r="C723" s="21" t="s">
        <v>17</v>
      </c>
      <c r="D723" s="21" t="s">
        <v>32</v>
      </c>
      <c r="E723" s="21" t="s">
        <v>33</v>
      </c>
      <c r="F723" s="22">
        <v>55</v>
      </c>
      <c r="G723" s="22">
        <v>59</v>
      </c>
      <c r="H723" s="22">
        <v>59</v>
      </c>
      <c r="J723" s="10">
        <v>66</v>
      </c>
      <c r="K723" s="10">
        <v>2</v>
      </c>
      <c r="L723" s="10">
        <v>125</v>
      </c>
      <c r="M723" s="10">
        <v>62.5</v>
      </c>
      <c r="N723" s="10">
        <v>24.5</v>
      </c>
      <c r="Q723" s="9" t="s">
        <v>54</v>
      </c>
      <c r="R723" s="9">
        <v>66</v>
      </c>
      <c r="S723" s="9">
        <v>65.5</v>
      </c>
      <c r="T723" s="9">
        <v>65.75</v>
      </c>
    </row>
    <row r="724" spans="1:20" x14ac:dyDescent="0.25">
      <c r="A724" s="21" t="s">
        <v>4</v>
      </c>
      <c r="B724" s="21" t="s">
        <v>28</v>
      </c>
      <c r="C724" s="21" t="s">
        <v>17</v>
      </c>
      <c r="D724" s="21" t="s">
        <v>32</v>
      </c>
      <c r="E724" s="21" t="s">
        <v>33</v>
      </c>
      <c r="F724" s="22">
        <v>74</v>
      </c>
      <c r="G724" s="22">
        <v>90</v>
      </c>
      <c r="H724" s="22">
        <v>88</v>
      </c>
      <c r="J724" s="10">
        <v>79</v>
      </c>
      <c r="K724" s="10">
        <v>2</v>
      </c>
      <c r="L724" s="10">
        <v>163</v>
      </c>
      <c r="M724" s="10">
        <v>81.5</v>
      </c>
      <c r="N724" s="10">
        <v>0.5</v>
      </c>
      <c r="Q724" s="9" t="s">
        <v>55</v>
      </c>
      <c r="R724" s="9">
        <v>392</v>
      </c>
      <c r="S724" s="9">
        <v>420.5</v>
      </c>
      <c r="T724" s="9">
        <v>270.91666666666669</v>
      </c>
    </row>
    <row r="725" spans="1:20" x14ac:dyDescent="0.25">
      <c r="A725" s="21" t="s">
        <v>5</v>
      </c>
      <c r="B725" s="21" t="s">
        <v>29</v>
      </c>
      <c r="C725" s="21" t="s">
        <v>15</v>
      </c>
      <c r="D725" s="21" t="s">
        <v>35</v>
      </c>
      <c r="E725" s="21" t="s">
        <v>34</v>
      </c>
      <c r="F725" s="22">
        <v>50</v>
      </c>
      <c r="G725" s="22">
        <v>48</v>
      </c>
      <c r="H725" s="22">
        <v>42</v>
      </c>
      <c r="J725" s="10">
        <v>57</v>
      </c>
      <c r="K725" s="10">
        <v>2</v>
      </c>
      <c r="L725" s="10">
        <v>139</v>
      </c>
      <c r="M725" s="10">
        <v>69.5</v>
      </c>
      <c r="N725" s="10">
        <v>12.5</v>
      </c>
      <c r="Q725" s="9"/>
      <c r="R725" s="9"/>
      <c r="S725" s="9"/>
      <c r="T725" s="9"/>
    </row>
    <row r="726" spans="1:20" x14ac:dyDescent="0.25">
      <c r="A726" s="21" t="s">
        <v>5</v>
      </c>
      <c r="B726" s="21" t="s">
        <v>28</v>
      </c>
      <c r="C726" s="21" t="s">
        <v>45</v>
      </c>
      <c r="D726" s="21" t="s">
        <v>35</v>
      </c>
      <c r="E726" s="21" t="s">
        <v>34</v>
      </c>
      <c r="F726" s="22">
        <v>47</v>
      </c>
      <c r="G726" s="22">
        <v>43</v>
      </c>
      <c r="H726" s="22">
        <v>41</v>
      </c>
      <c r="J726" s="10">
        <v>87</v>
      </c>
      <c r="K726" s="10">
        <v>2</v>
      </c>
      <c r="L726" s="10">
        <v>171</v>
      </c>
      <c r="M726" s="10">
        <v>85.5</v>
      </c>
      <c r="N726" s="10">
        <v>4.5</v>
      </c>
      <c r="Q726" s="14">
        <v>73</v>
      </c>
      <c r="R726" s="14"/>
      <c r="S726" s="14"/>
      <c r="T726" s="14"/>
    </row>
    <row r="727" spans="1:20" x14ac:dyDescent="0.25">
      <c r="A727" s="21" t="s">
        <v>5</v>
      </c>
      <c r="B727" s="21" t="s">
        <v>31</v>
      </c>
      <c r="C727" s="21" t="s">
        <v>45</v>
      </c>
      <c r="D727" s="21" t="s">
        <v>35</v>
      </c>
      <c r="E727" s="21" t="s">
        <v>33</v>
      </c>
      <c r="F727" s="22">
        <v>81</v>
      </c>
      <c r="G727" s="22">
        <v>74</v>
      </c>
      <c r="H727" s="22">
        <v>71</v>
      </c>
      <c r="J727" s="10">
        <v>63</v>
      </c>
      <c r="K727" s="10">
        <v>2</v>
      </c>
      <c r="L727" s="10">
        <v>131</v>
      </c>
      <c r="M727" s="10">
        <v>65.5</v>
      </c>
      <c r="N727" s="10">
        <v>4.5</v>
      </c>
      <c r="Q727" s="9" t="s">
        <v>52</v>
      </c>
      <c r="R727" s="9">
        <v>2</v>
      </c>
      <c r="S727" s="9">
        <v>2</v>
      </c>
      <c r="T727" s="9">
        <v>4</v>
      </c>
    </row>
    <row r="728" spans="1:20" x14ac:dyDescent="0.25">
      <c r="A728" s="21" t="s">
        <v>4</v>
      </c>
      <c r="B728" s="21" t="s">
        <v>31</v>
      </c>
      <c r="C728" s="21" t="s">
        <v>14</v>
      </c>
      <c r="D728" s="21" t="s">
        <v>35</v>
      </c>
      <c r="E728" s="21" t="s">
        <v>33</v>
      </c>
      <c r="F728" s="22">
        <v>65</v>
      </c>
      <c r="G728" s="22">
        <v>75</v>
      </c>
      <c r="H728" s="22">
        <v>77</v>
      </c>
      <c r="J728" s="10">
        <v>59</v>
      </c>
      <c r="K728" s="10">
        <v>2</v>
      </c>
      <c r="L728" s="10">
        <v>127</v>
      </c>
      <c r="M728" s="10">
        <v>63.5</v>
      </c>
      <c r="N728" s="10">
        <v>0.5</v>
      </c>
      <c r="Q728" s="9" t="s">
        <v>53</v>
      </c>
      <c r="R728" s="9">
        <v>151</v>
      </c>
      <c r="S728" s="9">
        <v>149</v>
      </c>
      <c r="T728" s="9">
        <v>300</v>
      </c>
    </row>
    <row r="729" spans="1:20" x14ac:dyDescent="0.25">
      <c r="A729" s="21" t="s">
        <v>5</v>
      </c>
      <c r="B729" s="21" t="s">
        <v>31</v>
      </c>
      <c r="C729" s="21" t="s">
        <v>17</v>
      </c>
      <c r="D729" s="21" t="s">
        <v>35</v>
      </c>
      <c r="E729" s="21" t="s">
        <v>33</v>
      </c>
      <c r="F729" s="22">
        <v>68</v>
      </c>
      <c r="G729" s="22">
        <v>51</v>
      </c>
      <c r="H729" s="22">
        <v>57</v>
      </c>
      <c r="J729" s="10">
        <v>62</v>
      </c>
      <c r="K729" s="10">
        <v>2</v>
      </c>
      <c r="L729" s="10">
        <v>137</v>
      </c>
      <c r="M729" s="10">
        <v>68.5</v>
      </c>
      <c r="N729" s="10">
        <v>24.5</v>
      </c>
      <c r="Q729" s="9" t="s">
        <v>54</v>
      </c>
      <c r="R729" s="9">
        <v>75.5</v>
      </c>
      <c r="S729" s="9">
        <v>74.5</v>
      </c>
      <c r="T729" s="9">
        <v>75</v>
      </c>
    </row>
    <row r="730" spans="1:20" x14ac:dyDescent="0.25">
      <c r="A730" s="21" t="s">
        <v>4</v>
      </c>
      <c r="B730" s="21" t="s">
        <v>30</v>
      </c>
      <c r="C730" s="21" t="s">
        <v>15</v>
      </c>
      <c r="D730" s="21" t="s">
        <v>32</v>
      </c>
      <c r="E730" s="21" t="s">
        <v>34</v>
      </c>
      <c r="F730" s="22">
        <v>73</v>
      </c>
      <c r="G730" s="22">
        <v>92</v>
      </c>
      <c r="H730" s="22">
        <v>84</v>
      </c>
      <c r="J730" s="10">
        <v>46</v>
      </c>
      <c r="K730" s="10">
        <v>2</v>
      </c>
      <c r="L730" s="10">
        <v>70</v>
      </c>
      <c r="M730" s="10">
        <v>35</v>
      </c>
      <c r="N730" s="10">
        <v>2</v>
      </c>
      <c r="Q730" s="9" t="s">
        <v>55</v>
      </c>
      <c r="R730" s="9">
        <v>112.5</v>
      </c>
      <c r="S730" s="9">
        <v>144.5</v>
      </c>
      <c r="T730" s="9">
        <v>86</v>
      </c>
    </row>
    <row r="731" spans="1:20" x14ac:dyDescent="0.25">
      <c r="A731" s="21" t="s">
        <v>5</v>
      </c>
      <c r="B731" s="21" t="s">
        <v>29</v>
      </c>
      <c r="C731" s="21" t="s">
        <v>45</v>
      </c>
      <c r="D731" s="21" t="s">
        <v>35</v>
      </c>
      <c r="E731" s="21" t="s">
        <v>34</v>
      </c>
      <c r="F731" s="22">
        <v>53</v>
      </c>
      <c r="G731" s="22">
        <v>39</v>
      </c>
      <c r="H731" s="22">
        <v>37</v>
      </c>
      <c r="J731" s="10">
        <v>66</v>
      </c>
      <c r="K731" s="10">
        <v>2</v>
      </c>
      <c r="L731" s="10">
        <v>111</v>
      </c>
      <c r="M731" s="10">
        <v>55.5</v>
      </c>
      <c r="N731" s="10">
        <v>24.5</v>
      </c>
      <c r="Q731" s="9"/>
      <c r="R731" s="9"/>
      <c r="S731" s="9"/>
      <c r="T731" s="9"/>
    </row>
    <row r="732" spans="1:20" x14ac:dyDescent="0.25">
      <c r="A732" s="21" t="s">
        <v>4</v>
      </c>
      <c r="B732" s="21" t="s">
        <v>28</v>
      </c>
      <c r="C732" s="21" t="s">
        <v>14</v>
      </c>
      <c r="D732" s="21" t="s">
        <v>32</v>
      </c>
      <c r="E732" s="21" t="s">
        <v>33</v>
      </c>
      <c r="F732" s="22">
        <v>68</v>
      </c>
      <c r="G732" s="22">
        <v>77</v>
      </c>
      <c r="H732" s="22">
        <v>80</v>
      </c>
      <c r="J732" s="10">
        <v>89</v>
      </c>
      <c r="K732" s="10">
        <v>2</v>
      </c>
      <c r="L732" s="10">
        <v>166</v>
      </c>
      <c r="M732" s="10">
        <v>83</v>
      </c>
      <c r="N732" s="10">
        <v>32</v>
      </c>
      <c r="Q732" s="14">
        <v>56</v>
      </c>
      <c r="R732" s="14"/>
      <c r="S732" s="14"/>
      <c r="T732" s="14"/>
    </row>
    <row r="733" spans="1:20" x14ac:dyDescent="0.25">
      <c r="A733" s="21" t="s">
        <v>5</v>
      </c>
      <c r="B733" s="21" t="s">
        <v>27</v>
      </c>
      <c r="C733" s="21" t="s">
        <v>17</v>
      </c>
      <c r="D733" s="21" t="s">
        <v>32</v>
      </c>
      <c r="E733" s="21" t="s">
        <v>34</v>
      </c>
      <c r="F733" s="22">
        <v>55</v>
      </c>
      <c r="G733" s="22">
        <v>46</v>
      </c>
      <c r="H733" s="22">
        <v>43</v>
      </c>
      <c r="J733" s="10">
        <v>42</v>
      </c>
      <c r="K733" s="10">
        <v>2</v>
      </c>
      <c r="L733" s="10">
        <v>119</v>
      </c>
      <c r="M733" s="10">
        <v>59.5</v>
      </c>
      <c r="N733" s="10">
        <v>4.5</v>
      </c>
      <c r="Q733" s="9" t="s">
        <v>52</v>
      </c>
      <c r="R733" s="9">
        <v>2</v>
      </c>
      <c r="S733" s="9">
        <v>2</v>
      </c>
      <c r="T733" s="9">
        <v>4</v>
      </c>
    </row>
    <row r="734" spans="1:20" x14ac:dyDescent="0.25">
      <c r="A734" s="21" t="s">
        <v>4</v>
      </c>
      <c r="B734" s="21" t="s">
        <v>29</v>
      </c>
      <c r="C734" s="21" t="s">
        <v>45</v>
      </c>
      <c r="D734" s="21" t="s">
        <v>35</v>
      </c>
      <c r="E734" s="21" t="s">
        <v>33</v>
      </c>
      <c r="F734" s="22">
        <v>87</v>
      </c>
      <c r="G734" s="22">
        <v>89</v>
      </c>
      <c r="H734" s="22">
        <v>94</v>
      </c>
      <c r="J734" s="10">
        <v>93</v>
      </c>
      <c r="K734" s="10">
        <v>2</v>
      </c>
      <c r="L734" s="10">
        <v>174</v>
      </c>
      <c r="M734" s="10">
        <v>87</v>
      </c>
      <c r="N734" s="10">
        <v>18</v>
      </c>
      <c r="Q734" s="9" t="s">
        <v>53</v>
      </c>
      <c r="R734" s="9">
        <v>103</v>
      </c>
      <c r="S734" s="9">
        <v>98</v>
      </c>
      <c r="T734" s="9">
        <v>201</v>
      </c>
    </row>
    <row r="735" spans="1:20" x14ac:dyDescent="0.25">
      <c r="A735" s="21" t="s">
        <v>5</v>
      </c>
      <c r="B735" s="21" t="s">
        <v>30</v>
      </c>
      <c r="C735" s="21" t="s">
        <v>17</v>
      </c>
      <c r="D735" s="21" t="s">
        <v>35</v>
      </c>
      <c r="E735" s="21" t="s">
        <v>34</v>
      </c>
      <c r="F735" s="22">
        <v>55</v>
      </c>
      <c r="G735" s="22">
        <v>47</v>
      </c>
      <c r="H735" s="22">
        <v>44</v>
      </c>
      <c r="J735" s="10">
        <v>80</v>
      </c>
      <c r="K735" s="10">
        <v>2</v>
      </c>
      <c r="L735" s="10">
        <v>170</v>
      </c>
      <c r="M735" s="10">
        <v>85</v>
      </c>
      <c r="N735" s="10">
        <v>0</v>
      </c>
      <c r="Q735" s="9" t="s">
        <v>54</v>
      </c>
      <c r="R735" s="9">
        <v>51.5</v>
      </c>
      <c r="S735" s="9">
        <v>49</v>
      </c>
      <c r="T735" s="9">
        <v>50.25</v>
      </c>
    </row>
    <row r="736" spans="1:20" x14ac:dyDescent="0.25">
      <c r="A736" s="21" t="s">
        <v>4</v>
      </c>
      <c r="B736" s="21" t="s">
        <v>31</v>
      </c>
      <c r="C736" s="21" t="s">
        <v>45</v>
      </c>
      <c r="D736" s="21" t="s">
        <v>32</v>
      </c>
      <c r="E736" s="21" t="s">
        <v>34</v>
      </c>
      <c r="F736" s="22">
        <v>53</v>
      </c>
      <c r="G736" s="22">
        <v>58</v>
      </c>
      <c r="H736" s="22">
        <v>57</v>
      </c>
      <c r="J736" s="10">
        <v>98</v>
      </c>
      <c r="K736" s="10">
        <v>2</v>
      </c>
      <c r="L736" s="10">
        <v>199</v>
      </c>
      <c r="M736" s="10">
        <v>99.5</v>
      </c>
      <c r="N736" s="10">
        <v>0.5</v>
      </c>
      <c r="Q736" s="9" t="s">
        <v>55</v>
      </c>
      <c r="R736" s="9">
        <v>0.5</v>
      </c>
      <c r="S736" s="9">
        <v>72</v>
      </c>
      <c r="T736" s="9">
        <v>26.25</v>
      </c>
    </row>
    <row r="737" spans="1:20" x14ac:dyDescent="0.25">
      <c r="A737" s="21" t="s">
        <v>5</v>
      </c>
      <c r="B737" s="21" t="s">
        <v>29</v>
      </c>
      <c r="C737" s="21" t="s">
        <v>16</v>
      </c>
      <c r="D737" s="21" t="s">
        <v>35</v>
      </c>
      <c r="E737" s="21" t="s">
        <v>34</v>
      </c>
      <c r="F737" s="22">
        <v>67</v>
      </c>
      <c r="G737" s="22">
        <v>57</v>
      </c>
      <c r="H737" s="22">
        <v>59</v>
      </c>
      <c r="J737" s="10">
        <v>81</v>
      </c>
      <c r="K737" s="10">
        <v>2</v>
      </c>
      <c r="L737" s="10">
        <v>165</v>
      </c>
      <c r="M737" s="10">
        <v>82.5</v>
      </c>
      <c r="N737" s="10">
        <v>4.5</v>
      </c>
      <c r="Q737" s="9"/>
      <c r="R737" s="9"/>
      <c r="S737" s="9"/>
      <c r="T737" s="9"/>
    </row>
    <row r="738" spans="1:20" x14ac:dyDescent="0.25">
      <c r="A738" s="21" t="s">
        <v>5</v>
      </c>
      <c r="B738" s="21" t="s">
        <v>29</v>
      </c>
      <c r="C738" s="21" t="s">
        <v>14</v>
      </c>
      <c r="D738" s="21" t="s">
        <v>35</v>
      </c>
      <c r="E738" s="21" t="s">
        <v>34</v>
      </c>
      <c r="F738" s="22">
        <v>92</v>
      </c>
      <c r="G738" s="22">
        <v>79</v>
      </c>
      <c r="H738" s="22">
        <v>84</v>
      </c>
      <c r="J738" s="10">
        <v>60</v>
      </c>
      <c r="K738" s="10">
        <v>2</v>
      </c>
      <c r="L738" s="10">
        <v>144</v>
      </c>
      <c r="M738" s="10">
        <v>72</v>
      </c>
      <c r="N738" s="10">
        <v>8</v>
      </c>
      <c r="Q738" s="14">
        <v>75</v>
      </c>
      <c r="R738" s="14"/>
      <c r="S738" s="14"/>
      <c r="T738" s="14"/>
    </row>
    <row r="739" spans="1:20" x14ac:dyDescent="0.25">
      <c r="A739" s="21" t="s">
        <v>4</v>
      </c>
      <c r="B739" s="21" t="s">
        <v>28</v>
      </c>
      <c r="C739" s="21" t="s">
        <v>45</v>
      </c>
      <c r="D739" s="21" t="s">
        <v>32</v>
      </c>
      <c r="E739" s="21" t="s">
        <v>33</v>
      </c>
      <c r="F739" s="22">
        <v>53</v>
      </c>
      <c r="G739" s="22">
        <v>66</v>
      </c>
      <c r="H739" s="22">
        <v>73</v>
      </c>
      <c r="J739" s="10">
        <v>76</v>
      </c>
      <c r="K739" s="10">
        <v>2</v>
      </c>
      <c r="L739" s="10">
        <v>181</v>
      </c>
      <c r="M739" s="10">
        <v>90.5</v>
      </c>
      <c r="N739" s="10">
        <v>24.5</v>
      </c>
      <c r="Q739" s="9" t="s">
        <v>52</v>
      </c>
      <c r="R739" s="9">
        <v>2</v>
      </c>
      <c r="S739" s="9">
        <v>2</v>
      </c>
      <c r="T739" s="9">
        <v>4</v>
      </c>
    </row>
    <row r="740" spans="1:20" x14ac:dyDescent="0.25">
      <c r="A740" s="21" t="s">
        <v>5</v>
      </c>
      <c r="B740" s="21" t="s">
        <v>30</v>
      </c>
      <c r="C740" s="21" t="s">
        <v>14</v>
      </c>
      <c r="D740" s="21" t="s">
        <v>35</v>
      </c>
      <c r="E740" s="21" t="s">
        <v>34</v>
      </c>
      <c r="F740" s="22">
        <v>81</v>
      </c>
      <c r="G740" s="22">
        <v>71</v>
      </c>
      <c r="H740" s="22">
        <v>73</v>
      </c>
      <c r="J740" s="10">
        <v>73</v>
      </c>
      <c r="K740" s="10">
        <v>2</v>
      </c>
      <c r="L740" s="10">
        <v>150</v>
      </c>
      <c r="M740" s="10">
        <v>75</v>
      </c>
      <c r="N740" s="10">
        <v>18</v>
      </c>
      <c r="Q740" s="9" t="s">
        <v>53</v>
      </c>
      <c r="R740" s="9">
        <v>150</v>
      </c>
      <c r="S740" s="9">
        <v>140</v>
      </c>
      <c r="T740" s="9">
        <v>290</v>
      </c>
    </row>
    <row r="741" spans="1:20" x14ac:dyDescent="0.25">
      <c r="A741" s="21" t="s">
        <v>5</v>
      </c>
      <c r="B741" s="21" t="s">
        <v>29</v>
      </c>
      <c r="C741" s="21" t="s">
        <v>15</v>
      </c>
      <c r="D741" s="21" t="s">
        <v>32</v>
      </c>
      <c r="E741" s="21" t="s">
        <v>34</v>
      </c>
      <c r="F741" s="22">
        <v>61</v>
      </c>
      <c r="G741" s="22">
        <v>60</v>
      </c>
      <c r="H741" s="22">
        <v>55</v>
      </c>
      <c r="J741" s="10">
        <v>96</v>
      </c>
      <c r="K741" s="10">
        <v>2</v>
      </c>
      <c r="L741" s="10">
        <v>195</v>
      </c>
      <c r="M741" s="10">
        <v>97.5</v>
      </c>
      <c r="N741" s="10">
        <v>4.5</v>
      </c>
      <c r="Q741" s="9" t="s">
        <v>54</v>
      </c>
      <c r="R741" s="9">
        <v>75</v>
      </c>
      <c r="S741" s="9">
        <v>70</v>
      </c>
      <c r="T741" s="9">
        <v>72.5</v>
      </c>
    </row>
    <row r="742" spans="1:20" x14ac:dyDescent="0.25">
      <c r="A742" s="21" t="s">
        <v>5</v>
      </c>
      <c r="B742" s="21" t="s">
        <v>30</v>
      </c>
      <c r="C742" s="21" t="s">
        <v>43</v>
      </c>
      <c r="D742" s="21" t="s">
        <v>35</v>
      </c>
      <c r="E742" s="21" t="s">
        <v>34</v>
      </c>
      <c r="F742" s="22">
        <v>80</v>
      </c>
      <c r="G742" s="22">
        <v>73</v>
      </c>
      <c r="H742" s="22">
        <v>72</v>
      </c>
      <c r="J742" s="10">
        <v>76</v>
      </c>
      <c r="K742" s="10">
        <v>2</v>
      </c>
      <c r="L742" s="10">
        <v>150</v>
      </c>
      <c r="M742" s="10">
        <v>75</v>
      </c>
      <c r="N742" s="10">
        <v>2</v>
      </c>
      <c r="Q742" s="9" t="s">
        <v>55</v>
      </c>
      <c r="R742" s="9">
        <v>2</v>
      </c>
      <c r="S742" s="9">
        <v>2</v>
      </c>
      <c r="T742" s="9">
        <v>9.6666666666666661</v>
      </c>
    </row>
    <row r="743" spans="1:20" x14ac:dyDescent="0.25">
      <c r="A743" s="21" t="s">
        <v>4</v>
      </c>
      <c r="B743" s="21" t="s">
        <v>27</v>
      </c>
      <c r="C743" s="21" t="s">
        <v>14</v>
      </c>
      <c r="D743" s="21" t="s">
        <v>32</v>
      </c>
      <c r="E743" s="21" t="s">
        <v>34</v>
      </c>
      <c r="F743" s="22">
        <v>37</v>
      </c>
      <c r="G743" s="22">
        <v>57</v>
      </c>
      <c r="H743" s="22">
        <v>56</v>
      </c>
      <c r="J743" s="10">
        <v>91</v>
      </c>
      <c r="K743" s="10">
        <v>2</v>
      </c>
      <c r="L743" s="10">
        <v>153</v>
      </c>
      <c r="M743" s="10">
        <v>76.5</v>
      </c>
      <c r="N743" s="10">
        <v>24.5</v>
      </c>
      <c r="Q743" s="9"/>
      <c r="R743" s="9"/>
      <c r="S743" s="9"/>
      <c r="T743" s="9"/>
    </row>
    <row r="744" spans="1:20" x14ac:dyDescent="0.25">
      <c r="A744" s="21" t="s">
        <v>4</v>
      </c>
      <c r="B744" s="21" t="s">
        <v>29</v>
      </c>
      <c r="C744" s="21" t="s">
        <v>15</v>
      </c>
      <c r="D744" s="21" t="s">
        <v>35</v>
      </c>
      <c r="E744" s="21" t="s">
        <v>34</v>
      </c>
      <c r="F744" s="22">
        <v>81</v>
      </c>
      <c r="G744" s="22">
        <v>84</v>
      </c>
      <c r="H744" s="22">
        <v>82</v>
      </c>
      <c r="J744" s="10">
        <v>62</v>
      </c>
      <c r="K744" s="10">
        <v>2</v>
      </c>
      <c r="L744" s="10">
        <v>142</v>
      </c>
      <c r="M744" s="10">
        <v>71</v>
      </c>
      <c r="N744" s="10">
        <v>2</v>
      </c>
      <c r="Q744" s="14">
        <v>89</v>
      </c>
      <c r="R744" s="14"/>
      <c r="S744" s="14"/>
      <c r="T744" s="14"/>
    </row>
    <row r="745" spans="1:20" x14ac:dyDescent="0.25">
      <c r="A745" s="21" t="s">
        <v>4</v>
      </c>
      <c r="B745" s="21" t="s">
        <v>29</v>
      </c>
      <c r="C745" s="21" t="s">
        <v>14</v>
      </c>
      <c r="D745" s="21" t="s">
        <v>35</v>
      </c>
      <c r="E745" s="21" t="s">
        <v>33</v>
      </c>
      <c r="F745" s="22">
        <v>59</v>
      </c>
      <c r="G745" s="22">
        <v>73</v>
      </c>
      <c r="H745" s="22">
        <v>72</v>
      </c>
      <c r="J745" s="10">
        <v>55</v>
      </c>
      <c r="K745" s="10">
        <v>2</v>
      </c>
      <c r="L745" s="10">
        <v>118</v>
      </c>
      <c r="M745" s="10">
        <v>59</v>
      </c>
      <c r="N745" s="10">
        <v>0</v>
      </c>
      <c r="Q745" s="9" t="s">
        <v>52</v>
      </c>
      <c r="R745" s="9">
        <v>2</v>
      </c>
      <c r="S745" s="9">
        <v>2</v>
      </c>
      <c r="T745" s="9">
        <v>4</v>
      </c>
    </row>
    <row r="746" spans="1:20" x14ac:dyDescent="0.25">
      <c r="A746" s="21" t="s">
        <v>5</v>
      </c>
      <c r="B746" s="21" t="s">
        <v>28</v>
      </c>
      <c r="C746" s="21" t="s">
        <v>45</v>
      </c>
      <c r="D746" s="21" t="s">
        <v>32</v>
      </c>
      <c r="E746" s="21" t="s">
        <v>34</v>
      </c>
      <c r="F746" s="22">
        <v>55</v>
      </c>
      <c r="G746" s="22">
        <v>55</v>
      </c>
      <c r="H746" s="22">
        <v>47</v>
      </c>
      <c r="J746" s="10">
        <v>74</v>
      </c>
      <c r="K746" s="10">
        <v>2</v>
      </c>
      <c r="L746" s="10">
        <v>178</v>
      </c>
      <c r="M746" s="10">
        <v>89</v>
      </c>
      <c r="N746" s="10">
        <v>2</v>
      </c>
      <c r="Q746" s="9" t="s">
        <v>53</v>
      </c>
      <c r="R746" s="9">
        <v>146</v>
      </c>
      <c r="S746" s="9">
        <v>142</v>
      </c>
      <c r="T746" s="9">
        <v>288</v>
      </c>
    </row>
    <row r="747" spans="1:20" x14ac:dyDescent="0.25">
      <c r="A747" s="21" t="s">
        <v>5</v>
      </c>
      <c r="B747" s="21" t="s">
        <v>30</v>
      </c>
      <c r="C747" s="21" t="s">
        <v>14</v>
      </c>
      <c r="D747" s="21" t="s">
        <v>35</v>
      </c>
      <c r="E747" s="21" t="s">
        <v>34</v>
      </c>
      <c r="F747" s="22">
        <v>72</v>
      </c>
      <c r="G747" s="22">
        <v>79</v>
      </c>
      <c r="H747" s="22">
        <v>74</v>
      </c>
      <c r="J747" s="10">
        <v>50</v>
      </c>
      <c r="K747" s="10">
        <v>2</v>
      </c>
      <c r="L747" s="10">
        <v>90</v>
      </c>
      <c r="M747" s="10">
        <v>45</v>
      </c>
      <c r="N747" s="10">
        <v>18</v>
      </c>
      <c r="Q747" s="9" t="s">
        <v>54</v>
      </c>
      <c r="R747" s="9">
        <v>73</v>
      </c>
      <c r="S747" s="9">
        <v>71</v>
      </c>
      <c r="T747" s="9">
        <v>72</v>
      </c>
    </row>
    <row r="748" spans="1:20" x14ac:dyDescent="0.25">
      <c r="A748" s="21" t="s">
        <v>5</v>
      </c>
      <c r="B748" s="21" t="s">
        <v>30</v>
      </c>
      <c r="C748" s="21" t="s">
        <v>15</v>
      </c>
      <c r="D748" s="21" t="s">
        <v>35</v>
      </c>
      <c r="E748" s="21" t="s">
        <v>34</v>
      </c>
      <c r="F748" s="22">
        <v>69</v>
      </c>
      <c r="G748" s="22">
        <v>75</v>
      </c>
      <c r="H748" s="22">
        <v>71</v>
      </c>
      <c r="J748" s="10">
        <v>47</v>
      </c>
      <c r="K748" s="10">
        <v>2</v>
      </c>
      <c r="L748" s="10">
        <v>84</v>
      </c>
      <c r="M748" s="10">
        <v>42</v>
      </c>
      <c r="N748" s="10">
        <v>2</v>
      </c>
      <c r="Q748" s="9" t="s">
        <v>55</v>
      </c>
      <c r="R748" s="9">
        <v>18</v>
      </c>
      <c r="S748" s="9">
        <v>18</v>
      </c>
      <c r="T748" s="9">
        <v>13.333333333333334</v>
      </c>
    </row>
    <row r="749" spans="1:20" x14ac:dyDescent="0.25">
      <c r="A749" s="21" t="s">
        <v>5</v>
      </c>
      <c r="B749" s="21" t="s">
        <v>29</v>
      </c>
      <c r="C749" s="21" t="s">
        <v>45</v>
      </c>
      <c r="D749" s="21" t="s">
        <v>35</v>
      </c>
      <c r="E749" s="21" t="s">
        <v>34</v>
      </c>
      <c r="F749" s="22">
        <v>69</v>
      </c>
      <c r="G749" s="22">
        <v>64</v>
      </c>
      <c r="H749" s="22">
        <v>68</v>
      </c>
      <c r="J749" s="10">
        <v>81</v>
      </c>
      <c r="K749" s="10">
        <v>2</v>
      </c>
      <c r="L749" s="10">
        <v>145</v>
      </c>
      <c r="M749" s="10">
        <v>72.5</v>
      </c>
      <c r="N749" s="10">
        <v>4.5</v>
      </c>
      <c r="Q749" s="9"/>
      <c r="R749" s="9"/>
      <c r="S749" s="9"/>
      <c r="T749" s="9"/>
    </row>
    <row r="750" spans="1:20" x14ac:dyDescent="0.25">
      <c r="A750" s="21" t="s">
        <v>4</v>
      </c>
      <c r="B750" s="21" t="s">
        <v>29</v>
      </c>
      <c r="C750" s="21" t="s">
        <v>43</v>
      </c>
      <c r="D750" s="21" t="s">
        <v>32</v>
      </c>
      <c r="E750" s="21" t="s">
        <v>34</v>
      </c>
      <c r="F750" s="22">
        <v>50</v>
      </c>
      <c r="G750" s="22">
        <v>60</v>
      </c>
      <c r="H750" s="22">
        <v>59</v>
      </c>
      <c r="J750" s="10">
        <v>65</v>
      </c>
      <c r="K750" s="10">
        <v>2</v>
      </c>
      <c r="L750" s="10">
        <v>152</v>
      </c>
      <c r="M750" s="10">
        <v>76</v>
      </c>
      <c r="N750" s="10">
        <v>2</v>
      </c>
      <c r="Q750" s="14">
        <v>65</v>
      </c>
      <c r="R750" s="14"/>
      <c r="S750" s="14"/>
      <c r="T750" s="14"/>
    </row>
    <row r="751" spans="1:20" x14ac:dyDescent="0.25">
      <c r="A751" s="21" t="s">
        <v>5</v>
      </c>
      <c r="B751" s="21" t="s">
        <v>28</v>
      </c>
      <c r="C751" s="21" t="s">
        <v>45</v>
      </c>
      <c r="D751" s="21" t="s">
        <v>35</v>
      </c>
      <c r="E751" s="21" t="s">
        <v>33</v>
      </c>
      <c r="F751" s="22">
        <v>87</v>
      </c>
      <c r="G751" s="22">
        <v>84</v>
      </c>
      <c r="H751" s="22">
        <v>86</v>
      </c>
      <c r="J751" s="10">
        <v>68</v>
      </c>
      <c r="K751" s="10">
        <v>2</v>
      </c>
      <c r="L751" s="10">
        <v>108</v>
      </c>
      <c r="M751" s="10">
        <v>54</v>
      </c>
      <c r="N751" s="10">
        <v>18</v>
      </c>
      <c r="Q751" s="9" t="s">
        <v>52</v>
      </c>
      <c r="R751" s="9">
        <v>2</v>
      </c>
      <c r="S751" s="9">
        <v>2</v>
      </c>
      <c r="T751" s="9">
        <v>4</v>
      </c>
    </row>
    <row r="752" spans="1:20" x14ac:dyDescent="0.25">
      <c r="A752" s="21" t="s">
        <v>5</v>
      </c>
      <c r="B752" s="21" t="s">
        <v>30</v>
      </c>
      <c r="C752" s="21" t="s">
        <v>17</v>
      </c>
      <c r="D752" s="21" t="s">
        <v>35</v>
      </c>
      <c r="E752" s="21" t="s">
        <v>33</v>
      </c>
      <c r="F752" s="22">
        <v>71</v>
      </c>
      <c r="G752" s="22">
        <v>69</v>
      </c>
      <c r="H752" s="22">
        <v>68</v>
      </c>
      <c r="J752" s="10">
        <v>73</v>
      </c>
      <c r="K752" s="10">
        <v>2</v>
      </c>
      <c r="L752" s="10">
        <v>176</v>
      </c>
      <c r="M752" s="10">
        <v>88</v>
      </c>
      <c r="N752" s="10">
        <v>32</v>
      </c>
      <c r="Q752" s="9" t="s">
        <v>53</v>
      </c>
      <c r="R752" s="9">
        <v>124</v>
      </c>
      <c r="S752" s="9">
        <v>115</v>
      </c>
      <c r="T752" s="9">
        <v>239</v>
      </c>
    </row>
    <row r="753" spans="1:20" x14ac:dyDescent="0.25">
      <c r="A753" s="21" t="s">
        <v>5</v>
      </c>
      <c r="B753" s="21" t="s">
        <v>31</v>
      </c>
      <c r="C753" s="21" t="s">
        <v>45</v>
      </c>
      <c r="D753" s="21" t="s">
        <v>35</v>
      </c>
      <c r="E753" s="21" t="s">
        <v>34</v>
      </c>
      <c r="F753" s="22">
        <v>68</v>
      </c>
      <c r="G753" s="22">
        <v>72</v>
      </c>
      <c r="H753" s="22">
        <v>65</v>
      </c>
      <c r="J753" s="10">
        <v>53</v>
      </c>
      <c r="K753" s="10">
        <v>2</v>
      </c>
      <c r="L753" s="10">
        <v>76</v>
      </c>
      <c r="M753" s="10">
        <v>38</v>
      </c>
      <c r="N753" s="10">
        <v>2</v>
      </c>
      <c r="Q753" s="9" t="s">
        <v>54</v>
      </c>
      <c r="R753" s="9">
        <v>62</v>
      </c>
      <c r="S753" s="9">
        <v>57.5</v>
      </c>
      <c r="T753" s="9">
        <v>59.75</v>
      </c>
    </row>
    <row r="754" spans="1:20" x14ac:dyDescent="0.25">
      <c r="A754" s="21" t="s">
        <v>5</v>
      </c>
      <c r="B754" s="21" t="s">
        <v>29</v>
      </c>
      <c r="C754" s="21" t="s">
        <v>16</v>
      </c>
      <c r="D754" s="21" t="s">
        <v>32</v>
      </c>
      <c r="E754" s="21" t="s">
        <v>33</v>
      </c>
      <c r="F754" s="22">
        <v>79</v>
      </c>
      <c r="G754" s="22">
        <v>77</v>
      </c>
      <c r="H754" s="22">
        <v>75</v>
      </c>
      <c r="J754" s="10">
        <v>68</v>
      </c>
      <c r="K754" s="10">
        <v>2</v>
      </c>
      <c r="L754" s="10">
        <v>157</v>
      </c>
      <c r="M754" s="10">
        <v>78.5</v>
      </c>
      <c r="N754" s="10">
        <v>4.5</v>
      </c>
      <c r="Q754" s="9" t="s">
        <v>55</v>
      </c>
      <c r="R754" s="9">
        <v>8</v>
      </c>
      <c r="S754" s="9">
        <v>40.5</v>
      </c>
      <c r="T754" s="9">
        <v>22.916666666666668</v>
      </c>
    </row>
    <row r="755" spans="1:20" x14ac:dyDescent="0.25">
      <c r="A755" s="21" t="s">
        <v>4</v>
      </c>
      <c r="B755" s="21" t="s">
        <v>29</v>
      </c>
      <c r="C755" s="21" t="s">
        <v>17</v>
      </c>
      <c r="D755" s="21" t="s">
        <v>35</v>
      </c>
      <c r="E755" s="21" t="s">
        <v>33</v>
      </c>
      <c r="F755" s="22">
        <v>77</v>
      </c>
      <c r="G755" s="22">
        <v>90</v>
      </c>
      <c r="H755" s="22">
        <v>85</v>
      </c>
      <c r="J755" s="10">
        <v>55</v>
      </c>
      <c r="K755" s="10">
        <v>2</v>
      </c>
      <c r="L755" s="10">
        <v>89</v>
      </c>
      <c r="M755" s="10">
        <v>44.5</v>
      </c>
      <c r="N755" s="10">
        <v>4.5</v>
      </c>
      <c r="Q755" s="9"/>
      <c r="R755" s="9"/>
      <c r="S755" s="9"/>
      <c r="T755" s="9"/>
    </row>
    <row r="756" spans="1:20" x14ac:dyDescent="0.25">
      <c r="A756" s="21" t="s">
        <v>5</v>
      </c>
      <c r="B756" s="21" t="s">
        <v>29</v>
      </c>
      <c r="C756" s="21" t="s">
        <v>14</v>
      </c>
      <c r="D756" s="21" t="s">
        <v>32</v>
      </c>
      <c r="E756" s="21" t="s">
        <v>34</v>
      </c>
      <c r="F756" s="22">
        <v>58</v>
      </c>
      <c r="G756" s="22">
        <v>55</v>
      </c>
      <c r="H756" s="22">
        <v>53</v>
      </c>
      <c r="J756" s="10">
        <v>87</v>
      </c>
      <c r="K756" s="10">
        <v>2</v>
      </c>
      <c r="L756" s="10">
        <v>183</v>
      </c>
      <c r="M756" s="10">
        <v>91.5</v>
      </c>
      <c r="N756" s="10">
        <v>12.5</v>
      </c>
      <c r="Q756" s="14">
        <v>47</v>
      </c>
      <c r="R756" s="14"/>
      <c r="S756" s="14"/>
      <c r="T756" s="14"/>
    </row>
    <row r="757" spans="1:20" x14ac:dyDescent="0.25">
      <c r="A757" s="21" t="s">
        <v>4</v>
      </c>
      <c r="B757" s="21" t="s">
        <v>31</v>
      </c>
      <c r="C757" s="21" t="s">
        <v>14</v>
      </c>
      <c r="D757" s="21" t="s">
        <v>35</v>
      </c>
      <c r="E757" s="21" t="s">
        <v>34</v>
      </c>
      <c r="F757" s="22">
        <v>84</v>
      </c>
      <c r="G757" s="22">
        <v>95</v>
      </c>
      <c r="H757" s="22">
        <v>92</v>
      </c>
      <c r="J757" s="10">
        <v>55</v>
      </c>
      <c r="K757" s="10">
        <v>2</v>
      </c>
      <c r="L757" s="10">
        <v>91</v>
      </c>
      <c r="M757" s="10">
        <v>45.5</v>
      </c>
      <c r="N757" s="10">
        <v>4.5</v>
      </c>
      <c r="Q757" s="9" t="s">
        <v>52</v>
      </c>
      <c r="R757" s="9">
        <v>2</v>
      </c>
      <c r="S757" s="9">
        <v>2</v>
      </c>
      <c r="T757" s="9">
        <v>4</v>
      </c>
    </row>
    <row r="758" spans="1:20" x14ac:dyDescent="0.25">
      <c r="A758" s="21" t="s">
        <v>5</v>
      </c>
      <c r="B758" s="21" t="s">
        <v>30</v>
      </c>
      <c r="C758" s="21" t="s">
        <v>45</v>
      </c>
      <c r="D758" s="21" t="s">
        <v>35</v>
      </c>
      <c r="E758" s="21" t="s">
        <v>34</v>
      </c>
      <c r="F758" s="22">
        <v>55</v>
      </c>
      <c r="G758" s="22">
        <v>58</v>
      </c>
      <c r="H758" s="22">
        <v>52</v>
      </c>
      <c r="J758" s="10">
        <v>53</v>
      </c>
      <c r="K758" s="10">
        <v>2</v>
      </c>
      <c r="L758" s="10">
        <v>115</v>
      </c>
      <c r="M758" s="10">
        <v>57.5</v>
      </c>
      <c r="N758" s="10">
        <v>0.5</v>
      </c>
      <c r="Q758" s="9" t="s">
        <v>53</v>
      </c>
      <c r="R758" s="9">
        <v>132</v>
      </c>
      <c r="S758" s="9">
        <v>132</v>
      </c>
      <c r="T758" s="9">
        <v>264</v>
      </c>
    </row>
    <row r="759" spans="1:20" x14ac:dyDescent="0.25">
      <c r="A759" s="21" t="s">
        <v>5</v>
      </c>
      <c r="B759" s="21" t="s">
        <v>31</v>
      </c>
      <c r="C759" s="21" t="s">
        <v>43</v>
      </c>
      <c r="D759" s="21" t="s">
        <v>32</v>
      </c>
      <c r="E759" s="21" t="s">
        <v>33</v>
      </c>
      <c r="F759" s="22">
        <v>70</v>
      </c>
      <c r="G759" s="22">
        <v>68</v>
      </c>
      <c r="H759" s="22">
        <v>72</v>
      </c>
      <c r="J759" s="10">
        <v>67</v>
      </c>
      <c r="K759" s="10">
        <v>2</v>
      </c>
      <c r="L759" s="10">
        <v>116</v>
      </c>
      <c r="M759" s="10">
        <v>58</v>
      </c>
      <c r="N759" s="10">
        <v>2</v>
      </c>
      <c r="Q759" s="9" t="s">
        <v>54</v>
      </c>
      <c r="R759" s="9">
        <v>66</v>
      </c>
      <c r="S759" s="9">
        <v>66</v>
      </c>
      <c r="T759" s="9">
        <v>66</v>
      </c>
    </row>
    <row r="760" spans="1:20" x14ac:dyDescent="0.25">
      <c r="A760" s="21" t="s">
        <v>4</v>
      </c>
      <c r="B760" s="21" t="s">
        <v>30</v>
      </c>
      <c r="C760" s="21" t="s">
        <v>45</v>
      </c>
      <c r="D760" s="21" t="s">
        <v>32</v>
      </c>
      <c r="E760" s="21" t="s">
        <v>33</v>
      </c>
      <c r="F760" s="22">
        <v>52</v>
      </c>
      <c r="G760" s="22">
        <v>59</v>
      </c>
      <c r="H760" s="22">
        <v>65</v>
      </c>
      <c r="J760" s="10">
        <v>92</v>
      </c>
      <c r="K760" s="10">
        <v>2</v>
      </c>
      <c r="L760" s="10">
        <v>163</v>
      </c>
      <c r="M760" s="10">
        <v>81.5</v>
      </c>
      <c r="N760" s="10">
        <v>12.5</v>
      </c>
      <c r="Q760" s="9" t="s">
        <v>55</v>
      </c>
      <c r="R760" s="9">
        <v>578</v>
      </c>
      <c r="S760" s="9">
        <v>578</v>
      </c>
      <c r="T760" s="9">
        <v>385.33333333333331</v>
      </c>
    </row>
    <row r="761" spans="1:20" x14ac:dyDescent="0.25">
      <c r="A761" s="21" t="s">
        <v>5</v>
      </c>
      <c r="B761" s="21" t="s">
        <v>28</v>
      </c>
      <c r="C761" s="21" t="s">
        <v>45</v>
      </c>
      <c r="D761" s="21" t="s">
        <v>35</v>
      </c>
      <c r="E761" s="21" t="s">
        <v>33</v>
      </c>
      <c r="F761" s="22">
        <v>69</v>
      </c>
      <c r="G761" s="22">
        <v>77</v>
      </c>
      <c r="H761" s="22">
        <v>77</v>
      </c>
      <c r="J761" s="10">
        <v>53</v>
      </c>
      <c r="K761" s="10">
        <v>2</v>
      </c>
      <c r="L761" s="10">
        <v>139</v>
      </c>
      <c r="M761" s="10">
        <v>69.5</v>
      </c>
      <c r="N761" s="10">
        <v>24.5</v>
      </c>
      <c r="Q761" s="9"/>
      <c r="R761" s="9"/>
      <c r="S761" s="9"/>
      <c r="T761" s="9"/>
    </row>
    <row r="762" spans="1:20" x14ac:dyDescent="0.25">
      <c r="A762" s="21" t="s">
        <v>4</v>
      </c>
      <c r="B762" s="21" t="s">
        <v>29</v>
      </c>
      <c r="C762" s="21" t="s">
        <v>15</v>
      </c>
      <c r="D762" s="21" t="s">
        <v>32</v>
      </c>
      <c r="E762" s="21" t="s">
        <v>34</v>
      </c>
      <c r="F762" s="22">
        <v>53</v>
      </c>
      <c r="G762" s="22">
        <v>72</v>
      </c>
      <c r="H762" s="22">
        <v>64</v>
      </c>
      <c r="J762" s="10">
        <v>81</v>
      </c>
      <c r="K762" s="10">
        <v>2</v>
      </c>
      <c r="L762" s="10">
        <v>144</v>
      </c>
      <c r="M762" s="10">
        <v>72</v>
      </c>
      <c r="N762" s="10">
        <v>2</v>
      </c>
      <c r="Q762" s="14">
        <v>60</v>
      </c>
      <c r="R762" s="14"/>
      <c r="S762" s="14"/>
      <c r="T762" s="14"/>
    </row>
    <row r="763" spans="1:20" x14ac:dyDescent="0.25">
      <c r="A763" s="21" t="s">
        <v>4</v>
      </c>
      <c r="B763" s="21" t="s">
        <v>30</v>
      </c>
      <c r="C763" s="21" t="s">
        <v>17</v>
      </c>
      <c r="D763" s="21" t="s">
        <v>35</v>
      </c>
      <c r="E763" s="21" t="s">
        <v>34</v>
      </c>
      <c r="F763" s="22">
        <v>48</v>
      </c>
      <c r="G763" s="22">
        <v>58</v>
      </c>
      <c r="H763" s="22">
        <v>54</v>
      </c>
      <c r="J763" s="10">
        <v>61</v>
      </c>
      <c r="K763" s="10">
        <v>2</v>
      </c>
      <c r="L763" s="10">
        <v>115</v>
      </c>
      <c r="M763" s="10">
        <v>57.5</v>
      </c>
      <c r="N763" s="10">
        <v>12.5</v>
      </c>
      <c r="Q763" s="9" t="s">
        <v>52</v>
      </c>
      <c r="R763" s="9">
        <v>2</v>
      </c>
      <c r="S763" s="9">
        <v>2</v>
      </c>
      <c r="T763" s="9">
        <v>4</v>
      </c>
    </row>
    <row r="764" spans="1:20" x14ac:dyDescent="0.25">
      <c r="A764" s="21" t="s">
        <v>5</v>
      </c>
      <c r="B764" s="21" t="s">
        <v>30</v>
      </c>
      <c r="C764" s="21" t="s">
        <v>17</v>
      </c>
      <c r="D764" s="21" t="s">
        <v>35</v>
      </c>
      <c r="E764" s="21" t="s">
        <v>33</v>
      </c>
      <c r="F764" s="22">
        <v>78</v>
      </c>
      <c r="G764" s="22">
        <v>81</v>
      </c>
      <c r="H764" s="22">
        <v>86</v>
      </c>
      <c r="J764" s="10">
        <v>80</v>
      </c>
      <c r="K764" s="10">
        <v>2</v>
      </c>
      <c r="L764" s="10">
        <v>145</v>
      </c>
      <c r="M764" s="10">
        <v>72.5</v>
      </c>
      <c r="N764" s="10">
        <v>0.5</v>
      </c>
      <c r="Q764" s="9" t="s">
        <v>53</v>
      </c>
      <c r="R764" s="9">
        <v>150</v>
      </c>
      <c r="S764" s="9">
        <v>142</v>
      </c>
      <c r="T764" s="9">
        <v>292</v>
      </c>
    </row>
    <row r="765" spans="1:20" x14ac:dyDescent="0.25">
      <c r="A765" s="21" t="s">
        <v>4</v>
      </c>
      <c r="B765" s="21" t="s">
        <v>28</v>
      </c>
      <c r="C765" s="21" t="s">
        <v>15</v>
      </c>
      <c r="D765" s="21" t="s">
        <v>35</v>
      </c>
      <c r="E765" s="21" t="s">
        <v>34</v>
      </c>
      <c r="F765" s="22">
        <v>62</v>
      </c>
      <c r="G765" s="22">
        <v>62</v>
      </c>
      <c r="H765" s="22">
        <v>63</v>
      </c>
      <c r="J765" s="10">
        <v>37</v>
      </c>
      <c r="K765" s="10">
        <v>2</v>
      </c>
      <c r="L765" s="10">
        <v>113</v>
      </c>
      <c r="M765" s="10">
        <v>56.5</v>
      </c>
      <c r="N765" s="10">
        <v>0.5</v>
      </c>
      <c r="Q765" s="9" t="s">
        <v>54</v>
      </c>
      <c r="R765" s="9">
        <v>75</v>
      </c>
      <c r="S765" s="9">
        <v>71</v>
      </c>
      <c r="T765" s="9">
        <v>73</v>
      </c>
    </row>
    <row r="766" spans="1:20" x14ac:dyDescent="0.25">
      <c r="A766" s="21" t="s">
        <v>5</v>
      </c>
      <c r="B766" s="21" t="s">
        <v>30</v>
      </c>
      <c r="C766" s="21" t="s">
        <v>45</v>
      </c>
      <c r="D766" s="21" t="s">
        <v>35</v>
      </c>
      <c r="E766" s="21" t="s">
        <v>34</v>
      </c>
      <c r="F766" s="22">
        <v>60</v>
      </c>
      <c r="G766" s="22">
        <v>63</v>
      </c>
      <c r="H766" s="22">
        <v>59</v>
      </c>
      <c r="J766" s="10">
        <v>81</v>
      </c>
      <c r="K766" s="10">
        <v>2</v>
      </c>
      <c r="L766" s="10">
        <v>166</v>
      </c>
      <c r="M766" s="10">
        <v>83</v>
      </c>
      <c r="N766" s="10">
        <v>2</v>
      </c>
      <c r="Q766" s="9" t="s">
        <v>55</v>
      </c>
      <c r="R766" s="9">
        <v>50</v>
      </c>
      <c r="S766" s="9">
        <v>2</v>
      </c>
      <c r="T766" s="9">
        <v>22.666666666666668</v>
      </c>
    </row>
    <row r="767" spans="1:20" x14ac:dyDescent="0.25">
      <c r="A767" s="21" t="s">
        <v>4</v>
      </c>
      <c r="B767" s="21" t="s">
        <v>28</v>
      </c>
      <c r="C767" s="21" t="s">
        <v>15</v>
      </c>
      <c r="D767" s="21" t="s">
        <v>35</v>
      </c>
      <c r="E767" s="21" t="s">
        <v>34</v>
      </c>
      <c r="F767" s="22">
        <v>74</v>
      </c>
      <c r="G767" s="22">
        <v>72</v>
      </c>
      <c r="H767" s="22">
        <v>72</v>
      </c>
      <c r="J767" s="10">
        <v>59</v>
      </c>
      <c r="K767" s="10">
        <v>2</v>
      </c>
      <c r="L767" s="10">
        <v>145</v>
      </c>
      <c r="M767" s="10">
        <v>72.5</v>
      </c>
      <c r="N767" s="10">
        <v>0.5</v>
      </c>
      <c r="Q767" s="9"/>
      <c r="R767" s="9"/>
      <c r="S767" s="9"/>
      <c r="T767" s="9"/>
    </row>
    <row r="768" spans="1:20" x14ac:dyDescent="0.25">
      <c r="A768" s="21" t="s">
        <v>4</v>
      </c>
      <c r="B768" s="21" t="s">
        <v>29</v>
      </c>
      <c r="C768" s="21" t="s">
        <v>15</v>
      </c>
      <c r="D768" s="21" t="s">
        <v>35</v>
      </c>
      <c r="E768" s="21" t="s">
        <v>33</v>
      </c>
      <c r="F768" s="22">
        <v>58</v>
      </c>
      <c r="G768" s="22">
        <v>75</v>
      </c>
      <c r="H768" s="22">
        <v>77</v>
      </c>
      <c r="J768" s="10">
        <v>55</v>
      </c>
      <c r="K768" s="10">
        <v>2</v>
      </c>
      <c r="L768" s="10">
        <v>102</v>
      </c>
      <c r="M768" s="10">
        <v>51</v>
      </c>
      <c r="N768" s="10">
        <v>32</v>
      </c>
      <c r="Q768" s="14">
        <v>54</v>
      </c>
      <c r="R768" s="14"/>
      <c r="S768" s="14"/>
      <c r="T768" s="14"/>
    </row>
    <row r="769" spans="1:20" x14ac:dyDescent="0.25">
      <c r="A769" s="21" t="s">
        <v>5</v>
      </c>
      <c r="B769" s="21" t="s">
        <v>28</v>
      </c>
      <c r="C769" s="21" t="s">
        <v>15</v>
      </c>
      <c r="D769" s="21" t="s">
        <v>35</v>
      </c>
      <c r="E769" s="21" t="s">
        <v>33</v>
      </c>
      <c r="F769" s="22">
        <v>76</v>
      </c>
      <c r="G769" s="22">
        <v>62</v>
      </c>
      <c r="H769" s="22">
        <v>60</v>
      </c>
      <c r="J769" s="10">
        <v>72</v>
      </c>
      <c r="K769" s="10">
        <v>2</v>
      </c>
      <c r="L769" s="10">
        <v>153</v>
      </c>
      <c r="M769" s="10">
        <v>76.5</v>
      </c>
      <c r="N769" s="10">
        <v>12.5</v>
      </c>
      <c r="Q769" s="9" t="s">
        <v>52</v>
      </c>
      <c r="R769" s="9">
        <v>2</v>
      </c>
      <c r="S769" s="9">
        <v>2</v>
      </c>
      <c r="T769" s="9">
        <v>4</v>
      </c>
    </row>
    <row r="770" spans="1:20" x14ac:dyDescent="0.25">
      <c r="A770" s="21" t="s">
        <v>4</v>
      </c>
      <c r="B770" s="21" t="s">
        <v>30</v>
      </c>
      <c r="C770" s="21" t="s">
        <v>17</v>
      </c>
      <c r="D770" s="21" t="s">
        <v>35</v>
      </c>
      <c r="E770" s="21" t="s">
        <v>34</v>
      </c>
      <c r="F770" s="22">
        <v>68</v>
      </c>
      <c r="G770" s="22">
        <v>71</v>
      </c>
      <c r="H770" s="22">
        <v>75</v>
      </c>
      <c r="J770" s="10">
        <v>69</v>
      </c>
      <c r="K770" s="10">
        <v>2</v>
      </c>
      <c r="L770" s="10">
        <v>146</v>
      </c>
      <c r="M770" s="10">
        <v>73</v>
      </c>
      <c r="N770" s="10">
        <v>8</v>
      </c>
      <c r="Q770" s="9" t="s">
        <v>53</v>
      </c>
      <c r="R770" s="9">
        <v>125</v>
      </c>
      <c r="S770" s="9">
        <v>122</v>
      </c>
      <c r="T770" s="9">
        <v>247</v>
      </c>
    </row>
    <row r="771" spans="1:20" x14ac:dyDescent="0.25">
      <c r="A771" s="21" t="s">
        <v>5</v>
      </c>
      <c r="B771" s="21" t="s">
        <v>27</v>
      </c>
      <c r="C771" s="21" t="s">
        <v>45</v>
      </c>
      <c r="D771" s="21" t="s">
        <v>32</v>
      </c>
      <c r="E771" s="21" t="s">
        <v>34</v>
      </c>
      <c r="F771" s="22">
        <v>58</v>
      </c>
      <c r="G771" s="22">
        <v>60</v>
      </c>
      <c r="H771" s="22">
        <v>57</v>
      </c>
      <c r="J771" s="10">
        <v>69</v>
      </c>
      <c r="K771" s="10">
        <v>2</v>
      </c>
      <c r="L771" s="10">
        <v>132</v>
      </c>
      <c r="M771" s="10">
        <v>66</v>
      </c>
      <c r="N771" s="10">
        <v>8</v>
      </c>
      <c r="Q771" s="9" t="s">
        <v>54</v>
      </c>
      <c r="R771" s="9">
        <v>62.5</v>
      </c>
      <c r="S771" s="9">
        <v>61</v>
      </c>
      <c r="T771" s="9">
        <v>61.75</v>
      </c>
    </row>
    <row r="772" spans="1:20" x14ac:dyDescent="0.25">
      <c r="A772" s="21" t="s">
        <v>5</v>
      </c>
      <c r="B772" s="21" t="s">
        <v>28</v>
      </c>
      <c r="C772" s="21" t="s">
        <v>15</v>
      </c>
      <c r="D772" s="21" t="s">
        <v>35</v>
      </c>
      <c r="E772" s="21" t="s">
        <v>34</v>
      </c>
      <c r="F772" s="22">
        <v>52</v>
      </c>
      <c r="G772" s="22">
        <v>48</v>
      </c>
      <c r="H772" s="22">
        <v>49</v>
      </c>
      <c r="J772" s="10">
        <v>50</v>
      </c>
      <c r="K772" s="10">
        <v>2</v>
      </c>
      <c r="L772" s="10">
        <v>119</v>
      </c>
      <c r="M772" s="10">
        <v>59.5</v>
      </c>
      <c r="N772" s="10">
        <v>0.5</v>
      </c>
      <c r="Q772" s="9" t="s">
        <v>55</v>
      </c>
      <c r="R772" s="9">
        <v>220.5</v>
      </c>
      <c r="S772" s="9">
        <v>162</v>
      </c>
      <c r="T772" s="9">
        <v>128.25</v>
      </c>
    </row>
    <row r="773" spans="1:20" x14ac:dyDescent="0.25">
      <c r="A773" s="21" t="s">
        <v>5</v>
      </c>
      <c r="B773" s="21" t="s">
        <v>30</v>
      </c>
      <c r="C773" s="21" t="s">
        <v>43</v>
      </c>
      <c r="D773" s="21" t="s">
        <v>35</v>
      </c>
      <c r="E773" s="21" t="s">
        <v>34</v>
      </c>
      <c r="F773" s="22">
        <v>75</v>
      </c>
      <c r="G773" s="22">
        <v>73</v>
      </c>
      <c r="H773" s="22">
        <v>74</v>
      </c>
      <c r="J773" s="10">
        <v>87</v>
      </c>
      <c r="K773" s="10">
        <v>2</v>
      </c>
      <c r="L773" s="10">
        <v>170</v>
      </c>
      <c r="M773" s="10">
        <v>85</v>
      </c>
      <c r="N773" s="10">
        <v>2</v>
      </c>
      <c r="Q773" s="9"/>
      <c r="R773" s="9"/>
      <c r="S773" s="9"/>
      <c r="T773" s="9"/>
    </row>
    <row r="774" spans="1:20" x14ac:dyDescent="0.25">
      <c r="A774" s="21" t="s">
        <v>4</v>
      </c>
      <c r="B774" s="21" t="s">
        <v>28</v>
      </c>
      <c r="C774" s="21" t="s">
        <v>17</v>
      </c>
      <c r="D774" s="21" t="s">
        <v>32</v>
      </c>
      <c r="E774" s="21" t="s">
        <v>33</v>
      </c>
      <c r="F774" s="22">
        <v>52</v>
      </c>
      <c r="G774" s="22">
        <v>67</v>
      </c>
      <c r="H774" s="22">
        <v>72</v>
      </c>
      <c r="J774" s="10">
        <v>71</v>
      </c>
      <c r="K774" s="10">
        <v>2</v>
      </c>
      <c r="L774" s="10">
        <v>137</v>
      </c>
      <c r="M774" s="10">
        <v>68.5</v>
      </c>
      <c r="N774" s="10">
        <v>0.5</v>
      </c>
      <c r="Q774" s="14">
        <v>64</v>
      </c>
      <c r="R774" s="14"/>
      <c r="S774" s="14"/>
      <c r="T774" s="14"/>
    </row>
    <row r="775" spans="1:20" x14ac:dyDescent="0.25">
      <c r="A775" s="21" t="s">
        <v>4</v>
      </c>
      <c r="B775" s="21" t="s">
        <v>29</v>
      </c>
      <c r="C775" s="21" t="s">
        <v>43</v>
      </c>
      <c r="D775" s="21" t="s">
        <v>32</v>
      </c>
      <c r="E775" s="21" t="s">
        <v>34</v>
      </c>
      <c r="F775" s="22">
        <v>62</v>
      </c>
      <c r="G775" s="22">
        <v>78</v>
      </c>
      <c r="H775" s="22">
        <v>79</v>
      </c>
      <c r="J775" s="10">
        <v>68</v>
      </c>
      <c r="K775" s="10">
        <v>2</v>
      </c>
      <c r="L775" s="10">
        <v>137</v>
      </c>
      <c r="M775" s="10">
        <v>68.5</v>
      </c>
      <c r="N775" s="10">
        <v>24.5</v>
      </c>
      <c r="Q775" s="9" t="s">
        <v>52</v>
      </c>
      <c r="R775" s="9">
        <v>2</v>
      </c>
      <c r="S775" s="9">
        <v>2</v>
      </c>
      <c r="T775" s="9">
        <v>4</v>
      </c>
    </row>
    <row r="776" spans="1:20" x14ac:dyDescent="0.25">
      <c r="A776" s="21" t="s">
        <v>5</v>
      </c>
      <c r="B776" s="21" t="s">
        <v>28</v>
      </c>
      <c r="C776" s="21" t="s">
        <v>45</v>
      </c>
      <c r="D776" s="21" t="s">
        <v>35</v>
      </c>
      <c r="E776" s="21" t="s">
        <v>34</v>
      </c>
      <c r="F776" s="22">
        <v>66</v>
      </c>
      <c r="G776" s="22">
        <v>65</v>
      </c>
      <c r="H776" s="22">
        <v>60</v>
      </c>
      <c r="J776" s="10">
        <v>79</v>
      </c>
      <c r="K776" s="10">
        <v>2</v>
      </c>
      <c r="L776" s="10">
        <v>152</v>
      </c>
      <c r="M776" s="10">
        <v>76</v>
      </c>
      <c r="N776" s="10">
        <v>2</v>
      </c>
      <c r="Q776" s="9" t="s">
        <v>53</v>
      </c>
      <c r="R776" s="9">
        <v>150</v>
      </c>
      <c r="S776" s="9">
        <v>145</v>
      </c>
      <c r="T776" s="9">
        <v>295</v>
      </c>
    </row>
    <row r="777" spans="1:20" x14ac:dyDescent="0.25">
      <c r="A777" s="21" t="s">
        <v>4</v>
      </c>
      <c r="B777" s="21" t="s">
        <v>28</v>
      </c>
      <c r="C777" s="21" t="s">
        <v>17</v>
      </c>
      <c r="D777" s="21" t="s">
        <v>32</v>
      </c>
      <c r="E777" s="21" t="s">
        <v>34</v>
      </c>
      <c r="F777" s="22">
        <v>49</v>
      </c>
      <c r="G777" s="22">
        <v>58</v>
      </c>
      <c r="H777" s="22">
        <v>55</v>
      </c>
      <c r="J777" s="10">
        <v>77</v>
      </c>
      <c r="K777" s="10">
        <v>2</v>
      </c>
      <c r="L777" s="10">
        <v>175</v>
      </c>
      <c r="M777" s="10">
        <v>87.5</v>
      </c>
      <c r="N777" s="10">
        <v>12.5</v>
      </c>
      <c r="Q777" s="9" t="s">
        <v>54</v>
      </c>
      <c r="R777" s="9">
        <v>75</v>
      </c>
      <c r="S777" s="9">
        <v>72.5</v>
      </c>
      <c r="T777" s="9">
        <v>73.75</v>
      </c>
    </row>
    <row r="778" spans="1:20" x14ac:dyDescent="0.25">
      <c r="A778" s="21" t="s">
        <v>4</v>
      </c>
      <c r="B778" s="21" t="s">
        <v>28</v>
      </c>
      <c r="C778" s="21" t="s">
        <v>15</v>
      </c>
      <c r="D778" s="21" t="s">
        <v>35</v>
      </c>
      <c r="E778" s="21" t="s">
        <v>34</v>
      </c>
      <c r="F778" s="22">
        <v>66</v>
      </c>
      <c r="G778" s="22">
        <v>72</v>
      </c>
      <c r="H778" s="22">
        <v>70</v>
      </c>
      <c r="J778" s="10">
        <v>58</v>
      </c>
      <c r="K778" s="10">
        <v>2</v>
      </c>
      <c r="L778" s="10">
        <v>108</v>
      </c>
      <c r="M778" s="10">
        <v>54</v>
      </c>
      <c r="N778" s="10">
        <v>2</v>
      </c>
      <c r="Q778" s="9" t="s">
        <v>55</v>
      </c>
      <c r="R778" s="9">
        <v>8</v>
      </c>
      <c r="S778" s="9">
        <v>40.5</v>
      </c>
      <c r="T778" s="9">
        <v>18.25</v>
      </c>
    </row>
    <row r="779" spans="1:20" x14ac:dyDescent="0.25">
      <c r="A779" s="21" t="s">
        <v>4</v>
      </c>
      <c r="B779" s="21" t="s">
        <v>29</v>
      </c>
      <c r="C779" s="21" t="s">
        <v>45</v>
      </c>
      <c r="D779" s="21" t="s">
        <v>32</v>
      </c>
      <c r="E779" s="21" t="s">
        <v>34</v>
      </c>
      <c r="F779" s="22">
        <v>35</v>
      </c>
      <c r="G779" s="22">
        <v>44</v>
      </c>
      <c r="H779" s="22">
        <v>43</v>
      </c>
      <c r="J779" s="10">
        <v>84</v>
      </c>
      <c r="K779" s="10">
        <v>2</v>
      </c>
      <c r="L779" s="10">
        <v>187</v>
      </c>
      <c r="M779" s="10">
        <v>93.5</v>
      </c>
      <c r="N779" s="10">
        <v>4.5</v>
      </c>
      <c r="Q779" s="9"/>
      <c r="R779" s="9"/>
      <c r="S779" s="9"/>
      <c r="T779" s="9"/>
    </row>
    <row r="780" spans="1:20" x14ac:dyDescent="0.25">
      <c r="A780" s="21" t="s">
        <v>4</v>
      </c>
      <c r="B780" s="21" t="s">
        <v>27</v>
      </c>
      <c r="C780" s="21" t="s">
        <v>45</v>
      </c>
      <c r="D780" s="21" t="s">
        <v>35</v>
      </c>
      <c r="E780" s="21" t="s">
        <v>33</v>
      </c>
      <c r="F780" s="22">
        <v>72</v>
      </c>
      <c r="G780" s="22">
        <v>79</v>
      </c>
      <c r="H780" s="22">
        <v>82</v>
      </c>
      <c r="J780" s="10">
        <v>55</v>
      </c>
      <c r="K780" s="10">
        <v>2</v>
      </c>
      <c r="L780" s="10">
        <v>110</v>
      </c>
      <c r="M780" s="10">
        <v>55</v>
      </c>
      <c r="N780" s="10">
        <v>18</v>
      </c>
      <c r="Q780" s="14">
        <v>70</v>
      </c>
      <c r="R780" s="14"/>
      <c r="S780" s="14"/>
      <c r="T780" s="14"/>
    </row>
    <row r="781" spans="1:20" x14ac:dyDescent="0.25">
      <c r="A781" s="21" t="s">
        <v>5</v>
      </c>
      <c r="B781" s="21" t="s">
        <v>31</v>
      </c>
      <c r="C781" s="21" t="s">
        <v>14</v>
      </c>
      <c r="D781" s="21" t="s">
        <v>35</v>
      </c>
      <c r="E781" s="21" t="s">
        <v>33</v>
      </c>
      <c r="F781" s="22">
        <v>94</v>
      </c>
      <c r="G781" s="22">
        <v>85</v>
      </c>
      <c r="H781" s="22">
        <v>82</v>
      </c>
      <c r="J781" s="10">
        <v>70</v>
      </c>
      <c r="K781" s="10">
        <v>2</v>
      </c>
      <c r="L781" s="10">
        <v>140</v>
      </c>
      <c r="M781" s="10">
        <v>70</v>
      </c>
      <c r="N781" s="10">
        <v>8</v>
      </c>
      <c r="Q781" s="9" t="s">
        <v>52</v>
      </c>
      <c r="R781" s="9">
        <v>2</v>
      </c>
      <c r="S781" s="9">
        <v>2</v>
      </c>
      <c r="T781" s="9">
        <v>4</v>
      </c>
    </row>
    <row r="782" spans="1:20" x14ac:dyDescent="0.25">
      <c r="A782" s="21" t="s">
        <v>4</v>
      </c>
      <c r="B782" s="21" t="s">
        <v>30</v>
      </c>
      <c r="C782" s="21" t="s">
        <v>14</v>
      </c>
      <c r="D782" s="21" t="s">
        <v>32</v>
      </c>
      <c r="E782" s="21" t="s">
        <v>34</v>
      </c>
      <c r="F782" s="22">
        <v>46</v>
      </c>
      <c r="G782" s="22">
        <v>56</v>
      </c>
      <c r="H782" s="22">
        <v>57</v>
      </c>
      <c r="J782" s="10">
        <v>52</v>
      </c>
      <c r="K782" s="10">
        <v>2</v>
      </c>
      <c r="L782" s="10">
        <v>124</v>
      </c>
      <c r="M782" s="10">
        <v>62</v>
      </c>
      <c r="N782" s="10">
        <v>18</v>
      </c>
      <c r="Q782" s="9" t="s">
        <v>53</v>
      </c>
      <c r="R782" s="9">
        <v>156</v>
      </c>
      <c r="S782" s="9">
        <v>159</v>
      </c>
      <c r="T782" s="9">
        <v>315</v>
      </c>
    </row>
    <row r="783" spans="1:20" x14ac:dyDescent="0.25">
      <c r="A783" s="21" t="s">
        <v>4</v>
      </c>
      <c r="B783" s="21" t="s">
        <v>28</v>
      </c>
      <c r="C783" s="21" t="s">
        <v>16</v>
      </c>
      <c r="D783" s="21" t="s">
        <v>35</v>
      </c>
      <c r="E783" s="21" t="s">
        <v>34</v>
      </c>
      <c r="F783" s="22">
        <v>77</v>
      </c>
      <c r="G783" s="22">
        <v>90</v>
      </c>
      <c r="H783" s="22">
        <v>84</v>
      </c>
      <c r="J783" s="10">
        <v>69</v>
      </c>
      <c r="K783" s="10">
        <v>2</v>
      </c>
      <c r="L783" s="10">
        <v>154</v>
      </c>
      <c r="M783" s="10">
        <v>77</v>
      </c>
      <c r="N783" s="10">
        <v>0</v>
      </c>
      <c r="Q783" s="9" t="s">
        <v>54</v>
      </c>
      <c r="R783" s="9">
        <v>78</v>
      </c>
      <c r="S783" s="9">
        <v>79.5</v>
      </c>
      <c r="T783" s="9">
        <v>78.75</v>
      </c>
    </row>
    <row r="784" spans="1:20" x14ac:dyDescent="0.25">
      <c r="A784" s="21" t="s">
        <v>4</v>
      </c>
      <c r="B784" s="21" t="s">
        <v>28</v>
      </c>
      <c r="C784" s="21" t="s">
        <v>15</v>
      </c>
      <c r="D784" s="21" t="s">
        <v>32</v>
      </c>
      <c r="E784" s="21" t="s">
        <v>33</v>
      </c>
      <c r="F784" s="22">
        <v>76</v>
      </c>
      <c r="G784" s="22">
        <v>85</v>
      </c>
      <c r="H784" s="22">
        <v>82</v>
      </c>
      <c r="J784" s="10">
        <v>53</v>
      </c>
      <c r="K784" s="10">
        <v>2</v>
      </c>
      <c r="L784" s="10">
        <v>136</v>
      </c>
      <c r="M784" s="10">
        <v>68</v>
      </c>
      <c r="N784" s="10">
        <v>32</v>
      </c>
      <c r="Q784" s="9" t="s">
        <v>55</v>
      </c>
      <c r="R784" s="9">
        <v>18</v>
      </c>
      <c r="S784" s="9">
        <v>4.5</v>
      </c>
      <c r="T784" s="9">
        <v>8.25</v>
      </c>
    </row>
    <row r="785" spans="1:20" x14ac:dyDescent="0.25">
      <c r="A785" s="21" t="s">
        <v>4</v>
      </c>
      <c r="B785" s="21" t="s">
        <v>29</v>
      </c>
      <c r="C785" s="21" t="s">
        <v>14</v>
      </c>
      <c r="D785" s="21" t="s">
        <v>35</v>
      </c>
      <c r="E785" s="21" t="s">
        <v>33</v>
      </c>
      <c r="F785" s="22">
        <v>52</v>
      </c>
      <c r="G785" s="22">
        <v>59</v>
      </c>
      <c r="H785" s="22">
        <v>62</v>
      </c>
      <c r="J785" s="10">
        <v>48</v>
      </c>
      <c r="K785" s="10">
        <v>2</v>
      </c>
      <c r="L785" s="10">
        <v>112</v>
      </c>
      <c r="M785" s="10">
        <v>56</v>
      </c>
      <c r="N785" s="10">
        <v>8</v>
      </c>
      <c r="Q785" s="9"/>
      <c r="R785" s="9"/>
      <c r="S785" s="9"/>
      <c r="T785" s="9"/>
    </row>
    <row r="786" spans="1:20" x14ac:dyDescent="0.25">
      <c r="A786" s="21" t="s">
        <v>5</v>
      </c>
      <c r="B786" s="21" t="s">
        <v>29</v>
      </c>
      <c r="C786" s="21" t="s">
        <v>43</v>
      </c>
      <c r="D786" s="21" t="s">
        <v>35</v>
      </c>
      <c r="E786" s="21" t="s">
        <v>33</v>
      </c>
      <c r="F786" s="22">
        <v>91</v>
      </c>
      <c r="G786" s="22">
        <v>81</v>
      </c>
      <c r="H786" s="22">
        <v>79</v>
      </c>
      <c r="J786" s="10">
        <v>78</v>
      </c>
      <c r="K786" s="10">
        <v>2</v>
      </c>
      <c r="L786" s="10">
        <v>167</v>
      </c>
      <c r="M786" s="10">
        <v>83.5</v>
      </c>
      <c r="N786" s="10">
        <v>12.5</v>
      </c>
      <c r="Q786" s="14">
        <v>64</v>
      </c>
      <c r="R786" s="14"/>
      <c r="S786" s="14"/>
      <c r="T786" s="14"/>
    </row>
    <row r="787" spans="1:20" x14ac:dyDescent="0.25">
      <c r="A787" s="21" t="s">
        <v>4</v>
      </c>
      <c r="B787" s="21" t="s">
        <v>28</v>
      </c>
      <c r="C787" s="21" t="s">
        <v>17</v>
      </c>
      <c r="D787" s="21" t="s">
        <v>35</v>
      </c>
      <c r="E787" s="21" t="s">
        <v>33</v>
      </c>
      <c r="F787" s="22">
        <v>32</v>
      </c>
      <c r="G787" s="22">
        <v>51</v>
      </c>
      <c r="H787" s="22">
        <v>44</v>
      </c>
      <c r="J787" s="10">
        <v>62</v>
      </c>
      <c r="K787" s="10">
        <v>2</v>
      </c>
      <c r="L787" s="10">
        <v>125</v>
      </c>
      <c r="M787" s="10">
        <v>62.5</v>
      </c>
      <c r="N787" s="10">
        <v>0.5</v>
      </c>
      <c r="Q787" s="9" t="s">
        <v>52</v>
      </c>
      <c r="R787" s="9">
        <v>2</v>
      </c>
      <c r="S787" s="9">
        <v>2</v>
      </c>
      <c r="T787" s="9">
        <v>4</v>
      </c>
    </row>
    <row r="788" spans="1:20" x14ac:dyDescent="0.25">
      <c r="A788" s="21" t="s">
        <v>4</v>
      </c>
      <c r="B788" s="21" t="s">
        <v>31</v>
      </c>
      <c r="C788" s="21" t="s">
        <v>17</v>
      </c>
      <c r="D788" s="21" t="s">
        <v>32</v>
      </c>
      <c r="E788" s="21" t="s">
        <v>34</v>
      </c>
      <c r="F788" s="22">
        <v>72</v>
      </c>
      <c r="G788" s="22">
        <v>79</v>
      </c>
      <c r="H788" s="22">
        <v>77</v>
      </c>
      <c r="J788" s="10">
        <v>60</v>
      </c>
      <c r="K788" s="10">
        <v>2</v>
      </c>
      <c r="L788" s="10">
        <v>122</v>
      </c>
      <c r="M788" s="10">
        <v>61</v>
      </c>
      <c r="N788" s="10">
        <v>8</v>
      </c>
      <c r="Q788" s="9" t="s">
        <v>53</v>
      </c>
      <c r="R788" s="9">
        <v>158</v>
      </c>
      <c r="S788" s="9">
        <v>155</v>
      </c>
      <c r="T788" s="9">
        <v>313</v>
      </c>
    </row>
    <row r="789" spans="1:20" x14ac:dyDescent="0.25">
      <c r="A789" s="21" t="s">
        <v>4</v>
      </c>
      <c r="B789" s="21" t="s">
        <v>28</v>
      </c>
      <c r="C789" s="21" t="s">
        <v>45</v>
      </c>
      <c r="D789" s="21" t="s">
        <v>35</v>
      </c>
      <c r="E789" s="21" t="s">
        <v>34</v>
      </c>
      <c r="F789" s="22">
        <v>19</v>
      </c>
      <c r="G789" s="22">
        <v>38</v>
      </c>
      <c r="H789" s="22">
        <v>32</v>
      </c>
      <c r="J789" s="10">
        <v>74</v>
      </c>
      <c r="K789" s="10">
        <v>2</v>
      </c>
      <c r="L789" s="10">
        <v>144</v>
      </c>
      <c r="M789" s="10">
        <v>72</v>
      </c>
      <c r="N789" s="10">
        <v>0</v>
      </c>
      <c r="Q789" s="9" t="s">
        <v>54</v>
      </c>
      <c r="R789" s="9">
        <v>79</v>
      </c>
      <c r="S789" s="9">
        <v>77.5</v>
      </c>
      <c r="T789" s="9">
        <v>78.25</v>
      </c>
    </row>
    <row r="790" spans="1:20" x14ac:dyDescent="0.25">
      <c r="A790" s="21" t="s">
        <v>5</v>
      </c>
      <c r="B790" s="21" t="s">
        <v>29</v>
      </c>
      <c r="C790" s="21" t="s">
        <v>14</v>
      </c>
      <c r="D790" s="21" t="s">
        <v>32</v>
      </c>
      <c r="E790" s="21" t="s">
        <v>34</v>
      </c>
      <c r="F790" s="22">
        <v>68</v>
      </c>
      <c r="G790" s="22">
        <v>65</v>
      </c>
      <c r="H790" s="22">
        <v>61</v>
      </c>
      <c r="J790" s="10">
        <v>58</v>
      </c>
      <c r="K790" s="10">
        <v>2</v>
      </c>
      <c r="L790" s="10">
        <v>152</v>
      </c>
      <c r="M790" s="10">
        <v>76</v>
      </c>
      <c r="N790" s="10">
        <v>2</v>
      </c>
      <c r="Q790" s="9" t="s">
        <v>55</v>
      </c>
      <c r="R790" s="9">
        <v>0</v>
      </c>
      <c r="S790" s="9">
        <v>0.5</v>
      </c>
      <c r="T790" s="9">
        <v>0.91666666666666663</v>
      </c>
    </row>
    <row r="791" spans="1:20" x14ac:dyDescent="0.25">
      <c r="A791" s="21" t="s">
        <v>4</v>
      </c>
      <c r="B791" s="21" t="s">
        <v>29</v>
      </c>
      <c r="C791" s="21" t="s">
        <v>16</v>
      </c>
      <c r="D791" s="21" t="s">
        <v>32</v>
      </c>
      <c r="E791" s="21" t="s">
        <v>34</v>
      </c>
      <c r="F791" s="22">
        <v>52</v>
      </c>
      <c r="G791" s="22">
        <v>65</v>
      </c>
      <c r="H791" s="22">
        <v>61</v>
      </c>
      <c r="J791" s="10">
        <v>76</v>
      </c>
      <c r="K791" s="10">
        <v>2</v>
      </c>
      <c r="L791" s="10">
        <v>122</v>
      </c>
      <c r="M791" s="10">
        <v>61</v>
      </c>
      <c r="N791" s="10">
        <v>2</v>
      </c>
      <c r="Q791" s="9"/>
      <c r="R791" s="9"/>
      <c r="S791" s="9"/>
      <c r="T791" s="9"/>
    </row>
    <row r="792" spans="1:20" x14ac:dyDescent="0.25">
      <c r="A792" s="21" t="s">
        <v>4</v>
      </c>
      <c r="B792" s="21" t="s">
        <v>28</v>
      </c>
      <c r="C792" s="21" t="s">
        <v>15</v>
      </c>
      <c r="D792" s="21" t="s">
        <v>35</v>
      </c>
      <c r="E792" s="21" t="s">
        <v>34</v>
      </c>
      <c r="F792" s="22">
        <v>48</v>
      </c>
      <c r="G792" s="22">
        <v>62</v>
      </c>
      <c r="H792" s="22">
        <v>60</v>
      </c>
      <c r="J792" s="10">
        <v>68</v>
      </c>
      <c r="K792" s="10">
        <v>2</v>
      </c>
      <c r="L792" s="10">
        <v>146</v>
      </c>
      <c r="M792" s="10">
        <v>73</v>
      </c>
      <c r="N792" s="10">
        <v>8</v>
      </c>
      <c r="Q792" s="14">
        <v>44</v>
      </c>
      <c r="R792" s="14"/>
      <c r="S792" s="14"/>
      <c r="T792" s="14"/>
    </row>
    <row r="793" spans="1:20" x14ac:dyDescent="0.25">
      <c r="A793" s="21" t="s">
        <v>4</v>
      </c>
      <c r="B793" s="21" t="s">
        <v>30</v>
      </c>
      <c r="C793" s="21" t="s">
        <v>45</v>
      </c>
      <c r="D793" s="21" t="s">
        <v>32</v>
      </c>
      <c r="E793" s="21" t="s">
        <v>34</v>
      </c>
      <c r="F793" s="22">
        <v>60</v>
      </c>
      <c r="G793" s="22">
        <v>66</v>
      </c>
      <c r="H793" s="22">
        <v>70</v>
      </c>
      <c r="J793" s="10">
        <v>58</v>
      </c>
      <c r="K793" s="10">
        <v>2</v>
      </c>
      <c r="L793" s="10">
        <v>117</v>
      </c>
      <c r="M793" s="10">
        <v>58.5</v>
      </c>
      <c r="N793" s="10">
        <v>4.5</v>
      </c>
      <c r="Q793" s="9" t="s">
        <v>52</v>
      </c>
      <c r="R793" s="9">
        <v>2</v>
      </c>
      <c r="S793" s="9">
        <v>2</v>
      </c>
      <c r="T793" s="9">
        <v>4</v>
      </c>
    </row>
    <row r="794" spans="1:20" x14ac:dyDescent="0.25">
      <c r="A794" s="21" t="s">
        <v>5</v>
      </c>
      <c r="B794" s="21" t="s">
        <v>30</v>
      </c>
      <c r="C794" s="21" t="s">
        <v>15</v>
      </c>
      <c r="D794" s="21" t="s">
        <v>32</v>
      </c>
      <c r="E794" s="21" t="s">
        <v>34</v>
      </c>
      <c r="F794" s="22">
        <v>66</v>
      </c>
      <c r="G794" s="22">
        <v>74</v>
      </c>
      <c r="H794" s="22">
        <v>69</v>
      </c>
      <c r="J794" s="10">
        <v>52</v>
      </c>
      <c r="K794" s="10">
        <v>2</v>
      </c>
      <c r="L794" s="10">
        <v>97</v>
      </c>
      <c r="M794" s="10">
        <v>48.5</v>
      </c>
      <c r="N794" s="10">
        <v>0.5</v>
      </c>
      <c r="Q794" s="9" t="s">
        <v>53</v>
      </c>
      <c r="R794" s="9">
        <v>143</v>
      </c>
      <c r="S794" s="9">
        <v>141</v>
      </c>
      <c r="T794" s="9">
        <v>284</v>
      </c>
    </row>
    <row r="795" spans="1:20" x14ac:dyDescent="0.25">
      <c r="A795" s="21" t="s">
        <v>5</v>
      </c>
      <c r="B795" s="21" t="s">
        <v>31</v>
      </c>
      <c r="C795" s="21" t="s">
        <v>17</v>
      </c>
      <c r="D795" s="21" t="s">
        <v>35</v>
      </c>
      <c r="E795" s="21" t="s">
        <v>33</v>
      </c>
      <c r="F795" s="22">
        <v>89</v>
      </c>
      <c r="G795" s="22">
        <v>84</v>
      </c>
      <c r="H795" s="22">
        <v>77</v>
      </c>
      <c r="J795" s="10">
        <v>75</v>
      </c>
      <c r="K795" s="10">
        <v>2</v>
      </c>
      <c r="L795" s="10">
        <v>147</v>
      </c>
      <c r="M795" s="10">
        <v>73.5</v>
      </c>
      <c r="N795" s="10">
        <v>0.5</v>
      </c>
      <c r="Q795" s="9" t="s">
        <v>54</v>
      </c>
      <c r="R795" s="9">
        <v>71.5</v>
      </c>
      <c r="S795" s="9">
        <v>70.5</v>
      </c>
      <c r="T795" s="9">
        <v>71</v>
      </c>
    </row>
    <row r="796" spans="1:20" x14ac:dyDescent="0.25">
      <c r="A796" s="21" t="s">
        <v>4</v>
      </c>
      <c r="B796" s="21" t="s">
        <v>28</v>
      </c>
      <c r="C796" s="21" t="s">
        <v>15</v>
      </c>
      <c r="D796" s="21" t="s">
        <v>35</v>
      </c>
      <c r="E796" s="21" t="s">
        <v>34</v>
      </c>
      <c r="F796" s="22">
        <v>42</v>
      </c>
      <c r="G796" s="22">
        <v>52</v>
      </c>
      <c r="H796" s="22">
        <v>51</v>
      </c>
      <c r="J796" s="10">
        <v>52</v>
      </c>
      <c r="K796" s="10">
        <v>2</v>
      </c>
      <c r="L796" s="10">
        <v>139</v>
      </c>
      <c r="M796" s="10">
        <v>69.5</v>
      </c>
      <c r="N796" s="10">
        <v>12.5</v>
      </c>
      <c r="Q796" s="9" t="s">
        <v>55</v>
      </c>
      <c r="R796" s="9">
        <v>924.5</v>
      </c>
      <c r="S796" s="9">
        <v>760.5</v>
      </c>
      <c r="T796" s="9">
        <v>562</v>
      </c>
    </row>
    <row r="797" spans="1:20" x14ac:dyDescent="0.25">
      <c r="A797" s="21" t="s">
        <v>4</v>
      </c>
      <c r="B797" s="21" t="s">
        <v>31</v>
      </c>
      <c r="C797" s="21" t="s">
        <v>14</v>
      </c>
      <c r="D797" s="21" t="s">
        <v>32</v>
      </c>
      <c r="E797" s="21" t="s">
        <v>33</v>
      </c>
      <c r="F797" s="22">
        <v>57</v>
      </c>
      <c r="G797" s="22">
        <v>68</v>
      </c>
      <c r="H797" s="22">
        <v>73</v>
      </c>
      <c r="J797" s="10">
        <v>62</v>
      </c>
      <c r="K797" s="10">
        <v>2</v>
      </c>
      <c r="L797" s="10">
        <v>157</v>
      </c>
      <c r="M797" s="10">
        <v>78.5</v>
      </c>
      <c r="N797" s="10">
        <v>0.5</v>
      </c>
      <c r="Q797" s="9"/>
      <c r="R797" s="9"/>
      <c r="S797" s="9"/>
      <c r="T797" s="9"/>
    </row>
    <row r="798" spans="1:20" x14ac:dyDescent="0.25">
      <c r="A798" s="21" t="s">
        <v>5</v>
      </c>
      <c r="B798" s="21" t="s">
        <v>30</v>
      </c>
      <c r="C798" s="21" t="s">
        <v>15</v>
      </c>
      <c r="D798" s="21" t="s">
        <v>35</v>
      </c>
      <c r="E798" s="21" t="s">
        <v>34</v>
      </c>
      <c r="F798" s="22">
        <v>70</v>
      </c>
      <c r="G798" s="22">
        <v>70</v>
      </c>
      <c r="H798" s="22">
        <v>70</v>
      </c>
      <c r="J798" s="10">
        <v>66</v>
      </c>
      <c r="K798" s="10">
        <v>2</v>
      </c>
      <c r="L798" s="10">
        <v>125</v>
      </c>
      <c r="M798" s="10">
        <v>62.5</v>
      </c>
      <c r="N798" s="10">
        <v>12.5</v>
      </c>
      <c r="Q798" s="14">
        <v>76</v>
      </c>
      <c r="R798" s="14"/>
      <c r="S798" s="14"/>
      <c r="T798" s="14"/>
    </row>
    <row r="799" spans="1:20" x14ac:dyDescent="0.25">
      <c r="A799" s="21" t="s">
        <v>4</v>
      </c>
      <c r="B799" s="21" t="s">
        <v>31</v>
      </c>
      <c r="C799" s="21" t="s">
        <v>14</v>
      </c>
      <c r="D799" s="21" t="s">
        <v>32</v>
      </c>
      <c r="E799" s="21" t="s">
        <v>34</v>
      </c>
      <c r="F799" s="22">
        <v>70</v>
      </c>
      <c r="G799" s="22">
        <v>84</v>
      </c>
      <c r="H799" s="22">
        <v>81</v>
      </c>
      <c r="J799" s="10">
        <v>49</v>
      </c>
      <c r="K799" s="10">
        <v>2</v>
      </c>
      <c r="L799" s="10">
        <v>113</v>
      </c>
      <c r="M799" s="10">
        <v>56.5</v>
      </c>
      <c r="N799" s="10">
        <v>4.5</v>
      </c>
      <c r="Q799" s="9" t="s">
        <v>52</v>
      </c>
      <c r="R799" s="9">
        <v>2</v>
      </c>
      <c r="S799" s="9">
        <v>2</v>
      </c>
      <c r="T799" s="9">
        <v>4</v>
      </c>
    </row>
    <row r="800" spans="1:20" x14ac:dyDescent="0.25">
      <c r="A800" s="21" t="s">
        <v>5</v>
      </c>
      <c r="B800" s="21" t="s">
        <v>31</v>
      </c>
      <c r="C800" s="21" t="s">
        <v>45</v>
      </c>
      <c r="D800" s="21" t="s">
        <v>35</v>
      </c>
      <c r="E800" s="21" t="s">
        <v>34</v>
      </c>
      <c r="F800" s="22">
        <v>69</v>
      </c>
      <c r="G800" s="22">
        <v>60</v>
      </c>
      <c r="H800" s="22">
        <v>54</v>
      </c>
      <c r="J800" s="10">
        <v>66</v>
      </c>
      <c r="K800" s="10">
        <v>2</v>
      </c>
      <c r="L800" s="10">
        <v>142</v>
      </c>
      <c r="M800" s="10">
        <v>71</v>
      </c>
      <c r="N800" s="10">
        <v>2</v>
      </c>
      <c r="Q800" s="9" t="s">
        <v>53</v>
      </c>
      <c r="R800" s="9">
        <v>115</v>
      </c>
      <c r="S800" s="9">
        <v>109</v>
      </c>
      <c r="T800" s="9">
        <v>224</v>
      </c>
    </row>
    <row r="801" spans="1:20" x14ac:dyDescent="0.25">
      <c r="A801" s="21" t="s">
        <v>4</v>
      </c>
      <c r="B801" s="21" t="s">
        <v>29</v>
      </c>
      <c r="C801" s="21" t="s">
        <v>14</v>
      </c>
      <c r="D801" s="21" t="s">
        <v>35</v>
      </c>
      <c r="E801" s="21" t="s">
        <v>34</v>
      </c>
      <c r="F801" s="22">
        <v>52</v>
      </c>
      <c r="G801" s="22">
        <v>55</v>
      </c>
      <c r="H801" s="22">
        <v>57</v>
      </c>
      <c r="J801" s="10">
        <v>35</v>
      </c>
      <c r="K801" s="10">
        <v>2</v>
      </c>
      <c r="L801" s="10">
        <v>87</v>
      </c>
      <c r="M801" s="10">
        <v>43.5</v>
      </c>
      <c r="N801" s="10">
        <v>0.5</v>
      </c>
      <c r="Q801" s="9" t="s">
        <v>54</v>
      </c>
      <c r="R801" s="9">
        <v>57.5</v>
      </c>
      <c r="S801" s="9">
        <v>54.5</v>
      </c>
      <c r="T801" s="9">
        <v>56</v>
      </c>
    </row>
    <row r="802" spans="1:20" x14ac:dyDescent="0.25">
      <c r="A802" s="21" t="s">
        <v>5</v>
      </c>
      <c r="B802" s="21" t="s">
        <v>29</v>
      </c>
      <c r="C802" s="21" t="s">
        <v>17</v>
      </c>
      <c r="D802" s="21" t="s">
        <v>35</v>
      </c>
      <c r="E802" s="21" t="s">
        <v>33</v>
      </c>
      <c r="F802" s="22">
        <v>67</v>
      </c>
      <c r="G802" s="22">
        <v>73</v>
      </c>
      <c r="H802" s="22">
        <v>68</v>
      </c>
      <c r="J802" s="10">
        <v>72</v>
      </c>
      <c r="K802" s="10">
        <v>2</v>
      </c>
      <c r="L802" s="10">
        <v>161</v>
      </c>
      <c r="M802" s="10">
        <v>80.5</v>
      </c>
      <c r="N802" s="10">
        <v>4.5</v>
      </c>
      <c r="Q802" s="9" t="s">
        <v>55</v>
      </c>
      <c r="R802" s="9">
        <v>480.5</v>
      </c>
      <c r="S802" s="9">
        <v>364.5</v>
      </c>
      <c r="T802" s="9">
        <v>284.66666666666669</v>
      </c>
    </row>
    <row r="803" spans="1:20" x14ac:dyDescent="0.25">
      <c r="A803" s="21" t="s">
        <v>5</v>
      </c>
      <c r="B803" s="21" t="s">
        <v>29</v>
      </c>
      <c r="C803" s="21" t="s">
        <v>17</v>
      </c>
      <c r="D803" s="21" t="s">
        <v>35</v>
      </c>
      <c r="E803" s="21" t="s">
        <v>33</v>
      </c>
      <c r="F803" s="22">
        <v>76</v>
      </c>
      <c r="G803" s="22">
        <v>80</v>
      </c>
      <c r="H803" s="22">
        <v>73</v>
      </c>
      <c r="J803" s="10">
        <v>94</v>
      </c>
      <c r="K803" s="10">
        <v>2</v>
      </c>
      <c r="L803" s="10">
        <v>167</v>
      </c>
      <c r="M803" s="10">
        <v>83.5</v>
      </c>
      <c r="N803" s="10">
        <v>4.5</v>
      </c>
      <c r="Q803" s="9"/>
      <c r="R803" s="9"/>
      <c r="S803" s="9"/>
      <c r="T803" s="9"/>
    </row>
    <row r="804" spans="1:20" x14ac:dyDescent="0.25">
      <c r="A804" s="21" t="s">
        <v>4</v>
      </c>
      <c r="B804" s="21" t="s">
        <v>31</v>
      </c>
      <c r="C804" s="21" t="s">
        <v>14</v>
      </c>
      <c r="D804" s="21" t="s">
        <v>35</v>
      </c>
      <c r="E804" s="21" t="s">
        <v>34</v>
      </c>
      <c r="F804" s="22">
        <v>87</v>
      </c>
      <c r="G804" s="22">
        <v>94</v>
      </c>
      <c r="H804" s="22">
        <v>95</v>
      </c>
      <c r="J804" s="10">
        <v>46</v>
      </c>
      <c r="K804" s="10">
        <v>2</v>
      </c>
      <c r="L804" s="10">
        <v>113</v>
      </c>
      <c r="M804" s="10">
        <v>56.5</v>
      </c>
      <c r="N804" s="10">
        <v>0.5</v>
      </c>
      <c r="Q804" s="14">
        <v>63</v>
      </c>
      <c r="R804" s="14"/>
      <c r="S804" s="14"/>
      <c r="T804" s="14"/>
    </row>
    <row r="805" spans="1:20" x14ac:dyDescent="0.25">
      <c r="A805" s="21" t="s">
        <v>4</v>
      </c>
      <c r="B805" s="21" t="s">
        <v>28</v>
      </c>
      <c r="C805" s="21" t="s">
        <v>45</v>
      </c>
      <c r="D805" s="21" t="s">
        <v>35</v>
      </c>
      <c r="E805" s="21" t="s">
        <v>34</v>
      </c>
      <c r="F805" s="22">
        <v>82</v>
      </c>
      <c r="G805" s="22">
        <v>85</v>
      </c>
      <c r="H805" s="22">
        <v>87</v>
      </c>
      <c r="J805" s="10">
        <v>77</v>
      </c>
      <c r="K805" s="10">
        <v>2</v>
      </c>
      <c r="L805" s="10">
        <v>174</v>
      </c>
      <c r="M805" s="10">
        <v>87</v>
      </c>
      <c r="N805" s="10">
        <v>18</v>
      </c>
      <c r="Q805" s="9" t="s">
        <v>52</v>
      </c>
      <c r="R805" s="9">
        <v>2</v>
      </c>
      <c r="S805" s="9">
        <v>2</v>
      </c>
      <c r="T805" s="9">
        <v>4</v>
      </c>
    </row>
    <row r="806" spans="1:20" x14ac:dyDescent="0.25">
      <c r="A806" s="21" t="s">
        <v>4</v>
      </c>
      <c r="B806" s="21" t="s">
        <v>29</v>
      </c>
      <c r="C806" s="21" t="s">
        <v>45</v>
      </c>
      <c r="D806" s="21" t="s">
        <v>35</v>
      </c>
      <c r="E806" s="21" t="s">
        <v>34</v>
      </c>
      <c r="F806" s="22">
        <v>73</v>
      </c>
      <c r="G806" s="22">
        <v>76</v>
      </c>
      <c r="H806" s="22">
        <v>78</v>
      </c>
      <c r="J806" s="10">
        <v>76</v>
      </c>
      <c r="K806" s="10">
        <v>2</v>
      </c>
      <c r="L806" s="10">
        <v>167</v>
      </c>
      <c r="M806" s="10">
        <v>83.5</v>
      </c>
      <c r="N806" s="10">
        <v>4.5</v>
      </c>
      <c r="Q806" s="9" t="s">
        <v>53</v>
      </c>
      <c r="R806" s="9">
        <v>147</v>
      </c>
      <c r="S806" s="9">
        <v>158</v>
      </c>
      <c r="T806" s="9">
        <v>305</v>
      </c>
    </row>
    <row r="807" spans="1:20" x14ac:dyDescent="0.25">
      <c r="A807" s="21" t="s">
        <v>5</v>
      </c>
      <c r="B807" s="21" t="s">
        <v>27</v>
      </c>
      <c r="C807" s="21" t="s">
        <v>45</v>
      </c>
      <c r="D807" s="21" t="s">
        <v>32</v>
      </c>
      <c r="E807" s="21" t="s">
        <v>34</v>
      </c>
      <c r="F807" s="22">
        <v>75</v>
      </c>
      <c r="G807" s="22">
        <v>81</v>
      </c>
      <c r="H807" s="22">
        <v>74</v>
      </c>
      <c r="J807" s="10">
        <v>52</v>
      </c>
      <c r="K807" s="10">
        <v>2</v>
      </c>
      <c r="L807" s="10">
        <v>121</v>
      </c>
      <c r="M807" s="10">
        <v>60.5</v>
      </c>
      <c r="N807" s="10">
        <v>4.5</v>
      </c>
      <c r="Q807" s="9" t="s">
        <v>54</v>
      </c>
      <c r="R807" s="9">
        <v>73.5</v>
      </c>
      <c r="S807" s="9">
        <v>79</v>
      </c>
      <c r="T807" s="9">
        <v>76.25</v>
      </c>
    </row>
    <row r="808" spans="1:20" x14ac:dyDescent="0.25">
      <c r="A808" s="21" t="s">
        <v>4</v>
      </c>
      <c r="B808" s="21" t="s">
        <v>30</v>
      </c>
      <c r="C808" s="21" t="s">
        <v>45</v>
      </c>
      <c r="D808" s="21" t="s">
        <v>32</v>
      </c>
      <c r="E808" s="21" t="s">
        <v>34</v>
      </c>
      <c r="F808" s="22">
        <v>64</v>
      </c>
      <c r="G808" s="22">
        <v>74</v>
      </c>
      <c r="H808" s="22">
        <v>75</v>
      </c>
      <c r="J808" s="10">
        <v>91</v>
      </c>
      <c r="K808" s="10">
        <v>2</v>
      </c>
      <c r="L808" s="10">
        <v>160</v>
      </c>
      <c r="M808" s="10">
        <v>80</v>
      </c>
      <c r="N808" s="10">
        <v>2</v>
      </c>
      <c r="Q808" s="9" t="s">
        <v>55</v>
      </c>
      <c r="R808" s="9">
        <v>4.5</v>
      </c>
      <c r="S808" s="9">
        <v>8</v>
      </c>
      <c r="T808" s="9">
        <v>14.25</v>
      </c>
    </row>
    <row r="809" spans="1:20" x14ac:dyDescent="0.25">
      <c r="A809" s="21" t="s">
        <v>4</v>
      </c>
      <c r="B809" s="21" t="s">
        <v>31</v>
      </c>
      <c r="C809" s="21" t="s">
        <v>15</v>
      </c>
      <c r="D809" s="21" t="s">
        <v>32</v>
      </c>
      <c r="E809" s="21" t="s">
        <v>34</v>
      </c>
      <c r="F809" s="22">
        <v>41</v>
      </c>
      <c r="G809" s="22">
        <v>45</v>
      </c>
      <c r="H809" s="22">
        <v>40</v>
      </c>
      <c r="J809" s="10">
        <v>32</v>
      </c>
      <c r="K809" s="10">
        <v>2</v>
      </c>
      <c r="L809" s="10">
        <v>95</v>
      </c>
      <c r="M809" s="10">
        <v>47.5</v>
      </c>
      <c r="N809" s="10">
        <v>24.5</v>
      </c>
      <c r="Q809" s="9"/>
      <c r="R809" s="9"/>
      <c r="S809" s="9"/>
      <c r="T809" s="9"/>
    </row>
    <row r="810" spans="1:20" x14ac:dyDescent="0.25">
      <c r="A810" s="21" t="s">
        <v>5</v>
      </c>
      <c r="B810" s="21" t="s">
        <v>29</v>
      </c>
      <c r="C810" s="21" t="s">
        <v>15</v>
      </c>
      <c r="D810" s="21" t="s">
        <v>35</v>
      </c>
      <c r="E810" s="21" t="s">
        <v>34</v>
      </c>
      <c r="F810" s="22">
        <v>90</v>
      </c>
      <c r="G810" s="22">
        <v>75</v>
      </c>
      <c r="H810" s="22">
        <v>69</v>
      </c>
      <c r="J810" s="10">
        <v>72</v>
      </c>
      <c r="K810" s="10">
        <v>2</v>
      </c>
      <c r="L810" s="10">
        <v>156</v>
      </c>
      <c r="M810" s="10">
        <v>78</v>
      </c>
      <c r="N810" s="10">
        <v>2</v>
      </c>
      <c r="Q810" s="14">
        <v>88</v>
      </c>
      <c r="R810" s="14"/>
      <c r="S810" s="14"/>
      <c r="T810" s="14"/>
    </row>
    <row r="811" spans="1:20" x14ac:dyDescent="0.25">
      <c r="A811" s="21" t="s">
        <v>5</v>
      </c>
      <c r="B811" s="21" t="s">
        <v>28</v>
      </c>
      <c r="C811" s="21" t="s">
        <v>43</v>
      </c>
      <c r="D811" s="21" t="s">
        <v>35</v>
      </c>
      <c r="E811" s="21" t="s">
        <v>34</v>
      </c>
      <c r="F811" s="22">
        <v>59</v>
      </c>
      <c r="G811" s="22">
        <v>54</v>
      </c>
      <c r="H811" s="22">
        <v>51</v>
      </c>
      <c r="J811" s="10">
        <v>19</v>
      </c>
      <c r="K811" s="10">
        <v>2</v>
      </c>
      <c r="L811" s="10">
        <v>70</v>
      </c>
      <c r="M811" s="10">
        <v>35</v>
      </c>
      <c r="N811" s="10">
        <v>18</v>
      </c>
      <c r="Q811" s="9" t="s">
        <v>52</v>
      </c>
      <c r="R811" s="9">
        <v>2</v>
      </c>
      <c r="S811" s="9">
        <v>2</v>
      </c>
      <c r="T811" s="9">
        <v>4</v>
      </c>
    </row>
    <row r="812" spans="1:20" x14ac:dyDescent="0.25">
      <c r="A812" s="21" t="s">
        <v>5</v>
      </c>
      <c r="B812" s="21" t="s">
        <v>27</v>
      </c>
      <c r="C812" s="21" t="s">
        <v>17</v>
      </c>
      <c r="D812" s="21" t="s">
        <v>35</v>
      </c>
      <c r="E812" s="21" t="s">
        <v>34</v>
      </c>
      <c r="F812" s="22">
        <v>51</v>
      </c>
      <c r="G812" s="22">
        <v>31</v>
      </c>
      <c r="H812" s="22">
        <v>36</v>
      </c>
      <c r="J812" s="10">
        <v>68</v>
      </c>
      <c r="K812" s="10">
        <v>2</v>
      </c>
      <c r="L812" s="10">
        <v>126</v>
      </c>
      <c r="M812" s="10">
        <v>63</v>
      </c>
      <c r="N812" s="10">
        <v>8</v>
      </c>
      <c r="Q812" s="9" t="s">
        <v>53</v>
      </c>
      <c r="R812" s="9">
        <v>168</v>
      </c>
      <c r="S812" s="9">
        <v>165</v>
      </c>
      <c r="T812" s="9">
        <v>333</v>
      </c>
    </row>
    <row r="813" spans="1:20" x14ac:dyDescent="0.25">
      <c r="A813" s="21" t="s">
        <v>5</v>
      </c>
      <c r="B813" s="21" t="s">
        <v>27</v>
      </c>
      <c r="C813" s="21" t="s">
        <v>15</v>
      </c>
      <c r="D813" s="21" t="s">
        <v>32</v>
      </c>
      <c r="E813" s="21" t="s">
        <v>34</v>
      </c>
      <c r="F813" s="22">
        <v>45</v>
      </c>
      <c r="G813" s="22">
        <v>47</v>
      </c>
      <c r="H813" s="22">
        <v>49</v>
      </c>
      <c r="J813" s="10">
        <v>52</v>
      </c>
      <c r="K813" s="10">
        <v>2</v>
      </c>
      <c r="L813" s="10">
        <v>126</v>
      </c>
      <c r="M813" s="10">
        <v>63</v>
      </c>
      <c r="N813" s="10">
        <v>8</v>
      </c>
      <c r="Q813" s="9" t="s">
        <v>54</v>
      </c>
      <c r="R813" s="9">
        <v>84</v>
      </c>
      <c r="S813" s="9">
        <v>82.5</v>
      </c>
      <c r="T813" s="9">
        <v>83.25</v>
      </c>
    </row>
    <row r="814" spans="1:20" x14ac:dyDescent="0.25">
      <c r="A814" s="21" t="s">
        <v>4</v>
      </c>
      <c r="B814" s="21" t="s">
        <v>29</v>
      </c>
      <c r="C814" s="21" t="s">
        <v>16</v>
      </c>
      <c r="D814" s="21" t="s">
        <v>35</v>
      </c>
      <c r="E814" s="21" t="s">
        <v>33</v>
      </c>
      <c r="F814" s="22">
        <v>54</v>
      </c>
      <c r="G814" s="22">
        <v>64</v>
      </c>
      <c r="H814" s="22">
        <v>67</v>
      </c>
      <c r="J814" s="10">
        <v>48</v>
      </c>
      <c r="K814" s="10">
        <v>2</v>
      </c>
      <c r="L814" s="10">
        <v>122</v>
      </c>
      <c r="M814" s="10">
        <v>61</v>
      </c>
      <c r="N814" s="10">
        <v>2</v>
      </c>
      <c r="Q814" s="9" t="s">
        <v>55</v>
      </c>
      <c r="R814" s="9">
        <v>128</v>
      </c>
      <c r="S814" s="9">
        <v>312.5</v>
      </c>
      <c r="T814" s="9">
        <v>147.58333333333334</v>
      </c>
    </row>
    <row r="815" spans="1:20" x14ac:dyDescent="0.25">
      <c r="A815" s="21" t="s">
        <v>5</v>
      </c>
      <c r="B815" s="21" t="s">
        <v>31</v>
      </c>
      <c r="C815" s="21" t="s">
        <v>17</v>
      </c>
      <c r="D815" s="21" t="s">
        <v>35</v>
      </c>
      <c r="E815" s="21" t="s">
        <v>33</v>
      </c>
      <c r="F815" s="22">
        <v>87</v>
      </c>
      <c r="G815" s="22">
        <v>84</v>
      </c>
      <c r="H815" s="22">
        <v>76</v>
      </c>
      <c r="J815" s="10">
        <v>60</v>
      </c>
      <c r="K815" s="10">
        <v>2</v>
      </c>
      <c r="L815" s="10">
        <v>136</v>
      </c>
      <c r="M815" s="10">
        <v>68</v>
      </c>
      <c r="N815" s="10">
        <v>8</v>
      </c>
      <c r="Q815" s="9"/>
      <c r="R815" s="9"/>
      <c r="S815" s="9"/>
      <c r="T815" s="9"/>
    </row>
    <row r="816" spans="1:20" x14ac:dyDescent="0.25">
      <c r="A816" s="21" t="s">
        <v>4</v>
      </c>
      <c r="B816" s="21" t="s">
        <v>29</v>
      </c>
      <c r="C816" s="21" t="s">
        <v>15</v>
      </c>
      <c r="D816" s="21" t="s">
        <v>35</v>
      </c>
      <c r="E816" s="21" t="s">
        <v>34</v>
      </c>
      <c r="F816" s="22">
        <v>72</v>
      </c>
      <c r="G816" s="22">
        <v>80</v>
      </c>
      <c r="H816" s="22">
        <v>83</v>
      </c>
      <c r="J816" s="10">
        <v>66</v>
      </c>
      <c r="K816" s="10">
        <v>2</v>
      </c>
      <c r="L816" s="10">
        <v>143</v>
      </c>
      <c r="M816" s="10">
        <v>71.5</v>
      </c>
      <c r="N816" s="10">
        <v>12.5</v>
      </c>
      <c r="Q816" s="14">
        <v>69</v>
      </c>
      <c r="R816" s="14"/>
      <c r="S816" s="14"/>
      <c r="T816" s="14"/>
    </row>
    <row r="817" spans="1:20" x14ac:dyDescent="0.25">
      <c r="A817" s="21" t="s">
        <v>5</v>
      </c>
      <c r="B817" s="21" t="s">
        <v>28</v>
      </c>
      <c r="C817" s="21" t="s">
        <v>17</v>
      </c>
      <c r="D817" s="21" t="s">
        <v>35</v>
      </c>
      <c r="E817" s="21" t="s">
        <v>33</v>
      </c>
      <c r="F817" s="22">
        <v>94</v>
      </c>
      <c r="G817" s="22">
        <v>86</v>
      </c>
      <c r="H817" s="22">
        <v>87</v>
      </c>
      <c r="J817" s="10">
        <v>89</v>
      </c>
      <c r="K817" s="10">
        <v>2</v>
      </c>
      <c r="L817" s="10">
        <v>161</v>
      </c>
      <c r="M817" s="10">
        <v>80.5</v>
      </c>
      <c r="N817" s="10">
        <v>24.5</v>
      </c>
      <c r="Q817" s="9" t="s">
        <v>52</v>
      </c>
      <c r="R817" s="9">
        <v>2</v>
      </c>
      <c r="S817" s="9">
        <v>2</v>
      </c>
      <c r="T817" s="9">
        <v>4</v>
      </c>
    </row>
    <row r="818" spans="1:20" x14ac:dyDescent="0.25">
      <c r="A818" s="21" t="s">
        <v>4</v>
      </c>
      <c r="B818" s="21" t="s">
        <v>27</v>
      </c>
      <c r="C818" s="21" t="s">
        <v>43</v>
      </c>
      <c r="D818" s="21" t="s">
        <v>35</v>
      </c>
      <c r="E818" s="21" t="s">
        <v>34</v>
      </c>
      <c r="F818" s="22">
        <v>45</v>
      </c>
      <c r="G818" s="22">
        <v>59</v>
      </c>
      <c r="H818" s="22">
        <v>64</v>
      </c>
      <c r="J818" s="10">
        <v>42</v>
      </c>
      <c r="K818" s="10">
        <v>2</v>
      </c>
      <c r="L818" s="10">
        <v>103</v>
      </c>
      <c r="M818" s="10">
        <v>51.5</v>
      </c>
      <c r="N818" s="10">
        <v>0.5</v>
      </c>
      <c r="Q818" s="9" t="s">
        <v>53</v>
      </c>
      <c r="R818" s="9">
        <v>112</v>
      </c>
      <c r="S818" s="9">
        <v>103</v>
      </c>
      <c r="T818" s="9">
        <v>215</v>
      </c>
    </row>
    <row r="819" spans="1:20" x14ac:dyDescent="0.25">
      <c r="A819" s="21" t="s">
        <v>5</v>
      </c>
      <c r="B819" s="21" t="s">
        <v>30</v>
      </c>
      <c r="C819" s="21" t="s">
        <v>43</v>
      </c>
      <c r="D819" s="21" t="s">
        <v>32</v>
      </c>
      <c r="E819" s="21" t="s">
        <v>33</v>
      </c>
      <c r="F819" s="22">
        <v>61</v>
      </c>
      <c r="G819" s="22">
        <v>70</v>
      </c>
      <c r="H819" s="22">
        <v>76</v>
      </c>
      <c r="J819" s="10">
        <v>57</v>
      </c>
      <c r="K819" s="10">
        <v>2</v>
      </c>
      <c r="L819" s="10">
        <v>141</v>
      </c>
      <c r="M819" s="10">
        <v>70.5</v>
      </c>
      <c r="N819" s="10">
        <v>12.5</v>
      </c>
      <c r="Q819" s="9" t="s">
        <v>54</v>
      </c>
      <c r="R819" s="9">
        <v>56</v>
      </c>
      <c r="S819" s="9">
        <v>51.5</v>
      </c>
      <c r="T819" s="9">
        <v>53.75</v>
      </c>
    </row>
    <row r="820" spans="1:20" x14ac:dyDescent="0.25">
      <c r="A820" s="21" t="s">
        <v>4</v>
      </c>
      <c r="B820" s="21" t="s">
        <v>28</v>
      </c>
      <c r="C820" s="21" t="s">
        <v>15</v>
      </c>
      <c r="D820" s="21" t="s">
        <v>32</v>
      </c>
      <c r="E820" s="21" t="s">
        <v>34</v>
      </c>
      <c r="F820" s="22">
        <v>60</v>
      </c>
      <c r="G820" s="22">
        <v>72</v>
      </c>
      <c r="H820" s="22">
        <v>68</v>
      </c>
      <c r="J820" s="10">
        <v>70</v>
      </c>
      <c r="K820" s="10">
        <v>2</v>
      </c>
      <c r="L820" s="10">
        <v>140</v>
      </c>
      <c r="M820" s="10">
        <v>70</v>
      </c>
      <c r="N820" s="10">
        <v>0</v>
      </c>
      <c r="Q820" s="9" t="s">
        <v>55</v>
      </c>
      <c r="R820" s="9">
        <v>98</v>
      </c>
      <c r="S820" s="9">
        <v>180.5</v>
      </c>
      <c r="T820" s="9">
        <v>99.583333333333329</v>
      </c>
    </row>
    <row r="821" spans="1:20" x14ac:dyDescent="0.25">
      <c r="A821" s="21" t="s">
        <v>4</v>
      </c>
      <c r="B821" s="21" t="s">
        <v>29</v>
      </c>
      <c r="C821" s="21" t="s">
        <v>17</v>
      </c>
      <c r="D821" s="21" t="s">
        <v>35</v>
      </c>
      <c r="E821" s="21" t="s">
        <v>34</v>
      </c>
      <c r="F821" s="22">
        <v>77</v>
      </c>
      <c r="G821" s="22">
        <v>91</v>
      </c>
      <c r="H821" s="22">
        <v>88</v>
      </c>
      <c r="J821" s="10">
        <v>70</v>
      </c>
      <c r="K821" s="10">
        <v>2</v>
      </c>
      <c r="L821" s="10">
        <v>165</v>
      </c>
      <c r="M821" s="10">
        <v>82.5</v>
      </c>
      <c r="N821" s="10">
        <v>4.5</v>
      </c>
      <c r="Q821" s="9"/>
      <c r="R821" s="9"/>
      <c r="S821" s="9"/>
      <c r="T821" s="9"/>
    </row>
    <row r="822" spans="1:20" x14ac:dyDescent="0.25">
      <c r="A822" s="21" t="s">
        <v>4</v>
      </c>
      <c r="B822" s="21" t="s">
        <v>27</v>
      </c>
      <c r="C822" s="21" t="s">
        <v>17</v>
      </c>
      <c r="D822" s="21" t="s">
        <v>35</v>
      </c>
      <c r="E822" s="21" t="s">
        <v>33</v>
      </c>
      <c r="F822" s="22">
        <v>85</v>
      </c>
      <c r="G822" s="22">
        <v>90</v>
      </c>
      <c r="H822" s="22">
        <v>92</v>
      </c>
      <c r="J822" s="10">
        <v>69</v>
      </c>
      <c r="K822" s="10">
        <v>2</v>
      </c>
      <c r="L822" s="10">
        <v>114</v>
      </c>
      <c r="M822" s="10">
        <v>57</v>
      </c>
      <c r="N822" s="10">
        <v>18</v>
      </c>
      <c r="Q822" s="14">
        <v>47</v>
      </c>
      <c r="R822" s="14"/>
      <c r="S822" s="14"/>
      <c r="T822" s="14"/>
    </row>
    <row r="823" spans="1:20" x14ac:dyDescent="0.25">
      <c r="A823" s="21" t="s">
        <v>4</v>
      </c>
      <c r="B823" s="21" t="s">
        <v>30</v>
      </c>
      <c r="C823" s="21" t="s">
        <v>43</v>
      </c>
      <c r="D823" s="21" t="s">
        <v>32</v>
      </c>
      <c r="E823" s="21" t="s">
        <v>34</v>
      </c>
      <c r="F823" s="22">
        <v>78</v>
      </c>
      <c r="G823" s="22">
        <v>90</v>
      </c>
      <c r="H823" s="22">
        <v>93</v>
      </c>
      <c r="J823" s="10">
        <v>52</v>
      </c>
      <c r="K823" s="10">
        <v>2</v>
      </c>
      <c r="L823" s="10">
        <v>112</v>
      </c>
      <c r="M823" s="10">
        <v>56</v>
      </c>
      <c r="N823" s="10">
        <v>2</v>
      </c>
      <c r="Q823" s="9" t="s">
        <v>52</v>
      </c>
      <c r="R823" s="9">
        <v>2</v>
      </c>
      <c r="S823" s="9">
        <v>2</v>
      </c>
      <c r="T823" s="9">
        <v>4</v>
      </c>
    </row>
    <row r="824" spans="1:20" x14ac:dyDescent="0.25">
      <c r="A824" s="21" t="s">
        <v>5</v>
      </c>
      <c r="B824" s="21" t="s">
        <v>31</v>
      </c>
      <c r="C824" s="21" t="s">
        <v>45</v>
      </c>
      <c r="D824" s="21" t="s">
        <v>32</v>
      </c>
      <c r="E824" s="21" t="s">
        <v>33</v>
      </c>
      <c r="F824" s="22">
        <v>49</v>
      </c>
      <c r="G824" s="22">
        <v>52</v>
      </c>
      <c r="H824" s="22">
        <v>51</v>
      </c>
      <c r="J824" s="10">
        <v>67</v>
      </c>
      <c r="K824" s="10">
        <v>2</v>
      </c>
      <c r="L824" s="10">
        <v>141</v>
      </c>
      <c r="M824" s="10">
        <v>70.5</v>
      </c>
      <c r="N824" s="10">
        <v>12.5</v>
      </c>
      <c r="Q824" s="9" t="s">
        <v>53</v>
      </c>
      <c r="R824" s="9">
        <v>123</v>
      </c>
      <c r="S824" s="9">
        <v>129</v>
      </c>
      <c r="T824" s="9">
        <v>252</v>
      </c>
    </row>
    <row r="825" spans="1:20" x14ac:dyDescent="0.25">
      <c r="A825" s="21" t="s">
        <v>4</v>
      </c>
      <c r="B825" s="21" t="s">
        <v>28</v>
      </c>
      <c r="C825" s="21" t="s">
        <v>15</v>
      </c>
      <c r="D825" s="21" t="s">
        <v>32</v>
      </c>
      <c r="E825" s="21" t="s">
        <v>34</v>
      </c>
      <c r="F825" s="22">
        <v>71</v>
      </c>
      <c r="G825" s="22">
        <v>87</v>
      </c>
      <c r="H825" s="22">
        <v>82</v>
      </c>
      <c r="J825" s="10">
        <v>76</v>
      </c>
      <c r="K825" s="10">
        <v>2</v>
      </c>
      <c r="L825" s="10">
        <v>153</v>
      </c>
      <c r="M825" s="10">
        <v>76.5</v>
      </c>
      <c r="N825" s="10">
        <v>24.5</v>
      </c>
      <c r="Q825" s="9" t="s">
        <v>54</v>
      </c>
      <c r="R825" s="9">
        <v>61.5</v>
      </c>
      <c r="S825" s="9">
        <v>64.5</v>
      </c>
      <c r="T825" s="9">
        <v>63</v>
      </c>
    </row>
    <row r="826" spans="1:20" x14ac:dyDescent="0.25">
      <c r="A826" s="21" t="s">
        <v>4</v>
      </c>
      <c r="B826" s="21" t="s">
        <v>29</v>
      </c>
      <c r="C826" s="21" t="s">
        <v>17</v>
      </c>
      <c r="D826" s="21" t="s">
        <v>32</v>
      </c>
      <c r="E826" s="21" t="s">
        <v>34</v>
      </c>
      <c r="F826" s="22">
        <v>48</v>
      </c>
      <c r="G826" s="22">
        <v>58</v>
      </c>
      <c r="H826" s="22">
        <v>52</v>
      </c>
      <c r="J826" s="10">
        <v>87</v>
      </c>
      <c r="K826" s="10">
        <v>2</v>
      </c>
      <c r="L826" s="10">
        <v>189</v>
      </c>
      <c r="M826" s="10">
        <v>94.5</v>
      </c>
      <c r="N826" s="10">
        <v>0.5</v>
      </c>
      <c r="Q826" s="9" t="s">
        <v>55</v>
      </c>
      <c r="R826" s="9">
        <v>144.5</v>
      </c>
      <c r="S826" s="9">
        <v>84.5</v>
      </c>
      <c r="T826" s="9">
        <v>79.333333333333329</v>
      </c>
    </row>
    <row r="827" spans="1:20" x14ac:dyDescent="0.25">
      <c r="A827" s="21" t="s">
        <v>5</v>
      </c>
      <c r="B827" s="21" t="s">
        <v>29</v>
      </c>
      <c r="C827" s="21" t="s">
        <v>15</v>
      </c>
      <c r="D827" s="21" t="s">
        <v>35</v>
      </c>
      <c r="E827" s="21" t="s">
        <v>34</v>
      </c>
      <c r="F827" s="22">
        <v>62</v>
      </c>
      <c r="G827" s="22">
        <v>67</v>
      </c>
      <c r="H827" s="22">
        <v>58</v>
      </c>
      <c r="J827" s="10">
        <v>82</v>
      </c>
      <c r="K827" s="10">
        <v>2</v>
      </c>
      <c r="L827" s="10">
        <v>172</v>
      </c>
      <c r="M827" s="10">
        <v>86</v>
      </c>
      <c r="N827" s="10">
        <v>2</v>
      </c>
      <c r="Q827" s="9"/>
      <c r="R827" s="9"/>
      <c r="S827" s="9"/>
      <c r="T827" s="9"/>
    </row>
    <row r="828" spans="1:20" x14ac:dyDescent="0.25">
      <c r="A828" s="21" t="s">
        <v>4</v>
      </c>
      <c r="B828" s="21" t="s">
        <v>29</v>
      </c>
      <c r="C828" s="21" t="s">
        <v>14</v>
      </c>
      <c r="D828" s="21" t="s">
        <v>32</v>
      </c>
      <c r="E828" s="21" t="s">
        <v>33</v>
      </c>
      <c r="F828" s="22">
        <v>56</v>
      </c>
      <c r="G828" s="22">
        <v>68</v>
      </c>
      <c r="H828" s="22">
        <v>70</v>
      </c>
      <c r="J828" s="10">
        <v>73</v>
      </c>
      <c r="K828" s="10">
        <v>2</v>
      </c>
      <c r="L828" s="10">
        <v>154</v>
      </c>
      <c r="M828" s="10">
        <v>77</v>
      </c>
      <c r="N828" s="10">
        <v>2</v>
      </c>
      <c r="Q828" s="14">
        <v>88</v>
      </c>
      <c r="R828" s="14"/>
      <c r="S828" s="14"/>
      <c r="T828" s="14"/>
    </row>
    <row r="829" spans="1:20" x14ac:dyDescent="0.25">
      <c r="A829" s="21" t="s">
        <v>4</v>
      </c>
      <c r="B829" s="21" t="s">
        <v>29</v>
      </c>
      <c r="C829" s="21" t="s">
        <v>17</v>
      </c>
      <c r="D829" s="21" t="s">
        <v>35</v>
      </c>
      <c r="E829" s="21" t="s">
        <v>34</v>
      </c>
      <c r="F829" s="22">
        <v>65</v>
      </c>
      <c r="G829" s="22">
        <v>69</v>
      </c>
      <c r="H829" s="22">
        <v>76</v>
      </c>
      <c r="J829" s="10">
        <v>75</v>
      </c>
      <c r="K829" s="10">
        <v>2</v>
      </c>
      <c r="L829" s="10">
        <v>155</v>
      </c>
      <c r="M829" s="10">
        <v>77.5</v>
      </c>
      <c r="N829" s="10">
        <v>24.5</v>
      </c>
      <c r="Q829" s="9" t="s">
        <v>52</v>
      </c>
      <c r="R829" s="9">
        <v>2</v>
      </c>
      <c r="S829" s="9">
        <v>2</v>
      </c>
      <c r="T829" s="9">
        <v>4</v>
      </c>
    </row>
    <row r="830" spans="1:20" x14ac:dyDescent="0.25">
      <c r="A830" s="21" t="s">
        <v>4</v>
      </c>
      <c r="B830" s="21" t="s">
        <v>30</v>
      </c>
      <c r="C830" s="21" t="s">
        <v>17</v>
      </c>
      <c r="D830" s="21" t="s">
        <v>32</v>
      </c>
      <c r="E830" s="21" t="s">
        <v>33</v>
      </c>
      <c r="F830" s="22">
        <v>69</v>
      </c>
      <c r="G830" s="22">
        <v>86</v>
      </c>
      <c r="H830" s="22">
        <v>81</v>
      </c>
      <c r="J830" s="10">
        <v>64</v>
      </c>
      <c r="K830" s="10">
        <v>2</v>
      </c>
      <c r="L830" s="10">
        <v>149</v>
      </c>
      <c r="M830" s="10">
        <v>74.5</v>
      </c>
      <c r="N830" s="10">
        <v>0.5</v>
      </c>
      <c r="Q830" s="9" t="s">
        <v>53</v>
      </c>
      <c r="R830" s="9">
        <v>163</v>
      </c>
      <c r="S830" s="9">
        <v>149</v>
      </c>
      <c r="T830" s="9">
        <v>312</v>
      </c>
    </row>
    <row r="831" spans="1:20" x14ac:dyDescent="0.25">
      <c r="A831" s="21" t="s">
        <v>5</v>
      </c>
      <c r="B831" s="21" t="s">
        <v>28</v>
      </c>
      <c r="C831" s="21" t="s">
        <v>17</v>
      </c>
      <c r="D831" s="21" t="s">
        <v>35</v>
      </c>
      <c r="E831" s="21" t="s">
        <v>34</v>
      </c>
      <c r="F831" s="22">
        <v>68</v>
      </c>
      <c r="G831" s="22">
        <v>54</v>
      </c>
      <c r="H831" s="22">
        <v>53</v>
      </c>
      <c r="J831" s="10">
        <v>41</v>
      </c>
      <c r="K831" s="10">
        <v>2</v>
      </c>
      <c r="L831" s="10">
        <v>85</v>
      </c>
      <c r="M831" s="10">
        <v>42.5</v>
      </c>
      <c r="N831" s="10">
        <v>12.5</v>
      </c>
      <c r="Q831" s="9" t="s">
        <v>54</v>
      </c>
      <c r="R831" s="9">
        <v>81.5</v>
      </c>
      <c r="S831" s="9">
        <v>74.5</v>
      </c>
      <c r="T831" s="9">
        <v>78</v>
      </c>
    </row>
    <row r="832" spans="1:20" x14ac:dyDescent="0.25">
      <c r="A832" s="21" t="s">
        <v>4</v>
      </c>
      <c r="B832" s="21" t="s">
        <v>27</v>
      </c>
      <c r="C832" s="21" t="s">
        <v>45</v>
      </c>
      <c r="D832" s="21" t="s">
        <v>32</v>
      </c>
      <c r="E832" s="21" t="s">
        <v>34</v>
      </c>
      <c r="F832" s="22">
        <v>61</v>
      </c>
      <c r="G832" s="22">
        <v>60</v>
      </c>
      <c r="H832" s="22">
        <v>57</v>
      </c>
      <c r="J832" s="10">
        <v>90</v>
      </c>
      <c r="K832" s="10">
        <v>2</v>
      </c>
      <c r="L832" s="10">
        <v>144</v>
      </c>
      <c r="M832" s="10">
        <v>72</v>
      </c>
      <c r="N832" s="10">
        <v>18</v>
      </c>
      <c r="Q832" s="9" t="s">
        <v>55</v>
      </c>
      <c r="R832" s="9">
        <v>24.5</v>
      </c>
      <c r="S832" s="9">
        <v>4.5</v>
      </c>
      <c r="T832" s="9">
        <v>26</v>
      </c>
    </row>
    <row r="833" spans="1:20" x14ac:dyDescent="0.25">
      <c r="A833" s="21" t="s">
        <v>4</v>
      </c>
      <c r="B833" s="21" t="s">
        <v>29</v>
      </c>
      <c r="C833" s="21" t="s">
        <v>43</v>
      </c>
      <c r="D833" s="21" t="s">
        <v>32</v>
      </c>
      <c r="E833" s="21" t="s">
        <v>33</v>
      </c>
      <c r="F833" s="22">
        <v>74</v>
      </c>
      <c r="G833" s="22">
        <v>86</v>
      </c>
      <c r="H833" s="22">
        <v>89</v>
      </c>
      <c r="J833" s="10">
        <v>59</v>
      </c>
      <c r="K833" s="10">
        <v>2</v>
      </c>
      <c r="L833" s="10">
        <v>105</v>
      </c>
      <c r="M833" s="10">
        <v>52.5</v>
      </c>
      <c r="N833" s="10">
        <v>4.5</v>
      </c>
      <c r="Q833" s="9"/>
      <c r="R833" s="9"/>
      <c r="S833" s="9"/>
      <c r="T833" s="9"/>
    </row>
    <row r="834" spans="1:20" x14ac:dyDescent="0.25">
      <c r="A834" s="21" t="s">
        <v>5</v>
      </c>
      <c r="B834" s="21" t="s">
        <v>27</v>
      </c>
      <c r="C834" s="21" t="s">
        <v>43</v>
      </c>
      <c r="D834" s="21" t="s">
        <v>35</v>
      </c>
      <c r="E834" s="21" t="s">
        <v>34</v>
      </c>
      <c r="F834" s="22">
        <v>64</v>
      </c>
      <c r="G834" s="22">
        <v>60</v>
      </c>
      <c r="H834" s="22">
        <v>58</v>
      </c>
      <c r="J834" s="10">
        <v>51</v>
      </c>
      <c r="K834" s="10">
        <v>2</v>
      </c>
      <c r="L834" s="10">
        <v>67</v>
      </c>
      <c r="M834" s="10">
        <v>33.5</v>
      </c>
      <c r="N834" s="10">
        <v>12.5</v>
      </c>
      <c r="Q834" s="14">
        <v>85</v>
      </c>
      <c r="R834" s="14"/>
      <c r="S834" s="14"/>
      <c r="T834" s="14"/>
    </row>
    <row r="835" spans="1:20" x14ac:dyDescent="0.25">
      <c r="A835" s="21" t="s">
        <v>4</v>
      </c>
      <c r="B835" s="21" t="s">
        <v>28</v>
      </c>
      <c r="C835" s="21" t="s">
        <v>15</v>
      </c>
      <c r="D835" s="21" t="s">
        <v>35</v>
      </c>
      <c r="E835" s="21" t="s">
        <v>33</v>
      </c>
      <c r="F835" s="22">
        <v>77</v>
      </c>
      <c r="G835" s="22">
        <v>82</v>
      </c>
      <c r="H835" s="22">
        <v>89</v>
      </c>
      <c r="J835" s="10">
        <v>45</v>
      </c>
      <c r="K835" s="10">
        <v>2</v>
      </c>
      <c r="L835" s="10">
        <v>96</v>
      </c>
      <c r="M835" s="10">
        <v>48</v>
      </c>
      <c r="N835" s="10">
        <v>2</v>
      </c>
      <c r="Q835" s="9" t="s">
        <v>52</v>
      </c>
      <c r="R835" s="9">
        <v>2</v>
      </c>
      <c r="S835" s="9">
        <v>2</v>
      </c>
      <c r="T835" s="9">
        <v>4</v>
      </c>
    </row>
    <row r="836" spans="1:20" x14ac:dyDescent="0.25">
      <c r="A836" s="21" t="s">
        <v>5</v>
      </c>
      <c r="B836" s="21" t="s">
        <v>28</v>
      </c>
      <c r="C836" s="21" t="s">
        <v>45</v>
      </c>
      <c r="D836" s="21" t="s">
        <v>35</v>
      </c>
      <c r="E836" s="21" t="s">
        <v>34</v>
      </c>
      <c r="F836" s="22">
        <v>58</v>
      </c>
      <c r="G836" s="22">
        <v>50</v>
      </c>
      <c r="H836" s="22">
        <v>45</v>
      </c>
      <c r="J836" s="10">
        <v>54</v>
      </c>
      <c r="K836" s="10">
        <v>2</v>
      </c>
      <c r="L836" s="10">
        <v>131</v>
      </c>
      <c r="M836" s="10">
        <v>65.5</v>
      </c>
      <c r="N836" s="10">
        <v>4.5</v>
      </c>
      <c r="Q836" s="9" t="s">
        <v>53</v>
      </c>
      <c r="R836" s="9">
        <v>155</v>
      </c>
      <c r="S836" s="9">
        <v>168</v>
      </c>
      <c r="T836" s="9">
        <v>323</v>
      </c>
    </row>
    <row r="837" spans="1:20" x14ac:dyDescent="0.25">
      <c r="A837" s="21" t="s">
        <v>4</v>
      </c>
      <c r="B837" s="21" t="s">
        <v>29</v>
      </c>
      <c r="C837" s="21" t="s">
        <v>15</v>
      </c>
      <c r="D837" s="21" t="s">
        <v>35</v>
      </c>
      <c r="E837" s="21" t="s">
        <v>33</v>
      </c>
      <c r="F837" s="22">
        <v>60</v>
      </c>
      <c r="G837" s="22">
        <v>64</v>
      </c>
      <c r="H837" s="22">
        <v>74</v>
      </c>
      <c r="J837" s="10">
        <v>87</v>
      </c>
      <c r="K837" s="10">
        <v>2</v>
      </c>
      <c r="L837" s="10">
        <v>160</v>
      </c>
      <c r="M837" s="10">
        <v>80</v>
      </c>
      <c r="N837" s="10">
        <v>32</v>
      </c>
      <c r="Q837" s="9" t="s">
        <v>54</v>
      </c>
      <c r="R837" s="9">
        <v>77.5</v>
      </c>
      <c r="S837" s="9">
        <v>84</v>
      </c>
      <c r="T837" s="9">
        <v>80.75</v>
      </c>
    </row>
    <row r="838" spans="1:20" x14ac:dyDescent="0.25">
      <c r="A838" s="21" t="s">
        <v>5</v>
      </c>
      <c r="B838" s="21" t="s">
        <v>31</v>
      </c>
      <c r="C838" s="21" t="s">
        <v>15</v>
      </c>
      <c r="D838" s="21" t="s">
        <v>35</v>
      </c>
      <c r="E838" s="21" t="s">
        <v>34</v>
      </c>
      <c r="F838" s="22">
        <v>73</v>
      </c>
      <c r="G838" s="22">
        <v>64</v>
      </c>
      <c r="H838" s="22">
        <v>57</v>
      </c>
      <c r="J838" s="10">
        <v>72</v>
      </c>
      <c r="K838" s="10">
        <v>2</v>
      </c>
      <c r="L838" s="10">
        <v>163</v>
      </c>
      <c r="M838" s="10">
        <v>81.5</v>
      </c>
      <c r="N838" s="10">
        <v>4.5</v>
      </c>
      <c r="Q838" s="9" t="s">
        <v>55</v>
      </c>
      <c r="R838" s="9">
        <v>420.5</v>
      </c>
      <c r="S838" s="9">
        <v>162</v>
      </c>
      <c r="T838" s="9">
        <v>208.25</v>
      </c>
    </row>
    <row r="839" spans="1:20" x14ac:dyDescent="0.25">
      <c r="A839" s="21" t="s">
        <v>4</v>
      </c>
      <c r="B839" s="21" t="s">
        <v>27</v>
      </c>
      <c r="C839" s="21" t="s">
        <v>15</v>
      </c>
      <c r="D839" s="21" t="s">
        <v>35</v>
      </c>
      <c r="E839" s="21" t="s">
        <v>33</v>
      </c>
      <c r="F839" s="22">
        <v>75</v>
      </c>
      <c r="G839" s="22">
        <v>82</v>
      </c>
      <c r="H839" s="22">
        <v>79</v>
      </c>
      <c r="J839" s="10">
        <v>94</v>
      </c>
      <c r="K839" s="10">
        <v>2</v>
      </c>
      <c r="L839" s="10">
        <v>173</v>
      </c>
      <c r="M839" s="10">
        <v>86.5</v>
      </c>
      <c r="N839" s="10">
        <v>0.5</v>
      </c>
      <c r="Q839" s="9"/>
      <c r="R839" s="9"/>
      <c r="S839" s="9"/>
      <c r="T839" s="9"/>
    </row>
    <row r="840" spans="1:20" x14ac:dyDescent="0.25">
      <c r="A840" s="21" t="s">
        <v>5</v>
      </c>
      <c r="B840" s="21" t="s">
        <v>28</v>
      </c>
      <c r="C840" s="21" t="s">
        <v>14</v>
      </c>
      <c r="D840" s="21" t="s">
        <v>32</v>
      </c>
      <c r="E840" s="21" t="s">
        <v>33</v>
      </c>
      <c r="F840" s="22">
        <v>58</v>
      </c>
      <c r="G840" s="22">
        <v>57</v>
      </c>
      <c r="H840" s="22">
        <v>53</v>
      </c>
      <c r="J840" s="10">
        <v>45</v>
      </c>
      <c r="K840" s="10">
        <v>2</v>
      </c>
      <c r="L840" s="10">
        <v>123</v>
      </c>
      <c r="M840" s="10">
        <v>61.5</v>
      </c>
      <c r="N840" s="10">
        <v>12.5</v>
      </c>
      <c r="Q840" s="14">
        <v>65</v>
      </c>
      <c r="R840" s="14"/>
      <c r="S840" s="14"/>
      <c r="T840" s="14"/>
    </row>
    <row r="841" spans="1:20" x14ac:dyDescent="0.25">
      <c r="A841" s="21" t="s">
        <v>4</v>
      </c>
      <c r="B841" s="21" t="s">
        <v>29</v>
      </c>
      <c r="C841" s="21" t="s">
        <v>14</v>
      </c>
      <c r="D841" s="21" t="s">
        <v>35</v>
      </c>
      <c r="E841" s="21" t="s">
        <v>34</v>
      </c>
      <c r="F841" s="22">
        <v>66</v>
      </c>
      <c r="G841" s="22">
        <v>77</v>
      </c>
      <c r="H841" s="22">
        <v>73</v>
      </c>
      <c r="J841" s="10">
        <v>61</v>
      </c>
      <c r="K841" s="10">
        <v>2</v>
      </c>
      <c r="L841" s="10">
        <v>146</v>
      </c>
      <c r="M841" s="10">
        <v>73</v>
      </c>
      <c r="N841" s="10">
        <v>18</v>
      </c>
      <c r="Q841" s="9" t="s">
        <v>52</v>
      </c>
      <c r="R841" s="9">
        <v>2</v>
      </c>
      <c r="S841" s="9">
        <v>2</v>
      </c>
      <c r="T841" s="9">
        <v>4</v>
      </c>
    </row>
    <row r="842" spans="1:20" x14ac:dyDescent="0.25">
      <c r="A842" s="21" t="s">
        <v>4</v>
      </c>
      <c r="B842" s="21" t="s">
        <v>30</v>
      </c>
      <c r="C842" s="21" t="s">
        <v>15</v>
      </c>
      <c r="D842" s="21" t="s">
        <v>32</v>
      </c>
      <c r="E842" s="21" t="s">
        <v>34</v>
      </c>
      <c r="F842" s="22">
        <v>39</v>
      </c>
      <c r="G842" s="22">
        <v>52</v>
      </c>
      <c r="H842" s="22">
        <v>46</v>
      </c>
      <c r="J842" s="10">
        <v>60</v>
      </c>
      <c r="K842" s="10">
        <v>2</v>
      </c>
      <c r="L842" s="10">
        <v>140</v>
      </c>
      <c r="M842" s="10">
        <v>70</v>
      </c>
      <c r="N842" s="10">
        <v>8</v>
      </c>
      <c r="Q842" s="9" t="s">
        <v>53</v>
      </c>
      <c r="R842" s="9">
        <v>142</v>
      </c>
      <c r="S842" s="9">
        <v>137</v>
      </c>
      <c r="T842" s="9">
        <v>279</v>
      </c>
    </row>
    <row r="843" spans="1:20" x14ac:dyDescent="0.25">
      <c r="A843" s="21" t="s">
        <v>5</v>
      </c>
      <c r="B843" s="21" t="s">
        <v>29</v>
      </c>
      <c r="C843" s="21" t="s">
        <v>17</v>
      </c>
      <c r="D843" s="21" t="s">
        <v>35</v>
      </c>
      <c r="E843" s="21" t="s">
        <v>34</v>
      </c>
      <c r="F843" s="22">
        <v>64</v>
      </c>
      <c r="G843" s="22">
        <v>58</v>
      </c>
      <c r="H843" s="22">
        <v>51</v>
      </c>
      <c r="J843" s="10">
        <v>77</v>
      </c>
      <c r="K843" s="10">
        <v>2</v>
      </c>
      <c r="L843" s="10">
        <v>179</v>
      </c>
      <c r="M843" s="10">
        <v>89.5</v>
      </c>
      <c r="N843" s="10">
        <v>4.5</v>
      </c>
      <c r="Q843" s="9" t="s">
        <v>54</v>
      </c>
      <c r="R843" s="9">
        <v>71</v>
      </c>
      <c r="S843" s="9">
        <v>68.5</v>
      </c>
      <c r="T843" s="9">
        <v>69.75</v>
      </c>
    </row>
    <row r="844" spans="1:20" x14ac:dyDescent="0.25">
      <c r="A844" s="21" t="s">
        <v>4</v>
      </c>
      <c r="B844" s="21" t="s">
        <v>28</v>
      </c>
      <c r="C844" s="21" t="s">
        <v>15</v>
      </c>
      <c r="D844" s="21" t="s">
        <v>32</v>
      </c>
      <c r="E844" s="21" t="s">
        <v>33</v>
      </c>
      <c r="F844" s="22">
        <v>23</v>
      </c>
      <c r="G844" s="22">
        <v>44</v>
      </c>
      <c r="H844" s="22">
        <v>36</v>
      </c>
      <c r="J844" s="10">
        <v>85</v>
      </c>
      <c r="K844" s="10">
        <v>2</v>
      </c>
      <c r="L844" s="10">
        <v>182</v>
      </c>
      <c r="M844" s="10">
        <v>91</v>
      </c>
      <c r="N844" s="10">
        <v>2</v>
      </c>
      <c r="Q844" s="9" t="s">
        <v>55</v>
      </c>
      <c r="R844" s="9">
        <v>450</v>
      </c>
      <c r="S844" s="9">
        <v>264.5</v>
      </c>
      <c r="T844" s="9">
        <v>240.25</v>
      </c>
    </row>
    <row r="845" spans="1:20" x14ac:dyDescent="0.25">
      <c r="A845" s="21" t="s">
        <v>5</v>
      </c>
      <c r="B845" s="21" t="s">
        <v>28</v>
      </c>
      <c r="C845" s="21" t="s">
        <v>45</v>
      </c>
      <c r="D845" s="21" t="s">
        <v>32</v>
      </c>
      <c r="E845" s="21" t="s">
        <v>33</v>
      </c>
      <c r="F845" s="22">
        <v>74</v>
      </c>
      <c r="G845" s="22">
        <v>77</v>
      </c>
      <c r="H845" s="22">
        <v>76</v>
      </c>
      <c r="J845" s="10">
        <v>78</v>
      </c>
      <c r="K845" s="10">
        <v>2</v>
      </c>
      <c r="L845" s="10">
        <v>183</v>
      </c>
      <c r="M845" s="10">
        <v>91.5</v>
      </c>
      <c r="N845" s="10">
        <v>4.5</v>
      </c>
      <c r="Q845" s="9"/>
      <c r="R845" s="9"/>
      <c r="S845" s="9"/>
      <c r="T845" s="9"/>
    </row>
    <row r="846" spans="1:20" x14ac:dyDescent="0.25">
      <c r="A846" s="21" t="s">
        <v>4</v>
      </c>
      <c r="B846" s="21" t="s">
        <v>30</v>
      </c>
      <c r="C846" s="21" t="s">
        <v>17</v>
      </c>
      <c r="D846" s="21" t="s">
        <v>32</v>
      </c>
      <c r="E846" s="21" t="s">
        <v>33</v>
      </c>
      <c r="F846" s="22">
        <v>40</v>
      </c>
      <c r="G846" s="22">
        <v>65</v>
      </c>
      <c r="H846" s="22">
        <v>64</v>
      </c>
      <c r="J846" s="10">
        <v>49</v>
      </c>
      <c r="K846" s="10">
        <v>2</v>
      </c>
      <c r="L846" s="10">
        <v>103</v>
      </c>
      <c r="M846" s="10">
        <v>51.5</v>
      </c>
      <c r="N846" s="10">
        <v>0.5</v>
      </c>
      <c r="Q846" s="14">
        <v>53</v>
      </c>
      <c r="R846" s="14"/>
      <c r="S846" s="14"/>
      <c r="T846" s="14"/>
    </row>
    <row r="847" spans="1:20" x14ac:dyDescent="0.25">
      <c r="A847" s="21" t="s">
        <v>5</v>
      </c>
      <c r="B847" s="21" t="s">
        <v>31</v>
      </c>
      <c r="C847" s="21" t="s">
        <v>16</v>
      </c>
      <c r="D847" s="21" t="s">
        <v>35</v>
      </c>
      <c r="E847" s="21" t="s">
        <v>34</v>
      </c>
      <c r="F847" s="22">
        <v>90</v>
      </c>
      <c r="G847" s="22">
        <v>85</v>
      </c>
      <c r="H847" s="22">
        <v>84</v>
      </c>
      <c r="J847" s="10">
        <v>71</v>
      </c>
      <c r="K847" s="10">
        <v>2</v>
      </c>
      <c r="L847" s="10">
        <v>169</v>
      </c>
      <c r="M847" s="10">
        <v>84.5</v>
      </c>
      <c r="N847" s="10">
        <v>12.5</v>
      </c>
      <c r="Q847" s="9" t="s">
        <v>52</v>
      </c>
      <c r="R847" s="9">
        <v>2</v>
      </c>
      <c r="S847" s="9">
        <v>2</v>
      </c>
      <c r="T847" s="9">
        <v>4</v>
      </c>
    </row>
    <row r="848" spans="1:20" x14ac:dyDescent="0.25">
      <c r="A848" s="21" t="s">
        <v>5</v>
      </c>
      <c r="B848" s="21" t="s">
        <v>29</v>
      </c>
      <c r="C848" s="21" t="s">
        <v>16</v>
      </c>
      <c r="D848" s="21" t="s">
        <v>35</v>
      </c>
      <c r="E848" s="21" t="s">
        <v>33</v>
      </c>
      <c r="F848" s="22">
        <v>91</v>
      </c>
      <c r="G848" s="22">
        <v>85</v>
      </c>
      <c r="H848" s="22">
        <v>85</v>
      </c>
      <c r="J848" s="10">
        <v>48</v>
      </c>
      <c r="K848" s="10">
        <v>2</v>
      </c>
      <c r="L848" s="10">
        <v>110</v>
      </c>
      <c r="M848" s="10">
        <v>55</v>
      </c>
      <c r="N848" s="10">
        <v>18</v>
      </c>
      <c r="Q848" s="9" t="s">
        <v>53</v>
      </c>
      <c r="R848" s="9">
        <v>100</v>
      </c>
      <c r="S848" s="9">
        <v>88</v>
      </c>
      <c r="T848" s="9">
        <v>188</v>
      </c>
    </row>
    <row r="849" spans="1:20" x14ac:dyDescent="0.25">
      <c r="A849" s="21" t="s">
        <v>5</v>
      </c>
      <c r="B849" s="21" t="s">
        <v>30</v>
      </c>
      <c r="C849" s="21" t="s">
        <v>15</v>
      </c>
      <c r="D849" s="21" t="s">
        <v>35</v>
      </c>
      <c r="E849" s="21" t="s">
        <v>34</v>
      </c>
      <c r="F849" s="22">
        <v>64</v>
      </c>
      <c r="G849" s="22">
        <v>54</v>
      </c>
      <c r="H849" s="22">
        <v>50</v>
      </c>
      <c r="J849" s="10">
        <v>62</v>
      </c>
      <c r="K849" s="10">
        <v>2</v>
      </c>
      <c r="L849" s="10">
        <v>125</v>
      </c>
      <c r="M849" s="10">
        <v>62.5</v>
      </c>
      <c r="N849" s="10">
        <v>40.5</v>
      </c>
      <c r="Q849" s="9" t="s">
        <v>54</v>
      </c>
      <c r="R849" s="9">
        <v>50</v>
      </c>
      <c r="S849" s="9">
        <v>44</v>
      </c>
      <c r="T849" s="9">
        <v>47</v>
      </c>
    </row>
    <row r="850" spans="1:20" x14ac:dyDescent="0.25">
      <c r="A850" s="21" t="s">
        <v>4</v>
      </c>
      <c r="B850" s="21" t="s">
        <v>29</v>
      </c>
      <c r="C850" s="21" t="s">
        <v>15</v>
      </c>
      <c r="D850" s="21" t="s">
        <v>35</v>
      </c>
      <c r="E850" s="21" t="s">
        <v>34</v>
      </c>
      <c r="F850" s="22">
        <v>59</v>
      </c>
      <c r="G850" s="22">
        <v>72</v>
      </c>
      <c r="H850" s="22">
        <v>68</v>
      </c>
      <c r="J850" s="10">
        <v>56</v>
      </c>
      <c r="K850" s="10">
        <v>2</v>
      </c>
      <c r="L850" s="10">
        <v>138</v>
      </c>
      <c r="M850" s="10">
        <v>69</v>
      </c>
      <c r="N850" s="10">
        <v>2</v>
      </c>
      <c r="Q850" s="9" t="s">
        <v>55</v>
      </c>
      <c r="R850" s="9">
        <v>8</v>
      </c>
      <c r="S850" s="9">
        <v>8</v>
      </c>
      <c r="T850" s="9">
        <v>17.333333333333332</v>
      </c>
    </row>
    <row r="851" spans="1:20" x14ac:dyDescent="0.25">
      <c r="A851" s="21" t="s">
        <v>5</v>
      </c>
      <c r="B851" s="21" t="s">
        <v>30</v>
      </c>
      <c r="C851" s="21" t="s">
        <v>14</v>
      </c>
      <c r="D851" s="21" t="s">
        <v>35</v>
      </c>
      <c r="E851" s="21" t="s">
        <v>34</v>
      </c>
      <c r="F851" s="22">
        <v>80</v>
      </c>
      <c r="G851" s="22">
        <v>75</v>
      </c>
      <c r="H851" s="22">
        <v>69</v>
      </c>
      <c r="J851" s="10">
        <v>65</v>
      </c>
      <c r="K851" s="10">
        <v>2</v>
      </c>
      <c r="L851" s="10">
        <v>145</v>
      </c>
      <c r="M851" s="10">
        <v>72.5</v>
      </c>
      <c r="N851" s="10">
        <v>24.5</v>
      </c>
      <c r="Q851" s="9"/>
      <c r="R851" s="9"/>
      <c r="S851" s="9"/>
      <c r="T851" s="9"/>
    </row>
    <row r="852" spans="1:20" x14ac:dyDescent="0.25">
      <c r="A852" s="21" t="s">
        <v>5</v>
      </c>
      <c r="B852" s="21" t="s">
        <v>29</v>
      </c>
      <c r="C852" s="21" t="s">
        <v>16</v>
      </c>
      <c r="D852" s="21" t="s">
        <v>35</v>
      </c>
      <c r="E852" s="21" t="s">
        <v>34</v>
      </c>
      <c r="F852" s="22">
        <v>71</v>
      </c>
      <c r="G852" s="22">
        <v>67</v>
      </c>
      <c r="H852" s="22">
        <v>67</v>
      </c>
      <c r="J852" s="10">
        <v>69</v>
      </c>
      <c r="K852" s="10">
        <v>2</v>
      </c>
      <c r="L852" s="10">
        <v>167</v>
      </c>
      <c r="M852" s="10">
        <v>83.5</v>
      </c>
      <c r="N852" s="10">
        <v>12.5</v>
      </c>
      <c r="Q852" s="14">
        <v>73</v>
      </c>
      <c r="R852" s="14"/>
      <c r="S852" s="14"/>
      <c r="T852" s="14"/>
    </row>
    <row r="853" spans="1:20" x14ac:dyDescent="0.25">
      <c r="A853" s="21" t="s">
        <v>4</v>
      </c>
      <c r="B853" s="21" t="s">
        <v>27</v>
      </c>
      <c r="C853" s="21" t="s">
        <v>15</v>
      </c>
      <c r="D853" s="21" t="s">
        <v>35</v>
      </c>
      <c r="E853" s="21" t="s">
        <v>34</v>
      </c>
      <c r="F853" s="22">
        <v>61</v>
      </c>
      <c r="G853" s="22">
        <v>68</v>
      </c>
      <c r="H853" s="22">
        <v>63</v>
      </c>
      <c r="J853" s="10">
        <v>68</v>
      </c>
      <c r="K853" s="10">
        <v>2</v>
      </c>
      <c r="L853" s="10">
        <v>107</v>
      </c>
      <c r="M853" s="10">
        <v>53.5</v>
      </c>
      <c r="N853" s="10">
        <v>0.5</v>
      </c>
      <c r="Q853" s="9" t="s">
        <v>52</v>
      </c>
      <c r="R853" s="9">
        <v>2</v>
      </c>
      <c r="S853" s="9">
        <v>2</v>
      </c>
      <c r="T853" s="9">
        <v>4</v>
      </c>
    </row>
    <row r="854" spans="1:20" x14ac:dyDescent="0.25">
      <c r="A854" s="21" t="s">
        <v>4</v>
      </c>
      <c r="B854" s="21" t="s">
        <v>31</v>
      </c>
      <c r="C854" s="21" t="s">
        <v>45</v>
      </c>
      <c r="D854" s="21" t="s">
        <v>35</v>
      </c>
      <c r="E854" s="21" t="s">
        <v>34</v>
      </c>
      <c r="F854" s="22">
        <v>87</v>
      </c>
      <c r="G854" s="22">
        <v>85</v>
      </c>
      <c r="H854" s="22">
        <v>93</v>
      </c>
      <c r="J854" s="10">
        <v>61</v>
      </c>
      <c r="K854" s="10">
        <v>2</v>
      </c>
      <c r="L854" s="10">
        <v>117</v>
      </c>
      <c r="M854" s="10">
        <v>58.5</v>
      </c>
      <c r="N854" s="10">
        <v>4.5</v>
      </c>
      <c r="Q854" s="9" t="s">
        <v>53</v>
      </c>
      <c r="R854" s="9">
        <v>157</v>
      </c>
      <c r="S854" s="9">
        <v>162</v>
      </c>
      <c r="T854" s="9">
        <v>319</v>
      </c>
    </row>
    <row r="855" spans="1:20" x14ac:dyDescent="0.25">
      <c r="A855" s="21" t="s">
        <v>5</v>
      </c>
      <c r="B855" s="21" t="s">
        <v>31</v>
      </c>
      <c r="C855" s="21" t="s">
        <v>17</v>
      </c>
      <c r="D855" s="21" t="s">
        <v>35</v>
      </c>
      <c r="E855" s="21" t="s">
        <v>34</v>
      </c>
      <c r="F855" s="22">
        <v>82</v>
      </c>
      <c r="G855" s="22">
        <v>67</v>
      </c>
      <c r="H855" s="22">
        <v>61</v>
      </c>
      <c r="J855" s="10">
        <v>74</v>
      </c>
      <c r="K855" s="10">
        <v>2</v>
      </c>
      <c r="L855" s="10">
        <v>175</v>
      </c>
      <c r="M855" s="10">
        <v>87.5</v>
      </c>
      <c r="N855" s="10">
        <v>4.5</v>
      </c>
      <c r="Q855" s="9" t="s">
        <v>54</v>
      </c>
      <c r="R855" s="9">
        <v>78.5</v>
      </c>
      <c r="S855" s="9">
        <v>81</v>
      </c>
      <c r="T855" s="9">
        <v>79.75</v>
      </c>
    </row>
    <row r="856" spans="1:20" x14ac:dyDescent="0.25">
      <c r="A856" s="21" t="s">
        <v>5</v>
      </c>
      <c r="B856" s="21" t="s">
        <v>29</v>
      </c>
      <c r="C856" s="21" t="s">
        <v>17</v>
      </c>
      <c r="D856" s="21" t="s">
        <v>35</v>
      </c>
      <c r="E856" s="21" t="s">
        <v>34</v>
      </c>
      <c r="F856" s="22">
        <v>62</v>
      </c>
      <c r="G856" s="22">
        <v>64</v>
      </c>
      <c r="H856" s="22">
        <v>55</v>
      </c>
      <c r="J856" s="10">
        <v>64</v>
      </c>
      <c r="K856" s="10">
        <v>2</v>
      </c>
      <c r="L856" s="10">
        <v>118</v>
      </c>
      <c r="M856" s="10">
        <v>59</v>
      </c>
      <c r="N856" s="10">
        <v>2</v>
      </c>
      <c r="Q856" s="9" t="s">
        <v>55</v>
      </c>
      <c r="R856" s="9">
        <v>0.5</v>
      </c>
      <c r="S856" s="9">
        <v>18</v>
      </c>
      <c r="T856" s="9">
        <v>8.25</v>
      </c>
    </row>
    <row r="857" spans="1:20" x14ac:dyDescent="0.25">
      <c r="A857" s="21" t="s">
        <v>4</v>
      </c>
      <c r="B857" s="21" t="s">
        <v>28</v>
      </c>
      <c r="C857" s="21" t="s">
        <v>43</v>
      </c>
      <c r="D857" s="21" t="s">
        <v>35</v>
      </c>
      <c r="E857" s="21" t="s">
        <v>34</v>
      </c>
      <c r="F857" s="22">
        <v>97</v>
      </c>
      <c r="G857" s="22">
        <v>97</v>
      </c>
      <c r="H857" s="22">
        <v>96</v>
      </c>
      <c r="J857" s="10">
        <v>77</v>
      </c>
      <c r="K857" s="10">
        <v>2</v>
      </c>
      <c r="L857" s="10">
        <v>171</v>
      </c>
      <c r="M857" s="10">
        <v>85.5</v>
      </c>
      <c r="N857" s="10">
        <v>24.5</v>
      </c>
      <c r="Q857" s="9"/>
      <c r="R857" s="9"/>
      <c r="S857" s="9"/>
      <c r="T857" s="9"/>
    </row>
    <row r="858" spans="1:20" x14ac:dyDescent="0.25">
      <c r="A858" s="21" t="s">
        <v>5</v>
      </c>
      <c r="B858" s="21" t="s">
        <v>28</v>
      </c>
      <c r="C858" s="21" t="s">
        <v>45</v>
      </c>
      <c r="D858" s="21" t="s">
        <v>32</v>
      </c>
      <c r="E858" s="21" t="s">
        <v>34</v>
      </c>
      <c r="F858" s="22">
        <v>75</v>
      </c>
      <c r="G858" s="22">
        <v>68</v>
      </c>
      <c r="H858" s="22">
        <v>65</v>
      </c>
      <c r="J858" s="10">
        <v>58</v>
      </c>
      <c r="K858" s="10">
        <v>2</v>
      </c>
      <c r="L858" s="10">
        <v>95</v>
      </c>
      <c r="M858" s="10">
        <v>47.5</v>
      </c>
      <c r="N858" s="10">
        <v>12.5</v>
      </c>
      <c r="Q858" s="14">
        <v>37</v>
      </c>
      <c r="R858" s="14"/>
      <c r="S858" s="14"/>
      <c r="T858" s="14"/>
    </row>
    <row r="859" spans="1:20" x14ac:dyDescent="0.25">
      <c r="A859" s="21" t="s">
        <v>4</v>
      </c>
      <c r="B859" s="21" t="s">
        <v>29</v>
      </c>
      <c r="C859" s="21" t="s">
        <v>43</v>
      </c>
      <c r="D859" s="21" t="s">
        <v>35</v>
      </c>
      <c r="E859" s="21" t="s">
        <v>34</v>
      </c>
      <c r="F859" s="22">
        <v>65</v>
      </c>
      <c r="G859" s="22">
        <v>79</v>
      </c>
      <c r="H859" s="22">
        <v>81</v>
      </c>
      <c r="J859" s="10">
        <v>60</v>
      </c>
      <c r="K859" s="10">
        <v>2</v>
      </c>
      <c r="L859" s="10">
        <v>138</v>
      </c>
      <c r="M859" s="10">
        <v>69</v>
      </c>
      <c r="N859" s="10">
        <v>50</v>
      </c>
      <c r="Q859" s="9" t="s">
        <v>52</v>
      </c>
      <c r="R859" s="9">
        <v>2</v>
      </c>
      <c r="S859" s="9">
        <v>2</v>
      </c>
      <c r="T859" s="9">
        <v>4</v>
      </c>
    </row>
    <row r="860" spans="1:20" x14ac:dyDescent="0.25">
      <c r="A860" s="21" t="s">
        <v>5</v>
      </c>
      <c r="B860" s="21" t="s">
        <v>28</v>
      </c>
      <c r="C860" s="21" t="s">
        <v>15</v>
      </c>
      <c r="D860" s="21" t="s">
        <v>35</v>
      </c>
      <c r="E860" s="21" t="s">
        <v>33</v>
      </c>
      <c r="F860" s="22">
        <v>52</v>
      </c>
      <c r="G860" s="22">
        <v>49</v>
      </c>
      <c r="H860" s="22">
        <v>46</v>
      </c>
      <c r="J860" s="10">
        <v>73</v>
      </c>
      <c r="K860" s="10">
        <v>2</v>
      </c>
      <c r="L860" s="10">
        <v>121</v>
      </c>
      <c r="M860" s="10">
        <v>60.5</v>
      </c>
      <c r="N860" s="10">
        <v>24.5</v>
      </c>
      <c r="Q860" s="9" t="s">
        <v>53</v>
      </c>
      <c r="R860" s="9">
        <v>128</v>
      </c>
      <c r="S860" s="9">
        <v>128</v>
      </c>
      <c r="T860" s="9">
        <v>256</v>
      </c>
    </row>
    <row r="861" spans="1:20" x14ac:dyDescent="0.25">
      <c r="A861" s="21" t="s">
        <v>5</v>
      </c>
      <c r="B861" s="21" t="s">
        <v>29</v>
      </c>
      <c r="C861" s="21" t="s">
        <v>14</v>
      </c>
      <c r="D861" s="21" t="s">
        <v>32</v>
      </c>
      <c r="E861" s="21" t="s">
        <v>34</v>
      </c>
      <c r="F861" s="22">
        <v>87</v>
      </c>
      <c r="G861" s="22">
        <v>73</v>
      </c>
      <c r="H861" s="22">
        <v>72</v>
      </c>
      <c r="J861" s="10">
        <v>75</v>
      </c>
      <c r="K861" s="10">
        <v>2</v>
      </c>
      <c r="L861" s="10">
        <v>161</v>
      </c>
      <c r="M861" s="10">
        <v>80.5</v>
      </c>
      <c r="N861" s="10">
        <v>4.5</v>
      </c>
      <c r="Q861" s="9" t="s">
        <v>54</v>
      </c>
      <c r="R861" s="9">
        <v>64</v>
      </c>
      <c r="S861" s="9">
        <v>64</v>
      </c>
      <c r="T861" s="9">
        <v>64</v>
      </c>
    </row>
    <row r="862" spans="1:20" x14ac:dyDescent="0.25">
      <c r="A862" s="21" t="s">
        <v>4</v>
      </c>
      <c r="B862" s="21" t="s">
        <v>29</v>
      </c>
      <c r="C862" s="21" t="s">
        <v>14</v>
      </c>
      <c r="D862" s="21" t="s">
        <v>35</v>
      </c>
      <c r="E862" s="21" t="s">
        <v>34</v>
      </c>
      <c r="F862" s="22">
        <v>53</v>
      </c>
      <c r="G862" s="22">
        <v>62</v>
      </c>
      <c r="H862" s="22">
        <v>53</v>
      </c>
      <c r="J862" s="10">
        <v>58</v>
      </c>
      <c r="K862" s="10">
        <v>2</v>
      </c>
      <c r="L862" s="10">
        <v>110</v>
      </c>
      <c r="M862" s="10">
        <v>55</v>
      </c>
      <c r="N862" s="10">
        <v>8</v>
      </c>
      <c r="Q862" s="9" t="s">
        <v>55</v>
      </c>
      <c r="R862" s="9">
        <v>648</v>
      </c>
      <c r="S862" s="9">
        <v>648</v>
      </c>
      <c r="T862" s="9">
        <v>432</v>
      </c>
    </row>
    <row r="863" spans="1:20" x14ac:dyDescent="0.25">
      <c r="A863" s="21" t="s">
        <v>4</v>
      </c>
      <c r="B863" s="21" t="s">
        <v>31</v>
      </c>
      <c r="C863" s="21" t="s">
        <v>16</v>
      </c>
      <c r="D863" s="21" t="s">
        <v>32</v>
      </c>
      <c r="E863" s="21" t="s">
        <v>34</v>
      </c>
      <c r="F863" s="22">
        <v>81</v>
      </c>
      <c r="G863" s="22">
        <v>86</v>
      </c>
      <c r="H863" s="22">
        <v>87</v>
      </c>
      <c r="J863" s="10">
        <v>66</v>
      </c>
      <c r="K863" s="10">
        <v>2</v>
      </c>
      <c r="L863" s="10">
        <v>150</v>
      </c>
      <c r="M863" s="10">
        <v>75</v>
      </c>
      <c r="N863" s="10">
        <v>8</v>
      </c>
      <c r="Q863" s="9"/>
      <c r="R863" s="9"/>
      <c r="S863" s="9"/>
      <c r="T863" s="9"/>
    </row>
    <row r="864" spans="1:20" x14ac:dyDescent="0.25">
      <c r="A864" s="21" t="s">
        <v>5</v>
      </c>
      <c r="B864" s="21" t="s">
        <v>30</v>
      </c>
      <c r="C864" s="21" t="s">
        <v>43</v>
      </c>
      <c r="D864" s="21" t="s">
        <v>32</v>
      </c>
      <c r="E864" s="21" t="s">
        <v>33</v>
      </c>
      <c r="F864" s="22">
        <v>39</v>
      </c>
      <c r="G864" s="22">
        <v>42</v>
      </c>
      <c r="H864" s="22">
        <v>38</v>
      </c>
      <c r="J864" s="10">
        <v>39</v>
      </c>
      <c r="K864" s="10">
        <v>2</v>
      </c>
      <c r="L864" s="10">
        <v>98</v>
      </c>
      <c r="M864" s="10">
        <v>49</v>
      </c>
      <c r="N864" s="10">
        <v>18</v>
      </c>
      <c r="Q864" s="14">
        <v>97</v>
      </c>
      <c r="R864" s="14"/>
      <c r="S864" s="14"/>
      <c r="T864" s="14"/>
    </row>
    <row r="865" spans="1:20" x14ac:dyDescent="0.25">
      <c r="A865" s="21" t="s">
        <v>4</v>
      </c>
      <c r="B865" s="21" t="s">
        <v>29</v>
      </c>
      <c r="C865" s="21" t="s">
        <v>45</v>
      </c>
      <c r="D865" s="21" t="s">
        <v>35</v>
      </c>
      <c r="E865" s="21" t="s">
        <v>33</v>
      </c>
      <c r="F865" s="22">
        <v>71</v>
      </c>
      <c r="G865" s="22">
        <v>71</v>
      </c>
      <c r="H865" s="22">
        <v>80</v>
      </c>
      <c r="J865" s="10">
        <v>64</v>
      </c>
      <c r="K865" s="10">
        <v>2</v>
      </c>
      <c r="L865" s="10">
        <v>109</v>
      </c>
      <c r="M865" s="10">
        <v>54.5</v>
      </c>
      <c r="N865" s="10">
        <v>24.5</v>
      </c>
      <c r="Q865" s="9" t="s">
        <v>52</v>
      </c>
      <c r="R865" s="9">
        <v>2</v>
      </c>
      <c r="S865" s="9">
        <v>2</v>
      </c>
      <c r="T865" s="9">
        <v>4</v>
      </c>
    </row>
    <row r="866" spans="1:20" x14ac:dyDescent="0.25">
      <c r="A866" s="21" t="s">
        <v>5</v>
      </c>
      <c r="B866" s="21" t="s">
        <v>29</v>
      </c>
      <c r="C866" s="21" t="s">
        <v>14</v>
      </c>
      <c r="D866" s="21" t="s">
        <v>35</v>
      </c>
      <c r="E866" s="21" t="s">
        <v>34</v>
      </c>
      <c r="F866" s="22">
        <v>97</v>
      </c>
      <c r="G866" s="22">
        <v>93</v>
      </c>
      <c r="H866" s="22">
        <v>91</v>
      </c>
      <c r="J866" s="10">
        <v>23</v>
      </c>
      <c r="K866" s="10">
        <v>2</v>
      </c>
      <c r="L866" s="10">
        <v>80</v>
      </c>
      <c r="M866" s="10">
        <v>40</v>
      </c>
      <c r="N866" s="10">
        <v>32</v>
      </c>
      <c r="Q866" s="9" t="s">
        <v>53</v>
      </c>
      <c r="R866" s="9">
        <v>171</v>
      </c>
      <c r="S866" s="9">
        <v>170</v>
      </c>
      <c r="T866" s="9">
        <v>341</v>
      </c>
    </row>
    <row r="867" spans="1:20" x14ac:dyDescent="0.25">
      <c r="A867" s="21" t="s">
        <v>5</v>
      </c>
      <c r="B867" s="21" t="s">
        <v>30</v>
      </c>
      <c r="C867" s="21" t="s">
        <v>45</v>
      </c>
      <c r="D867" s="21" t="s">
        <v>35</v>
      </c>
      <c r="E867" s="21" t="s">
        <v>33</v>
      </c>
      <c r="F867" s="22">
        <v>82</v>
      </c>
      <c r="G867" s="22">
        <v>82</v>
      </c>
      <c r="H867" s="22">
        <v>88</v>
      </c>
      <c r="J867" s="10">
        <v>74</v>
      </c>
      <c r="K867" s="10">
        <v>2</v>
      </c>
      <c r="L867" s="10">
        <v>153</v>
      </c>
      <c r="M867" s="10">
        <v>76.5</v>
      </c>
      <c r="N867" s="10">
        <v>0.5</v>
      </c>
      <c r="Q867" s="9" t="s">
        <v>54</v>
      </c>
      <c r="R867" s="9">
        <v>85.5</v>
      </c>
      <c r="S867" s="9">
        <v>85</v>
      </c>
      <c r="T867" s="9">
        <v>85.25</v>
      </c>
    </row>
    <row r="868" spans="1:20" x14ac:dyDescent="0.25">
      <c r="A868" s="21" t="s">
        <v>5</v>
      </c>
      <c r="B868" s="21" t="s">
        <v>29</v>
      </c>
      <c r="C868" s="21" t="s">
        <v>15</v>
      </c>
      <c r="D868" s="21" t="s">
        <v>32</v>
      </c>
      <c r="E868" s="21" t="s">
        <v>34</v>
      </c>
      <c r="F868" s="22">
        <v>59</v>
      </c>
      <c r="G868" s="22">
        <v>53</v>
      </c>
      <c r="H868" s="22">
        <v>52</v>
      </c>
      <c r="J868" s="10">
        <v>40</v>
      </c>
      <c r="K868" s="10">
        <v>2</v>
      </c>
      <c r="L868" s="10">
        <v>129</v>
      </c>
      <c r="M868" s="10">
        <v>64.5</v>
      </c>
      <c r="N868" s="10">
        <v>0.5</v>
      </c>
      <c r="Q868" s="9" t="s">
        <v>55</v>
      </c>
      <c r="R868" s="9">
        <v>24.5</v>
      </c>
      <c r="S868" s="9">
        <v>18</v>
      </c>
      <c r="T868" s="9">
        <v>14.25</v>
      </c>
    </row>
    <row r="869" spans="1:20" x14ac:dyDescent="0.25">
      <c r="A869" s="21" t="s">
        <v>5</v>
      </c>
      <c r="B869" s="21" t="s">
        <v>28</v>
      </c>
      <c r="C869" s="21" t="s">
        <v>14</v>
      </c>
      <c r="D869" s="21" t="s">
        <v>35</v>
      </c>
      <c r="E869" s="21" t="s">
        <v>34</v>
      </c>
      <c r="F869" s="22">
        <v>61</v>
      </c>
      <c r="G869" s="22">
        <v>42</v>
      </c>
      <c r="H869" s="22">
        <v>41</v>
      </c>
      <c r="J869" s="10">
        <v>90</v>
      </c>
      <c r="K869" s="10">
        <v>2</v>
      </c>
      <c r="L869" s="10">
        <v>169</v>
      </c>
      <c r="M869" s="10">
        <v>84.5</v>
      </c>
      <c r="N869" s="10">
        <v>0.5</v>
      </c>
      <c r="Q869" s="9"/>
      <c r="R869" s="9"/>
      <c r="S869" s="9"/>
      <c r="T869" s="9"/>
    </row>
    <row r="870" spans="1:20" x14ac:dyDescent="0.25">
      <c r="A870" s="21" t="s">
        <v>5</v>
      </c>
      <c r="B870" s="21" t="s">
        <v>31</v>
      </c>
      <c r="C870" s="21" t="s">
        <v>14</v>
      </c>
      <c r="D870" s="21" t="s">
        <v>32</v>
      </c>
      <c r="E870" s="21" t="s">
        <v>33</v>
      </c>
      <c r="F870" s="22">
        <v>78</v>
      </c>
      <c r="G870" s="22">
        <v>74</v>
      </c>
      <c r="H870" s="22">
        <v>72</v>
      </c>
      <c r="J870" s="10">
        <v>91</v>
      </c>
      <c r="K870" s="10">
        <v>2</v>
      </c>
      <c r="L870" s="10">
        <v>170</v>
      </c>
      <c r="M870" s="10">
        <v>85</v>
      </c>
      <c r="N870" s="10">
        <v>0</v>
      </c>
      <c r="Q870" s="14">
        <v>88</v>
      </c>
      <c r="R870" s="14"/>
      <c r="S870" s="14"/>
      <c r="T870" s="14"/>
    </row>
    <row r="871" spans="1:20" x14ac:dyDescent="0.25">
      <c r="A871" s="21" t="s">
        <v>5</v>
      </c>
      <c r="B871" s="21" t="s">
        <v>29</v>
      </c>
      <c r="C871" s="21" t="s">
        <v>14</v>
      </c>
      <c r="D871" s="21" t="s">
        <v>32</v>
      </c>
      <c r="E871" s="21" t="s">
        <v>34</v>
      </c>
      <c r="F871" s="22">
        <v>49</v>
      </c>
      <c r="G871" s="22">
        <v>51</v>
      </c>
      <c r="H871" s="22">
        <v>51</v>
      </c>
      <c r="J871" s="10">
        <v>64</v>
      </c>
      <c r="K871" s="10">
        <v>2</v>
      </c>
      <c r="L871" s="10">
        <v>104</v>
      </c>
      <c r="M871" s="10">
        <v>52</v>
      </c>
      <c r="N871" s="10">
        <v>8</v>
      </c>
      <c r="Q871" s="9" t="s">
        <v>52</v>
      </c>
      <c r="R871" s="9">
        <v>2</v>
      </c>
      <c r="S871" s="9">
        <v>2</v>
      </c>
      <c r="T871" s="9">
        <v>4</v>
      </c>
    </row>
    <row r="872" spans="1:20" x14ac:dyDescent="0.25">
      <c r="A872" s="21" t="s">
        <v>5</v>
      </c>
      <c r="B872" s="21" t="s">
        <v>28</v>
      </c>
      <c r="C872" s="21" t="s">
        <v>15</v>
      </c>
      <c r="D872" s="21" t="s">
        <v>35</v>
      </c>
      <c r="E872" s="21" t="s">
        <v>34</v>
      </c>
      <c r="F872" s="22">
        <v>59</v>
      </c>
      <c r="G872" s="22">
        <v>58</v>
      </c>
      <c r="H872" s="22">
        <v>47</v>
      </c>
      <c r="J872" s="10">
        <v>59</v>
      </c>
      <c r="K872" s="10">
        <v>2</v>
      </c>
      <c r="L872" s="10">
        <v>140</v>
      </c>
      <c r="M872" s="10">
        <v>70</v>
      </c>
      <c r="N872" s="10">
        <v>8</v>
      </c>
      <c r="Q872" s="9" t="s">
        <v>53</v>
      </c>
      <c r="R872" s="9">
        <v>151</v>
      </c>
      <c r="S872" s="9">
        <v>153</v>
      </c>
      <c r="T872" s="9">
        <v>304</v>
      </c>
    </row>
    <row r="873" spans="1:20" x14ac:dyDescent="0.25">
      <c r="A873" s="21" t="s">
        <v>4</v>
      </c>
      <c r="B873" s="21" t="s">
        <v>29</v>
      </c>
      <c r="C873" s="21" t="s">
        <v>45</v>
      </c>
      <c r="D873" s="21" t="s">
        <v>35</v>
      </c>
      <c r="E873" s="21" t="s">
        <v>33</v>
      </c>
      <c r="F873" s="22">
        <v>70</v>
      </c>
      <c r="G873" s="22">
        <v>72</v>
      </c>
      <c r="H873" s="22">
        <v>76</v>
      </c>
      <c r="J873" s="10">
        <v>80</v>
      </c>
      <c r="K873" s="10">
        <v>2</v>
      </c>
      <c r="L873" s="10">
        <v>144</v>
      </c>
      <c r="M873" s="10">
        <v>72</v>
      </c>
      <c r="N873" s="10">
        <v>18</v>
      </c>
      <c r="Q873" s="9" t="s">
        <v>54</v>
      </c>
      <c r="R873" s="9">
        <v>75.5</v>
      </c>
      <c r="S873" s="9">
        <v>76.5</v>
      </c>
      <c r="T873" s="9">
        <v>76</v>
      </c>
    </row>
    <row r="874" spans="1:20" x14ac:dyDescent="0.25">
      <c r="A874" s="21" t="s">
        <v>5</v>
      </c>
      <c r="B874" s="21" t="s">
        <v>28</v>
      </c>
      <c r="C874" s="21" t="s">
        <v>14</v>
      </c>
      <c r="D874" s="21" t="s">
        <v>35</v>
      </c>
      <c r="E874" s="21" t="s">
        <v>33</v>
      </c>
      <c r="F874" s="22">
        <v>82</v>
      </c>
      <c r="G874" s="22">
        <v>84</v>
      </c>
      <c r="H874" s="22">
        <v>78</v>
      </c>
      <c r="J874" s="10">
        <v>71</v>
      </c>
      <c r="K874" s="10">
        <v>2</v>
      </c>
      <c r="L874" s="10">
        <v>134</v>
      </c>
      <c r="M874" s="10">
        <v>67</v>
      </c>
      <c r="N874" s="10">
        <v>0</v>
      </c>
      <c r="Q874" s="9" t="s">
        <v>55</v>
      </c>
      <c r="R874" s="9">
        <v>0.5</v>
      </c>
      <c r="S874" s="9">
        <v>0.5</v>
      </c>
      <c r="T874" s="9">
        <v>0.66666666666666663</v>
      </c>
    </row>
    <row r="875" spans="1:20" x14ac:dyDescent="0.25">
      <c r="A875" s="21" t="s">
        <v>5</v>
      </c>
      <c r="B875" s="21" t="s">
        <v>31</v>
      </c>
      <c r="C875" s="21" t="s">
        <v>14</v>
      </c>
      <c r="D875" s="21" t="s">
        <v>32</v>
      </c>
      <c r="E875" s="21" t="s">
        <v>34</v>
      </c>
      <c r="F875" s="22">
        <v>90</v>
      </c>
      <c r="G875" s="22">
        <v>90</v>
      </c>
      <c r="H875" s="22">
        <v>82</v>
      </c>
      <c r="J875" s="10">
        <v>61</v>
      </c>
      <c r="K875" s="10">
        <v>2</v>
      </c>
      <c r="L875" s="10">
        <v>131</v>
      </c>
      <c r="M875" s="10">
        <v>65.5</v>
      </c>
      <c r="N875" s="10">
        <v>12.5</v>
      </c>
      <c r="Q875" s="9"/>
      <c r="R875" s="9"/>
      <c r="S875" s="9"/>
      <c r="T875" s="9"/>
    </row>
    <row r="876" spans="1:20" x14ac:dyDescent="0.25">
      <c r="A876" s="21" t="s">
        <v>4</v>
      </c>
      <c r="B876" s="21" t="s">
        <v>29</v>
      </c>
      <c r="C876" s="21" t="s">
        <v>43</v>
      </c>
      <c r="D876" s="21" t="s">
        <v>32</v>
      </c>
      <c r="E876" s="21" t="s">
        <v>34</v>
      </c>
      <c r="F876" s="22">
        <v>43</v>
      </c>
      <c r="G876" s="22">
        <v>62</v>
      </c>
      <c r="H876" s="22">
        <v>61</v>
      </c>
      <c r="J876" s="10">
        <v>87</v>
      </c>
      <c r="K876" s="10">
        <v>2</v>
      </c>
      <c r="L876" s="10">
        <v>178</v>
      </c>
      <c r="M876" s="10">
        <v>89</v>
      </c>
      <c r="N876" s="10">
        <v>32</v>
      </c>
      <c r="Q876" s="14">
        <v>76</v>
      </c>
      <c r="R876" s="14"/>
      <c r="S876" s="14"/>
      <c r="T876" s="14"/>
    </row>
    <row r="877" spans="1:20" x14ac:dyDescent="0.25">
      <c r="A877" s="21" t="s">
        <v>5</v>
      </c>
      <c r="B877" s="21" t="s">
        <v>29</v>
      </c>
      <c r="C877" s="21" t="s">
        <v>45</v>
      </c>
      <c r="D877" s="21" t="s">
        <v>32</v>
      </c>
      <c r="E877" s="21" t="s">
        <v>34</v>
      </c>
      <c r="F877" s="22">
        <v>80</v>
      </c>
      <c r="G877" s="22">
        <v>64</v>
      </c>
      <c r="H877" s="22">
        <v>66</v>
      </c>
      <c r="J877" s="10">
        <v>82</v>
      </c>
      <c r="K877" s="10">
        <v>2</v>
      </c>
      <c r="L877" s="10">
        <v>128</v>
      </c>
      <c r="M877" s="10">
        <v>64</v>
      </c>
      <c r="N877" s="10">
        <v>18</v>
      </c>
      <c r="Q877" s="9" t="s">
        <v>52</v>
      </c>
      <c r="R877" s="9">
        <v>2</v>
      </c>
      <c r="S877" s="9">
        <v>2</v>
      </c>
      <c r="T877" s="9">
        <v>4</v>
      </c>
    </row>
    <row r="878" spans="1:20" x14ac:dyDescent="0.25">
      <c r="A878" s="21" t="s">
        <v>5</v>
      </c>
      <c r="B878" s="21" t="s">
        <v>30</v>
      </c>
      <c r="C878" s="21" t="s">
        <v>45</v>
      </c>
      <c r="D878" s="21" t="s">
        <v>35</v>
      </c>
      <c r="E878" s="21" t="s">
        <v>34</v>
      </c>
      <c r="F878" s="22">
        <v>81</v>
      </c>
      <c r="G878" s="22">
        <v>82</v>
      </c>
      <c r="H878" s="22">
        <v>84</v>
      </c>
      <c r="J878" s="10">
        <v>62</v>
      </c>
      <c r="K878" s="10">
        <v>2</v>
      </c>
      <c r="L878" s="10">
        <v>119</v>
      </c>
      <c r="M878" s="10">
        <v>59.5</v>
      </c>
      <c r="N878" s="10">
        <v>40.5</v>
      </c>
      <c r="Q878" s="9" t="s">
        <v>53</v>
      </c>
      <c r="R878" s="9">
        <v>143</v>
      </c>
      <c r="S878" s="9">
        <v>138</v>
      </c>
      <c r="T878" s="9">
        <v>281</v>
      </c>
    </row>
    <row r="879" spans="1:20" x14ac:dyDescent="0.25">
      <c r="A879" s="21" t="s">
        <v>5</v>
      </c>
      <c r="B879" s="21" t="s">
        <v>29</v>
      </c>
      <c r="C879" s="21" t="s">
        <v>17</v>
      </c>
      <c r="D879" s="21" t="s">
        <v>35</v>
      </c>
      <c r="E879" s="21" t="s">
        <v>34</v>
      </c>
      <c r="F879" s="22">
        <v>57</v>
      </c>
      <c r="G879" s="22">
        <v>61</v>
      </c>
      <c r="H879" s="22">
        <v>54</v>
      </c>
      <c r="J879" s="10">
        <v>97</v>
      </c>
      <c r="K879" s="10">
        <v>2</v>
      </c>
      <c r="L879" s="10">
        <v>193</v>
      </c>
      <c r="M879" s="10">
        <v>96.5</v>
      </c>
      <c r="N879" s="10">
        <v>0.5</v>
      </c>
      <c r="Q879" s="9" t="s">
        <v>54</v>
      </c>
      <c r="R879" s="9">
        <v>71.5</v>
      </c>
      <c r="S879" s="9">
        <v>69</v>
      </c>
      <c r="T879" s="9">
        <v>70.25</v>
      </c>
    </row>
    <row r="880" spans="1:20" x14ac:dyDescent="0.25">
      <c r="A880" s="21" t="s">
        <v>4</v>
      </c>
      <c r="B880" s="21" t="s">
        <v>30</v>
      </c>
      <c r="C880" s="21" t="s">
        <v>17</v>
      </c>
      <c r="D880" s="21" t="s">
        <v>35</v>
      </c>
      <c r="E880" s="21" t="s">
        <v>34</v>
      </c>
      <c r="F880" s="22">
        <v>59</v>
      </c>
      <c r="G880" s="22">
        <v>72</v>
      </c>
      <c r="H880" s="22">
        <v>80</v>
      </c>
      <c r="J880" s="10">
        <v>75</v>
      </c>
      <c r="K880" s="10">
        <v>2</v>
      </c>
      <c r="L880" s="10">
        <v>133</v>
      </c>
      <c r="M880" s="10">
        <v>66.5</v>
      </c>
      <c r="N880" s="10">
        <v>4.5</v>
      </c>
      <c r="Q880" s="9" t="s">
        <v>55</v>
      </c>
      <c r="R880" s="9">
        <v>4.5</v>
      </c>
      <c r="S880" s="9">
        <v>2</v>
      </c>
      <c r="T880" s="9">
        <v>4.25</v>
      </c>
    </row>
    <row r="881" spans="1:20" x14ac:dyDescent="0.25">
      <c r="A881" s="21" t="s">
        <v>4</v>
      </c>
      <c r="B881" s="21" t="s">
        <v>30</v>
      </c>
      <c r="C881" s="21" t="s">
        <v>14</v>
      </c>
      <c r="D881" s="21" t="s">
        <v>35</v>
      </c>
      <c r="E881" s="21" t="s">
        <v>34</v>
      </c>
      <c r="F881" s="22">
        <v>64</v>
      </c>
      <c r="G881" s="22">
        <v>76</v>
      </c>
      <c r="H881" s="22">
        <v>74</v>
      </c>
      <c r="J881" s="10">
        <v>65</v>
      </c>
      <c r="K881" s="10">
        <v>2</v>
      </c>
      <c r="L881" s="10">
        <v>160</v>
      </c>
      <c r="M881" s="10">
        <v>80</v>
      </c>
      <c r="N881" s="10">
        <v>2</v>
      </c>
      <c r="Q881" s="9"/>
      <c r="R881" s="9"/>
      <c r="S881" s="9"/>
      <c r="T881" s="9"/>
    </row>
    <row r="882" spans="1:20" x14ac:dyDescent="0.25">
      <c r="A882" s="21" t="s">
        <v>5</v>
      </c>
      <c r="B882" s="21" t="s">
        <v>29</v>
      </c>
      <c r="C882" s="21" t="s">
        <v>43</v>
      </c>
      <c r="D882" s="21" t="s">
        <v>35</v>
      </c>
      <c r="E882" s="21" t="s">
        <v>33</v>
      </c>
      <c r="F882" s="22">
        <v>63</v>
      </c>
      <c r="G882" s="22">
        <v>64</v>
      </c>
      <c r="H882" s="22">
        <v>66</v>
      </c>
      <c r="J882" s="10">
        <v>52</v>
      </c>
      <c r="K882" s="10">
        <v>2</v>
      </c>
      <c r="L882" s="10">
        <v>95</v>
      </c>
      <c r="M882" s="10">
        <v>47.5</v>
      </c>
      <c r="N882" s="10">
        <v>4.5</v>
      </c>
      <c r="Q882" s="14">
        <v>63</v>
      </c>
      <c r="R882" s="14"/>
      <c r="S882" s="14"/>
      <c r="T882" s="14"/>
    </row>
    <row r="883" spans="1:20" x14ac:dyDescent="0.25">
      <c r="A883" s="21" t="s">
        <v>4</v>
      </c>
      <c r="B883" s="21" t="s">
        <v>31</v>
      </c>
      <c r="C883" s="21" t="s">
        <v>43</v>
      </c>
      <c r="D883" s="21" t="s">
        <v>35</v>
      </c>
      <c r="E883" s="21" t="s">
        <v>33</v>
      </c>
      <c r="F883" s="22">
        <v>71</v>
      </c>
      <c r="G883" s="22">
        <v>70</v>
      </c>
      <c r="H883" s="22">
        <v>70</v>
      </c>
      <c r="J883" s="10">
        <v>87</v>
      </c>
      <c r="K883" s="10">
        <v>2</v>
      </c>
      <c r="L883" s="10">
        <v>145</v>
      </c>
      <c r="M883" s="10">
        <v>72.5</v>
      </c>
      <c r="N883" s="10">
        <v>0.5</v>
      </c>
      <c r="Q883" s="9" t="s">
        <v>52</v>
      </c>
      <c r="R883" s="9">
        <v>2</v>
      </c>
      <c r="S883" s="9">
        <v>2</v>
      </c>
      <c r="T883" s="9">
        <v>4</v>
      </c>
    </row>
    <row r="884" spans="1:20" x14ac:dyDescent="0.25">
      <c r="A884" s="21" t="s">
        <v>4</v>
      </c>
      <c r="B884" s="21" t="s">
        <v>28</v>
      </c>
      <c r="C884" s="21" t="s">
        <v>15</v>
      </c>
      <c r="D884" s="21" t="s">
        <v>32</v>
      </c>
      <c r="E884" s="21" t="s">
        <v>34</v>
      </c>
      <c r="F884" s="22">
        <v>64</v>
      </c>
      <c r="G884" s="22">
        <v>73</v>
      </c>
      <c r="H884" s="22">
        <v>71</v>
      </c>
      <c r="J884" s="10">
        <v>53</v>
      </c>
      <c r="K884" s="10">
        <v>2</v>
      </c>
      <c r="L884" s="10">
        <v>115</v>
      </c>
      <c r="M884" s="10">
        <v>57.5</v>
      </c>
      <c r="N884" s="10">
        <v>40.5</v>
      </c>
      <c r="Q884" s="9" t="s">
        <v>53</v>
      </c>
      <c r="R884" s="9">
        <v>133</v>
      </c>
      <c r="S884" s="9">
        <v>132</v>
      </c>
      <c r="T884" s="9">
        <v>265</v>
      </c>
    </row>
    <row r="885" spans="1:20" x14ac:dyDescent="0.25">
      <c r="A885" s="21" t="s">
        <v>5</v>
      </c>
      <c r="B885" s="21" t="s">
        <v>30</v>
      </c>
      <c r="C885" s="21" t="s">
        <v>43</v>
      </c>
      <c r="D885" s="21" t="s">
        <v>32</v>
      </c>
      <c r="E885" s="21" t="s">
        <v>34</v>
      </c>
      <c r="F885" s="22">
        <v>55</v>
      </c>
      <c r="G885" s="22">
        <v>46</v>
      </c>
      <c r="H885" s="22">
        <v>44</v>
      </c>
      <c r="J885" s="10">
        <v>81</v>
      </c>
      <c r="K885" s="10">
        <v>2</v>
      </c>
      <c r="L885" s="10">
        <v>173</v>
      </c>
      <c r="M885" s="10">
        <v>86.5</v>
      </c>
      <c r="N885" s="10">
        <v>0.5</v>
      </c>
      <c r="Q885" s="9" t="s">
        <v>54</v>
      </c>
      <c r="R885" s="9">
        <v>66.5</v>
      </c>
      <c r="S885" s="9">
        <v>66</v>
      </c>
      <c r="T885" s="9">
        <v>66.25</v>
      </c>
    </row>
    <row r="886" spans="1:20" x14ac:dyDescent="0.25">
      <c r="A886" s="21" t="s">
        <v>4</v>
      </c>
      <c r="B886" s="21" t="s">
        <v>31</v>
      </c>
      <c r="C886" s="21" t="s">
        <v>14</v>
      </c>
      <c r="D886" s="21" t="s">
        <v>35</v>
      </c>
      <c r="E886" s="21" t="s">
        <v>34</v>
      </c>
      <c r="F886" s="22">
        <v>51</v>
      </c>
      <c r="G886" s="22">
        <v>51</v>
      </c>
      <c r="H886" s="22">
        <v>54</v>
      </c>
      <c r="J886" s="10">
        <v>39</v>
      </c>
      <c r="K886" s="10">
        <v>2</v>
      </c>
      <c r="L886" s="10">
        <v>80</v>
      </c>
      <c r="M886" s="10">
        <v>40</v>
      </c>
      <c r="N886" s="10">
        <v>8</v>
      </c>
      <c r="Q886" s="9" t="s">
        <v>55</v>
      </c>
      <c r="R886" s="9">
        <v>84.5</v>
      </c>
      <c r="S886" s="9">
        <v>162</v>
      </c>
      <c r="T886" s="9">
        <v>82.25</v>
      </c>
    </row>
    <row r="887" spans="1:20" x14ac:dyDescent="0.25">
      <c r="A887" s="21" t="s">
        <v>4</v>
      </c>
      <c r="B887" s="21" t="s">
        <v>29</v>
      </c>
      <c r="C887" s="21" t="s">
        <v>14</v>
      </c>
      <c r="D887" s="21" t="s">
        <v>35</v>
      </c>
      <c r="E887" s="21" t="s">
        <v>33</v>
      </c>
      <c r="F887" s="22">
        <v>62</v>
      </c>
      <c r="G887" s="22">
        <v>76</v>
      </c>
      <c r="H887" s="22">
        <v>80</v>
      </c>
      <c r="J887" s="10">
        <v>71</v>
      </c>
      <c r="K887" s="10">
        <v>2</v>
      </c>
      <c r="L887" s="10">
        <v>151</v>
      </c>
      <c r="M887" s="10">
        <v>75.5</v>
      </c>
      <c r="N887" s="10">
        <v>40.5</v>
      </c>
      <c r="Q887" s="9"/>
      <c r="R887" s="9"/>
      <c r="S887" s="9"/>
      <c r="T887" s="9"/>
    </row>
    <row r="888" spans="1:20" x14ac:dyDescent="0.25">
      <c r="A888" s="21" t="s">
        <v>4</v>
      </c>
      <c r="B888" s="21" t="s">
        <v>31</v>
      </c>
      <c r="C888" s="21" t="s">
        <v>14</v>
      </c>
      <c r="D888" s="21" t="s">
        <v>35</v>
      </c>
      <c r="E888" s="21" t="s">
        <v>33</v>
      </c>
      <c r="F888" s="22">
        <v>93</v>
      </c>
      <c r="G888" s="22">
        <v>100</v>
      </c>
      <c r="H888" s="22">
        <v>95</v>
      </c>
      <c r="J888" s="10">
        <v>97</v>
      </c>
      <c r="K888" s="10">
        <v>2</v>
      </c>
      <c r="L888" s="10">
        <v>184</v>
      </c>
      <c r="M888" s="10">
        <v>92</v>
      </c>
      <c r="N888" s="10">
        <v>2</v>
      </c>
      <c r="Q888" s="14">
        <v>78</v>
      </c>
      <c r="R888" s="14"/>
      <c r="S888" s="14"/>
      <c r="T888" s="14"/>
    </row>
    <row r="889" spans="1:20" x14ac:dyDescent="0.25">
      <c r="A889" s="21" t="s">
        <v>5</v>
      </c>
      <c r="B889" s="21" t="s">
        <v>29</v>
      </c>
      <c r="C889" s="21" t="s">
        <v>15</v>
      </c>
      <c r="D889" s="21" t="s">
        <v>32</v>
      </c>
      <c r="E889" s="21" t="s">
        <v>34</v>
      </c>
      <c r="F889" s="22">
        <v>54</v>
      </c>
      <c r="G889" s="22">
        <v>72</v>
      </c>
      <c r="H889" s="22">
        <v>59</v>
      </c>
      <c r="J889" s="10">
        <v>82</v>
      </c>
      <c r="K889" s="10">
        <v>2</v>
      </c>
      <c r="L889" s="10">
        <v>170</v>
      </c>
      <c r="M889" s="10">
        <v>85</v>
      </c>
      <c r="N889" s="10">
        <v>18</v>
      </c>
      <c r="Q889" s="9" t="s">
        <v>52</v>
      </c>
      <c r="R889" s="9">
        <v>2</v>
      </c>
      <c r="S889" s="9">
        <v>2</v>
      </c>
      <c r="T889" s="9">
        <v>4</v>
      </c>
    </row>
    <row r="890" spans="1:20" x14ac:dyDescent="0.25">
      <c r="A890" s="21" t="s">
        <v>4</v>
      </c>
      <c r="B890" s="21" t="s">
        <v>30</v>
      </c>
      <c r="C890" s="21" t="s">
        <v>45</v>
      </c>
      <c r="D890" s="21" t="s">
        <v>32</v>
      </c>
      <c r="E890" s="21" t="s">
        <v>34</v>
      </c>
      <c r="F890" s="22">
        <v>69</v>
      </c>
      <c r="G890" s="22">
        <v>65</v>
      </c>
      <c r="H890" s="22">
        <v>74</v>
      </c>
      <c r="J890" s="10">
        <v>59</v>
      </c>
      <c r="K890" s="10">
        <v>2</v>
      </c>
      <c r="L890" s="10">
        <v>105</v>
      </c>
      <c r="M890" s="10">
        <v>52.5</v>
      </c>
      <c r="N890" s="10">
        <v>0.5</v>
      </c>
      <c r="Q890" s="9" t="s">
        <v>53</v>
      </c>
      <c r="R890" s="9">
        <v>139</v>
      </c>
      <c r="S890" s="9">
        <v>140</v>
      </c>
      <c r="T890" s="9">
        <v>279</v>
      </c>
    </row>
    <row r="891" spans="1:20" x14ac:dyDescent="0.25">
      <c r="A891" s="21" t="s">
        <v>5</v>
      </c>
      <c r="B891" s="21" t="s">
        <v>30</v>
      </c>
      <c r="C891" s="21" t="s">
        <v>15</v>
      </c>
      <c r="D891" s="21" t="s">
        <v>32</v>
      </c>
      <c r="E891" s="21" t="s">
        <v>34</v>
      </c>
      <c r="F891" s="22">
        <v>44</v>
      </c>
      <c r="G891" s="22">
        <v>51</v>
      </c>
      <c r="H891" s="22">
        <v>48</v>
      </c>
      <c r="J891" s="10">
        <v>61</v>
      </c>
      <c r="K891" s="10">
        <v>2</v>
      </c>
      <c r="L891" s="10">
        <v>83</v>
      </c>
      <c r="M891" s="10">
        <v>41.5</v>
      </c>
      <c r="N891" s="10">
        <v>0.5</v>
      </c>
      <c r="Q891" s="9" t="s">
        <v>54</v>
      </c>
      <c r="R891" s="9">
        <v>69.5</v>
      </c>
      <c r="S891" s="9">
        <v>70</v>
      </c>
      <c r="T891" s="9">
        <v>69.75</v>
      </c>
    </row>
    <row r="892" spans="1:20" x14ac:dyDescent="0.25">
      <c r="A892" s="21" t="s">
        <v>4</v>
      </c>
      <c r="B892" s="21" t="s">
        <v>31</v>
      </c>
      <c r="C892" s="21" t="s">
        <v>45</v>
      </c>
      <c r="D892" s="21" t="s">
        <v>35</v>
      </c>
      <c r="E892" s="21" t="s">
        <v>33</v>
      </c>
      <c r="F892" s="22">
        <v>86</v>
      </c>
      <c r="G892" s="22">
        <v>85</v>
      </c>
      <c r="H892" s="22">
        <v>91</v>
      </c>
      <c r="J892" s="10">
        <v>78</v>
      </c>
      <c r="K892" s="10">
        <v>2</v>
      </c>
      <c r="L892" s="10">
        <v>146</v>
      </c>
      <c r="M892" s="10">
        <v>73</v>
      </c>
      <c r="N892" s="10">
        <v>2</v>
      </c>
      <c r="Q892" s="9" t="s">
        <v>55</v>
      </c>
      <c r="R892" s="9">
        <v>112.5</v>
      </c>
      <c r="S892" s="9">
        <v>200</v>
      </c>
      <c r="T892" s="9">
        <v>104.25</v>
      </c>
    </row>
    <row r="893" spans="1:20" x14ac:dyDescent="0.25">
      <c r="A893" s="21" t="s">
        <v>4</v>
      </c>
      <c r="B893" s="21" t="s">
        <v>31</v>
      </c>
      <c r="C893" s="21" t="s">
        <v>14</v>
      </c>
      <c r="D893" s="21" t="s">
        <v>35</v>
      </c>
      <c r="E893" s="21" t="s">
        <v>34</v>
      </c>
      <c r="F893" s="22">
        <v>85</v>
      </c>
      <c r="G893" s="22">
        <v>92</v>
      </c>
      <c r="H893" s="22">
        <v>85</v>
      </c>
      <c r="J893" s="10">
        <v>49</v>
      </c>
      <c r="K893" s="10">
        <v>2</v>
      </c>
      <c r="L893" s="10">
        <v>102</v>
      </c>
      <c r="M893" s="10">
        <v>51</v>
      </c>
      <c r="N893" s="10">
        <v>0</v>
      </c>
      <c r="Q893" s="9"/>
      <c r="R893" s="9"/>
      <c r="S893" s="9"/>
      <c r="T893" s="9"/>
    </row>
    <row r="894" spans="1:20" x14ac:dyDescent="0.25">
      <c r="A894" s="21" t="s">
        <v>4</v>
      </c>
      <c r="B894" s="21" t="s">
        <v>27</v>
      </c>
      <c r="C894" s="21" t="s">
        <v>16</v>
      </c>
      <c r="D894" s="21" t="s">
        <v>32</v>
      </c>
      <c r="E894" s="21" t="s">
        <v>34</v>
      </c>
      <c r="F894" s="22">
        <v>50</v>
      </c>
      <c r="G894" s="22">
        <v>67</v>
      </c>
      <c r="H894" s="22">
        <v>73</v>
      </c>
      <c r="J894" s="10">
        <v>59</v>
      </c>
      <c r="K894" s="10">
        <v>2</v>
      </c>
      <c r="L894" s="10">
        <v>105</v>
      </c>
      <c r="M894" s="10">
        <v>52.5</v>
      </c>
      <c r="N894" s="10">
        <v>60.5</v>
      </c>
      <c r="Q894" s="14">
        <v>46</v>
      </c>
      <c r="R894" s="14"/>
      <c r="S894" s="14"/>
      <c r="T894" s="14"/>
    </row>
    <row r="895" spans="1:20" x14ac:dyDescent="0.25">
      <c r="A895" s="21" t="s">
        <v>5</v>
      </c>
      <c r="B895" s="21" t="s">
        <v>30</v>
      </c>
      <c r="C895" s="21" t="s">
        <v>17</v>
      </c>
      <c r="D895" s="21" t="s">
        <v>35</v>
      </c>
      <c r="E895" s="21" t="s">
        <v>33</v>
      </c>
      <c r="F895" s="22">
        <v>88</v>
      </c>
      <c r="G895" s="22">
        <v>74</v>
      </c>
      <c r="H895" s="22">
        <v>75</v>
      </c>
      <c r="J895" s="10">
        <v>70</v>
      </c>
      <c r="K895" s="10">
        <v>2</v>
      </c>
      <c r="L895" s="10">
        <v>148</v>
      </c>
      <c r="M895" s="10">
        <v>74</v>
      </c>
      <c r="N895" s="10">
        <v>8</v>
      </c>
      <c r="Q895" s="9" t="s">
        <v>52</v>
      </c>
      <c r="R895" s="9">
        <v>2</v>
      </c>
      <c r="S895" s="9">
        <v>2</v>
      </c>
      <c r="T895" s="9">
        <v>4</v>
      </c>
    </row>
    <row r="896" spans="1:20" x14ac:dyDescent="0.25">
      <c r="A896" s="21" t="s">
        <v>4</v>
      </c>
      <c r="B896" s="21" t="s">
        <v>31</v>
      </c>
      <c r="C896" s="21" t="s">
        <v>14</v>
      </c>
      <c r="D896" s="21" t="s">
        <v>35</v>
      </c>
      <c r="E896" s="21" t="s">
        <v>34</v>
      </c>
      <c r="F896" s="22">
        <v>59</v>
      </c>
      <c r="G896" s="22">
        <v>62</v>
      </c>
      <c r="H896" s="22">
        <v>69</v>
      </c>
      <c r="J896" s="10">
        <v>82</v>
      </c>
      <c r="K896" s="10">
        <v>2</v>
      </c>
      <c r="L896" s="10">
        <v>162</v>
      </c>
      <c r="M896" s="10">
        <v>81</v>
      </c>
      <c r="N896" s="10">
        <v>18</v>
      </c>
      <c r="Q896" s="9" t="s">
        <v>53</v>
      </c>
      <c r="R896" s="9">
        <v>115</v>
      </c>
      <c r="S896" s="9">
        <v>111</v>
      </c>
      <c r="T896" s="9">
        <v>226</v>
      </c>
    </row>
    <row r="897" spans="1:20" x14ac:dyDescent="0.25">
      <c r="A897" s="21" t="s">
        <v>4</v>
      </c>
      <c r="B897" s="21" t="s">
        <v>31</v>
      </c>
      <c r="C897" s="21" t="s">
        <v>17</v>
      </c>
      <c r="D897" s="21" t="s">
        <v>32</v>
      </c>
      <c r="E897" s="21" t="s">
        <v>34</v>
      </c>
      <c r="F897" s="22">
        <v>32</v>
      </c>
      <c r="G897" s="22">
        <v>34</v>
      </c>
      <c r="H897" s="22">
        <v>38</v>
      </c>
      <c r="J897" s="10">
        <v>90</v>
      </c>
      <c r="K897" s="10">
        <v>2</v>
      </c>
      <c r="L897" s="10">
        <v>172</v>
      </c>
      <c r="M897" s="10">
        <v>86</v>
      </c>
      <c r="N897" s="10">
        <v>32</v>
      </c>
      <c r="Q897" s="9" t="s">
        <v>54</v>
      </c>
      <c r="R897" s="9">
        <v>57.5</v>
      </c>
      <c r="S897" s="9">
        <v>55.5</v>
      </c>
      <c r="T897" s="9">
        <v>56.5</v>
      </c>
    </row>
    <row r="898" spans="1:20" x14ac:dyDescent="0.25">
      <c r="A898" s="21" t="s">
        <v>5</v>
      </c>
      <c r="B898" s="21" t="s">
        <v>28</v>
      </c>
      <c r="C898" s="21" t="s">
        <v>15</v>
      </c>
      <c r="D898" s="21" t="s">
        <v>32</v>
      </c>
      <c r="E898" s="21" t="s">
        <v>34</v>
      </c>
      <c r="F898" s="22">
        <v>36</v>
      </c>
      <c r="G898" s="22">
        <v>29</v>
      </c>
      <c r="H898" s="22">
        <v>27</v>
      </c>
      <c r="J898" s="10">
        <v>43</v>
      </c>
      <c r="K898" s="10">
        <v>2</v>
      </c>
      <c r="L898" s="10">
        <v>123</v>
      </c>
      <c r="M898" s="10">
        <v>61.5</v>
      </c>
      <c r="N898" s="10">
        <v>0.5</v>
      </c>
      <c r="Q898" s="9" t="s">
        <v>55</v>
      </c>
      <c r="R898" s="9">
        <v>544.5</v>
      </c>
      <c r="S898" s="9">
        <v>312.5</v>
      </c>
      <c r="T898" s="9">
        <v>287</v>
      </c>
    </row>
    <row r="899" spans="1:20" x14ac:dyDescent="0.25">
      <c r="A899" s="21" t="s">
        <v>4</v>
      </c>
      <c r="B899" s="21" t="s">
        <v>28</v>
      </c>
      <c r="C899" s="21" t="s">
        <v>17</v>
      </c>
      <c r="D899" s="21" t="s">
        <v>32</v>
      </c>
      <c r="E899" s="21" t="s">
        <v>33</v>
      </c>
      <c r="F899" s="22">
        <v>63</v>
      </c>
      <c r="G899" s="22">
        <v>78</v>
      </c>
      <c r="H899" s="22">
        <v>79</v>
      </c>
      <c r="J899" s="10">
        <v>80</v>
      </c>
      <c r="K899" s="10">
        <v>2</v>
      </c>
      <c r="L899" s="10">
        <v>130</v>
      </c>
      <c r="M899" s="10">
        <v>65</v>
      </c>
      <c r="N899" s="10">
        <v>2</v>
      </c>
      <c r="Q899" s="9"/>
      <c r="R899" s="9"/>
      <c r="S899" s="9"/>
      <c r="T899" s="9"/>
    </row>
    <row r="900" spans="1:20" x14ac:dyDescent="0.25">
      <c r="A900" s="21" t="s">
        <v>5</v>
      </c>
      <c r="B900" s="21" t="s">
        <v>30</v>
      </c>
      <c r="C900" s="21" t="s">
        <v>14</v>
      </c>
      <c r="D900" s="21" t="s">
        <v>35</v>
      </c>
      <c r="E900" s="21" t="s">
        <v>33</v>
      </c>
      <c r="F900" s="22">
        <v>67</v>
      </c>
      <c r="G900" s="22">
        <v>54</v>
      </c>
      <c r="H900" s="22">
        <v>63</v>
      </c>
      <c r="J900" s="10">
        <v>81</v>
      </c>
      <c r="K900" s="10">
        <v>2</v>
      </c>
      <c r="L900" s="10">
        <v>166</v>
      </c>
      <c r="M900" s="10">
        <v>83</v>
      </c>
      <c r="N900" s="10">
        <v>2</v>
      </c>
      <c r="Q900" s="14">
        <v>40</v>
      </c>
      <c r="R900" s="14"/>
      <c r="S900" s="14"/>
      <c r="T900" s="14"/>
    </row>
    <row r="901" spans="1:20" x14ac:dyDescent="0.25">
      <c r="A901" s="21" t="s">
        <v>4</v>
      </c>
      <c r="B901" s="21" t="s">
        <v>30</v>
      </c>
      <c r="C901" s="21" t="s">
        <v>17</v>
      </c>
      <c r="D901" s="21" t="s">
        <v>35</v>
      </c>
      <c r="E901" s="21" t="s">
        <v>33</v>
      </c>
      <c r="F901" s="22">
        <v>65</v>
      </c>
      <c r="G901" s="22">
        <v>78</v>
      </c>
      <c r="H901" s="22">
        <v>82</v>
      </c>
      <c r="J901" s="10">
        <v>57</v>
      </c>
      <c r="K901" s="10">
        <v>2</v>
      </c>
      <c r="L901" s="10">
        <v>115</v>
      </c>
      <c r="M901" s="10">
        <v>57.5</v>
      </c>
      <c r="N901" s="10">
        <v>24.5</v>
      </c>
      <c r="Q901" s="9" t="s">
        <v>52</v>
      </c>
      <c r="R901" s="9">
        <v>2</v>
      </c>
      <c r="S901" s="9">
        <v>2</v>
      </c>
      <c r="T901" s="9">
        <v>4</v>
      </c>
    </row>
    <row r="902" spans="1:20" x14ac:dyDescent="0.25">
      <c r="A902" s="21" t="s">
        <v>5</v>
      </c>
      <c r="B902" s="21" t="s">
        <v>30</v>
      </c>
      <c r="C902" s="21" t="s">
        <v>16</v>
      </c>
      <c r="D902" s="21" t="s">
        <v>35</v>
      </c>
      <c r="E902" s="21" t="s">
        <v>34</v>
      </c>
      <c r="F902" s="22">
        <v>85</v>
      </c>
      <c r="G902" s="22">
        <v>84</v>
      </c>
      <c r="H902" s="22">
        <v>89</v>
      </c>
      <c r="J902" s="10">
        <v>59</v>
      </c>
      <c r="K902" s="10">
        <v>2</v>
      </c>
      <c r="L902" s="10">
        <v>152</v>
      </c>
      <c r="M902" s="10">
        <v>76</v>
      </c>
      <c r="N902" s="10">
        <v>32</v>
      </c>
      <c r="Q902" s="9" t="s">
        <v>53</v>
      </c>
      <c r="R902" s="9">
        <v>133</v>
      </c>
      <c r="S902" s="9">
        <v>125</v>
      </c>
      <c r="T902" s="9">
        <v>258</v>
      </c>
    </row>
    <row r="903" spans="1:20" x14ac:dyDescent="0.25">
      <c r="A903" s="21" t="s">
        <v>4</v>
      </c>
      <c r="B903" s="21" t="s">
        <v>29</v>
      </c>
      <c r="C903" s="21" t="s">
        <v>16</v>
      </c>
      <c r="D903" s="21" t="s">
        <v>35</v>
      </c>
      <c r="E903" s="21" t="s">
        <v>34</v>
      </c>
      <c r="F903" s="22">
        <v>73</v>
      </c>
      <c r="G903" s="22">
        <v>78</v>
      </c>
      <c r="H903" s="22">
        <v>74</v>
      </c>
      <c r="J903" s="10">
        <v>64</v>
      </c>
      <c r="K903" s="10">
        <v>2</v>
      </c>
      <c r="L903" s="10">
        <v>150</v>
      </c>
      <c r="M903" s="10">
        <v>75</v>
      </c>
      <c r="N903" s="10">
        <v>2</v>
      </c>
      <c r="Q903" s="9" t="s">
        <v>54</v>
      </c>
      <c r="R903" s="9">
        <v>66.5</v>
      </c>
      <c r="S903" s="9">
        <v>62.5</v>
      </c>
      <c r="T903" s="9">
        <v>64.5</v>
      </c>
    </row>
    <row r="904" spans="1:20" x14ac:dyDescent="0.25">
      <c r="A904" s="21" t="s">
        <v>4</v>
      </c>
      <c r="B904" s="21" t="s">
        <v>27</v>
      </c>
      <c r="C904" s="21" t="s">
        <v>15</v>
      </c>
      <c r="D904" s="21" t="s">
        <v>32</v>
      </c>
      <c r="E904" s="21" t="s">
        <v>33</v>
      </c>
      <c r="F904" s="22">
        <v>34</v>
      </c>
      <c r="G904" s="22">
        <v>48</v>
      </c>
      <c r="H904" s="22">
        <v>41</v>
      </c>
      <c r="J904" s="10">
        <v>63</v>
      </c>
      <c r="K904" s="10">
        <v>2</v>
      </c>
      <c r="L904" s="10">
        <v>130</v>
      </c>
      <c r="M904" s="10">
        <v>65</v>
      </c>
      <c r="N904" s="10">
        <v>2</v>
      </c>
      <c r="Q904" s="9" t="s">
        <v>55</v>
      </c>
      <c r="R904" s="9">
        <v>840.5</v>
      </c>
      <c r="S904" s="9">
        <v>312.5</v>
      </c>
      <c r="T904" s="9">
        <v>389.66666666666669</v>
      </c>
    </row>
    <row r="905" spans="1:20" x14ac:dyDescent="0.25">
      <c r="A905" s="21" t="s">
        <v>4</v>
      </c>
      <c r="B905" s="21" t="s">
        <v>30</v>
      </c>
      <c r="C905" s="21" t="s">
        <v>43</v>
      </c>
      <c r="D905" s="21" t="s">
        <v>32</v>
      </c>
      <c r="E905" s="21" t="s">
        <v>33</v>
      </c>
      <c r="F905" s="22">
        <v>93</v>
      </c>
      <c r="G905" s="22">
        <v>100</v>
      </c>
      <c r="H905" s="22">
        <v>100</v>
      </c>
      <c r="J905" s="10">
        <v>71</v>
      </c>
      <c r="K905" s="10">
        <v>2</v>
      </c>
      <c r="L905" s="10">
        <v>140</v>
      </c>
      <c r="M905" s="10">
        <v>70</v>
      </c>
      <c r="N905" s="10">
        <v>0</v>
      </c>
      <c r="Q905" s="9"/>
      <c r="R905" s="9"/>
      <c r="S905" s="9"/>
      <c r="T905" s="9"/>
    </row>
    <row r="906" spans="1:20" x14ac:dyDescent="0.25">
      <c r="A906" s="21" t="s">
        <v>4</v>
      </c>
      <c r="B906" s="21" t="s">
        <v>30</v>
      </c>
      <c r="C906" s="21" t="s">
        <v>17</v>
      </c>
      <c r="D906" s="21" t="s">
        <v>32</v>
      </c>
      <c r="E906" s="21" t="s">
        <v>34</v>
      </c>
      <c r="F906" s="22">
        <v>67</v>
      </c>
      <c r="G906" s="22">
        <v>84</v>
      </c>
      <c r="H906" s="22">
        <v>84</v>
      </c>
      <c r="J906" s="10">
        <v>64</v>
      </c>
      <c r="K906" s="10">
        <v>2</v>
      </c>
      <c r="L906" s="10">
        <v>144</v>
      </c>
      <c r="M906" s="10">
        <v>72</v>
      </c>
      <c r="N906" s="10">
        <v>2</v>
      </c>
      <c r="Q906" s="14">
        <v>81</v>
      </c>
      <c r="R906" s="14"/>
      <c r="S906" s="14"/>
      <c r="T906" s="14"/>
    </row>
    <row r="907" spans="1:20" x14ac:dyDescent="0.25">
      <c r="A907" s="21" t="s">
        <v>5</v>
      </c>
      <c r="B907" s="21" t="s">
        <v>30</v>
      </c>
      <c r="C907" s="21" t="s">
        <v>45</v>
      </c>
      <c r="D907" s="21" t="s">
        <v>35</v>
      </c>
      <c r="E907" s="21" t="s">
        <v>34</v>
      </c>
      <c r="F907" s="22">
        <v>88</v>
      </c>
      <c r="G907" s="22">
        <v>77</v>
      </c>
      <c r="H907" s="22">
        <v>77</v>
      </c>
      <c r="J907" s="10">
        <v>55</v>
      </c>
      <c r="K907" s="10">
        <v>2</v>
      </c>
      <c r="L907" s="10">
        <v>90</v>
      </c>
      <c r="M907" s="10">
        <v>45</v>
      </c>
      <c r="N907" s="10">
        <v>2</v>
      </c>
      <c r="Q907" s="9" t="s">
        <v>52</v>
      </c>
      <c r="R907" s="9">
        <v>2</v>
      </c>
      <c r="S907" s="9">
        <v>2</v>
      </c>
      <c r="T907" s="9">
        <v>4</v>
      </c>
    </row>
    <row r="908" spans="1:20" x14ac:dyDescent="0.25">
      <c r="A908" s="21" t="s">
        <v>5</v>
      </c>
      <c r="B908" s="21" t="s">
        <v>28</v>
      </c>
      <c r="C908" s="21" t="s">
        <v>15</v>
      </c>
      <c r="D908" s="21" t="s">
        <v>35</v>
      </c>
      <c r="E908" s="21" t="s">
        <v>34</v>
      </c>
      <c r="F908" s="22">
        <v>57</v>
      </c>
      <c r="G908" s="22">
        <v>48</v>
      </c>
      <c r="H908" s="22">
        <v>51</v>
      </c>
      <c r="J908" s="10">
        <v>51</v>
      </c>
      <c r="K908" s="10">
        <v>2</v>
      </c>
      <c r="L908" s="10">
        <v>105</v>
      </c>
      <c r="M908" s="10">
        <v>52.5</v>
      </c>
      <c r="N908" s="10">
        <v>4.5</v>
      </c>
      <c r="Q908" s="9" t="s">
        <v>53</v>
      </c>
      <c r="R908" s="9">
        <v>132</v>
      </c>
      <c r="S908" s="9">
        <v>133</v>
      </c>
      <c r="T908" s="9">
        <v>265</v>
      </c>
    </row>
    <row r="909" spans="1:20" x14ac:dyDescent="0.25">
      <c r="A909" s="21" t="s">
        <v>4</v>
      </c>
      <c r="B909" s="21" t="s">
        <v>30</v>
      </c>
      <c r="C909" s="21" t="s">
        <v>45</v>
      </c>
      <c r="D909" s="21" t="s">
        <v>35</v>
      </c>
      <c r="E909" s="21" t="s">
        <v>33</v>
      </c>
      <c r="F909" s="22">
        <v>79</v>
      </c>
      <c r="G909" s="22">
        <v>84</v>
      </c>
      <c r="H909" s="22">
        <v>91</v>
      </c>
      <c r="J909" s="10">
        <v>62</v>
      </c>
      <c r="K909" s="10">
        <v>2</v>
      </c>
      <c r="L909" s="10">
        <v>156</v>
      </c>
      <c r="M909" s="10">
        <v>78</v>
      </c>
      <c r="N909" s="10">
        <v>8</v>
      </c>
      <c r="Q909" s="9" t="s">
        <v>54</v>
      </c>
      <c r="R909" s="9">
        <v>66</v>
      </c>
      <c r="S909" s="9">
        <v>66.5</v>
      </c>
      <c r="T909" s="9">
        <v>66.25</v>
      </c>
    </row>
    <row r="910" spans="1:20" x14ac:dyDescent="0.25">
      <c r="A910" s="21" t="s">
        <v>4</v>
      </c>
      <c r="B910" s="21" t="s">
        <v>29</v>
      </c>
      <c r="C910" s="21" t="s">
        <v>43</v>
      </c>
      <c r="D910" s="21" t="s">
        <v>32</v>
      </c>
      <c r="E910" s="21" t="s">
        <v>34</v>
      </c>
      <c r="F910" s="22">
        <v>67</v>
      </c>
      <c r="G910" s="22">
        <v>75</v>
      </c>
      <c r="H910" s="22">
        <v>72</v>
      </c>
      <c r="J910" s="10">
        <v>93</v>
      </c>
      <c r="K910" s="10">
        <v>2</v>
      </c>
      <c r="L910" s="10">
        <v>195</v>
      </c>
      <c r="M910" s="10">
        <v>97.5</v>
      </c>
      <c r="N910" s="10">
        <v>12.5</v>
      </c>
      <c r="Q910" s="9" t="s">
        <v>55</v>
      </c>
      <c r="R910" s="9">
        <v>288</v>
      </c>
      <c r="S910" s="9">
        <v>420.5</v>
      </c>
      <c r="T910" s="9">
        <v>236.25</v>
      </c>
    </row>
    <row r="911" spans="1:20" x14ac:dyDescent="0.25">
      <c r="A911" s="21" t="s">
        <v>5</v>
      </c>
      <c r="B911" s="21" t="s">
        <v>31</v>
      </c>
      <c r="C911" s="21" t="s">
        <v>43</v>
      </c>
      <c r="D911" s="21" t="s">
        <v>35</v>
      </c>
      <c r="E911" s="21" t="s">
        <v>33</v>
      </c>
      <c r="F911" s="22">
        <v>70</v>
      </c>
      <c r="G911" s="22">
        <v>64</v>
      </c>
      <c r="H911" s="22">
        <v>70</v>
      </c>
      <c r="J911" s="10">
        <v>54</v>
      </c>
      <c r="K911" s="10">
        <v>2</v>
      </c>
      <c r="L911" s="10">
        <v>131</v>
      </c>
      <c r="M911" s="10">
        <v>65.5</v>
      </c>
      <c r="N911" s="10">
        <v>84.5</v>
      </c>
      <c r="Q911" s="9"/>
      <c r="R911" s="9"/>
      <c r="S911" s="9"/>
      <c r="T911" s="9"/>
    </row>
    <row r="912" spans="1:20" x14ac:dyDescent="0.25">
      <c r="A912" s="21" t="s">
        <v>5</v>
      </c>
      <c r="B912" s="21" t="s">
        <v>30</v>
      </c>
      <c r="C912" s="21" t="s">
        <v>43</v>
      </c>
      <c r="D912" s="21" t="s">
        <v>32</v>
      </c>
      <c r="E912" s="21" t="s">
        <v>34</v>
      </c>
      <c r="F912" s="22">
        <v>50</v>
      </c>
      <c r="G912" s="22">
        <v>42</v>
      </c>
      <c r="H912" s="22">
        <v>48</v>
      </c>
      <c r="J912" s="10">
        <v>69</v>
      </c>
      <c r="K912" s="10">
        <v>2</v>
      </c>
      <c r="L912" s="10">
        <v>139</v>
      </c>
      <c r="M912" s="10">
        <v>69.5</v>
      </c>
      <c r="N912" s="10">
        <v>40.5</v>
      </c>
      <c r="Q912" s="14">
        <v>67</v>
      </c>
      <c r="R912" s="14"/>
      <c r="S912" s="14"/>
      <c r="T912" s="14"/>
    </row>
    <row r="913" spans="1:20" x14ac:dyDescent="0.25">
      <c r="A913" s="21" t="s">
        <v>4</v>
      </c>
      <c r="B913" s="21" t="s">
        <v>27</v>
      </c>
      <c r="C913" s="21" t="s">
        <v>45</v>
      </c>
      <c r="D913" s="21" t="s">
        <v>35</v>
      </c>
      <c r="E913" s="21" t="s">
        <v>34</v>
      </c>
      <c r="F913" s="22">
        <v>69</v>
      </c>
      <c r="G913" s="22">
        <v>84</v>
      </c>
      <c r="H913" s="22">
        <v>82</v>
      </c>
      <c r="J913" s="10">
        <v>44</v>
      </c>
      <c r="K913" s="10">
        <v>2</v>
      </c>
      <c r="L913" s="10">
        <v>99</v>
      </c>
      <c r="M913" s="10">
        <v>49.5</v>
      </c>
      <c r="N913" s="10">
        <v>4.5</v>
      </c>
      <c r="Q913" s="9" t="s">
        <v>52</v>
      </c>
      <c r="R913" s="9">
        <v>2</v>
      </c>
      <c r="S913" s="9">
        <v>2</v>
      </c>
      <c r="T913" s="9">
        <v>4</v>
      </c>
    </row>
    <row r="914" spans="1:20" x14ac:dyDescent="0.25">
      <c r="A914" s="21" t="s">
        <v>4</v>
      </c>
      <c r="B914" s="21" t="s">
        <v>29</v>
      </c>
      <c r="C914" s="21" t="s">
        <v>43</v>
      </c>
      <c r="D914" s="21" t="s">
        <v>35</v>
      </c>
      <c r="E914" s="21" t="s">
        <v>33</v>
      </c>
      <c r="F914" s="22">
        <v>52</v>
      </c>
      <c r="G914" s="22">
        <v>61</v>
      </c>
      <c r="H914" s="22">
        <v>66</v>
      </c>
      <c r="J914" s="10">
        <v>86</v>
      </c>
      <c r="K914" s="10">
        <v>2</v>
      </c>
      <c r="L914" s="10">
        <v>176</v>
      </c>
      <c r="M914" s="10">
        <v>88</v>
      </c>
      <c r="N914" s="10">
        <v>18</v>
      </c>
      <c r="Q914" s="9" t="s">
        <v>53</v>
      </c>
      <c r="R914" s="9">
        <v>160</v>
      </c>
      <c r="S914" s="9">
        <v>145</v>
      </c>
      <c r="T914" s="9">
        <v>305</v>
      </c>
    </row>
    <row r="915" spans="1:20" x14ac:dyDescent="0.25">
      <c r="A915" s="21" t="s">
        <v>4</v>
      </c>
      <c r="B915" s="21" t="s">
        <v>29</v>
      </c>
      <c r="C915" s="21" t="s">
        <v>43</v>
      </c>
      <c r="D915" s="21" t="s">
        <v>32</v>
      </c>
      <c r="E915" s="21" t="s">
        <v>33</v>
      </c>
      <c r="F915" s="22">
        <v>47</v>
      </c>
      <c r="G915" s="22">
        <v>62</v>
      </c>
      <c r="H915" s="22">
        <v>66</v>
      </c>
      <c r="J915" s="10">
        <v>85</v>
      </c>
      <c r="K915" s="10">
        <v>2</v>
      </c>
      <c r="L915" s="10">
        <v>177</v>
      </c>
      <c r="M915" s="10">
        <v>88.5</v>
      </c>
      <c r="N915" s="10">
        <v>24.5</v>
      </c>
      <c r="Q915" s="9" t="s">
        <v>54</v>
      </c>
      <c r="R915" s="9">
        <v>80</v>
      </c>
      <c r="S915" s="9">
        <v>72.5</v>
      </c>
      <c r="T915" s="9">
        <v>76.25</v>
      </c>
    </row>
    <row r="916" spans="1:20" x14ac:dyDescent="0.25">
      <c r="A916" s="21" t="s">
        <v>4</v>
      </c>
      <c r="B916" s="21" t="s">
        <v>28</v>
      </c>
      <c r="C916" s="21" t="s">
        <v>14</v>
      </c>
      <c r="D916" s="21" t="s">
        <v>32</v>
      </c>
      <c r="E916" s="21" t="s">
        <v>34</v>
      </c>
      <c r="F916" s="22">
        <v>46</v>
      </c>
      <c r="G916" s="22">
        <v>61</v>
      </c>
      <c r="H916" s="22">
        <v>55</v>
      </c>
      <c r="J916" s="10">
        <v>50</v>
      </c>
      <c r="K916" s="10">
        <v>2</v>
      </c>
      <c r="L916" s="10">
        <v>140</v>
      </c>
      <c r="M916" s="10">
        <v>70</v>
      </c>
      <c r="N916" s="10">
        <v>18</v>
      </c>
      <c r="Q916" s="9" t="s">
        <v>55</v>
      </c>
      <c r="R916" s="9">
        <v>32</v>
      </c>
      <c r="S916" s="9">
        <v>144.5</v>
      </c>
      <c r="T916" s="9">
        <v>77.583333333333329</v>
      </c>
    </row>
    <row r="917" spans="1:20" x14ac:dyDescent="0.25">
      <c r="A917" s="21" t="s">
        <v>4</v>
      </c>
      <c r="B917" s="21" t="s">
        <v>31</v>
      </c>
      <c r="C917" s="21" t="s">
        <v>45</v>
      </c>
      <c r="D917" s="21" t="s">
        <v>35</v>
      </c>
      <c r="E917" s="21" t="s">
        <v>34</v>
      </c>
      <c r="F917" s="22">
        <v>68</v>
      </c>
      <c r="G917" s="22">
        <v>70</v>
      </c>
      <c r="H917" s="22">
        <v>66</v>
      </c>
      <c r="J917" s="10">
        <v>88</v>
      </c>
      <c r="K917" s="10">
        <v>2</v>
      </c>
      <c r="L917" s="10">
        <v>149</v>
      </c>
      <c r="M917" s="10">
        <v>74.5</v>
      </c>
      <c r="N917" s="10">
        <v>0.5</v>
      </c>
      <c r="Q917" s="9"/>
      <c r="R917" s="9"/>
      <c r="S917" s="9"/>
      <c r="T917" s="9"/>
    </row>
    <row r="918" spans="1:20" x14ac:dyDescent="0.25">
      <c r="A918" s="21" t="s">
        <v>5</v>
      </c>
      <c r="B918" s="21" t="s">
        <v>31</v>
      </c>
      <c r="C918" s="21" t="s">
        <v>43</v>
      </c>
      <c r="D918" s="21" t="s">
        <v>35</v>
      </c>
      <c r="E918" s="21" t="s">
        <v>33</v>
      </c>
      <c r="F918" s="22">
        <v>100</v>
      </c>
      <c r="G918" s="22">
        <v>100</v>
      </c>
      <c r="H918" s="22">
        <v>100</v>
      </c>
      <c r="J918" s="10">
        <v>59</v>
      </c>
      <c r="K918" s="10">
        <v>2</v>
      </c>
      <c r="L918" s="10">
        <v>131</v>
      </c>
      <c r="M918" s="10">
        <v>65.5</v>
      </c>
      <c r="N918" s="10">
        <v>24.5</v>
      </c>
      <c r="Q918" s="14">
        <v>74</v>
      </c>
      <c r="R918" s="14"/>
      <c r="S918" s="14"/>
      <c r="T918" s="14"/>
    </row>
    <row r="919" spans="1:20" x14ac:dyDescent="0.25">
      <c r="A919" s="21" t="s">
        <v>4</v>
      </c>
      <c r="B919" s="21" t="s">
        <v>29</v>
      </c>
      <c r="C919" s="21" t="s">
        <v>15</v>
      </c>
      <c r="D919" s="21" t="s">
        <v>35</v>
      </c>
      <c r="E919" s="21" t="s">
        <v>34</v>
      </c>
      <c r="F919" s="22">
        <v>44</v>
      </c>
      <c r="G919" s="22">
        <v>61</v>
      </c>
      <c r="H919" s="22">
        <v>52</v>
      </c>
      <c r="J919" s="10">
        <v>32</v>
      </c>
      <c r="K919" s="10">
        <v>2</v>
      </c>
      <c r="L919" s="10">
        <v>72</v>
      </c>
      <c r="M919" s="10">
        <v>36</v>
      </c>
      <c r="N919" s="10">
        <v>8</v>
      </c>
      <c r="Q919" s="9" t="s">
        <v>52</v>
      </c>
      <c r="R919" s="9">
        <v>2</v>
      </c>
      <c r="S919" s="9">
        <v>2</v>
      </c>
      <c r="T919" s="9">
        <v>4</v>
      </c>
    </row>
    <row r="920" spans="1:20" x14ac:dyDescent="0.25">
      <c r="A920" s="21" t="s">
        <v>4</v>
      </c>
      <c r="B920" s="21" t="s">
        <v>29</v>
      </c>
      <c r="C920" s="21" t="s">
        <v>14</v>
      </c>
      <c r="D920" s="21" t="s">
        <v>35</v>
      </c>
      <c r="E920" s="21" t="s">
        <v>33</v>
      </c>
      <c r="F920" s="22">
        <v>57</v>
      </c>
      <c r="G920" s="22">
        <v>77</v>
      </c>
      <c r="H920" s="22">
        <v>80</v>
      </c>
      <c r="J920" s="10">
        <v>36</v>
      </c>
      <c r="K920" s="10">
        <v>2</v>
      </c>
      <c r="L920" s="10">
        <v>56</v>
      </c>
      <c r="M920" s="10">
        <v>28</v>
      </c>
      <c r="N920" s="10">
        <v>2</v>
      </c>
      <c r="Q920" s="9" t="s">
        <v>53</v>
      </c>
      <c r="R920" s="9">
        <v>142</v>
      </c>
      <c r="S920" s="9">
        <v>152</v>
      </c>
      <c r="T920" s="9">
        <v>294</v>
      </c>
    </row>
    <row r="921" spans="1:20" x14ac:dyDescent="0.25">
      <c r="A921" s="21" t="s">
        <v>5</v>
      </c>
      <c r="B921" s="21" t="s">
        <v>28</v>
      </c>
      <c r="C921" s="21" t="s">
        <v>45</v>
      </c>
      <c r="D921" s="21" t="s">
        <v>35</v>
      </c>
      <c r="E921" s="21" t="s">
        <v>33</v>
      </c>
      <c r="F921" s="22">
        <v>91</v>
      </c>
      <c r="G921" s="22">
        <v>96</v>
      </c>
      <c r="H921" s="22">
        <v>91</v>
      </c>
      <c r="J921" s="10">
        <v>63</v>
      </c>
      <c r="K921" s="10">
        <v>2</v>
      </c>
      <c r="L921" s="10">
        <v>157</v>
      </c>
      <c r="M921" s="10">
        <v>78.5</v>
      </c>
      <c r="N921" s="10">
        <v>0.5</v>
      </c>
      <c r="Q921" s="9" t="s">
        <v>54</v>
      </c>
      <c r="R921" s="9">
        <v>71</v>
      </c>
      <c r="S921" s="9">
        <v>76</v>
      </c>
      <c r="T921" s="9">
        <v>73.5</v>
      </c>
    </row>
    <row r="922" spans="1:20" x14ac:dyDescent="0.25">
      <c r="A922" s="21" t="s">
        <v>5</v>
      </c>
      <c r="B922" s="21" t="s">
        <v>30</v>
      </c>
      <c r="C922" s="21" t="s">
        <v>15</v>
      </c>
      <c r="D922" s="21" t="s">
        <v>32</v>
      </c>
      <c r="E922" s="21" t="s">
        <v>34</v>
      </c>
      <c r="F922" s="22">
        <v>69</v>
      </c>
      <c r="G922" s="22">
        <v>70</v>
      </c>
      <c r="H922" s="22">
        <v>67</v>
      </c>
      <c r="J922" s="10">
        <v>67</v>
      </c>
      <c r="K922" s="10">
        <v>2</v>
      </c>
      <c r="L922" s="10">
        <v>117</v>
      </c>
      <c r="M922" s="10">
        <v>58.5</v>
      </c>
      <c r="N922" s="10">
        <v>40.5</v>
      </c>
      <c r="Q922" s="9" t="s">
        <v>55</v>
      </c>
      <c r="R922" s="9">
        <v>32</v>
      </c>
      <c r="S922" s="9">
        <v>98</v>
      </c>
      <c r="T922" s="9">
        <v>51.666666666666664</v>
      </c>
    </row>
    <row r="923" spans="1:20" x14ac:dyDescent="0.25">
      <c r="A923" s="21" t="s">
        <v>4</v>
      </c>
      <c r="B923" s="21" t="s">
        <v>29</v>
      </c>
      <c r="C923" s="21" t="s">
        <v>15</v>
      </c>
      <c r="D923" s="21" t="s">
        <v>32</v>
      </c>
      <c r="E923" s="21" t="s">
        <v>34</v>
      </c>
      <c r="F923" s="22">
        <v>35</v>
      </c>
      <c r="G923" s="22">
        <v>53</v>
      </c>
      <c r="H923" s="22">
        <v>46</v>
      </c>
      <c r="J923" s="10">
        <v>65</v>
      </c>
      <c r="K923" s="10">
        <v>2</v>
      </c>
      <c r="L923" s="10">
        <v>160</v>
      </c>
      <c r="M923" s="10">
        <v>80</v>
      </c>
      <c r="N923" s="10">
        <v>8</v>
      </c>
      <c r="Q923" s="9"/>
      <c r="R923" s="9"/>
      <c r="S923" s="9"/>
      <c r="T923" s="9"/>
    </row>
    <row r="924" spans="1:20" x14ac:dyDescent="0.25">
      <c r="A924" s="21" t="s">
        <v>5</v>
      </c>
      <c r="B924" s="21" t="s">
        <v>30</v>
      </c>
      <c r="C924" s="21" t="s">
        <v>15</v>
      </c>
      <c r="D924" s="21" t="s">
        <v>35</v>
      </c>
      <c r="E924" s="21" t="s">
        <v>34</v>
      </c>
      <c r="F924" s="22">
        <v>72</v>
      </c>
      <c r="G924" s="22">
        <v>66</v>
      </c>
      <c r="H924" s="22">
        <v>66</v>
      </c>
      <c r="J924" s="10">
        <v>85</v>
      </c>
      <c r="K924" s="10">
        <v>2</v>
      </c>
      <c r="L924" s="10">
        <v>173</v>
      </c>
      <c r="M924" s="10">
        <v>86.5</v>
      </c>
      <c r="N924" s="10">
        <v>12.5</v>
      </c>
      <c r="Q924" s="14">
        <v>99</v>
      </c>
      <c r="R924" s="14"/>
      <c r="S924" s="14"/>
      <c r="T924" s="14"/>
    </row>
    <row r="925" spans="1:20" x14ac:dyDescent="0.25">
      <c r="A925" s="21" t="s">
        <v>4</v>
      </c>
      <c r="B925" s="21" t="s">
        <v>28</v>
      </c>
      <c r="C925" s="21" t="s">
        <v>14</v>
      </c>
      <c r="D925" s="21" t="s">
        <v>32</v>
      </c>
      <c r="E925" s="21" t="s">
        <v>34</v>
      </c>
      <c r="F925" s="22">
        <v>54</v>
      </c>
      <c r="G925" s="22">
        <v>65</v>
      </c>
      <c r="H925" s="22">
        <v>65</v>
      </c>
      <c r="J925" s="10">
        <v>73</v>
      </c>
      <c r="K925" s="10">
        <v>2</v>
      </c>
      <c r="L925" s="10">
        <v>152</v>
      </c>
      <c r="M925" s="10">
        <v>76</v>
      </c>
      <c r="N925" s="10">
        <v>8</v>
      </c>
      <c r="Q925" s="9" t="s">
        <v>52</v>
      </c>
      <c r="R925" s="9">
        <v>2</v>
      </c>
      <c r="S925" s="9">
        <v>2</v>
      </c>
      <c r="T925" s="9">
        <v>4</v>
      </c>
    </row>
    <row r="926" spans="1:20" x14ac:dyDescent="0.25">
      <c r="A926" s="21" t="s">
        <v>5</v>
      </c>
      <c r="B926" s="21" t="s">
        <v>30</v>
      </c>
      <c r="C926" s="21" t="s">
        <v>15</v>
      </c>
      <c r="D926" s="21" t="s">
        <v>32</v>
      </c>
      <c r="E926" s="21" t="s">
        <v>34</v>
      </c>
      <c r="F926" s="22">
        <v>74</v>
      </c>
      <c r="G926" s="22">
        <v>70</v>
      </c>
      <c r="H926" s="22">
        <v>69</v>
      </c>
      <c r="J926" s="10">
        <v>34</v>
      </c>
      <c r="K926" s="10">
        <v>2</v>
      </c>
      <c r="L926" s="10">
        <v>89</v>
      </c>
      <c r="M926" s="10">
        <v>44.5</v>
      </c>
      <c r="N926" s="10">
        <v>24.5</v>
      </c>
      <c r="Q926" s="9" t="s">
        <v>53</v>
      </c>
      <c r="R926" s="9">
        <v>139</v>
      </c>
      <c r="S926" s="9">
        <v>125</v>
      </c>
      <c r="T926" s="9">
        <v>264</v>
      </c>
    </row>
    <row r="927" spans="1:20" x14ac:dyDescent="0.25">
      <c r="A927" s="21" t="s">
        <v>5</v>
      </c>
      <c r="B927" s="21" t="s">
        <v>31</v>
      </c>
      <c r="C927" s="21" t="s">
        <v>17</v>
      </c>
      <c r="D927" s="21" t="s">
        <v>35</v>
      </c>
      <c r="E927" s="21" t="s">
        <v>33</v>
      </c>
      <c r="F927" s="22">
        <v>74</v>
      </c>
      <c r="G927" s="22">
        <v>64</v>
      </c>
      <c r="H927" s="22">
        <v>60</v>
      </c>
      <c r="J927" s="10">
        <v>93</v>
      </c>
      <c r="K927" s="10">
        <v>2</v>
      </c>
      <c r="L927" s="10">
        <v>200</v>
      </c>
      <c r="M927" s="10">
        <v>100</v>
      </c>
      <c r="N927" s="10">
        <v>0</v>
      </c>
      <c r="Q927" s="9" t="s">
        <v>54</v>
      </c>
      <c r="R927" s="9">
        <v>69.5</v>
      </c>
      <c r="S927" s="9">
        <v>62.5</v>
      </c>
      <c r="T927" s="9">
        <v>66</v>
      </c>
    </row>
    <row r="928" spans="1:20" x14ac:dyDescent="0.25">
      <c r="A928" s="21" t="s">
        <v>5</v>
      </c>
      <c r="B928" s="21" t="s">
        <v>31</v>
      </c>
      <c r="C928" s="21" t="s">
        <v>14</v>
      </c>
      <c r="D928" s="21" t="s">
        <v>32</v>
      </c>
      <c r="E928" s="21" t="s">
        <v>34</v>
      </c>
      <c r="F928" s="22">
        <v>64</v>
      </c>
      <c r="G928" s="22">
        <v>56</v>
      </c>
      <c r="H928" s="22">
        <v>52</v>
      </c>
      <c r="J928" s="10">
        <v>67</v>
      </c>
      <c r="K928" s="10">
        <v>2</v>
      </c>
      <c r="L928" s="10">
        <v>168</v>
      </c>
      <c r="M928" s="10">
        <v>84</v>
      </c>
      <c r="N928" s="10">
        <v>0</v>
      </c>
      <c r="Q928" s="9" t="s">
        <v>55</v>
      </c>
      <c r="R928" s="9">
        <v>612.5</v>
      </c>
      <c r="S928" s="9">
        <v>684.5</v>
      </c>
      <c r="T928" s="9">
        <v>448.66666666666669</v>
      </c>
    </row>
    <row r="929" spans="1:20" x14ac:dyDescent="0.25">
      <c r="A929" s="21" t="s">
        <v>4</v>
      </c>
      <c r="B929" s="21" t="s">
        <v>30</v>
      </c>
      <c r="C929" s="21" t="s">
        <v>15</v>
      </c>
      <c r="D929" s="21" t="s">
        <v>32</v>
      </c>
      <c r="E929" s="21" t="s">
        <v>33</v>
      </c>
      <c r="F929" s="22">
        <v>65</v>
      </c>
      <c r="G929" s="22">
        <v>61</v>
      </c>
      <c r="H929" s="22">
        <v>71</v>
      </c>
      <c r="J929" s="10">
        <v>88</v>
      </c>
      <c r="K929" s="10">
        <v>2</v>
      </c>
      <c r="L929" s="10">
        <v>154</v>
      </c>
      <c r="M929" s="10">
        <v>77</v>
      </c>
      <c r="N929" s="10">
        <v>0</v>
      </c>
      <c r="Q929" s="9"/>
      <c r="R929" s="9"/>
      <c r="S929" s="9"/>
      <c r="T929" s="9"/>
    </row>
    <row r="930" spans="1:20" x14ac:dyDescent="0.25">
      <c r="A930" s="21" t="s">
        <v>5</v>
      </c>
      <c r="B930" s="21" t="s">
        <v>31</v>
      </c>
      <c r="C930" s="21" t="s">
        <v>14</v>
      </c>
      <c r="D930" s="21" t="s">
        <v>32</v>
      </c>
      <c r="E930" s="21" t="s">
        <v>33</v>
      </c>
      <c r="F930" s="22">
        <v>46</v>
      </c>
      <c r="G930" s="22">
        <v>43</v>
      </c>
      <c r="H930" s="22">
        <v>44</v>
      </c>
      <c r="J930" s="10">
        <v>57</v>
      </c>
      <c r="K930" s="10">
        <v>2</v>
      </c>
      <c r="L930" s="10">
        <v>99</v>
      </c>
      <c r="M930" s="10">
        <v>49.5</v>
      </c>
      <c r="N930" s="10">
        <v>4.5</v>
      </c>
      <c r="Q930" s="14">
        <v>53</v>
      </c>
      <c r="R930" s="14"/>
      <c r="S930" s="14"/>
      <c r="T930" s="14"/>
    </row>
    <row r="931" spans="1:20" x14ac:dyDescent="0.25">
      <c r="A931" s="21" t="s">
        <v>4</v>
      </c>
      <c r="B931" s="21" t="s">
        <v>29</v>
      </c>
      <c r="C931" s="21" t="s">
        <v>17</v>
      </c>
      <c r="D931" s="21" t="s">
        <v>32</v>
      </c>
      <c r="E931" s="21" t="s">
        <v>34</v>
      </c>
      <c r="F931" s="22">
        <v>48</v>
      </c>
      <c r="G931" s="22">
        <v>56</v>
      </c>
      <c r="H931" s="22">
        <v>51</v>
      </c>
      <c r="J931" s="10">
        <v>79</v>
      </c>
      <c r="K931" s="10">
        <v>2</v>
      </c>
      <c r="L931" s="10">
        <v>175</v>
      </c>
      <c r="M931" s="10">
        <v>87.5</v>
      </c>
      <c r="N931" s="10">
        <v>24.5</v>
      </c>
      <c r="Q931" s="9" t="s">
        <v>52</v>
      </c>
      <c r="R931" s="9">
        <v>2</v>
      </c>
      <c r="S931" s="9">
        <v>2</v>
      </c>
      <c r="T931" s="9">
        <v>4</v>
      </c>
    </row>
    <row r="932" spans="1:20" x14ac:dyDescent="0.25">
      <c r="A932" s="21" t="s">
        <v>5</v>
      </c>
      <c r="B932" s="21" t="s">
        <v>29</v>
      </c>
      <c r="C932" s="21" t="s">
        <v>45</v>
      </c>
      <c r="D932" s="21" t="s">
        <v>32</v>
      </c>
      <c r="E932" s="21" t="s">
        <v>33</v>
      </c>
      <c r="F932" s="22">
        <v>67</v>
      </c>
      <c r="G932" s="22">
        <v>74</v>
      </c>
      <c r="H932" s="22">
        <v>70</v>
      </c>
      <c r="J932" s="10">
        <v>67</v>
      </c>
      <c r="K932" s="10">
        <v>2</v>
      </c>
      <c r="L932" s="10">
        <v>147</v>
      </c>
      <c r="M932" s="10">
        <v>73.5</v>
      </c>
      <c r="N932" s="10">
        <v>4.5</v>
      </c>
      <c r="Q932" s="9" t="s">
        <v>53</v>
      </c>
      <c r="R932" s="9">
        <v>128</v>
      </c>
      <c r="S932" s="9">
        <v>119</v>
      </c>
      <c r="T932" s="9">
        <v>247</v>
      </c>
    </row>
    <row r="933" spans="1:20" x14ac:dyDescent="0.25">
      <c r="A933" s="21" t="s">
        <v>5</v>
      </c>
      <c r="B933" s="21" t="s">
        <v>30</v>
      </c>
      <c r="C933" s="21" t="s">
        <v>45</v>
      </c>
      <c r="D933" s="21" t="s">
        <v>32</v>
      </c>
      <c r="E933" s="21" t="s">
        <v>34</v>
      </c>
      <c r="F933" s="22">
        <v>62</v>
      </c>
      <c r="G933" s="22">
        <v>57</v>
      </c>
      <c r="H933" s="22">
        <v>62</v>
      </c>
      <c r="J933" s="10">
        <v>70</v>
      </c>
      <c r="K933" s="10">
        <v>2</v>
      </c>
      <c r="L933" s="10">
        <v>134</v>
      </c>
      <c r="M933" s="10">
        <v>67</v>
      </c>
      <c r="N933" s="10">
        <v>18</v>
      </c>
      <c r="Q933" s="9" t="s">
        <v>54</v>
      </c>
      <c r="R933" s="9">
        <v>64</v>
      </c>
      <c r="S933" s="9">
        <v>59.5</v>
      </c>
      <c r="T933" s="9">
        <v>61.75</v>
      </c>
    </row>
    <row r="934" spans="1:20" x14ac:dyDescent="0.25">
      <c r="A934" s="21" t="s">
        <v>5</v>
      </c>
      <c r="B934" s="21" t="s">
        <v>30</v>
      </c>
      <c r="C934" s="21" t="s">
        <v>14</v>
      </c>
      <c r="D934" s="21" t="s">
        <v>32</v>
      </c>
      <c r="E934" s="21" t="s">
        <v>33</v>
      </c>
      <c r="F934" s="22">
        <v>61</v>
      </c>
      <c r="G934" s="22">
        <v>71</v>
      </c>
      <c r="H934" s="22">
        <v>73</v>
      </c>
      <c r="J934" s="10">
        <v>50</v>
      </c>
      <c r="K934" s="10">
        <v>2</v>
      </c>
      <c r="L934" s="10">
        <v>90</v>
      </c>
      <c r="M934" s="10">
        <v>45</v>
      </c>
      <c r="N934" s="10">
        <v>18</v>
      </c>
      <c r="Q934" s="9" t="s">
        <v>55</v>
      </c>
      <c r="R934" s="9">
        <v>98</v>
      </c>
      <c r="S934" s="9">
        <v>112.5</v>
      </c>
      <c r="T934" s="9">
        <v>76.916666666666671</v>
      </c>
    </row>
    <row r="935" spans="1:20" x14ac:dyDescent="0.25">
      <c r="A935" s="21" t="s">
        <v>5</v>
      </c>
      <c r="B935" s="21" t="s">
        <v>29</v>
      </c>
      <c r="C935" s="21" t="s">
        <v>43</v>
      </c>
      <c r="D935" s="21" t="s">
        <v>32</v>
      </c>
      <c r="E935" s="21" t="s">
        <v>33</v>
      </c>
      <c r="F935" s="22">
        <v>70</v>
      </c>
      <c r="G935" s="22">
        <v>75</v>
      </c>
      <c r="H935" s="22">
        <v>74</v>
      </c>
      <c r="J935" s="10">
        <v>69</v>
      </c>
      <c r="K935" s="10">
        <v>2</v>
      </c>
      <c r="L935" s="10">
        <v>166</v>
      </c>
      <c r="M935" s="10">
        <v>83</v>
      </c>
      <c r="N935" s="10">
        <v>2</v>
      </c>
      <c r="Q935" s="9"/>
      <c r="R935" s="9"/>
      <c r="S935" s="9"/>
      <c r="T935" s="9"/>
    </row>
    <row r="936" spans="1:20" x14ac:dyDescent="0.25">
      <c r="A936" s="21" t="s">
        <v>5</v>
      </c>
      <c r="B936" s="21" t="s">
        <v>29</v>
      </c>
      <c r="C936" s="21" t="s">
        <v>14</v>
      </c>
      <c r="D936" s="21" t="s">
        <v>35</v>
      </c>
      <c r="E936" s="21" t="s">
        <v>33</v>
      </c>
      <c r="F936" s="22">
        <v>98</v>
      </c>
      <c r="G936" s="22">
        <v>87</v>
      </c>
      <c r="H936" s="22">
        <v>90</v>
      </c>
      <c r="J936" s="10">
        <v>52</v>
      </c>
      <c r="K936" s="10">
        <v>2</v>
      </c>
      <c r="L936" s="10">
        <v>127</v>
      </c>
      <c r="M936" s="10">
        <v>63.5</v>
      </c>
      <c r="N936" s="10">
        <v>12.5</v>
      </c>
      <c r="Q936" s="14">
        <v>73</v>
      </c>
      <c r="R936" s="14"/>
      <c r="S936" s="14"/>
      <c r="T936" s="14"/>
    </row>
    <row r="937" spans="1:20" x14ac:dyDescent="0.25">
      <c r="A937" s="21" t="s">
        <v>5</v>
      </c>
      <c r="B937" s="21" t="s">
        <v>30</v>
      </c>
      <c r="C937" s="21" t="s">
        <v>45</v>
      </c>
      <c r="D937" s="21" t="s">
        <v>32</v>
      </c>
      <c r="E937" s="21" t="s">
        <v>34</v>
      </c>
      <c r="F937" s="22">
        <v>70</v>
      </c>
      <c r="G937" s="22">
        <v>63</v>
      </c>
      <c r="H937" s="22">
        <v>58</v>
      </c>
      <c r="J937" s="10">
        <v>47</v>
      </c>
      <c r="K937" s="10">
        <v>2</v>
      </c>
      <c r="L937" s="10">
        <v>128</v>
      </c>
      <c r="M937" s="10">
        <v>64</v>
      </c>
      <c r="N937" s="10">
        <v>8</v>
      </c>
      <c r="Q937" s="9" t="s">
        <v>52</v>
      </c>
      <c r="R937" s="9">
        <v>2</v>
      </c>
      <c r="S937" s="9">
        <v>2</v>
      </c>
      <c r="T937" s="9">
        <v>4</v>
      </c>
    </row>
    <row r="938" spans="1:20" x14ac:dyDescent="0.25">
      <c r="A938" s="21" t="s">
        <v>5</v>
      </c>
      <c r="B938" s="21" t="s">
        <v>27</v>
      </c>
      <c r="C938" s="21" t="s">
        <v>14</v>
      </c>
      <c r="D938" s="21" t="s">
        <v>35</v>
      </c>
      <c r="E938" s="21" t="s">
        <v>34</v>
      </c>
      <c r="F938" s="22">
        <v>67</v>
      </c>
      <c r="G938" s="22">
        <v>57</v>
      </c>
      <c r="H938" s="22">
        <v>53</v>
      </c>
      <c r="J938" s="10">
        <v>46</v>
      </c>
      <c r="K938" s="10">
        <v>2</v>
      </c>
      <c r="L938" s="10">
        <v>116</v>
      </c>
      <c r="M938" s="10">
        <v>58</v>
      </c>
      <c r="N938" s="10">
        <v>18</v>
      </c>
      <c r="Q938" s="9" t="s">
        <v>53</v>
      </c>
      <c r="R938" s="9">
        <v>136</v>
      </c>
      <c r="S938" s="9">
        <v>137</v>
      </c>
      <c r="T938" s="9">
        <v>273</v>
      </c>
    </row>
    <row r="939" spans="1:20" x14ac:dyDescent="0.25">
      <c r="A939" s="21" t="s">
        <v>4</v>
      </c>
      <c r="B939" s="21" t="s">
        <v>31</v>
      </c>
      <c r="C939" s="21" t="s">
        <v>15</v>
      </c>
      <c r="D939" s="21" t="s">
        <v>32</v>
      </c>
      <c r="E939" s="21" t="s">
        <v>34</v>
      </c>
      <c r="F939" s="22">
        <v>57</v>
      </c>
      <c r="G939" s="22">
        <v>58</v>
      </c>
      <c r="H939" s="22">
        <v>57</v>
      </c>
      <c r="J939" s="10">
        <v>68</v>
      </c>
      <c r="K939" s="10">
        <v>2</v>
      </c>
      <c r="L939" s="10">
        <v>136</v>
      </c>
      <c r="M939" s="10">
        <v>68</v>
      </c>
      <c r="N939" s="10">
        <v>8</v>
      </c>
      <c r="Q939" s="9" t="s">
        <v>54</v>
      </c>
      <c r="R939" s="9">
        <v>68</v>
      </c>
      <c r="S939" s="9">
        <v>68.5</v>
      </c>
      <c r="T939" s="9">
        <v>68.25</v>
      </c>
    </row>
    <row r="940" spans="1:20" x14ac:dyDescent="0.25">
      <c r="A940" s="21" t="s">
        <v>5</v>
      </c>
      <c r="B940" s="21" t="s">
        <v>30</v>
      </c>
      <c r="C940" s="21" t="s">
        <v>45</v>
      </c>
      <c r="D940" s="21" t="s">
        <v>35</v>
      </c>
      <c r="E940" s="21" t="s">
        <v>33</v>
      </c>
      <c r="F940" s="22">
        <v>85</v>
      </c>
      <c r="G940" s="22">
        <v>81</v>
      </c>
      <c r="H940" s="22">
        <v>85</v>
      </c>
      <c r="J940" s="10">
        <v>100</v>
      </c>
      <c r="K940" s="10">
        <v>2</v>
      </c>
      <c r="L940" s="10">
        <v>200</v>
      </c>
      <c r="M940" s="10">
        <v>100</v>
      </c>
      <c r="N940" s="10">
        <v>0</v>
      </c>
      <c r="Q940" s="9" t="s">
        <v>55</v>
      </c>
      <c r="R940" s="9">
        <v>128</v>
      </c>
      <c r="S940" s="9">
        <v>264.5</v>
      </c>
      <c r="T940" s="9">
        <v>130.91666666666666</v>
      </c>
    </row>
    <row r="941" spans="1:20" x14ac:dyDescent="0.25">
      <c r="A941" s="21" t="s">
        <v>5</v>
      </c>
      <c r="B941" s="21" t="s">
        <v>30</v>
      </c>
      <c r="C941" s="21" t="s">
        <v>17</v>
      </c>
      <c r="D941" s="21" t="s">
        <v>35</v>
      </c>
      <c r="E941" s="21" t="s">
        <v>33</v>
      </c>
      <c r="F941" s="22">
        <v>77</v>
      </c>
      <c r="G941" s="22">
        <v>68</v>
      </c>
      <c r="H941" s="22">
        <v>69</v>
      </c>
      <c r="J941" s="10">
        <v>44</v>
      </c>
      <c r="K941" s="10">
        <v>2</v>
      </c>
      <c r="L941" s="10">
        <v>113</v>
      </c>
      <c r="M941" s="10">
        <v>56.5</v>
      </c>
      <c r="N941" s="10">
        <v>40.5</v>
      </c>
      <c r="Q941" s="9"/>
      <c r="R941" s="9"/>
      <c r="S941" s="9"/>
      <c r="T941" s="9"/>
    </row>
    <row r="942" spans="1:20" x14ac:dyDescent="0.25">
      <c r="A942" s="21" t="s">
        <v>5</v>
      </c>
      <c r="B942" s="21" t="s">
        <v>29</v>
      </c>
      <c r="C942" s="21" t="s">
        <v>16</v>
      </c>
      <c r="D942" s="21" t="s">
        <v>32</v>
      </c>
      <c r="E942" s="21" t="s">
        <v>33</v>
      </c>
      <c r="F942" s="22">
        <v>72</v>
      </c>
      <c r="G942" s="22">
        <v>66</v>
      </c>
      <c r="H942" s="22">
        <v>72</v>
      </c>
      <c r="J942" s="10">
        <v>57</v>
      </c>
      <c r="K942" s="10">
        <v>2</v>
      </c>
      <c r="L942" s="10">
        <v>157</v>
      </c>
      <c r="M942" s="10">
        <v>78.5</v>
      </c>
      <c r="N942" s="10">
        <v>4.5</v>
      </c>
      <c r="Q942" s="14">
        <v>67</v>
      </c>
      <c r="R942" s="14"/>
      <c r="S942" s="14"/>
      <c r="T942" s="14"/>
    </row>
    <row r="943" spans="1:20" x14ac:dyDescent="0.25">
      <c r="A943" s="21" t="s">
        <v>4</v>
      </c>
      <c r="B943" s="21" t="s">
        <v>30</v>
      </c>
      <c r="C943" s="21" t="s">
        <v>16</v>
      </c>
      <c r="D943" s="21" t="s">
        <v>35</v>
      </c>
      <c r="E943" s="21" t="s">
        <v>34</v>
      </c>
      <c r="F943" s="22">
        <v>78</v>
      </c>
      <c r="G943" s="22">
        <v>91</v>
      </c>
      <c r="H943" s="22">
        <v>96</v>
      </c>
      <c r="J943" s="10">
        <v>91</v>
      </c>
      <c r="K943" s="10">
        <v>2</v>
      </c>
      <c r="L943" s="10">
        <v>187</v>
      </c>
      <c r="M943" s="10">
        <v>93.5</v>
      </c>
      <c r="N943" s="10">
        <v>12.5</v>
      </c>
      <c r="Q943" s="9" t="s">
        <v>52</v>
      </c>
      <c r="R943" s="9">
        <v>2</v>
      </c>
      <c r="S943" s="9">
        <v>2</v>
      </c>
      <c r="T943" s="9">
        <v>4</v>
      </c>
    </row>
    <row r="944" spans="1:20" x14ac:dyDescent="0.25">
      <c r="A944" s="21" t="s">
        <v>5</v>
      </c>
      <c r="B944" s="21" t="s">
        <v>29</v>
      </c>
      <c r="C944" s="21" t="s">
        <v>15</v>
      </c>
      <c r="D944" s="21" t="s">
        <v>35</v>
      </c>
      <c r="E944" s="21" t="s">
        <v>34</v>
      </c>
      <c r="F944" s="22">
        <v>81</v>
      </c>
      <c r="G944" s="22">
        <v>66</v>
      </c>
      <c r="H944" s="22">
        <v>64</v>
      </c>
      <c r="J944" s="10">
        <v>69</v>
      </c>
      <c r="K944" s="10">
        <v>2</v>
      </c>
      <c r="L944" s="10">
        <v>137</v>
      </c>
      <c r="M944" s="10">
        <v>68.5</v>
      </c>
      <c r="N944" s="10">
        <v>4.5</v>
      </c>
      <c r="Q944" s="9" t="s">
        <v>53</v>
      </c>
      <c r="R944" s="9">
        <v>128</v>
      </c>
      <c r="S944" s="9">
        <v>137</v>
      </c>
      <c r="T944" s="9">
        <v>265</v>
      </c>
    </row>
    <row r="945" spans="1:20" x14ac:dyDescent="0.25">
      <c r="A945" s="21" t="s">
        <v>5</v>
      </c>
      <c r="B945" s="21" t="s">
        <v>27</v>
      </c>
      <c r="C945" s="21" t="s">
        <v>17</v>
      </c>
      <c r="D945" s="21" t="s">
        <v>32</v>
      </c>
      <c r="E945" s="21" t="s">
        <v>33</v>
      </c>
      <c r="F945" s="22">
        <v>61</v>
      </c>
      <c r="G945" s="22">
        <v>62</v>
      </c>
      <c r="H945" s="22">
        <v>61</v>
      </c>
      <c r="J945" s="10">
        <v>35</v>
      </c>
      <c r="K945" s="10">
        <v>2</v>
      </c>
      <c r="L945" s="10">
        <v>99</v>
      </c>
      <c r="M945" s="10">
        <v>49.5</v>
      </c>
      <c r="N945" s="10">
        <v>24.5</v>
      </c>
      <c r="Q945" s="9" t="s">
        <v>54</v>
      </c>
      <c r="R945" s="9">
        <v>64</v>
      </c>
      <c r="S945" s="9">
        <v>68.5</v>
      </c>
      <c r="T945" s="9">
        <v>66.25</v>
      </c>
    </row>
    <row r="946" spans="1:20" x14ac:dyDescent="0.25">
      <c r="A946" s="21" t="s">
        <v>4</v>
      </c>
      <c r="B946" s="21" t="s">
        <v>28</v>
      </c>
      <c r="C946" s="21" t="s">
        <v>15</v>
      </c>
      <c r="D946" s="21" t="s">
        <v>35</v>
      </c>
      <c r="E946" s="21" t="s">
        <v>34</v>
      </c>
      <c r="F946" s="22">
        <v>58</v>
      </c>
      <c r="G946" s="22">
        <v>68</v>
      </c>
      <c r="H946" s="22">
        <v>61</v>
      </c>
      <c r="J946" s="10">
        <v>72</v>
      </c>
      <c r="K946" s="10">
        <v>2</v>
      </c>
      <c r="L946" s="10">
        <v>132</v>
      </c>
      <c r="M946" s="10">
        <v>66</v>
      </c>
      <c r="N946" s="10">
        <v>0</v>
      </c>
      <c r="Q946" s="9" t="s">
        <v>55</v>
      </c>
      <c r="R946" s="9">
        <v>18</v>
      </c>
      <c r="S946" s="9">
        <v>0.5</v>
      </c>
      <c r="T946" s="9">
        <v>12.916666666666666</v>
      </c>
    </row>
    <row r="947" spans="1:20" x14ac:dyDescent="0.25">
      <c r="A947" s="21" t="s">
        <v>4</v>
      </c>
      <c r="B947" s="21" t="s">
        <v>29</v>
      </c>
      <c r="C947" s="21" t="s">
        <v>14</v>
      </c>
      <c r="D947" s="21" t="s">
        <v>35</v>
      </c>
      <c r="E947" s="21" t="s">
        <v>34</v>
      </c>
      <c r="F947" s="22">
        <v>54</v>
      </c>
      <c r="G947" s="22">
        <v>61</v>
      </c>
      <c r="H947" s="22">
        <v>58</v>
      </c>
      <c r="J947" s="10">
        <v>54</v>
      </c>
      <c r="K947" s="10">
        <v>2</v>
      </c>
      <c r="L947" s="10">
        <v>130</v>
      </c>
      <c r="M947" s="10">
        <v>65</v>
      </c>
      <c r="N947" s="10">
        <v>0</v>
      </c>
      <c r="Q947" s="9"/>
      <c r="R947" s="9"/>
      <c r="S947" s="9"/>
      <c r="T947" s="9"/>
    </row>
    <row r="948" spans="1:20" x14ac:dyDescent="0.25">
      <c r="A948" s="21" t="s">
        <v>5</v>
      </c>
      <c r="B948" s="21" t="s">
        <v>28</v>
      </c>
      <c r="C948" s="21" t="s">
        <v>15</v>
      </c>
      <c r="D948" s="21" t="s">
        <v>35</v>
      </c>
      <c r="E948" s="21" t="s">
        <v>34</v>
      </c>
      <c r="F948" s="22">
        <v>82</v>
      </c>
      <c r="G948" s="22">
        <v>82</v>
      </c>
      <c r="H948" s="22">
        <v>80</v>
      </c>
      <c r="J948" s="10">
        <v>74</v>
      </c>
      <c r="K948" s="10">
        <v>2</v>
      </c>
      <c r="L948" s="10">
        <v>139</v>
      </c>
      <c r="M948" s="10">
        <v>69.5</v>
      </c>
      <c r="N948" s="10">
        <v>0.5</v>
      </c>
      <c r="Q948" s="14">
        <v>59</v>
      </c>
      <c r="R948" s="14"/>
      <c r="S948" s="14"/>
      <c r="T948" s="14"/>
    </row>
    <row r="949" spans="1:20" x14ac:dyDescent="0.25">
      <c r="A949" s="21" t="s">
        <v>4</v>
      </c>
      <c r="B949" s="21" t="s">
        <v>30</v>
      </c>
      <c r="C949" s="21" t="s">
        <v>45</v>
      </c>
      <c r="D949" s="21" t="s">
        <v>32</v>
      </c>
      <c r="E949" s="21" t="s">
        <v>34</v>
      </c>
      <c r="F949" s="22">
        <v>49</v>
      </c>
      <c r="G949" s="22">
        <v>58</v>
      </c>
      <c r="H949" s="22">
        <v>60</v>
      </c>
      <c r="J949" s="10">
        <v>74</v>
      </c>
      <c r="K949" s="10">
        <v>2</v>
      </c>
      <c r="L949" s="10">
        <v>124</v>
      </c>
      <c r="M949" s="10">
        <v>62</v>
      </c>
      <c r="N949" s="10">
        <v>8</v>
      </c>
      <c r="Q949" s="9" t="s">
        <v>52</v>
      </c>
      <c r="R949" s="9">
        <v>2</v>
      </c>
      <c r="S949" s="9">
        <v>2</v>
      </c>
      <c r="T949" s="9">
        <v>4</v>
      </c>
    </row>
    <row r="950" spans="1:20" x14ac:dyDescent="0.25">
      <c r="A950" s="21" t="s">
        <v>5</v>
      </c>
      <c r="B950" s="21" t="s">
        <v>28</v>
      </c>
      <c r="C950" s="21" t="s">
        <v>17</v>
      </c>
      <c r="D950" s="21" t="s">
        <v>32</v>
      </c>
      <c r="E950" s="21" t="s">
        <v>33</v>
      </c>
      <c r="F950" s="22">
        <v>49</v>
      </c>
      <c r="G950" s="22">
        <v>50</v>
      </c>
      <c r="H950" s="22">
        <v>52</v>
      </c>
      <c r="J950" s="10">
        <v>64</v>
      </c>
      <c r="K950" s="10">
        <v>2</v>
      </c>
      <c r="L950" s="10">
        <v>108</v>
      </c>
      <c r="M950" s="10">
        <v>54</v>
      </c>
      <c r="N950" s="10">
        <v>8</v>
      </c>
      <c r="Q950" s="9" t="s">
        <v>53</v>
      </c>
      <c r="R950" s="9">
        <v>130</v>
      </c>
      <c r="S950" s="9">
        <v>140</v>
      </c>
      <c r="T950" s="9">
        <v>270</v>
      </c>
    </row>
    <row r="951" spans="1:20" x14ac:dyDescent="0.25">
      <c r="A951" s="21" t="s">
        <v>4</v>
      </c>
      <c r="B951" s="21" t="s">
        <v>31</v>
      </c>
      <c r="C951" s="21" t="s">
        <v>15</v>
      </c>
      <c r="D951" s="21" t="s">
        <v>32</v>
      </c>
      <c r="E951" s="21" t="s">
        <v>33</v>
      </c>
      <c r="F951" s="22">
        <v>57</v>
      </c>
      <c r="G951" s="22">
        <v>75</v>
      </c>
      <c r="H951" s="22">
        <v>73</v>
      </c>
      <c r="J951" s="10">
        <v>65</v>
      </c>
      <c r="K951" s="10">
        <v>2</v>
      </c>
      <c r="L951" s="10">
        <v>132</v>
      </c>
      <c r="M951" s="10">
        <v>66</v>
      </c>
      <c r="N951" s="10">
        <v>50</v>
      </c>
      <c r="Q951" s="9" t="s">
        <v>54</v>
      </c>
      <c r="R951" s="9">
        <v>65</v>
      </c>
      <c r="S951" s="9">
        <v>70</v>
      </c>
      <c r="T951" s="9">
        <v>67.5</v>
      </c>
    </row>
    <row r="952" spans="1:20" x14ac:dyDescent="0.25">
      <c r="A952" s="21" t="s">
        <v>5</v>
      </c>
      <c r="B952" s="21" t="s">
        <v>31</v>
      </c>
      <c r="C952" s="21" t="s">
        <v>15</v>
      </c>
      <c r="D952" s="21" t="s">
        <v>35</v>
      </c>
      <c r="E952" s="21" t="s">
        <v>34</v>
      </c>
      <c r="F952" s="22">
        <v>94</v>
      </c>
      <c r="G952" s="22">
        <v>73</v>
      </c>
      <c r="H952" s="22">
        <v>71</v>
      </c>
      <c r="J952" s="10">
        <v>46</v>
      </c>
      <c r="K952" s="10">
        <v>2</v>
      </c>
      <c r="L952" s="10">
        <v>87</v>
      </c>
      <c r="M952" s="10">
        <v>43.5</v>
      </c>
      <c r="N952" s="10">
        <v>0.5</v>
      </c>
      <c r="Q952" s="9" t="s">
        <v>55</v>
      </c>
      <c r="R952" s="9">
        <v>2</v>
      </c>
      <c r="S952" s="9">
        <v>50</v>
      </c>
      <c r="T952" s="9">
        <v>25.666666666666668</v>
      </c>
    </row>
    <row r="953" spans="1:20" x14ac:dyDescent="0.25">
      <c r="A953" s="21" t="s">
        <v>4</v>
      </c>
      <c r="B953" s="21" t="s">
        <v>30</v>
      </c>
      <c r="C953" s="21" t="s">
        <v>45</v>
      </c>
      <c r="D953" s="21" t="s">
        <v>35</v>
      </c>
      <c r="E953" s="21" t="s">
        <v>33</v>
      </c>
      <c r="F953" s="22">
        <v>75</v>
      </c>
      <c r="G953" s="22">
        <v>77</v>
      </c>
      <c r="H953" s="22">
        <v>83</v>
      </c>
      <c r="J953" s="10">
        <v>48</v>
      </c>
      <c r="K953" s="10">
        <v>2</v>
      </c>
      <c r="L953" s="10">
        <v>107</v>
      </c>
      <c r="M953" s="10">
        <v>53.5</v>
      </c>
      <c r="N953" s="10">
        <v>12.5</v>
      </c>
      <c r="Q953" s="9"/>
      <c r="R953" s="9"/>
      <c r="S953" s="9"/>
      <c r="T953" s="9"/>
    </row>
    <row r="954" spans="1:20" x14ac:dyDescent="0.25">
      <c r="A954" s="21" t="s">
        <v>4</v>
      </c>
      <c r="B954" s="21" t="s">
        <v>31</v>
      </c>
      <c r="C954" s="21" t="s">
        <v>17</v>
      </c>
      <c r="D954" s="21" t="s">
        <v>32</v>
      </c>
      <c r="E954" s="21" t="s">
        <v>34</v>
      </c>
      <c r="F954" s="22">
        <v>74</v>
      </c>
      <c r="G954" s="22">
        <v>74</v>
      </c>
      <c r="H954" s="22">
        <v>72</v>
      </c>
      <c r="J954" s="10">
        <v>67</v>
      </c>
      <c r="K954" s="10">
        <v>2</v>
      </c>
      <c r="L954" s="10">
        <v>144</v>
      </c>
      <c r="M954" s="10">
        <v>72</v>
      </c>
      <c r="N954" s="10">
        <v>8</v>
      </c>
      <c r="Q954" s="14">
        <v>77</v>
      </c>
      <c r="R954" s="14"/>
      <c r="S954" s="14"/>
      <c r="T954" s="14"/>
    </row>
    <row r="955" spans="1:20" x14ac:dyDescent="0.25">
      <c r="A955" s="21" t="s">
        <v>5</v>
      </c>
      <c r="B955" s="21" t="s">
        <v>29</v>
      </c>
      <c r="C955" s="21" t="s">
        <v>15</v>
      </c>
      <c r="D955" s="21" t="s">
        <v>35</v>
      </c>
      <c r="E955" s="21" t="s">
        <v>33</v>
      </c>
      <c r="F955" s="22">
        <v>58</v>
      </c>
      <c r="G955" s="22">
        <v>52</v>
      </c>
      <c r="H955" s="22">
        <v>54</v>
      </c>
      <c r="J955" s="10">
        <v>62</v>
      </c>
      <c r="K955" s="10">
        <v>2</v>
      </c>
      <c r="L955" s="10">
        <v>119</v>
      </c>
      <c r="M955" s="10">
        <v>59.5</v>
      </c>
      <c r="N955" s="10">
        <v>12.5</v>
      </c>
      <c r="Q955" s="9" t="s">
        <v>52</v>
      </c>
      <c r="R955" s="9">
        <v>2</v>
      </c>
      <c r="S955" s="9">
        <v>2</v>
      </c>
      <c r="T955" s="9">
        <v>4</v>
      </c>
    </row>
    <row r="956" spans="1:20" x14ac:dyDescent="0.25">
      <c r="A956" s="21" t="s">
        <v>4</v>
      </c>
      <c r="B956" s="21" t="s">
        <v>29</v>
      </c>
      <c r="C956" s="21" t="s">
        <v>45</v>
      </c>
      <c r="D956" s="21" t="s">
        <v>35</v>
      </c>
      <c r="E956" s="21" t="s">
        <v>34</v>
      </c>
      <c r="F956" s="22">
        <v>62</v>
      </c>
      <c r="G956" s="22">
        <v>69</v>
      </c>
      <c r="H956" s="22">
        <v>69</v>
      </c>
      <c r="J956" s="10">
        <v>61</v>
      </c>
      <c r="K956" s="10">
        <v>2</v>
      </c>
      <c r="L956" s="10">
        <v>144</v>
      </c>
      <c r="M956" s="10">
        <v>72</v>
      </c>
      <c r="N956" s="10">
        <v>2</v>
      </c>
      <c r="Q956" s="9" t="s">
        <v>53</v>
      </c>
      <c r="R956" s="9">
        <v>154</v>
      </c>
      <c r="S956" s="9">
        <v>169</v>
      </c>
      <c r="T956" s="9">
        <v>323</v>
      </c>
    </row>
    <row r="957" spans="1:20" x14ac:dyDescent="0.25">
      <c r="A957" s="21" t="s">
        <v>5</v>
      </c>
      <c r="B957" s="21" t="s">
        <v>31</v>
      </c>
      <c r="C957" s="21" t="s">
        <v>14</v>
      </c>
      <c r="D957" s="21" t="s">
        <v>35</v>
      </c>
      <c r="E957" s="21" t="s">
        <v>34</v>
      </c>
      <c r="F957" s="22">
        <v>72</v>
      </c>
      <c r="G957" s="22">
        <v>57</v>
      </c>
      <c r="H957" s="22">
        <v>62</v>
      </c>
      <c r="J957" s="10">
        <v>70</v>
      </c>
      <c r="K957" s="10">
        <v>2</v>
      </c>
      <c r="L957" s="10">
        <v>149</v>
      </c>
      <c r="M957" s="10">
        <v>74.5</v>
      </c>
      <c r="N957" s="10">
        <v>0.5</v>
      </c>
      <c r="Q957" s="9" t="s">
        <v>54</v>
      </c>
      <c r="R957" s="9">
        <v>77</v>
      </c>
      <c r="S957" s="9">
        <v>84.5</v>
      </c>
      <c r="T957" s="9">
        <v>80.75</v>
      </c>
    </row>
    <row r="958" spans="1:20" x14ac:dyDescent="0.25">
      <c r="A958" s="21" t="s">
        <v>5</v>
      </c>
      <c r="B958" s="21" t="s">
        <v>29</v>
      </c>
      <c r="C958" s="21" t="s">
        <v>45</v>
      </c>
      <c r="D958" s="21" t="s">
        <v>35</v>
      </c>
      <c r="E958" s="21" t="s">
        <v>34</v>
      </c>
      <c r="F958" s="22">
        <v>84</v>
      </c>
      <c r="G958" s="22">
        <v>87</v>
      </c>
      <c r="H958" s="22">
        <v>81</v>
      </c>
      <c r="J958" s="10">
        <v>98</v>
      </c>
      <c r="K958" s="10">
        <v>2</v>
      </c>
      <c r="L958" s="10">
        <v>177</v>
      </c>
      <c r="M958" s="10">
        <v>88.5</v>
      </c>
      <c r="N958" s="10">
        <v>4.5</v>
      </c>
      <c r="Q958" s="9" t="s">
        <v>55</v>
      </c>
      <c r="R958" s="9">
        <v>50</v>
      </c>
      <c r="S958" s="9">
        <v>84.5</v>
      </c>
      <c r="T958" s="9">
        <v>63.583333333333336</v>
      </c>
    </row>
    <row r="959" spans="1:20" x14ac:dyDescent="0.25">
      <c r="A959" s="21" t="s">
        <v>4</v>
      </c>
      <c r="B959" s="21" t="s">
        <v>30</v>
      </c>
      <c r="C959" s="21" t="s">
        <v>16</v>
      </c>
      <c r="D959" s="21" t="s">
        <v>35</v>
      </c>
      <c r="E959" s="21" t="s">
        <v>34</v>
      </c>
      <c r="F959" s="22">
        <v>92</v>
      </c>
      <c r="G959" s="22">
        <v>100</v>
      </c>
      <c r="H959" s="22">
        <v>100</v>
      </c>
      <c r="J959" s="10">
        <v>70</v>
      </c>
      <c r="K959" s="10">
        <v>2</v>
      </c>
      <c r="L959" s="10">
        <v>121</v>
      </c>
      <c r="M959" s="10">
        <v>60.5</v>
      </c>
      <c r="N959" s="10">
        <v>12.5</v>
      </c>
      <c r="Q959" s="9"/>
      <c r="R959" s="9"/>
      <c r="S959" s="9"/>
      <c r="T959" s="9"/>
    </row>
    <row r="960" spans="1:20" x14ac:dyDescent="0.25">
      <c r="A960" s="21" t="s">
        <v>4</v>
      </c>
      <c r="B960" s="21" t="s">
        <v>30</v>
      </c>
      <c r="C960" s="21" t="s">
        <v>15</v>
      </c>
      <c r="D960" s="21" t="s">
        <v>35</v>
      </c>
      <c r="E960" s="21" t="s">
        <v>34</v>
      </c>
      <c r="F960" s="22">
        <v>45</v>
      </c>
      <c r="G960" s="22">
        <v>63</v>
      </c>
      <c r="H960" s="22">
        <v>59</v>
      </c>
      <c r="J960" s="10">
        <v>67</v>
      </c>
      <c r="K960" s="10">
        <v>2</v>
      </c>
      <c r="L960" s="10">
        <v>110</v>
      </c>
      <c r="M960" s="10">
        <v>55</v>
      </c>
      <c r="N960" s="10">
        <v>8</v>
      </c>
      <c r="Q960" s="14">
        <v>63</v>
      </c>
      <c r="R960" s="14"/>
      <c r="S960" s="14"/>
      <c r="T960" s="14"/>
    </row>
    <row r="961" spans="1:20" x14ac:dyDescent="0.25">
      <c r="A961" s="21" t="s">
        <v>5</v>
      </c>
      <c r="B961" s="21" t="s">
        <v>29</v>
      </c>
      <c r="C961" s="21" t="s">
        <v>15</v>
      </c>
      <c r="D961" s="21" t="s">
        <v>35</v>
      </c>
      <c r="E961" s="21" t="s">
        <v>34</v>
      </c>
      <c r="F961" s="22">
        <v>75</v>
      </c>
      <c r="G961" s="22">
        <v>81</v>
      </c>
      <c r="H961" s="22">
        <v>71</v>
      </c>
      <c r="J961" s="10">
        <v>57</v>
      </c>
      <c r="K961" s="10">
        <v>2</v>
      </c>
      <c r="L961" s="10">
        <v>115</v>
      </c>
      <c r="M961" s="10">
        <v>57.5</v>
      </c>
      <c r="N961" s="10">
        <v>0.5</v>
      </c>
      <c r="Q961" s="9" t="s">
        <v>52</v>
      </c>
      <c r="R961" s="9">
        <v>2</v>
      </c>
      <c r="S961" s="9">
        <v>2</v>
      </c>
      <c r="T961" s="9">
        <v>4</v>
      </c>
    </row>
    <row r="962" spans="1:20" x14ac:dyDescent="0.25">
      <c r="A962" s="21" t="s">
        <v>4</v>
      </c>
      <c r="B962" s="21" t="s">
        <v>27</v>
      </c>
      <c r="C962" s="21" t="s">
        <v>45</v>
      </c>
      <c r="D962" s="21" t="s">
        <v>35</v>
      </c>
      <c r="E962" s="21" t="s">
        <v>34</v>
      </c>
      <c r="F962" s="22">
        <v>56</v>
      </c>
      <c r="G962" s="22">
        <v>58</v>
      </c>
      <c r="H962" s="22">
        <v>64</v>
      </c>
      <c r="J962" s="10">
        <v>85</v>
      </c>
      <c r="K962" s="10">
        <v>2</v>
      </c>
      <c r="L962" s="10">
        <v>166</v>
      </c>
      <c r="M962" s="10">
        <v>83</v>
      </c>
      <c r="N962" s="10">
        <v>8</v>
      </c>
      <c r="Q962" s="9" t="s">
        <v>53</v>
      </c>
      <c r="R962" s="9">
        <v>136</v>
      </c>
      <c r="S962" s="9">
        <v>132</v>
      </c>
      <c r="T962" s="9">
        <v>268</v>
      </c>
    </row>
    <row r="963" spans="1:20" x14ac:dyDescent="0.25">
      <c r="A963" s="21" t="s">
        <v>4</v>
      </c>
      <c r="B963" s="21" t="s">
        <v>30</v>
      </c>
      <c r="C963" s="21" t="s">
        <v>17</v>
      </c>
      <c r="D963" s="21" t="s">
        <v>32</v>
      </c>
      <c r="E963" s="21" t="s">
        <v>34</v>
      </c>
      <c r="F963" s="22">
        <v>48</v>
      </c>
      <c r="G963" s="22">
        <v>54</v>
      </c>
      <c r="H963" s="22">
        <v>53</v>
      </c>
      <c r="J963" s="10">
        <v>77</v>
      </c>
      <c r="K963" s="10">
        <v>2</v>
      </c>
      <c r="L963" s="10">
        <v>137</v>
      </c>
      <c r="M963" s="10">
        <v>68.5</v>
      </c>
      <c r="N963" s="10">
        <v>0.5</v>
      </c>
      <c r="Q963" s="9" t="s">
        <v>54</v>
      </c>
      <c r="R963" s="9">
        <v>68</v>
      </c>
      <c r="S963" s="9">
        <v>66</v>
      </c>
      <c r="T963" s="9">
        <v>67</v>
      </c>
    </row>
    <row r="964" spans="1:20" x14ac:dyDescent="0.25">
      <c r="A964" s="21" t="s">
        <v>4</v>
      </c>
      <c r="B964" s="21" t="s">
        <v>31</v>
      </c>
      <c r="C964" s="21" t="s">
        <v>14</v>
      </c>
      <c r="D964" s="21" t="s">
        <v>35</v>
      </c>
      <c r="E964" s="21" t="s">
        <v>34</v>
      </c>
      <c r="F964" s="22">
        <v>100</v>
      </c>
      <c r="G964" s="22">
        <v>100</v>
      </c>
      <c r="H964" s="22">
        <v>100</v>
      </c>
      <c r="J964" s="10">
        <v>72</v>
      </c>
      <c r="K964" s="10">
        <v>2</v>
      </c>
      <c r="L964" s="10">
        <v>138</v>
      </c>
      <c r="M964" s="10">
        <v>69</v>
      </c>
      <c r="N964" s="10">
        <v>18</v>
      </c>
      <c r="Q964" s="9" t="s">
        <v>55</v>
      </c>
      <c r="R964" s="9">
        <v>18</v>
      </c>
      <c r="S964" s="9">
        <v>18</v>
      </c>
      <c r="T964" s="9">
        <v>13.333333333333334</v>
      </c>
    </row>
    <row r="965" spans="1:20" x14ac:dyDescent="0.25">
      <c r="A965" s="21" t="s">
        <v>4</v>
      </c>
      <c r="B965" s="21" t="s">
        <v>29</v>
      </c>
      <c r="C965" s="21" t="s">
        <v>17</v>
      </c>
      <c r="D965" s="21" t="s">
        <v>32</v>
      </c>
      <c r="E965" s="21" t="s">
        <v>33</v>
      </c>
      <c r="F965" s="22">
        <v>65</v>
      </c>
      <c r="G965" s="22">
        <v>76</v>
      </c>
      <c r="H965" s="22">
        <v>75</v>
      </c>
      <c r="J965" s="10">
        <v>78</v>
      </c>
      <c r="K965" s="10">
        <v>2</v>
      </c>
      <c r="L965" s="10">
        <v>187</v>
      </c>
      <c r="M965" s="10">
        <v>93.5</v>
      </c>
      <c r="N965" s="10">
        <v>12.5</v>
      </c>
      <c r="Q965" s="9"/>
      <c r="R965" s="9"/>
      <c r="S965" s="9"/>
      <c r="T965" s="9"/>
    </row>
    <row r="966" spans="1:20" x14ac:dyDescent="0.25">
      <c r="A966" s="21" t="s">
        <v>5</v>
      </c>
      <c r="B966" s="21" t="s">
        <v>30</v>
      </c>
      <c r="C966" s="21" t="s">
        <v>45</v>
      </c>
      <c r="D966" s="21" t="s">
        <v>35</v>
      </c>
      <c r="E966" s="21" t="s">
        <v>34</v>
      </c>
      <c r="F966" s="22">
        <v>72</v>
      </c>
      <c r="G966" s="22">
        <v>57</v>
      </c>
      <c r="H966" s="22">
        <v>58</v>
      </c>
      <c r="J966" s="10">
        <v>81</v>
      </c>
      <c r="K966" s="10">
        <v>2</v>
      </c>
      <c r="L966" s="10">
        <v>130</v>
      </c>
      <c r="M966" s="10">
        <v>65</v>
      </c>
      <c r="N966" s="10">
        <v>2</v>
      </c>
      <c r="Q966" s="14">
        <v>67</v>
      </c>
      <c r="R966" s="14"/>
      <c r="S966" s="14"/>
      <c r="T966" s="14"/>
    </row>
    <row r="967" spans="1:20" x14ac:dyDescent="0.25">
      <c r="A967" s="21" t="s">
        <v>4</v>
      </c>
      <c r="B967" s="21" t="s">
        <v>30</v>
      </c>
      <c r="C967" s="21" t="s">
        <v>45</v>
      </c>
      <c r="D967" s="21" t="s">
        <v>35</v>
      </c>
      <c r="E967" s="21" t="s">
        <v>34</v>
      </c>
      <c r="F967" s="22">
        <v>62</v>
      </c>
      <c r="G967" s="22">
        <v>70</v>
      </c>
      <c r="H967" s="22">
        <v>72</v>
      </c>
      <c r="J967" s="10">
        <v>61</v>
      </c>
      <c r="K967" s="10">
        <v>2</v>
      </c>
      <c r="L967" s="10">
        <v>123</v>
      </c>
      <c r="M967" s="10">
        <v>61.5</v>
      </c>
      <c r="N967" s="10">
        <v>0.5</v>
      </c>
      <c r="Q967" s="9" t="s">
        <v>52</v>
      </c>
      <c r="R967" s="9">
        <v>2</v>
      </c>
      <c r="S967" s="9">
        <v>2</v>
      </c>
      <c r="T967" s="9">
        <v>4</v>
      </c>
    </row>
    <row r="968" spans="1:20" x14ac:dyDescent="0.25">
      <c r="A968" s="21" t="s">
        <v>5</v>
      </c>
      <c r="B968" s="21" t="s">
        <v>27</v>
      </c>
      <c r="C968" s="21" t="s">
        <v>17</v>
      </c>
      <c r="D968" s="21" t="s">
        <v>35</v>
      </c>
      <c r="E968" s="21" t="s">
        <v>33</v>
      </c>
      <c r="F968" s="22">
        <v>66</v>
      </c>
      <c r="G968" s="22">
        <v>68</v>
      </c>
      <c r="H968" s="22">
        <v>64</v>
      </c>
      <c r="J968" s="10">
        <v>58</v>
      </c>
      <c r="K968" s="10">
        <v>2</v>
      </c>
      <c r="L968" s="10">
        <v>129</v>
      </c>
      <c r="M968" s="10">
        <v>64.5</v>
      </c>
      <c r="N968" s="10">
        <v>24.5</v>
      </c>
      <c r="Q968" s="9" t="s">
        <v>53</v>
      </c>
      <c r="R968" s="9">
        <v>165</v>
      </c>
      <c r="S968" s="9">
        <v>163</v>
      </c>
      <c r="T968" s="9">
        <v>328</v>
      </c>
    </row>
    <row r="969" spans="1:20" x14ac:dyDescent="0.25">
      <c r="A969" s="21" t="s">
        <v>5</v>
      </c>
      <c r="B969" s="21" t="s">
        <v>29</v>
      </c>
      <c r="C969" s="21" t="s">
        <v>45</v>
      </c>
      <c r="D969" s="21" t="s">
        <v>35</v>
      </c>
      <c r="E969" s="21" t="s">
        <v>34</v>
      </c>
      <c r="F969" s="22">
        <v>63</v>
      </c>
      <c r="G969" s="22">
        <v>63</v>
      </c>
      <c r="H969" s="22">
        <v>60</v>
      </c>
      <c r="J969" s="10">
        <v>54</v>
      </c>
      <c r="K969" s="10">
        <v>2</v>
      </c>
      <c r="L969" s="10">
        <v>119</v>
      </c>
      <c r="M969" s="10">
        <v>59.5</v>
      </c>
      <c r="N969" s="10">
        <v>4.5</v>
      </c>
      <c r="Q969" s="9" t="s">
        <v>54</v>
      </c>
      <c r="R969" s="9">
        <v>82.5</v>
      </c>
      <c r="S969" s="9">
        <v>81.5</v>
      </c>
      <c r="T969" s="9">
        <v>82</v>
      </c>
    </row>
    <row r="970" spans="1:20" x14ac:dyDescent="0.25">
      <c r="A970" s="21" t="s">
        <v>4</v>
      </c>
      <c r="B970" s="21" t="s">
        <v>31</v>
      </c>
      <c r="C970" s="21" t="s">
        <v>14</v>
      </c>
      <c r="D970" s="21" t="s">
        <v>35</v>
      </c>
      <c r="E970" s="21" t="s">
        <v>34</v>
      </c>
      <c r="F970" s="22">
        <v>68</v>
      </c>
      <c r="G970" s="22">
        <v>76</v>
      </c>
      <c r="H970" s="22">
        <v>67</v>
      </c>
      <c r="J970" s="10">
        <v>82</v>
      </c>
      <c r="K970" s="10">
        <v>2</v>
      </c>
      <c r="L970" s="10">
        <v>162</v>
      </c>
      <c r="M970" s="10">
        <v>81</v>
      </c>
      <c r="N970" s="10">
        <v>2</v>
      </c>
      <c r="Q970" s="9" t="s">
        <v>55</v>
      </c>
      <c r="R970" s="9">
        <v>24.5</v>
      </c>
      <c r="S970" s="9">
        <v>12.5</v>
      </c>
      <c r="T970" s="9">
        <v>12.666666666666666</v>
      </c>
    </row>
    <row r="971" spans="1:20" x14ac:dyDescent="0.25">
      <c r="A971" s="21" t="s">
        <v>4</v>
      </c>
      <c r="B971" s="21" t="s">
        <v>28</v>
      </c>
      <c r="C971" s="21" t="s">
        <v>43</v>
      </c>
      <c r="D971" s="21" t="s">
        <v>35</v>
      </c>
      <c r="E971" s="21" t="s">
        <v>34</v>
      </c>
      <c r="F971" s="22">
        <v>75</v>
      </c>
      <c r="G971" s="22">
        <v>84</v>
      </c>
      <c r="H971" s="22">
        <v>80</v>
      </c>
      <c r="J971" s="10">
        <v>49</v>
      </c>
      <c r="K971" s="10">
        <v>2</v>
      </c>
      <c r="L971" s="10">
        <v>118</v>
      </c>
      <c r="M971" s="10">
        <v>59</v>
      </c>
      <c r="N971" s="10">
        <v>2</v>
      </c>
      <c r="Q971" s="9"/>
      <c r="R971" s="9"/>
      <c r="S971" s="9"/>
      <c r="T971" s="9"/>
    </row>
    <row r="972" spans="1:20" x14ac:dyDescent="0.25">
      <c r="A972" s="21" t="s">
        <v>4</v>
      </c>
      <c r="B972" s="21" t="s">
        <v>30</v>
      </c>
      <c r="C972" s="21" t="s">
        <v>43</v>
      </c>
      <c r="D972" s="21" t="s">
        <v>35</v>
      </c>
      <c r="E972" s="21" t="s">
        <v>34</v>
      </c>
      <c r="F972" s="22">
        <v>89</v>
      </c>
      <c r="G972" s="22">
        <v>100</v>
      </c>
      <c r="H972" s="22">
        <v>100</v>
      </c>
      <c r="J972" s="10">
        <v>49</v>
      </c>
      <c r="K972" s="10">
        <v>2</v>
      </c>
      <c r="L972" s="10">
        <v>102</v>
      </c>
      <c r="M972" s="10">
        <v>51</v>
      </c>
      <c r="N972" s="10">
        <v>2</v>
      </c>
      <c r="Q972" s="14">
        <v>71</v>
      </c>
      <c r="R972" s="14"/>
      <c r="S972" s="14"/>
      <c r="T972" s="14"/>
    </row>
    <row r="973" spans="1:20" x14ac:dyDescent="0.25">
      <c r="A973" s="21" t="s">
        <v>5</v>
      </c>
      <c r="B973" s="21" t="s">
        <v>29</v>
      </c>
      <c r="C973" s="21" t="s">
        <v>17</v>
      </c>
      <c r="D973" s="21" t="s">
        <v>35</v>
      </c>
      <c r="E973" s="21" t="s">
        <v>33</v>
      </c>
      <c r="F973" s="22">
        <v>78</v>
      </c>
      <c r="G973" s="22">
        <v>72</v>
      </c>
      <c r="H973" s="22">
        <v>69</v>
      </c>
      <c r="J973" s="10">
        <v>57</v>
      </c>
      <c r="K973" s="10">
        <v>2</v>
      </c>
      <c r="L973" s="10">
        <v>148</v>
      </c>
      <c r="M973" s="10">
        <v>74</v>
      </c>
      <c r="N973" s="10">
        <v>2</v>
      </c>
      <c r="Q973" s="9" t="s">
        <v>52</v>
      </c>
      <c r="R973" s="9">
        <v>2</v>
      </c>
      <c r="S973" s="9">
        <v>2</v>
      </c>
      <c r="T973" s="9">
        <v>4</v>
      </c>
    </row>
    <row r="974" spans="1:20" x14ac:dyDescent="0.25">
      <c r="A974" s="21" t="s">
        <v>4</v>
      </c>
      <c r="B974" s="21" t="s">
        <v>27</v>
      </c>
      <c r="C974" s="21" t="s">
        <v>15</v>
      </c>
      <c r="D974" s="21" t="s">
        <v>32</v>
      </c>
      <c r="E974" s="21" t="s">
        <v>33</v>
      </c>
      <c r="F974" s="22">
        <v>53</v>
      </c>
      <c r="G974" s="22">
        <v>50</v>
      </c>
      <c r="H974" s="22">
        <v>60</v>
      </c>
      <c r="J974" s="10">
        <v>94</v>
      </c>
      <c r="K974" s="10">
        <v>2</v>
      </c>
      <c r="L974" s="10">
        <v>144</v>
      </c>
      <c r="M974" s="10">
        <v>72</v>
      </c>
      <c r="N974" s="10">
        <v>2</v>
      </c>
      <c r="Q974" s="9" t="s">
        <v>53</v>
      </c>
      <c r="R974" s="9">
        <v>134</v>
      </c>
      <c r="S974" s="9">
        <v>133</v>
      </c>
      <c r="T974" s="9">
        <v>267</v>
      </c>
    </row>
    <row r="975" spans="1:20" x14ac:dyDescent="0.25">
      <c r="A975" s="21" t="s">
        <v>4</v>
      </c>
      <c r="B975" s="21" t="s">
        <v>30</v>
      </c>
      <c r="C975" s="21" t="s">
        <v>45</v>
      </c>
      <c r="D975" s="21" t="s">
        <v>32</v>
      </c>
      <c r="E975" s="21" t="s">
        <v>34</v>
      </c>
      <c r="F975" s="22">
        <v>49</v>
      </c>
      <c r="G975" s="22">
        <v>65</v>
      </c>
      <c r="H975" s="22">
        <v>61</v>
      </c>
      <c r="J975" s="10">
        <v>75</v>
      </c>
      <c r="K975" s="10">
        <v>2</v>
      </c>
      <c r="L975" s="10">
        <v>160</v>
      </c>
      <c r="M975" s="10">
        <v>80</v>
      </c>
      <c r="N975" s="10">
        <v>18</v>
      </c>
      <c r="Q975" s="9" t="s">
        <v>54</v>
      </c>
      <c r="R975" s="9">
        <v>67</v>
      </c>
      <c r="S975" s="9">
        <v>66.5</v>
      </c>
      <c r="T975" s="9">
        <v>66.75</v>
      </c>
    </row>
    <row r="976" spans="1:20" x14ac:dyDescent="0.25">
      <c r="A976" s="21" t="s">
        <v>4</v>
      </c>
      <c r="B976" s="21" t="s">
        <v>27</v>
      </c>
      <c r="C976" s="21" t="s">
        <v>45</v>
      </c>
      <c r="D976" s="21" t="s">
        <v>35</v>
      </c>
      <c r="E976" s="21" t="s">
        <v>34</v>
      </c>
      <c r="F976" s="22">
        <v>54</v>
      </c>
      <c r="G976" s="22">
        <v>63</v>
      </c>
      <c r="H976" s="22">
        <v>67</v>
      </c>
      <c r="J976" s="10">
        <v>74</v>
      </c>
      <c r="K976" s="10">
        <v>2</v>
      </c>
      <c r="L976" s="10">
        <v>146</v>
      </c>
      <c r="M976" s="10">
        <v>73</v>
      </c>
      <c r="N976" s="10">
        <v>2</v>
      </c>
      <c r="Q976" s="9" t="s">
        <v>55</v>
      </c>
      <c r="R976" s="9">
        <v>392</v>
      </c>
      <c r="S976" s="9">
        <v>364.5</v>
      </c>
      <c r="T976" s="9">
        <v>252.25</v>
      </c>
    </row>
    <row r="977" spans="1:20" x14ac:dyDescent="0.25">
      <c r="A977" s="21" t="s">
        <v>4</v>
      </c>
      <c r="B977" s="21" t="s">
        <v>29</v>
      </c>
      <c r="C977" s="21" t="s">
        <v>45</v>
      </c>
      <c r="D977" s="21" t="s">
        <v>35</v>
      </c>
      <c r="E977" s="21" t="s">
        <v>33</v>
      </c>
      <c r="F977" s="22">
        <v>64</v>
      </c>
      <c r="G977" s="22">
        <v>82</v>
      </c>
      <c r="H977" s="22">
        <v>77</v>
      </c>
      <c r="J977" s="10">
        <v>58</v>
      </c>
      <c r="K977" s="10">
        <v>2</v>
      </c>
      <c r="L977" s="10">
        <v>106</v>
      </c>
      <c r="M977" s="10">
        <v>53</v>
      </c>
      <c r="N977" s="10">
        <v>2</v>
      </c>
      <c r="Q977" s="9"/>
      <c r="R977" s="9"/>
      <c r="S977" s="9"/>
      <c r="T977" s="9"/>
    </row>
    <row r="978" spans="1:20" x14ac:dyDescent="0.25">
      <c r="A978" s="21" t="s">
        <v>5</v>
      </c>
      <c r="B978" s="21" t="s">
        <v>28</v>
      </c>
      <c r="C978" s="21" t="s">
        <v>45</v>
      </c>
      <c r="D978" s="21" t="s">
        <v>32</v>
      </c>
      <c r="E978" s="21" t="s">
        <v>33</v>
      </c>
      <c r="F978" s="22">
        <v>60</v>
      </c>
      <c r="G978" s="22">
        <v>62</v>
      </c>
      <c r="H978" s="22">
        <v>60</v>
      </c>
      <c r="J978" s="10">
        <v>62</v>
      </c>
      <c r="K978" s="10">
        <v>2</v>
      </c>
      <c r="L978" s="10">
        <v>138</v>
      </c>
      <c r="M978" s="10">
        <v>69</v>
      </c>
      <c r="N978" s="10">
        <v>0</v>
      </c>
      <c r="Q978" s="14">
        <v>41</v>
      </c>
      <c r="R978" s="14"/>
      <c r="S978" s="14"/>
      <c r="T978" s="14"/>
    </row>
    <row r="979" spans="1:20" x14ac:dyDescent="0.25">
      <c r="A979" s="21" t="s">
        <v>5</v>
      </c>
      <c r="B979" s="21" t="s">
        <v>29</v>
      </c>
      <c r="C979" s="21" t="s">
        <v>14</v>
      </c>
      <c r="D979" s="21" t="s">
        <v>35</v>
      </c>
      <c r="E979" s="21" t="s">
        <v>34</v>
      </c>
      <c r="F979" s="22">
        <v>62</v>
      </c>
      <c r="G979" s="22">
        <v>65</v>
      </c>
      <c r="H979" s="22">
        <v>58</v>
      </c>
      <c r="J979" s="10">
        <v>72</v>
      </c>
      <c r="K979" s="10">
        <v>2</v>
      </c>
      <c r="L979" s="10">
        <v>119</v>
      </c>
      <c r="M979" s="10">
        <v>59.5</v>
      </c>
      <c r="N979" s="10">
        <v>12.5</v>
      </c>
      <c r="Q979" s="9" t="s">
        <v>52</v>
      </c>
      <c r="R979" s="9">
        <v>2</v>
      </c>
      <c r="S979" s="9">
        <v>2</v>
      </c>
      <c r="T979" s="9">
        <v>4</v>
      </c>
    </row>
    <row r="980" spans="1:20" x14ac:dyDescent="0.25">
      <c r="A980" s="21" t="s">
        <v>5</v>
      </c>
      <c r="B980" s="21" t="s">
        <v>30</v>
      </c>
      <c r="C980" s="21" t="s">
        <v>15</v>
      </c>
      <c r="D980" s="21" t="s">
        <v>35</v>
      </c>
      <c r="E980" s="21" t="s">
        <v>33</v>
      </c>
      <c r="F980" s="22">
        <v>55</v>
      </c>
      <c r="G980" s="22">
        <v>41</v>
      </c>
      <c r="H980" s="22">
        <v>48</v>
      </c>
      <c r="J980" s="10">
        <v>84</v>
      </c>
      <c r="K980" s="10">
        <v>2</v>
      </c>
      <c r="L980" s="10">
        <v>168</v>
      </c>
      <c r="M980" s="10">
        <v>84</v>
      </c>
      <c r="N980" s="10">
        <v>18</v>
      </c>
      <c r="Q980" s="9" t="s">
        <v>53</v>
      </c>
      <c r="R980" s="9">
        <v>136</v>
      </c>
      <c r="S980" s="9">
        <v>137</v>
      </c>
      <c r="T980" s="9">
        <v>273</v>
      </c>
    </row>
    <row r="981" spans="1:20" x14ac:dyDescent="0.25">
      <c r="A981" s="21" t="s">
        <v>4</v>
      </c>
      <c r="B981" s="21" t="s">
        <v>29</v>
      </c>
      <c r="C981" s="21" t="s">
        <v>14</v>
      </c>
      <c r="D981" s="21" t="s">
        <v>35</v>
      </c>
      <c r="E981" s="21" t="s">
        <v>34</v>
      </c>
      <c r="F981" s="22">
        <v>91</v>
      </c>
      <c r="G981" s="22">
        <v>95</v>
      </c>
      <c r="H981" s="22">
        <v>94</v>
      </c>
      <c r="J981" s="10">
        <v>92</v>
      </c>
      <c r="K981" s="10">
        <v>2</v>
      </c>
      <c r="L981" s="10">
        <v>200</v>
      </c>
      <c r="M981" s="10">
        <v>100</v>
      </c>
      <c r="N981" s="10">
        <v>0</v>
      </c>
      <c r="Q981" s="9" t="s">
        <v>54</v>
      </c>
      <c r="R981" s="9">
        <v>68</v>
      </c>
      <c r="S981" s="9">
        <v>68.5</v>
      </c>
      <c r="T981" s="9">
        <v>68.25</v>
      </c>
    </row>
    <row r="982" spans="1:20" x14ac:dyDescent="0.25">
      <c r="A982" s="21" t="s">
        <v>4</v>
      </c>
      <c r="B982" s="21" t="s">
        <v>28</v>
      </c>
      <c r="C982" s="21" t="s">
        <v>15</v>
      </c>
      <c r="D982" s="21" t="s">
        <v>32</v>
      </c>
      <c r="E982" s="21" t="s">
        <v>34</v>
      </c>
      <c r="F982" s="22">
        <v>8</v>
      </c>
      <c r="G982" s="22">
        <v>24</v>
      </c>
      <c r="H982" s="22">
        <v>23</v>
      </c>
      <c r="J982" s="10">
        <v>45</v>
      </c>
      <c r="K982" s="10">
        <v>2</v>
      </c>
      <c r="L982" s="10">
        <v>122</v>
      </c>
      <c r="M982" s="10">
        <v>61</v>
      </c>
      <c r="N982" s="10">
        <v>8</v>
      </c>
      <c r="Q982" s="9" t="s">
        <v>55</v>
      </c>
      <c r="R982" s="9">
        <v>968</v>
      </c>
      <c r="S982" s="9">
        <v>1300.5</v>
      </c>
      <c r="T982" s="9">
        <v>756.25</v>
      </c>
    </row>
    <row r="983" spans="1:20" x14ac:dyDescent="0.25">
      <c r="A983" s="21" t="s">
        <v>5</v>
      </c>
      <c r="B983" s="21" t="s">
        <v>30</v>
      </c>
      <c r="C983" s="21" t="s">
        <v>17</v>
      </c>
      <c r="D983" s="21" t="s">
        <v>35</v>
      </c>
      <c r="E983" s="21" t="s">
        <v>34</v>
      </c>
      <c r="F983" s="22">
        <v>81</v>
      </c>
      <c r="G983" s="22">
        <v>78</v>
      </c>
      <c r="H983" s="22">
        <v>78</v>
      </c>
      <c r="J983" s="10">
        <v>75</v>
      </c>
      <c r="K983" s="10">
        <v>2</v>
      </c>
      <c r="L983" s="10">
        <v>152</v>
      </c>
      <c r="M983" s="10">
        <v>76</v>
      </c>
      <c r="N983" s="10">
        <v>50</v>
      </c>
      <c r="Q983" s="9"/>
      <c r="R983" s="9"/>
      <c r="S983" s="9"/>
      <c r="T983" s="9"/>
    </row>
    <row r="984" spans="1:20" x14ac:dyDescent="0.25">
      <c r="A984" s="21" t="s">
        <v>5</v>
      </c>
      <c r="B984" s="21" t="s">
        <v>28</v>
      </c>
      <c r="C984" s="21" t="s">
        <v>17</v>
      </c>
      <c r="D984" s="21" t="s">
        <v>35</v>
      </c>
      <c r="E984" s="21" t="s">
        <v>33</v>
      </c>
      <c r="F984" s="22">
        <v>79</v>
      </c>
      <c r="G984" s="22">
        <v>85</v>
      </c>
      <c r="H984" s="22">
        <v>86</v>
      </c>
      <c r="J984" s="10">
        <v>56</v>
      </c>
      <c r="K984" s="10">
        <v>2</v>
      </c>
      <c r="L984" s="10">
        <v>122</v>
      </c>
      <c r="M984" s="10">
        <v>61</v>
      </c>
      <c r="N984" s="10">
        <v>18</v>
      </c>
      <c r="Q984" s="14">
        <v>61</v>
      </c>
      <c r="R984" s="14"/>
      <c r="S984" s="14"/>
      <c r="T984" s="14"/>
    </row>
    <row r="985" spans="1:20" x14ac:dyDescent="0.25">
      <c r="A985" s="21" t="s">
        <v>4</v>
      </c>
      <c r="B985" s="21" t="s">
        <v>27</v>
      </c>
      <c r="C985" s="21" t="s">
        <v>45</v>
      </c>
      <c r="D985" s="21" t="s">
        <v>35</v>
      </c>
      <c r="E985" s="21" t="s">
        <v>33</v>
      </c>
      <c r="F985" s="22">
        <v>78</v>
      </c>
      <c r="G985" s="22">
        <v>87</v>
      </c>
      <c r="H985" s="22">
        <v>91</v>
      </c>
      <c r="J985" s="10">
        <v>48</v>
      </c>
      <c r="K985" s="10">
        <v>2</v>
      </c>
      <c r="L985" s="10">
        <v>107</v>
      </c>
      <c r="M985" s="10">
        <v>53.5</v>
      </c>
      <c r="N985" s="10">
        <v>0.5</v>
      </c>
      <c r="Q985" s="9" t="s">
        <v>52</v>
      </c>
      <c r="R985" s="9">
        <v>2</v>
      </c>
      <c r="S985" s="9">
        <v>2</v>
      </c>
      <c r="T985" s="9">
        <v>4</v>
      </c>
    </row>
    <row r="986" spans="1:20" x14ac:dyDescent="0.25">
      <c r="A986" s="21" t="s">
        <v>4</v>
      </c>
      <c r="B986" s="21" t="s">
        <v>29</v>
      </c>
      <c r="C986" s="21" t="s">
        <v>17</v>
      </c>
      <c r="D986" s="21" t="s">
        <v>35</v>
      </c>
      <c r="E986" s="21" t="s">
        <v>34</v>
      </c>
      <c r="F986" s="22">
        <v>74</v>
      </c>
      <c r="G986" s="22">
        <v>75</v>
      </c>
      <c r="H986" s="22">
        <v>82</v>
      </c>
      <c r="J986" s="10">
        <v>100</v>
      </c>
      <c r="K986" s="10">
        <v>2</v>
      </c>
      <c r="L986" s="10">
        <v>200</v>
      </c>
      <c r="M986" s="10">
        <v>100</v>
      </c>
      <c r="N986" s="10">
        <v>0</v>
      </c>
      <c r="Q986" s="9" t="s">
        <v>53</v>
      </c>
      <c r="R986" s="9">
        <v>84</v>
      </c>
      <c r="S986" s="9">
        <v>81</v>
      </c>
      <c r="T986" s="9">
        <v>165</v>
      </c>
    </row>
    <row r="987" spans="1:20" x14ac:dyDescent="0.25">
      <c r="A987" s="21" t="s">
        <v>5</v>
      </c>
      <c r="B987" s="21" t="s">
        <v>27</v>
      </c>
      <c r="C987" s="21" t="s">
        <v>15</v>
      </c>
      <c r="D987" s="21" t="s">
        <v>35</v>
      </c>
      <c r="E987" s="21" t="s">
        <v>34</v>
      </c>
      <c r="F987" s="22">
        <v>57</v>
      </c>
      <c r="G987" s="22">
        <v>51</v>
      </c>
      <c r="H987" s="22">
        <v>54</v>
      </c>
      <c r="J987" s="10">
        <v>65</v>
      </c>
      <c r="K987" s="10">
        <v>2</v>
      </c>
      <c r="L987" s="10">
        <v>151</v>
      </c>
      <c r="M987" s="10">
        <v>75.5</v>
      </c>
      <c r="N987" s="10">
        <v>0.5</v>
      </c>
      <c r="Q987" s="9" t="s">
        <v>54</v>
      </c>
      <c r="R987" s="9">
        <v>42</v>
      </c>
      <c r="S987" s="9">
        <v>40.5</v>
      </c>
      <c r="T987" s="9">
        <v>41.25</v>
      </c>
    </row>
    <row r="988" spans="1:20" x14ac:dyDescent="0.25">
      <c r="A988" s="21" t="s">
        <v>4</v>
      </c>
      <c r="B988" s="21" t="s">
        <v>29</v>
      </c>
      <c r="C988" s="21" t="s">
        <v>14</v>
      </c>
      <c r="D988" s="21" t="s">
        <v>35</v>
      </c>
      <c r="E988" s="21" t="s">
        <v>34</v>
      </c>
      <c r="F988" s="22">
        <v>40</v>
      </c>
      <c r="G988" s="22">
        <v>59</v>
      </c>
      <c r="H988" s="22">
        <v>51</v>
      </c>
      <c r="J988" s="10">
        <v>72</v>
      </c>
      <c r="K988" s="10">
        <v>2</v>
      </c>
      <c r="L988" s="10">
        <v>115</v>
      </c>
      <c r="M988" s="10">
        <v>57.5</v>
      </c>
      <c r="N988" s="10">
        <v>0.5</v>
      </c>
      <c r="Q988" s="9" t="s">
        <v>55</v>
      </c>
      <c r="R988" s="9">
        <v>722</v>
      </c>
      <c r="S988" s="9">
        <v>924.5</v>
      </c>
      <c r="T988" s="9">
        <v>549.58333333333337</v>
      </c>
    </row>
    <row r="989" spans="1:20" x14ac:dyDescent="0.25">
      <c r="A989" s="21" t="s">
        <v>5</v>
      </c>
      <c r="B989" s="21" t="s">
        <v>31</v>
      </c>
      <c r="C989" s="21" t="s">
        <v>17</v>
      </c>
      <c r="D989" s="21" t="s">
        <v>35</v>
      </c>
      <c r="E989" s="21" t="s">
        <v>33</v>
      </c>
      <c r="F989" s="22">
        <v>81</v>
      </c>
      <c r="G989" s="22">
        <v>75</v>
      </c>
      <c r="H989" s="22">
        <v>76</v>
      </c>
      <c r="J989" s="10">
        <v>62</v>
      </c>
      <c r="K989" s="10">
        <v>2</v>
      </c>
      <c r="L989" s="10">
        <v>142</v>
      </c>
      <c r="M989" s="10">
        <v>71</v>
      </c>
      <c r="N989" s="10">
        <v>2</v>
      </c>
      <c r="Q989" s="9"/>
      <c r="R989" s="9"/>
      <c r="S989" s="9"/>
      <c r="T989" s="9"/>
    </row>
    <row r="990" spans="1:20" x14ac:dyDescent="0.25">
      <c r="A990" s="21" t="s">
        <v>4</v>
      </c>
      <c r="B990" s="21" t="s">
        <v>27</v>
      </c>
      <c r="C990" s="21" t="s">
        <v>17</v>
      </c>
      <c r="D990" s="21" t="s">
        <v>32</v>
      </c>
      <c r="E990" s="21" t="s">
        <v>34</v>
      </c>
      <c r="F990" s="22">
        <v>44</v>
      </c>
      <c r="G990" s="22">
        <v>45</v>
      </c>
      <c r="H990" s="22">
        <v>45</v>
      </c>
      <c r="J990" s="10">
        <v>66</v>
      </c>
      <c r="K990" s="10">
        <v>2</v>
      </c>
      <c r="L990" s="10">
        <v>132</v>
      </c>
      <c r="M990" s="10">
        <v>66</v>
      </c>
      <c r="N990" s="10">
        <v>8</v>
      </c>
      <c r="Q990" s="14">
        <v>82</v>
      </c>
      <c r="R990" s="14"/>
      <c r="S990" s="14"/>
      <c r="T990" s="14"/>
    </row>
    <row r="991" spans="1:20" x14ac:dyDescent="0.25">
      <c r="A991" s="21" t="s">
        <v>4</v>
      </c>
      <c r="B991" s="21" t="s">
        <v>30</v>
      </c>
      <c r="C991" s="21" t="s">
        <v>45</v>
      </c>
      <c r="D991" s="21" t="s">
        <v>32</v>
      </c>
      <c r="E991" s="21" t="s">
        <v>33</v>
      </c>
      <c r="F991" s="22">
        <v>67</v>
      </c>
      <c r="G991" s="22">
        <v>86</v>
      </c>
      <c r="H991" s="22">
        <v>83</v>
      </c>
      <c r="J991" s="10">
        <v>63</v>
      </c>
      <c r="K991" s="10">
        <v>2</v>
      </c>
      <c r="L991" s="10">
        <v>123</v>
      </c>
      <c r="M991" s="10">
        <v>61.5</v>
      </c>
      <c r="N991" s="10">
        <v>4.5</v>
      </c>
      <c r="Q991" s="9" t="s">
        <v>52</v>
      </c>
      <c r="R991" s="9">
        <v>2</v>
      </c>
      <c r="S991" s="9">
        <v>2</v>
      </c>
      <c r="T991" s="9">
        <v>4</v>
      </c>
    </row>
    <row r="992" spans="1:20" x14ac:dyDescent="0.25">
      <c r="A992" s="21" t="s">
        <v>5</v>
      </c>
      <c r="B992" s="21" t="s">
        <v>31</v>
      </c>
      <c r="C992" s="21" t="s">
        <v>15</v>
      </c>
      <c r="D992" s="21" t="s">
        <v>32</v>
      </c>
      <c r="E992" s="21" t="s">
        <v>33</v>
      </c>
      <c r="F992" s="22">
        <v>86</v>
      </c>
      <c r="G992" s="22">
        <v>81</v>
      </c>
      <c r="H992" s="22">
        <v>75</v>
      </c>
      <c r="J992" s="10">
        <v>68</v>
      </c>
      <c r="K992" s="10">
        <v>2</v>
      </c>
      <c r="L992" s="10">
        <v>143</v>
      </c>
      <c r="M992" s="10">
        <v>71.5</v>
      </c>
      <c r="N992" s="10">
        <v>40.5</v>
      </c>
      <c r="Q992" s="9" t="s">
        <v>53</v>
      </c>
      <c r="R992" s="9">
        <v>130</v>
      </c>
      <c r="S992" s="9">
        <v>128</v>
      </c>
      <c r="T992" s="9">
        <v>258</v>
      </c>
    </row>
    <row r="993" spans="1:20" x14ac:dyDescent="0.25">
      <c r="A993" s="21" t="s">
        <v>4</v>
      </c>
      <c r="B993" s="21" t="s">
        <v>28</v>
      </c>
      <c r="C993" s="21" t="s">
        <v>17</v>
      </c>
      <c r="D993" s="21" t="s">
        <v>35</v>
      </c>
      <c r="E993" s="21" t="s">
        <v>33</v>
      </c>
      <c r="F993" s="22">
        <v>65</v>
      </c>
      <c r="G993" s="22">
        <v>82</v>
      </c>
      <c r="H993" s="22">
        <v>78</v>
      </c>
      <c r="J993" s="10">
        <v>75</v>
      </c>
      <c r="K993" s="10">
        <v>2</v>
      </c>
      <c r="L993" s="10">
        <v>164</v>
      </c>
      <c r="M993" s="10">
        <v>82</v>
      </c>
      <c r="N993" s="10">
        <v>8</v>
      </c>
      <c r="Q993" s="9" t="s">
        <v>54</v>
      </c>
      <c r="R993" s="9">
        <v>65</v>
      </c>
      <c r="S993" s="9">
        <v>64</v>
      </c>
      <c r="T993" s="9">
        <v>64.5</v>
      </c>
    </row>
    <row r="994" spans="1:20" x14ac:dyDescent="0.25">
      <c r="A994" s="21" t="s">
        <v>4</v>
      </c>
      <c r="B994" s="21" t="s">
        <v>30</v>
      </c>
      <c r="C994" s="21" t="s">
        <v>14</v>
      </c>
      <c r="D994" s="21" t="s">
        <v>32</v>
      </c>
      <c r="E994" s="21" t="s">
        <v>34</v>
      </c>
      <c r="F994" s="22">
        <v>55</v>
      </c>
      <c r="G994" s="22">
        <v>76</v>
      </c>
      <c r="H994" s="22">
        <v>76</v>
      </c>
      <c r="J994" s="10">
        <v>89</v>
      </c>
      <c r="K994" s="10">
        <v>2</v>
      </c>
      <c r="L994" s="10">
        <v>200</v>
      </c>
      <c r="M994" s="10">
        <v>100</v>
      </c>
      <c r="N994" s="10">
        <v>0</v>
      </c>
      <c r="Q994" s="9" t="s">
        <v>55</v>
      </c>
      <c r="R994" s="9">
        <v>200</v>
      </c>
      <c r="S994" s="9">
        <v>338</v>
      </c>
      <c r="T994" s="9">
        <v>179.66666666666666</v>
      </c>
    </row>
    <row r="995" spans="1:20" x14ac:dyDescent="0.25">
      <c r="A995" s="21" t="s">
        <v>4</v>
      </c>
      <c r="B995" s="21" t="s">
        <v>30</v>
      </c>
      <c r="C995" s="21" t="s">
        <v>43</v>
      </c>
      <c r="D995" s="21" t="s">
        <v>32</v>
      </c>
      <c r="E995" s="21" t="s">
        <v>34</v>
      </c>
      <c r="F995" s="22">
        <v>62</v>
      </c>
      <c r="G995" s="22">
        <v>72</v>
      </c>
      <c r="H995" s="22">
        <v>74</v>
      </c>
      <c r="J995" s="10">
        <v>78</v>
      </c>
      <c r="K995" s="10">
        <v>2</v>
      </c>
      <c r="L995" s="10">
        <v>141</v>
      </c>
      <c r="M995" s="10">
        <v>70.5</v>
      </c>
      <c r="N995" s="10">
        <v>4.5</v>
      </c>
      <c r="Q995" s="9"/>
      <c r="R995" s="9"/>
      <c r="S995" s="9"/>
      <c r="T995" s="9"/>
    </row>
    <row r="996" spans="1:20" x14ac:dyDescent="0.25">
      <c r="A996" s="21" t="s">
        <v>5</v>
      </c>
      <c r="B996" s="21" t="s">
        <v>27</v>
      </c>
      <c r="C996" s="21" t="s">
        <v>15</v>
      </c>
      <c r="D996" s="21" t="s">
        <v>35</v>
      </c>
      <c r="E996" s="21" t="s">
        <v>34</v>
      </c>
      <c r="F996" s="22">
        <v>63</v>
      </c>
      <c r="G996" s="22">
        <v>63</v>
      </c>
      <c r="H996" s="22">
        <v>62</v>
      </c>
      <c r="J996" s="10">
        <v>53</v>
      </c>
      <c r="K996" s="10">
        <v>2</v>
      </c>
      <c r="L996" s="10">
        <v>110</v>
      </c>
      <c r="M996" s="10">
        <v>55</v>
      </c>
      <c r="N996" s="10">
        <v>50</v>
      </c>
      <c r="Q996" s="14">
        <v>71</v>
      </c>
      <c r="R996" s="14"/>
      <c r="S996" s="14"/>
      <c r="T996" s="14"/>
    </row>
    <row r="997" spans="1:20" x14ac:dyDescent="0.25">
      <c r="A997" s="21" t="s">
        <v>4</v>
      </c>
      <c r="B997" s="21" t="s">
        <v>31</v>
      </c>
      <c r="C997" s="21" t="s">
        <v>16</v>
      </c>
      <c r="D997" s="21" t="s">
        <v>35</v>
      </c>
      <c r="E997" s="21" t="s">
        <v>33</v>
      </c>
      <c r="F997" s="22">
        <v>88</v>
      </c>
      <c r="G997" s="22">
        <v>99</v>
      </c>
      <c r="H997" s="22">
        <v>95</v>
      </c>
      <c r="J997" s="10">
        <v>49</v>
      </c>
      <c r="K997" s="10">
        <v>2</v>
      </c>
      <c r="L997" s="10">
        <v>126</v>
      </c>
      <c r="M997" s="10">
        <v>63</v>
      </c>
      <c r="N997" s="10">
        <v>8</v>
      </c>
      <c r="Q997" s="9" t="s">
        <v>52</v>
      </c>
      <c r="R997" s="9">
        <v>2</v>
      </c>
      <c r="S997" s="9">
        <v>2</v>
      </c>
      <c r="T997" s="9">
        <v>4</v>
      </c>
    </row>
    <row r="998" spans="1:20" x14ac:dyDescent="0.25">
      <c r="A998" s="21" t="s">
        <v>5</v>
      </c>
      <c r="B998" s="21" t="s">
        <v>29</v>
      </c>
      <c r="C998" s="21" t="s">
        <v>15</v>
      </c>
      <c r="D998" s="21" t="s">
        <v>32</v>
      </c>
      <c r="E998" s="21" t="s">
        <v>34</v>
      </c>
      <c r="F998" s="22">
        <v>62</v>
      </c>
      <c r="G998" s="22">
        <v>55</v>
      </c>
      <c r="H998" s="22">
        <v>55</v>
      </c>
      <c r="J998" s="10">
        <v>54</v>
      </c>
      <c r="K998" s="10">
        <v>2</v>
      </c>
      <c r="L998" s="10">
        <v>130</v>
      </c>
      <c r="M998" s="10">
        <v>65</v>
      </c>
      <c r="N998" s="10">
        <v>8</v>
      </c>
      <c r="Q998" s="9" t="s">
        <v>53</v>
      </c>
      <c r="R998" s="9">
        <v>97</v>
      </c>
      <c r="S998" s="9">
        <v>96</v>
      </c>
      <c r="T998" s="9">
        <v>193</v>
      </c>
    </row>
    <row r="999" spans="1:20" x14ac:dyDescent="0.25">
      <c r="A999" s="21" t="s">
        <v>4</v>
      </c>
      <c r="B999" s="21" t="s">
        <v>29</v>
      </c>
      <c r="C999" s="21" t="s">
        <v>15</v>
      </c>
      <c r="D999" s="21" t="s">
        <v>32</v>
      </c>
      <c r="E999" s="21" t="s">
        <v>33</v>
      </c>
      <c r="F999" s="22">
        <v>59</v>
      </c>
      <c r="G999" s="22">
        <v>71</v>
      </c>
      <c r="H999" s="22">
        <v>65</v>
      </c>
      <c r="J999" s="10">
        <v>64</v>
      </c>
      <c r="K999" s="10">
        <v>2</v>
      </c>
      <c r="L999" s="10">
        <v>159</v>
      </c>
      <c r="M999" s="10">
        <v>79.5</v>
      </c>
      <c r="N999" s="10">
        <v>12.5</v>
      </c>
      <c r="Q999" s="9" t="s">
        <v>54</v>
      </c>
      <c r="R999" s="9">
        <v>48.5</v>
      </c>
      <c r="S999" s="9">
        <v>48</v>
      </c>
      <c r="T999" s="9">
        <v>48.25</v>
      </c>
    </row>
    <row r="1000" spans="1:20" x14ac:dyDescent="0.25">
      <c r="A1000" s="21" t="s">
        <v>4</v>
      </c>
      <c r="B1000" s="21" t="s">
        <v>30</v>
      </c>
      <c r="C1000" s="21" t="s">
        <v>45</v>
      </c>
      <c r="D1000" s="21" t="s">
        <v>35</v>
      </c>
      <c r="E1000" s="21" t="s">
        <v>33</v>
      </c>
      <c r="F1000" s="22">
        <v>68</v>
      </c>
      <c r="G1000" s="22">
        <v>78</v>
      </c>
      <c r="H1000" s="22">
        <v>77</v>
      </c>
      <c r="J1000" s="10">
        <v>60</v>
      </c>
      <c r="K1000" s="10">
        <v>2</v>
      </c>
      <c r="L1000" s="10">
        <v>122</v>
      </c>
      <c r="M1000" s="10">
        <v>61</v>
      </c>
      <c r="N1000" s="10">
        <v>2</v>
      </c>
      <c r="Q1000" s="9" t="s">
        <v>55</v>
      </c>
      <c r="R1000" s="9">
        <v>264.5</v>
      </c>
      <c r="S1000" s="9">
        <v>338</v>
      </c>
      <c r="T1000" s="9">
        <v>200.91666666666666</v>
      </c>
    </row>
    <row r="1001" spans="1:20" x14ac:dyDescent="0.25">
      <c r="A1001" s="21" t="s">
        <v>4</v>
      </c>
      <c r="B1001" s="21" t="s">
        <v>30</v>
      </c>
      <c r="C1001" s="21" t="s">
        <v>45</v>
      </c>
      <c r="D1001" s="21" t="s">
        <v>32</v>
      </c>
      <c r="E1001" s="21" t="s">
        <v>34</v>
      </c>
      <c r="F1001" s="22">
        <v>77</v>
      </c>
      <c r="G1001" s="22">
        <v>86</v>
      </c>
      <c r="H1001" s="22">
        <v>86</v>
      </c>
      <c r="J1001" s="10">
        <v>62</v>
      </c>
      <c r="K1001" s="10">
        <v>2</v>
      </c>
      <c r="L1001" s="10">
        <v>123</v>
      </c>
      <c r="M1001" s="10">
        <v>61.5</v>
      </c>
      <c r="N1001" s="10">
        <v>24.5</v>
      </c>
      <c r="Q1001" s="9"/>
      <c r="R1001" s="9"/>
      <c r="S1001" s="9"/>
      <c r="T1001" s="9"/>
    </row>
    <row r="1002" spans="1:20" x14ac:dyDescent="0.25">
      <c r="J1002" s="10">
        <v>55</v>
      </c>
      <c r="K1002" s="10">
        <v>2</v>
      </c>
      <c r="L1002" s="10">
        <v>89</v>
      </c>
      <c r="M1002" s="10">
        <v>44.5</v>
      </c>
      <c r="N1002" s="10">
        <v>24.5</v>
      </c>
      <c r="Q1002" s="14">
        <v>62</v>
      </c>
      <c r="R1002" s="14"/>
      <c r="S1002" s="14"/>
      <c r="T1002" s="14"/>
    </row>
    <row r="1003" spans="1:20" x14ac:dyDescent="0.25">
      <c r="J1003" s="10">
        <v>91</v>
      </c>
      <c r="K1003" s="10">
        <v>2</v>
      </c>
      <c r="L1003" s="10">
        <v>189</v>
      </c>
      <c r="M1003" s="10">
        <v>94.5</v>
      </c>
      <c r="N1003" s="10">
        <v>0.5</v>
      </c>
      <c r="Q1003" s="9" t="s">
        <v>52</v>
      </c>
      <c r="R1003" s="9">
        <v>2</v>
      </c>
      <c r="S1003" s="9">
        <v>2</v>
      </c>
      <c r="T1003" s="9">
        <v>4</v>
      </c>
    </row>
    <row r="1004" spans="1:20" x14ac:dyDescent="0.25">
      <c r="J1004" s="10">
        <v>8</v>
      </c>
      <c r="K1004" s="10">
        <v>2</v>
      </c>
      <c r="L1004" s="10">
        <v>47</v>
      </c>
      <c r="M1004" s="10">
        <v>23.5</v>
      </c>
      <c r="N1004" s="10">
        <v>0.5</v>
      </c>
      <c r="Q1004" s="9" t="s">
        <v>53</v>
      </c>
      <c r="R1004" s="9">
        <v>134</v>
      </c>
      <c r="S1004" s="9">
        <v>134</v>
      </c>
      <c r="T1004" s="9">
        <v>268</v>
      </c>
    </row>
    <row r="1005" spans="1:20" x14ac:dyDescent="0.25">
      <c r="J1005" s="10">
        <v>81</v>
      </c>
      <c r="K1005" s="10">
        <v>2</v>
      </c>
      <c r="L1005" s="10">
        <v>156</v>
      </c>
      <c r="M1005" s="10">
        <v>78</v>
      </c>
      <c r="N1005" s="10">
        <v>0</v>
      </c>
      <c r="Q1005" s="9" t="s">
        <v>54</v>
      </c>
      <c r="R1005" s="9">
        <v>67</v>
      </c>
      <c r="S1005" s="9">
        <v>67</v>
      </c>
      <c r="T1005" s="9">
        <v>67</v>
      </c>
    </row>
    <row r="1006" spans="1:20" x14ac:dyDescent="0.25">
      <c r="J1006" s="10">
        <v>79</v>
      </c>
      <c r="K1006" s="10">
        <v>2</v>
      </c>
      <c r="L1006" s="10">
        <v>171</v>
      </c>
      <c r="M1006" s="10">
        <v>85.5</v>
      </c>
      <c r="N1006" s="10">
        <v>0.5</v>
      </c>
      <c r="Q1006" s="9" t="s">
        <v>55</v>
      </c>
      <c r="R1006" s="9">
        <v>242</v>
      </c>
      <c r="S1006" s="9">
        <v>392</v>
      </c>
      <c r="T1006" s="9">
        <v>211.33333333333334</v>
      </c>
    </row>
    <row r="1007" spans="1:20" x14ac:dyDescent="0.25">
      <c r="J1007" s="10">
        <v>78</v>
      </c>
      <c r="K1007" s="10">
        <v>2</v>
      </c>
      <c r="L1007" s="10">
        <v>178</v>
      </c>
      <c r="M1007" s="10">
        <v>89</v>
      </c>
      <c r="N1007" s="10">
        <v>8</v>
      </c>
      <c r="Q1007" s="9"/>
      <c r="R1007" s="9"/>
      <c r="S1007" s="9"/>
      <c r="T1007" s="9"/>
    </row>
    <row r="1008" spans="1:20" x14ac:dyDescent="0.25">
      <c r="J1008" s="10">
        <v>74</v>
      </c>
      <c r="K1008" s="10">
        <v>2</v>
      </c>
      <c r="L1008" s="10">
        <v>157</v>
      </c>
      <c r="M1008" s="10">
        <v>78.5</v>
      </c>
      <c r="N1008" s="10">
        <v>24.5</v>
      </c>
      <c r="Q1008" s="14">
        <v>83</v>
      </c>
      <c r="R1008" s="14"/>
      <c r="S1008" s="14"/>
      <c r="T1008" s="14"/>
    </row>
    <row r="1009" spans="10:20" x14ac:dyDescent="0.25">
      <c r="J1009" s="10">
        <v>57</v>
      </c>
      <c r="K1009" s="10">
        <v>2</v>
      </c>
      <c r="L1009" s="10">
        <v>105</v>
      </c>
      <c r="M1009" s="10">
        <v>52.5</v>
      </c>
      <c r="N1009" s="10">
        <v>4.5</v>
      </c>
      <c r="Q1009" s="9" t="s">
        <v>52</v>
      </c>
      <c r="R1009" s="9">
        <v>2</v>
      </c>
      <c r="S1009" s="9">
        <v>2</v>
      </c>
      <c r="T1009" s="9">
        <v>4</v>
      </c>
    </row>
    <row r="1010" spans="10:20" x14ac:dyDescent="0.25">
      <c r="J1010" s="10">
        <v>40</v>
      </c>
      <c r="K1010" s="10">
        <v>2</v>
      </c>
      <c r="L1010" s="10">
        <v>110</v>
      </c>
      <c r="M1010" s="10">
        <v>55</v>
      </c>
      <c r="N1010" s="10">
        <v>32</v>
      </c>
      <c r="Q1010" s="9" t="s">
        <v>53</v>
      </c>
      <c r="R1010" s="9">
        <v>161</v>
      </c>
      <c r="S1010" s="9">
        <v>161</v>
      </c>
      <c r="T1010" s="9">
        <v>322</v>
      </c>
    </row>
    <row r="1011" spans="10:20" x14ac:dyDescent="0.25">
      <c r="J1011" s="10">
        <v>81</v>
      </c>
      <c r="K1011" s="10">
        <v>2</v>
      </c>
      <c r="L1011" s="10">
        <v>151</v>
      </c>
      <c r="M1011" s="10">
        <v>75.5</v>
      </c>
      <c r="N1011" s="10">
        <v>0.5</v>
      </c>
      <c r="Q1011" s="9" t="s">
        <v>54</v>
      </c>
      <c r="R1011" s="9">
        <v>80.5</v>
      </c>
      <c r="S1011" s="9">
        <v>80.5</v>
      </c>
      <c r="T1011" s="9">
        <v>80.5</v>
      </c>
    </row>
    <row r="1012" spans="10:20" x14ac:dyDescent="0.25">
      <c r="J1012" s="10">
        <v>44</v>
      </c>
      <c r="K1012" s="10">
        <v>2</v>
      </c>
      <c r="L1012" s="10">
        <v>90</v>
      </c>
      <c r="M1012" s="10">
        <v>45</v>
      </c>
      <c r="N1012" s="10">
        <v>0</v>
      </c>
      <c r="Q1012" s="9" t="s">
        <v>55</v>
      </c>
      <c r="R1012" s="9">
        <v>312.5</v>
      </c>
      <c r="S1012" s="9">
        <v>420.5</v>
      </c>
      <c r="T1012" s="9">
        <v>244.33333333333334</v>
      </c>
    </row>
    <row r="1013" spans="10:20" x14ac:dyDescent="0.25">
      <c r="J1013" s="10">
        <v>67</v>
      </c>
      <c r="K1013" s="10">
        <v>2</v>
      </c>
      <c r="L1013" s="10">
        <v>169</v>
      </c>
      <c r="M1013" s="10">
        <v>84.5</v>
      </c>
      <c r="N1013" s="10">
        <v>4.5</v>
      </c>
      <c r="Q1013" s="9"/>
      <c r="R1013" s="9"/>
      <c r="S1013" s="9"/>
      <c r="T1013" s="9"/>
    </row>
    <row r="1014" spans="10:20" x14ac:dyDescent="0.25">
      <c r="J1014" s="10">
        <v>86</v>
      </c>
      <c r="K1014" s="10">
        <v>2</v>
      </c>
      <c r="L1014" s="10">
        <v>156</v>
      </c>
      <c r="M1014" s="10">
        <v>78</v>
      </c>
      <c r="N1014" s="10">
        <v>18</v>
      </c>
      <c r="Q1014" s="14">
        <v>76</v>
      </c>
      <c r="R1014" s="14"/>
      <c r="S1014" s="14"/>
      <c r="T1014" s="14"/>
    </row>
    <row r="1015" spans="10:20" x14ac:dyDescent="0.25">
      <c r="J1015" s="10">
        <v>65</v>
      </c>
      <c r="K1015" s="10">
        <v>2</v>
      </c>
      <c r="L1015" s="10">
        <v>160</v>
      </c>
      <c r="M1015" s="10">
        <v>80</v>
      </c>
      <c r="N1015" s="10">
        <v>8</v>
      </c>
      <c r="Q1015" s="9" t="s">
        <v>52</v>
      </c>
      <c r="R1015" s="9">
        <v>2</v>
      </c>
      <c r="S1015" s="9">
        <v>2</v>
      </c>
      <c r="T1015" s="9">
        <v>4</v>
      </c>
    </row>
    <row r="1016" spans="10:20" x14ac:dyDescent="0.25">
      <c r="J1016" s="10">
        <v>55</v>
      </c>
      <c r="K1016" s="10">
        <v>2</v>
      </c>
      <c r="L1016" s="10">
        <v>152</v>
      </c>
      <c r="M1016" s="10">
        <v>76</v>
      </c>
      <c r="N1016" s="10">
        <v>0</v>
      </c>
      <c r="Q1016" s="9" t="s">
        <v>53</v>
      </c>
      <c r="R1016" s="9">
        <v>121</v>
      </c>
      <c r="S1016" s="9">
        <v>112</v>
      </c>
      <c r="T1016" s="9">
        <v>233</v>
      </c>
    </row>
    <row r="1017" spans="10:20" x14ac:dyDescent="0.25">
      <c r="J1017" s="10">
        <v>62</v>
      </c>
      <c r="K1017" s="10">
        <v>2</v>
      </c>
      <c r="L1017" s="10">
        <v>146</v>
      </c>
      <c r="M1017" s="10">
        <v>73</v>
      </c>
      <c r="N1017" s="10">
        <v>2</v>
      </c>
      <c r="Q1017" s="9" t="s">
        <v>54</v>
      </c>
      <c r="R1017" s="9">
        <v>60.5</v>
      </c>
      <c r="S1017" s="9">
        <v>56</v>
      </c>
      <c r="T1017" s="9">
        <v>58.25</v>
      </c>
    </row>
    <row r="1018" spans="10:20" x14ac:dyDescent="0.25">
      <c r="J1018" s="10">
        <v>63</v>
      </c>
      <c r="K1018" s="10">
        <v>2</v>
      </c>
      <c r="L1018" s="10">
        <v>125</v>
      </c>
      <c r="M1018" s="10">
        <v>62.5</v>
      </c>
      <c r="N1018" s="10">
        <v>0.5</v>
      </c>
      <c r="Q1018" s="9" t="s">
        <v>55</v>
      </c>
      <c r="R1018" s="9">
        <v>180.5</v>
      </c>
      <c r="S1018" s="9">
        <v>338</v>
      </c>
      <c r="T1018" s="9">
        <v>179.58333333333334</v>
      </c>
    </row>
    <row r="1019" spans="10:20" x14ac:dyDescent="0.25">
      <c r="J1019" s="10">
        <v>88</v>
      </c>
      <c r="K1019" s="10">
        <v>2</v>
      </c>
      <c r="L1019" s="10">
        <v>194</v>
      </c>
      <c r="M1019" s="10">
        <v>97</v>
      </c>
      <c r="N1019" s="10">
        <v>8</v>
      </c>
      <c r="Q1019" s="9"/>
      <c r="R1019" s="9"/>
      <c r="S1019" s="9"/>
      <c r="T1019" s="9"/>
    </row>
    <row r="1020" spans="10:20" x14ac:dyDescent="0.25">
      <c r="J1020" s="10">
        <v>62</v>
      </c>
      <c r="K1020" s="10">
        <v>2</v>
      </c>
      <c r="L1020" s="10">
        <v>110</v>
      </c>
      <c r="M1020" s="10">
        <v>55</v>
      </c>
      <c r="N1020" s="10">
        <v>0</v>
      </c>
      <c r="Q1020" s="14">
        <v>24</v>
      </c>
      <c r="R1020" s="14"/>
      <c r="S1020" s="14"/>
      <c r="T1020" s="14"/>
    </row>
    <row r="1021" spans="10:20" x14ac:dyDescent="0.25">
      <c r="J1021" s="10">
        <v>59</v>
      </c>
      <c r="K1021" s="10">
        <v>2</v>
      </c>
      <c r="L1021" s="10">
        <v>136</v>
      </c>
      <c r="M1021" s="10">
        <v>68</v>
      </c>
      <c r="N1021" s="10">
        <v>18</v>
      </c>
      <c r="Q1021" s="9" t="s">
        <v>52</v>
      </c>
      <c r="R1021" s="9">
        <v>2</v>
      </c>
      <c r="S1021" s="9">
        <v>2</v>
      </c>
      <c r="T1021" s="9">
        <v>4</v>
      </c>
    </row>
    <row r="1022" spans="10:20" x14ac:dyDescent="0.25">
      <c r="J1022" s="10">
        <v>68</v>
      </c>
      <c r="K1022" s="10">
        <v>2</v>
      </c>
      <c r="L1022" s="10">
        <v>155</v>
      </c>
      <c r="M1022" s="10">
        <v>77.5</v>
      </c>
      <c r="N1022" s="10">
        <v>0.5</v>
      </c>
      <c r="Q1022" s="9" t="s">
        <v>53</v>
      </c>
      <c r="R1022" s="9">
        <v>93</v>
      </c>
      <c r="S1022" s="9">
        <v>87</v>
      </c>
      <c r="T1022" s="9">
        <v>180</v>
      </c>
    </row>
    <row r="1023" spans="10:20" x14ac:dyDescent="0.25">
      <c r="J1023" s="10">
        <v>77</v>
      </c>
      <c r="K1023" s="10">
        <v>2</v>
      </c>
      <c r="L1023" s="10">
        <v>172</v>
      </c>
      <c r="M1023" s="10">
        <v>86</v>
      </c>
      <c r="N1023" s="10">
        <v>0</v>
      </c>
      <c r="Q1023" s="9" t="s">
        <v>54</v>
      </c>
      <c r="R1023" s="9">
        <v>46.5</v>
      </c>
      <c r="S1023" s="9">
        <v>43.5</v>
      </c>
      <c r="T1023" s="9">
        <v>45</v>
      </c>
    </row>
    <row r="1024" spans="10:20" x14ac:dyDescent="0.25">
      <c r="J1024" s="10"/>
      <c r="K1024" s="10"/>
      <c r="L1024" s="10"/>
      <c r="M1024" s="10"/>
      <c r="N1024" s="10"/>
      <c r="Q1024" s="9" t="s">
        <v>55</v>
      </c>
      <c r="R1024" s="9">
        <v>144.5</v>
      </c>
      <c r="S1024" s="9">
        <v>544.5</v>
      </c>
      <c r="T1024" s="9">
        <v>232.66666666666666</v>
      </c>
    </row>
    <row r="1025" spans="10:20" x14ac:dyDescent="0.25">
      <c r="J1025" s="9" t="s">
        <v>41</v>
      </c>
      <c r="K1025" s="9">
        <v>1000</v>
      </c>
      <c r="L1025" s="9">
        <v>69169</v>
      </c>
      <c r="M1025" s="9">
        <v>69.168999999999997</v>
      </c>
      <c r="N1025" s="11">
        <v>213.16560460460485</v>
      </c>
      <c r="Q1025" s="9"/>
      <c r="R1025" s="9"/>
      <c r="S1025" s="9"/>
      <c r="T1025" s="9"/>
    </row>
    <row r="1026" spans="10:20" x14ac:dyDescent="0.25">
      <c r="J1026" s="9" t="s">
        <v>42</v>
      </c>
      <c r="K1026" s="9">
        <v>1000</v>
      </c>
      <c r="L1026" s="9">
        <v>68054</v>
      </c>
      <c r="M1026" s="9">
        <v>68.054000000000002</v>
      </c>
      <c r="N1026" s="11">
        <v>230.90799199199179</v>
      </c>
      <c r="Q1026" s="14">
        <v>58</v>
      </c>
      <c r="R1026" s="14"/>
      <c r="S1026" s="14"/>
      <c r="T1026" s="14"/>
    </row>
    <row r="1027" spans="10:20" x14ac:dyDescent="0.25">
      <c r="Q1027" s="9" t="s">
        <v>52</v>
      </c>
      <c r="R1027" s="9">
        <v>2</v>
      </c>
      <c r="S1027" s="9">
        <v>2</v>
      </c>
      <c r="T1027" s="9">
        <v>4</v>
      </c>
    </row>
    <row r="1028" spans="10:20" x14ac:dyDescent="0.25">
      <c r="Q1028" s="9" t="s">
        <v>53</v>
      </c>
      <c r="R1028" s="9">
        <v>134</v>
      </c>
      <c r="S1028" s="9">
        <v>115</v>
      </c>
      <c r="T1028" s="9">
        <v>249</v>
      </c>
    </row>
    <row r="1029" spans="10:20" ht="15.75" thickBot="1" x14ac:dyDescent="0.3">
      <c r="J1029" s="6" t="s">
        <v>62</v>
      </c>
      <c r="Q1029" s="9" t="s">
        <v>54</v>
      </c>
      <c r="R1029" s="9">
        <v>67</v>
      </c>
      <c r="S1029" s="9">
        <v>57.5</v>
      </c>
      <c r="T1029" s="9">
        <v>62.25</v>
      </c>
    </row>
    <row r="1030" spans="10:20" x14ac:dyDescent="0.25">
      <c r="J1030" s="8" t="s">
        <v>64</v>
      </c>
      <c r="K1030" s="8" t="s">
        <v>65</v>
      </c>
      <c r="L1030" s="8" t="s">
        <v>66</v>
      </c>
      <c r="M1030" s="8" t="s">
        <v>67</v>
      </c>
      <c r="N1030" s="8" t="s">
        <v>68</v>
      </c>
      <c r="O1030" s="8" t="s">
        <v>69</v>
      </c>
      <c r="P1030" s="12" t="s">
        <v>70</v>
      </c>
      <c r="Q1030" s="9" t="s">
        <v>55</v>
      </c>
      <c r="R1030" s="9">
        <v>72</v>
      </c>
      <c r="S1030" s="9">
        <v>60.5</v>
      </c>
      <c r="T1030" s="9">
        <v>74.25</v>
      </c>
    </row>
    <row r="1031" spans="10:20" x14ac:dyDescent="0.25">
      <c r="J1031" s="9" t="s">
        <v>79</v>
      </c>
      <c r="K1031" s="9">
        <v>433389.63549999916</v>
      </c>
      <c r="L1031" s="9">
        <v>999</v>
      </c>
      <c r="M1031" s="9">
        <v>433.8234589589581</v>
      </c>
      <c r="N1031" s="9">
        <v>42.32367157353746</v>
      </c>
      <c r="O1031" s="9">
        <v>0</v>
      </c>
      <c r="P1031" s="13">
        <v>1.1097461378149389</v>
      </c>
      <c r="Q1031" s="9"/>
      <c r="R1031" s="9"/>
      <c r="S1031" s="9"/>
      <c r="T1031" s="9"/>
    </row>
    <row r="1032" spans="10:20" x14ac:dyDescent="0.25">
      <c r="J1032" s="9" t="s">
        <v>80</v>
      </c>
      <c r="K1032" s="9">
        <v>621.61249999934807</v>
      </c>
      <c r="L1032" s="9">
        <v>1</v>
      </c>
      <c r="M1032" s="9">
        <v>621.61249999934807</v>
      </c>
      <c r="N1032" s="9">
        <v>60.644307615616796</v>
      </c>
      <c r="O1032" s="9">
        <v>1.7054750946656611E-14</v>
      </c>
      <c r="P1032" s="13">
        <v>3.8507840100833919</v>
      </c>
      <c r="Q1032" s="14">
        <v>69</v>
      </c>
      <c r="R1032" s="14"/>
      <c r="S1032" s="14"/>
      <c r="T1032" s="14"/>
    </row>
    <row r="1033" spans="10:20" x14ac:dyDescent="0.25">
      <c r="J1033" s="9" t="s">
        <v>81</v>
      </c>
      <c r="K1033" s="9">
        <v>10239.887500000652</v>
      </c>
      <c r="L1033" s="9">
        <v>999</v>
      </c>
      <c r="M1033" s="9">
        <v>10.250137637638289</v>
      </c>
      <c r="N1033" s="9"/>
      <c r="O1033" s="9"/>
      <c r="P1033" s="13"/>
      <c r="Q1033" s="9" t="s">
        <v>52</v>
      </c>
      <c r="R1033" s="9">
        <v>2</v>
      </c>
      <c r="S1033" s="9">
        <v>2</v>
      </c>
      <c r="T1033" s="9">
        <v>4</v>
      </c>
    </row>
    <row r="1034" spans="10:20" x14ac:dyDescent="0.25">
      <c r="J1034" s="9"/>
      <c r="K1034" s="9"/>
      <c r="L1034" s="9"/>
      <c r="M1034" s="9"/>
      <c r="N1034" s="9"/>
      <c r="O1034" s="9"/>
      <c r="P1034" s="13"/>
      <c r="Q1034" s="9" t="s">
        <v>53</v>
      </c>
      <c r="R1034" s="9">
        <v>148</v>
      </c>
      <c r="S1034" s="9">
        <v>141</v>
      </c>
      <c r="T1034" s="9">
        <v>289</v>
      </c>
    </row>
    <row r="1035" spans="10:20" x14ac:dyDescent="0.25">
      <c r="J1035" s="9" t="s">
        <v>49</v>
      </c>
      <c r="K1035" s="9">
        <v>444251.13549999916</v>
      </c>
      <c r="L1035" s="9">
        <v>1999</v>
      </c>
      <c r="M1035" s="9"/>
      <c r="N1035" s="9"/>
      <c r="O1035" s="9"/>
      <c r="P1035" s="13"/>
      <c r="Q1035" s="9" t="s">
        <v>54</v>
      </c>
      <c r="R1035" s="9">
        <v>74</v>
      </c>
      <c r="S1035" s="9">
        <v>70.5</v>
      </c>
      <c r="T1035" s="9">
        <v>72.25</v>
      </c>
    </row>
    <row r="1036" spans="10:20" x14ac:dyDescent="0.25">
      <c r="Q1036" s="9" t="s">
        <v>55</v>
      </c>
      <c r="R1036" s="9">
        <v>8</v>
      </c>
      <c r="S1036" s="9">
        <v>24.5</v>
      </c>
      <c r="T1036" s="9">
        <v>14.916666666666666</v>
      </c>
    </row>
    <row r="1037" spans="10:20" x14ac:dyDescent="0.25">
      <c r="Q1037" s="9"/>
      <c r="R1037" s="9"/>
      <c r="S1037" s="9"/>
      <c r="T1037" s="9"/>
    </row>
    <row r="1038" spans="10:20" x14ac:dyDescent="0.25">
      <c r="Q1038" s="14">
        <v>79</v>
      </c>
      <c r="R1038" s="14"/>
      <c r="S1038" s="14"/>
      <c r="T1038" s="14"/>
    </row>
    <row r="1039" spans="10:20" x14ac:dyDescent="0.25">
      <c r="Q1039" s="9" t="s">
        <v>52</v>
      </c>
      <c r="R1039" s="9">
        <v>2</v>
      </c>
      <c r="S1039" s="9">
        <v>2</v>
      </c>
      <c r="T1039" s="9">
        <v>4</v>
      </c>
    </row>
    <row r="1040" spans="10:20" x14ac:dyDescent="0.25">
      <c r="Q1040" s="9" t="s">
        <v>53</v>
      </c>
      <c r="R1040" s="9">
        <v>153</v>
      </c>
      <c r="S1040" s="9">
        <v>142</v>
      </c>
      <c r="T1040" s="9">
        <v>295</v>
      </c>
    </row>
    <row r="1041" spans="17:20" x14ac:dyDescent="0.25">
      <c r="Q1041" s="9" t="s">
        <v>54</v>
      </c>
      <c r="R1041" s="9">
        <v>76.5</v>
      </c>
      <c r="S1041" s="9">
        <v>71</v>
      </c>
      <c r="T1041" s="9">
        <v>73.75</v>
      </c>
    </row>
    <row r="1042" spans="17:20" x14ac:dyDescent="0.25">
      <c r="Q1042" s="9" t="s">
        <v>55</v>
      </c>
      <c r="R1042" s="9">
        <v>24.5</v>
      </c>
      <c r="S1042" s="9">
        <v>32</v>
      </c>
      <c r="T1042" s="9">
        <v>28.916666666666668</v>
      </c>
    </row>
    <row r="1043" spans="17:20" x14ac:dyDescent="0.25">
      <c r="Q1043" s="9"/>
      <c r="R1043" s="9"/>
      <c r="S1043" s="9"/>
      <c r="T1043" s="9"/>
    </row>
    <row r="1044" spans="17:20" x14ac:dyDescent="0.25">
      <c r="Q1044" s="14">
        <v>62</v>
      </c>
      <c r="R1044" s="14"/>
      <c r="S1044" s="14"/>
      <c r="T1044" s="14"/>
    </row>
    <row r="1045" spans="17:20" x14ac:dyDescent="0.25">
      <c r="Q1045" s="9" t="s">
        <v>52</v>
      </c>
      <c r="R1045" s="9">
        <v>2</v>
      </c>
      <c r="S1045" s="9">
        <v>2</v>
      </c>
      <c r="T1045" s="9">
        <v>4</v>
      </c>
    </row>
    <row r="1046" spans="17:20" x14ac:dyDescent="0.25">
      <c r="Q1046" s="9" t="s">
        <v>53</v>
      </c>
      <c r="R1046" s="9">
        <v>155</v>
      </c>
      <c r="S1046" s="9">
        <v>152</v>
      </c>
      <c r="T1046" s="9">
        <v>307</v>
      </c>
    </row>
    <row r="1047" spans="17:20" x14ac:dyDescent="0.25">
      <c r="Q1047" s="9" t="s">
        <v>54</v>
      </c>
      <c r="R1047" s="9">
        <v>77.5</v>
      </c>
      <c r="S1047" s="9">
        <v>76</v>
      </c>
      <c r="T1047" s="9">
        <v>76.75</v>
      </c>
    </row>
    <row r="1048" spans="17:20" x14ac:dyDescent="0.25">
      <c r="Q1048" s="9" t="s">
        <v>55</v>
      </c>
      <c r="R1048" s="9">
        <v>544.5</v>
      </c>
      <c r="S1048" s="9">
        <v>722</v>
      </c>
      <c r="T1048" s="9">
        <v>422.91666666666669</v>
      </c>
    </row>
    <row r="1049" spans="17:20" x14ac:dyDescent="0.25">
      <c r="Q1049" s="9"/>
      <c r="R1049" s="9"/>
      <c r="S1049" s="9"/>
      <c r="T1049" s="9"/>
    </row>
    <row r="1050" spans="17:20" x14ac:dyDescent="0.25">
      <c r="Q1050" s="14">
        <v>75</v>
      </c>
      <c r="R1050" s="14"/>
      <c r="S1050" s="14"/>
      <c r="T1050" s="14"/>
    </row>
    <row r="1051" spans="17:20" x14ac:dyDescent="0.25">
      <c r="Q1051" s="9" t="s">
        <v>52</v>
      </c>
      <c r="R1051" s="9">
        <v>2</v>
      </c>
      <c r="S1051" s="9">
        <v>2</v>
      </c>
      <c r="T1051" s="9">
        <v>4</v>
      </c>
    </row>
    <row r="1052" spans="17:20" x14ac:dyDescent="0.25">
      <c r="Q1052" s="9" t="s">
        <v>53</v>
      </c>
      <c r="R1052" s="9">
        <v>148</v>
      </c>
      <c r="S1052" s="9">
        <v>142</v>
      </c>
      <c r="T1052" s="9">
        <v>290</v>
      </c>
    </row>
    <row r="1053" spans="17:20" x14ac:dyDescent="0.25">
      <c r="Q1053" s="9" t="s">
        <v>54</v>
      </c>
      <c r="R1053" s="9">
        <v>74</v>
      </c>
      <c r="S1053" s="9">
        <v>71</v>
      </c>
      <c r="T1053" s="9">
        <v>72.5</v>
      </c>
    </row>
    <row r="1054" spans="17:20" x14ac:dyDescent="0.25">
      <c r="Q1054" s="9" t="s">
        <v>55</v>
      </c>
      <c r="R1054" s="9">
        <v>0</v>
      </c>
      <c r="S1054" s="9">
        <v>50</v>
      </c>
      <c r="T1054" s="9">
        <v>19.666666666666668</v>
      </c>
    </row>
    <row r="1055" spans="17:20" x14ac:dyDescent="0.25">
      <c r="Q1055" s="9"/>
      <c r="R1055" s="9"/>
      <c r="S1055" s="9"/>
      <c r="T1055" s="9"/>
    </row>
    <row r="1056" spans="17:20" x14ac:dyDescent="0.25">
      <c r="Q1056" s="14">
        <v>52</v>
      </c>
      <c r="R1056" s="14"/>
      <c r="S1056" s="14"/>
      <c r="T1056" s="14"/>
    </row>
    <row r="1057" spans="17:20" x14ac:dyDescent="0.25">
      <c r="Q1057" s="9" t="s">
        <v>52</v>
      </c>
      <c r="R1057" s="9">
        <v>2</v>
      </c>
      <c r="S1057" s="9">
        <v>2</v>
      </c>
      <c r="T1057" s="9">
        <v>4</v>
      </c>
    </row>
    <row r="1058" spans="17:20" x14ac:dyDescent="0.25">
      <c r="Q1058" s="9" t="s">
        <v>53</v>
      </c>
      <c r="R1058" s="9">
        <v>122</v>
      </c>
      <c r="S1058" s="9">
        <v>121</v>
      </c>
      <c r="T1058" s="9">
        <v>243</v>
      </c>
    </row>
    <row r="1059" spans="17:20" x14ac:dyDescent="0.25">
      <c r="Q1059" s="9" t="s">
        <v>54</v>
      </c>
      <c r="R1059" s="9">
        <v>61</v>
      </c>
      <c r="S1059" s="9">
        <v>60.5</v>
      </c>
      <c r="T1059" s="9">
        <v>60.75</v>
      </c>
    </row>
    <row r="1060" spans="17:20" x14ac:dyDescent="0.25">
      <c r="Q1060" s="9" t="s">
        <v>55</v>
      </c>
      <c r="R1060" s="9">
        <v>32</v>
      </c>
      <c r="S1060" s="9">
        <v>144.5</v>
      </c>
      <c r="T1060" s="9">
        <v>58.916666666666664</v>
      </c>
    </row>
    <row r="1061" spans="17:20" x14ac:dyDescent="0.25">
      <c r="Q1061" s="9"/>
      <c r="R1061" s="9"/>
      <c r="S1061" s="9"/>
      <c r="T1061" s="9"/>
    </row>
    <row r="1062" spans="17:20" x14ac:dyDescent="0.25">
      <c r="Q1062" s="14">
        <v>63</v>
      </c>
      <c r="R1062" s="14"/>
      <c r="S1062" s="14"/>
      <c r="T1062" s="14"/>
    </row>
    <row r="1063" spans="17:20" x14ac:dyDescent="0.25">
      <c r="Q1063" s="9" t="s">
        <v>52</v>
      </c>
      <c r="R1063" s="9">
        <v>2</v>
      </c>
      <c r="S1063" s="9">
        <v>2</v>
      </c>
      <c r="T1063" s="9">
        <v>4</v>
      </c>
    </row>
    <row r="1064" spans="17:20" x14ac:dyDescent="0.25">
      <c r="Q1064" s="9" t="s">
        <v>53</v>
      </c>
      <c r="R1064" s="9">
        <v>136</v>
      </c>
      <c r="S1064" s="9">
        <v>137</v>
      </c>
      <c r="T1064" s="9">
        <v>273</v>
      </c>
    </row>
    <row r="1065" spans="17:20" x14ac:dyDescent="0.25">
      <c r="Q1065" s="9" t="s">
        <v>54</v>
      </c>
      <c r="R1065" s="9">
        <v>68</v>
      </c>
      <c r="S1065" s="9">
        <v>68.5</v>
      </c>
      <c r="T1065" s="9">
        <v>68.25</v>
      </c>
    </row>
    <row r="1066" spans="17:20" x14ac:dyDescent="0.25">
      <c r="Q1066" s="9" t="s">
        <v>55</v>
      </c>
      <c r="R1066" s="9">
        <v>200</v>
      </c>
      <c r="S1066" s="9">
        <v>264.5</v>
      </c>
      <c r="T1066" s="9">
        <v>154.91666666666666</v>
      </c>
    </row>
    <row r="1067" spans="17:20" x14ac:dyDescent="0.25">
      <c r="Q1067" s="9"/>
      <c r="R1067" s="9"/>
      <c r="S1067" s="9"/>
      <c r="T1067" s="9"/>
    </row>
    <row r="1068" spans="17:20" x14ac:dyDescent="0.25">
      <c r="Q1068" s="14">
        <v>59</v>
      </c>
      <c r="R1068" s="14"/>
      <c r="S1068" s="14"/>
      <c r="T1068" s="14"/>
    </row>
    <row r="1069" spans="17:20" x14ac:dyDescent="0.25">
      <c r="Q1069" s="9" t="s">
        <v>52</v>
      </c>
      <c r="R1069" s="9">
        <v>2</v>
      </c>
      <c r="S1069" s="9">
        <v>2</v>
      </c>
      <c r="T1069" s="9">
        <v>4</v>
      </c>
    </row>
    <row r="1070" spans="17:20" x14ac:dyDescent="0.25">
      <c r="Q1070" s="9" t="s">
        <v>53</v>
      </c>
      <c r="R1070" s="9">
        <v>143</v>
      </c>
      <c r="S1070" s="9">
        <v>140</v>
      </c>
      <c r="T1070" s="9">
        <v>283</v>
      </c>
    </row>
    <row r="1071" spans="17:20" x14ac:dyDescent="0.25">
      <c r="Q1071" s="9" t="s">
        <v>54</v>
      </c>
      <c r="R1071" s="9">
        <v>71.5</v>
      </c>
      <c r="S1071" s="9">
        <v>70</v>
      </c>
      <c r="T1071" s="9">
        <v>70.75</v>
      </c>
    </row>
    <row r="1072" spans="17:20" x14ac:dyDescent="0.25">
      <c r="Q1072" s="9" t="s">
        <v>55</v>
      </c>
      <c r="R1072" s="9">
        <v>0.5</v>
      </c>
      <c r="S1072" s="9">
        <v>0</v>
      </c>
      <c r="T1072" s="9">
        <v>0.91666666666666663</v>
      </c>
    </row>
    <row r="1073" spans="17:20" x14ac:dyDescent="0.25">
      <c r="Q1073" s="9"/>
      <c r="R1073" s="9"/>
      <c r="S1073" s="9"/>
      <c r="T1073" s="9"/>
    </row>
    <row r="1074" spans="17:20" x14ac:dyDescent="0.25">
      <c r="Q1074" s="14">
        <v>63</v>
      </c>
      <c r="R1074" s="14"/>
      <c r="S1074" s="14"/>
      <c r="T1074" s="14"/>
    </row>
    <row r="1075" spans="17:20" x14ac:dyDescent="0.25">
      <c r="Q1075" s="9" t="s">
        <v>52</v>
      </c>
      <c r="R1075" s="9">
        <v>2</v>
      </c>
      <c r="S1075" s="9">
        <v>2</v>
      </c>
      <c r="T1075" s="9">
        <v>4</v>
      </c>
    </row>
    <row r="1076" spans="17:20" x14ac:dyDescent="0.25">
      <c r="Q1076" s="9" t="s">
        <v>53</v>
      </c>
      <c r="R1076" s="9">
        <v>127</v>
      </c>
      <c r="S1076" s="9">
        <v>130</v>
      </c>
      <c r="T1076" s="9">
        <v>257</v>
      </c>
    </row>
    <row r="1077" spans="17:20" x14ac:dyDescent="0.25">
      <c r="Q1077" s="9" t="s">
        <v>54</v>
      </c>
      <c r="R1077" s="9">
        <v>63.5</v>
      </c>
      <c r="S1077" s="9">
        <v>65</v>
      </c>
      <c r="T1077" s="9">
        <v>64.25</v>
      </c>
    </row>
    <row r="1078" spans="17:20" x14ac:dyDescent="0.25">
      <c r="Q1078" s="9" t="s">
        <v>55</v>
      </c>
      <c r="R1078" s="9">
        <v>12.5</v>
      </c>
      <c r="S1078" s="9">
        <v>32</v>
      </c>
      <c r="T1078" s="9">
        <v>15.583333333333334</v>
      </c>
    </row>
    <row r="1079" spans="17:20" x14ac:dyDescent="0.25">
      <c r="Q1079" s="9"/>
      <c r="R1079" s="9"/>
      <c r="S1079" s="9"/>
      <c r="T1079" s="9"/>
    </row>
    <row r="1080" spans="17:20" x14ac:dyDescent="0.25">
      <c r="Q1080" s="14">
        <v>59</v>
      </c>
      <c r="R1080" s="14"/>
      <c r="S1080" s="14"/>
      <c r="T1080" s="14"/>
    </row>
    <row r="1081" spans="17:20" x14ac:dyDescent="0.25">
      <c r="Q1081" s="9" t="s">
        <v>52</v>
      </c>
      <c r="R1081" s="9">
        <v>2</v>
      </c>
      <c r="S1081" s="9">
        <v>2</v>
      </c>
      <c r="T1081" s="9">
        <v>4</v>
      </c>
    </row>
    <row r="1082" spans="17:20" x14ac:dyDescent="0.25">
      <c r="Q1082" s="9" t="s">
        <v>53</v>
      </c>
      <c r="R1082" s="9">
        <v>152</v>
      </c>
      <c r="S1082" s="9">
        <v>150</v>
      </c>
      <c r="T1082" s="9">
        <v>302</v>
      </c>
    </row>
    <row r="1083" spans="17:20" x14ac:dyDescent="0.25">
      <c r="Q1083" s="9" t="s">
        <v>54</v>
      </c>
      <c r="R1083" s="9">
        <v>76</v>
      </c>
      <c r="S1083" s="9">
        <v>75</v>
      </c>
      <c r="T1083" s="9">
        <v>75.5</v>
      </c>
    </row>
    <row r="1084" spans="17:20" x14ac:dyDescent="0.25">
      <c r="Q1084" s="9" t="s">
        <v>55</v>
      </c>
      <c r="R1084" s="9">
        <v>392</v>
      </c>
      <c r="S1084" s="9">
        <v>392</v>
      </c>
      <c r="T1084" s="9">
        <v>261.66666666666669</v>
      </c>
    </row>
    <row r="1085" spans="17:20" x14ac:dyDescent="0.25">
      <c r="Q1085" s="9"/>
      <c r="R1085" s="9"/>
      <c r="S1085" s="9"/>
      <c r="T1085" s="9"/>
    </row>
    <row r="1086" spans="17:20" x14ac:dyDescent="0.25">
      <c r="Q1086" s="14">
        <v>58</v>
      </c>
      <c r="R1086" s="14"/>
      <c r="S1086" s="14"/>
      <c r="T1086" s="14"/>
    </row>
    <row r="1087" spans="17:20" x14ac:dyDescent="0.25">
      <c r="Q1087" s="9" t="s">
        <v>52</v>
      </c>
      <c r="R1087" s="9">
        <v>2</v>
      </c>
      <c r="S1087" s="9">
        <v>2</v>
      </c>
      <c r="T1087" s="9">
        <v>4</v>
      </c>
    </row>
    <row r="1088" spans="17:20" x14ac:dyDescent="0.25">
      <c r="Q1088" s="9" t="s">
        <v>53</v>
      </c>
      <c r="R1088" s="9">
        <v>146</v>
      </c>
      <c r="S1088" s="9">
        <v>137</v>
      </c>
      <c r="T1088" s="9">
        <v>283</v>
      </c>
    </row>
    <row r="1089" spans="17:20" x14ac:dyDescent="0.25">
      <c r="Q1089" s="9" t="s">
        <v>54</v>
      </c>
      <c r="R1089" s="9">
        <v>73</v>
      </c>
      <c r="S1089" s="9">
        <v>68.5</v>
      </c>
      <c r="T1089" s="9">
        <v>70.75</v>
      </c>
    </row>
    <row r="1090" spans="17:20" x14ac:dyDescent="0.25">
      <c r="Q1090" s="9" t="s">
        <v>55</v>
      </c>
      <c r="R1090" s="9">
        <v>242</v>
      </c>
      <c r="S1090" s="9">
        <v>180.5</v>
      </c>
      <c r="T1090" s="9">
        <v>147.58333333333334</v>
      </c>
    </row>
    <row r="1091" spans="17:20" x14ac:dyDescent="0.25">
      <c r="Q1091" s="9"/>
      <c r="R1091" s="9"/>
      <c r="S1091" s="9"/>
      <c r="T1091" s="9"/>
    </row>
    <row r="1092" spans="17:20" x14ac:dyDescent="0.25">
      <c r="Q1092" s="14">
        <v>52</v>
      </c>
      <c r="R1092" s="14"/>
      <c r="S1092" s="14"/>
      <c r="T1092" s="14"/>
    </row>
    <row r="1093" spans="17:20" x14ac:dyDescent="0.25">
      <c r="Q1093" s="9" t="s">
        <v>52</v>
      </c>
      <c r="R1093" s="9">
        <v>2</v>
      </c>
      <c r="S1093" s="9">
        <v>2</v>
      </c>
      <c r="T1093" s="9">
        <v>4</v>
      </c>
    </row>
    <row r="1094" spans="17:20" x14ac:dyDescent="0.25">
      <c r="Q1094" s="9" t="s">
        <v>53</v>
      </c>
      <c r="R1094" s="9">
        <v>92</v>
      </c>
      <c r="S1094" s="9">
        <v>90</v>
      </c>
      <c r="T1094" s="9">
        <v>182</v>
      </c>
    </row>
    <row r="1095" spans="17:20" x14ac:dyDescent="0.25">
      <c r="Q1095" s="9" t="s">
        <v>54</v>
      </c>
      <c r="R1095" s="9">
        <v>46</v>
      </c>
      <c r="S1095" s="9">
        <v>45</v>
      </c>
      <c r="T1095" s="9">
        <v>45.5</v>
      </c>
    </row>
    <row r="1096" spans="17:20" x14ac:dyDescent="0.25">
      <c r="Q1096" s="9" t="s">
        <v>55</v>
      </c>
      <c r="R1096" s="9">
        <v>288</v>
      </c>
      <c r="S1096" s="9">
        <v>338</v>
      </c>
      <c r="T1096" s="9">
        <v>209</v>
      </c>
    </row>
    <row r="1097" spans="17:20" x14ac:dyDescent="0.25">
      <c r="Q1097" s="9"/>
      <c r="R1097" s="9"/>
      <c r="S1097" s="9"/>
      <c r="T1097" s="9"/>
    </row>
    <row r="1098" spans="17:20" x14ac:dyDescent="0.25">
      <c r="Q1098" s="14">
        <v>59</v>
      </c>
      <c r="R1098" s="14"/>
      <c r="S1098" s="14"/>
      <c r="T1098" s="14"/>
    </row>
    <row r="1099" spans="17:20" x14ac:dyDescent="0.25">
      <c r="Q1099" s="9" t="s">
        <v>52</v>
      </c>
      <c r="R1099" s="9">
        <v>2</v>
      </c>
      <c r="S1099" s="9">
        <v>2</v>
      </c>
      <c r="T1099" s="9">
        <v>4</v>
      </c>
    </row>
    <row r="1100" spans="17:20" x14ac:dyDescent="0.25">
      <c r="Q1100" s="9" t="s">
        <v>53</v>
      </c>
      <c r="R1100" s="9">
        <v>118</v>
      </c>
      <c r="S1100" s="9">
        <v>118</v>
      </c>
      <c r="T1100" s="9">
        <v>236</v>
      </c>
    </row>
    <row r="1101" spans="17:20" x14ac:dyDescent="0.25">
      <c r="Q1101" s="9" t="s">
        <v>54</v>
      </c>
      <c r="R1101" s="9">
        <v>59</v>
      </c>
      <c r="S1101" s="9">
        <v>59</v>
      </c>
      <c r="T1101" s="9">
        <v>59</v>
      </c>
    </row>
    <row r="1102" spans="17:20" x14ac:dyDescent="0.25">
      <c r="Q1102" s="9" t="s">
        <v>55</v>
      </c>
      <c r="R1102" s="9">
        <v>2</v>
      </c>
      <c r="S1102" s="9">
        <v>2</v>
      </c>
      <c r="T1102" s="9">
        <v>1.3333333333333333</v>
      </c>
    </row>
    <row r="1103" spans="17:20" x14ac:dyDescent="0.25">
      <c r="Q1103" s="9"/>
      <c r="R1103" s="9"/>
      <c r="S1103" s="9"/>
      <c r="T1103" s="9"/>
    </row>
    <row r="1104" spans="17:20" x14ac:dyDescent="0.25">
      <c r="Q1104" s="14">
        <v>69</v>
      </c>
      <c r="R1104" s="14"/>
      <c r="S1104" s="14"/>
      <c r="T1104" s="14"/>
    </row>
    <row r="1105" spans="17:20" x14ac:dyDescent="0.25">
      <c r="Q1105" s="9" t="s">
        <v>52</v>
      </c>
      <c r="R1105" s="9">
        <v>2</v>
      </c>
      <c r="S1105" s="9">
        <v>2</v>
      </c>
      <c r="T1105" s="9">
        <v>4</v>
      </c>
    </row>
    <row r="1106" spans="17:20" x14ac:dyDescent="0.25">
      <c r="Q1106" s="9" t="s">
        <v>53</v>
      </c>
      <c r="R1106" s="9">
        <v>124</v>
      </c>
      <c r="S1106" s="9">
        <v>114</v>
      </c>
      <c r="T1106" s="9">
        <v>238</v>
      </c>
    </row>
    <row r="1107" spans="17:20" x14ac:dyDescent="0.25">
      <c r="Q1107" s="9" t="s">
        <v>54</v>
      </c>
      <c r="R1107" s="9">
        <v>62</v>
      </c>
      <c r="S1107" s="9">
        <v>57</v>
      </c>
      <c r="T1107" s="9">
        <v>59.5</v>
      </c>
    </row>
    <row r="1108" spans="17:20" x14ac:dyDescent="0.25">
      <c r="Q1108" s="9" t="s">
        <v>55</v>
      </c>
      <c r="R1108" s="9">
        <v>32</v>
      </c>
      <c r="S1108" s="9">
        <v>32</v>
      </c>
      <c r="T1108" s="9">
        <v>29.666666666666668</v>
      </c>
    </row>
    <row r="1109" spans="17:20" x14ac:dyDescent="0.25">
      <c r="Q1109" s="9"/>
      <c r="R1109" s="9"/>
      <c r="S1109" s="9"/>
      <c r="T1109" s="9"/>
    </row>
    <row r="1110" spans="17:20" x14ac:dyDescent="0.25">
      <c r="Q1110" s="14">
        <v>44</v>
      </c>
      <c r="R1110" s="14"/>
      <c r="S1110" s="14"/>
      <c r="T1110" s="14"/>
    </row>
    <row r="1111" spans="17:20" x14ac:dyDescent="0.25">
      <c r="Q1111" s="9" t="s">
        <v>52</v>
      </c>
      <c r="R1111" s="9">
        <v>2</v>
      </c>
      <c r="S1111" s="9">
        <v>2</v>
      </c>
      <c r="T1111" s="9">
        <v>4</v>
      </c>
    </row>
    <row r="1112" spans="17:20" x14ac:dyDescent="0.25">
      <c r="Q1112" s="9" t="s">
        <v>53</v>
      </c>
      <c r="R1112" s="9">
        <v>148</v>
      </c>
      <c r="S1112" s="9">
        <v>143</v>
      </c>
      <c r="T1112" s="9">
        <v>291</v>
      </c>
    </row>
    <row r="1113" spans="17:20" x14ac:dyDescent="0.25">
      <c r="Q1113" s="9" t="s">
        <v>54</v>
      </c>
      <c r="R1113" s="9">
        <v>74</v>
      </c>
      <c r="S1113" s="9">
        <v>71.5</v>
      </c>
      <c r="T1113" s="9">
        <v>72.75</v>
      </c>
    </row>
    <row r="1114" spans="17:20" x14ac:dyDescent="0.25">
      <c r="Q1114" s="9" t="s">
        <v>55</v>
      </c>
      <c r="R1114" s="9">
        <v>200</v>
      </c>
      <c r="S1114" s="9">
        <v>364.5</v>
      </c>
      <c r="T1114" s="9">
        <v>190.25</v>
      </c>
    </row>
    <row r="1115" spans="17:20" x14ac:dyDescent="0.25">
      <c r="Q1115" s="9"/>
      <c r="R1115" s="9"/>
      <c r="S1115" s="9"/>
      <c r="T1115" s="9"/>
    </row>
    <row r="1116" spans="17:20" x14ac:dyDescent="0.25">
      <c r="Q1116" s="14">
        <v>84</v>
      </c>
      <c r="R1116" s="14"/>
      <c r="S1116" s="14"/>
      <c r="T1116" s="14"/>
    </row>
    <row r="1117" spans="17:20" x14ac:dyDescent="0.25">
      <c r="Q1117" s="9" t="s">
        <v>52</v>
      </c>
      <c r="R1117" s="9">
        <v>2</v>
      </c>
      <c r="S1117" s="9">
        <v>2</v>
      </c>
      <c r="T1117" s="9">
        <v>4</v>
      </c>
    </row>
    <row r="1118" spans="17:20" x14ac:dyDescent="0.25">
      <c r="Q1118" s="9" t="s">
        <v>53</v>
      </c>
      <c r="R1118" s="9">
        <v>150</v>
      </c>
      <c r="S1118" s="9">
        <v>141</v>
      </c>
      <c r="T1118" s="9">
        <v>291</v>
      </c>
    </row>
    <row r="1119" spans="17:20" x14ac:dyDescent="0.25">
      <c r="Q1119" s="9" t="s">
        <v>54</v>
      </c>
      <c r="R1119" s="9">
        <v>75</v>
      </c>
      <c r="S1119" s="9">
        <v>70.5</v>
      </c>
      <c r="T1119" s="9">
        <v>72.75</v>
      </c>
    </row>
    <row r="1120" spans="17:20" x14ac:dyDescent="0.25">
      <c r="Q1120" s="9" t="s">
        <v>55</v>
      </c>
      <c r="R1120" s="9">
        <v>8</v>
      </c>
      <c r="S1120" s="9">
        <v>0.5</v>
      </c>
      <c r="T1120" s="9">
        <v>9.5833333333333339</v>
      </c>
    </row>
    <row r="1121" spans="17:20" x14ac:dyDescent="0.25">
      <c r="Q1121" s="9"/>
      <c r="R1121" s="9"/>
      <c r="S1121" s="9"/>
      <c r="T1121" s="9"/>
    </row>
    <row r="1122" spans="17:20" x14ac:dyDescent="0.25">
      <c r="Q1122" s="14">
        <v>74</v>
      </c>
      <c r="R1122" s="14"/>
      <c r="S1122" s="14"/>
      <c r="T1122" s="14"/>
    </row>
    <row r="1123" spans="17:20" x14ac:dyDescent="0.25">
      <c r="Q1123" s="9" t="s">
        <v>52</v>
      </c>
      <c r="R1123" s="9">
        <v>2</v>
      </c>
      <c r="S1123" s="9">
        <v>2</v>
      </c>
      <c r="T1123" s="9">
        <v>4</v>
      </c>
    </row>
    <row r="1124" spans="17:20" x14ac:dyDescent="0.25">
      <c r="Q1124" s="9" t="s">
        <v>53</v>
      </c>
      <c r="R1124" s="9">
        <v>171</v>
      </c>
      <c r="S1124" s="9">
        <v>168</v>
      </c>
      <c r="T1124" s="9">
        <v>339</v>
      </c>
    </row>
    <row r="1125" spans="17:20" x14ac:dyDescent="0.25">
      <c r="Q1125" s="9" t="s">
        <v>54</v>
      </c>
      <c r="R1125" s="9">
        <v>85.5</v>
      </c>
      <c r="S1125" s="9">
        <v>84</v>
      </c>
      <c r="T1125" s="9">
        <v>84.75</v>
      </c>
    </row>
    <row r="1126" spans="17:20" x14ac:dyDescent="0.25">
      <c r="Q1126" s="9" t="s">
        <v>55</v>
      </c>
      <c r="R1126" s="9">
        <v>264.5</v>
      </c>
      <c r="S1126" s="9">
        <v>288</v>
      </c>
      <c r="T1126" s="9">
        <v>184.91666666666666</v>
      </c>
    </row>
    <row r="1127" spans="17:20" x14ac:dyDescent="0.25">
      <c r="Q1127" s="9"/>
      <c r="R1127" s="9"/>
      <c r="S1127" s="9"/>
      <c r="T1127" s="9"/>
    </row>
    <row r="1128" spans="17:20" x14ac:dyDescent="0.25">
      <c r="Q1128" s="14">
        <v>59</v>
      </c>
      <c r="R1128" s="14"/>
      <c r="S1128" s="14"/>
      <c r="T1128" s="14"/>
    </row>
    <row r="1129" spans="17:20" x14ac:dyDescent="0.25">
      <c r="Q1129" s="9" t="s">
        <v>52</v>
      </c>
      <c r="R1129" s="9">
        <v>2</v>
      </c>
      <c r="S1129" s="9">
        <v>2</v>
      </c>
      <c r="T1129" s="9">
        <v>4</v>
      </c>
    </row>
    <row r="1130" spans="17:20" x14ac:dyDescent="0.25">
      <c r="Q1130" s="9" t="s">
        <v>53</v>
      </c>
      <c r="R1130" s="9">
        <v>113</v>
      </c>
      <c r="S1130" s="9">
        <v>114</v>
      </c>
      <c r="T1130" s="9">
        <v>227</v>
      </c>
    </row>
    <row r="1131" spans="17:20" x14ac:dyDescent="0.25">
      <c r="Q1131" s="9" t="s">
        <v>54</v>
      </c>
      <c r="R1131" s="9">
        <v>56.5</v>
      </c>
      <c r="S1131" s="9">
        <v>57</v>
      </c>
      <c r="T1131" s="9">
        <v>56.75</v>
      </c>
    </row>
    <row r="1132" spans="17:20" x14ac:dyDescent="0.25">
      <c r="Q1132" s="9" t="s">
        <v>55</v>
      </c>
      <c r="R1132" s="9">
        <v>364.5</v>
      </c>
      <c r="S1132" s="9">
        <v>512</v>
      </c>
      <c r="T1132" s="9">
        <v>292.25</v>
      </c>
    </row>
    <row r="1133" spans="17:20" x14ac:dyDescent="0.25">
      <c r="Q1133" s="9"/>
      <c r="R1133" s="9"/>
      <c r="S1133" s="9"/>
      <c r="T1133" s="9"/>
    </row>
    <row r="1134" spans="17:20" x14ac:dyDescent="0.25">
      <c r="Q1134" s="14">
        <v>80</v>
      </c>
      <c r="R1134" s="14"/>
      <c r="S1134" s="14"/>
      <c r="T1134" s="14"/>
    </row>
    <row r="1135" spans="17:20" x14ac:dyDescent="0.25">
      <c r="Q1135" s="9" t="s">
        <v>52</v>
      </c>
      <c r="R1135" s="9">
        <v>2</v>
      </c>
      <c r="S1135" s="9">
        <v>2</v>
      </c>
      <c r="T1135" s="9">
        <v>4</v>
      </c>
    </row>
    <row r="1136" spans="17:20" x14ac:dyDescent="0.25">
      <c r="Q1136" s="9" t="s">
        <v>53</v>
      </c>
      <c r="R1136" s="9">
        <v>185</v>
      </c>
      <c r="S1136" s="9">
        <v>182</v>
      </c>
      <c r="T1136" s="9">
        <v>367</v>
      </c>
    </row>
    <row r="1137" spans="17:20" x14ac:dyDescent="0.25">
      <c r="Q1137" s="9" t="s">
        <v>54</v>
      </c>
      <c r="R1137" s="9">
        <v>92.5</v>
      </c>
      <c r="S1137" s="9">
        <v>91</v>
      </c>
      <c r="T1137" s="9">
        <v>91.75</v>
      </c>
    </row>
    <row r="1138" spans="17:20" x14ac:dyDescent="0.25">
      <c r="Q1138" s="9" t="s">
        <v>55</v>
      </c>
      <c r="R1138" s="9">
        <v>12.5</v>
      </c>
      <c r="S1138" s="9">
        <v>162</v>
      </c>
      <c r="T1138" s="9">
        <v>58.916666666666664</v>
      </c>
    </row>
    <row r="1139" spans="17:20" x14ac:dyDescent="0.25">
      <c r="Q1139" s="9"/>
      <c r="R1139" s="9"/>
      <c r="S1139" s="9"/>
      <c r="T1139" s="9"/>
    </row>
    <row r="1140" spans="17:20" x14ac:dyDescent="0.25">
      <c r="Q1140" s="14">
        <v>71</v>
      </c>
      <c r="R1140" s="14"/>
      <c r="S1140" s="14"/>
      <c r="T1140" s="14"/>
    </row>
    <row r="1141" spans="17:20" x14ac:dyDescent="0.25">
      <c r="Q1141" s="9" t="s">
        <v>52</v>
      </c>
      <c r="R1141" s="9">
        <v>2</v>
      </c>
      <c r="S1141" s="9">
        <v>2</v>
      </c>
      <c r="T1141" s="9">
        <v>4</v>
      </c>
    </row>
    <row r="1142" spans="17:20" x14ac:dyDescent="0.25">
      <c r="Q1142" s="9" t="s">
        <v>53</v>
      </c>
      <c r="R1142" s="9">
        <v>147</v>
      </c>
      <c r="S1142" s="9">
        <v>139</v>
      </c>
      <c r="T1142" s="9">
        <v>286</v>
      </c>
    </row>
    <row r="1143" spans="17:20" x14ac:dyDescent="0.25">
      <c r="Q1143" s="9" t="s">
        <v>54</v>
      </c>
      <c r="R1143" s="9">
        <v>73.5</v>
      </c>
      <c r="S1143" s="9">
        <v>69.5</v>
      </c>
      <c r="T1143" s="9">
        <v>71.5</v>
      </c>
    </row>
    <row r="1144" spans="17:20" x14ac:dyDescent="0.25">
      <c r="Q1144" s="9" t="s">
        <v>55</v>
      </c>
      <c r="R1144" s="9">
        <v>180.5</v>
      </c>
      <c r="S1144" s="9">
        <v>112.5</v>
      </c>
      <c r="T1144" s="9">
        <v>103</v>
      </c>
    </row>
    <row r="1145" spans="17:20" x14ac:dyDescent="0.25">
      <c r="Q1145" s="9"/>
      <c r="R1145" s="9"/>
      <c r="S1145" s="9"/>
      <c r="T1145" s="9"/>
    </row>
    <row r="1146" spans="17:20" x14ac:dyDescent="0.25">
      <c r="Q1146" s="14">
        <v>80</v>
      </c>
      <c r="R1146" s="14"/>
      <c r="S1146" s="14"/>
      <c r="T1146" s="14"/>
    </row>
    <row r="1147" spans="17:20" x14ac:dyDescent="0.25">
      <c r="Q1147" s="9" t="s">
        <v>52</v>
      </c>
      <c r="R1147" s="9">
        <v>2</v>
      </c>
      <c r="S1147" s="9">
        <v>2</v>
      </c>
      <c r="T1147" s="9">
        <v>4</v>
      </c>
    </row>
    <row r="1148" spans="17:20" x14ac:dyDescent="0.25">
      <c r="Q1148" s="9" t="s">
        <v>53</v>
      </c>
      <c r="R1148" s="9">
        <v>186</v>
      </c>
      <c r="S1148" s="9">
        <v>178</v>
      </c>
      <c r="T1148" s="9">
        <v>364</v>
      </c>
    </row>
    <row r="1149" spans="17:20" x14ac:dyDescent="0.25">
      <c r="Q1149" s="9" t="s">
        <v>54</v>
      </c>
      <c r="R1149" s="9">
        <v>93</v>
      </c>
      <c r="S1149" s="9">
        <v>89</v>
      </c>
      <c r="T1149" s="9">
        <v>91</v>
      </c>
    </row>
    <row r="1150" spans="17:20" x14ac:dyDescent="0.25">
      <c r="Q1150" s="9" t="s">
        <v>55</v>
      </c>
      <c r="R1150" s="9">
        <v>98</v>
      </c>
      <c r="S1150" s="9">
        <v>72</v>
      </c>
      <c r="T1150" s="9">
        <v>62</v>
      </c>
    </row>
    <row r="1151" spans="17:20" x14ac:dyDescent="0.25">
      <c r="Q1151" s="9"/>
      <c r="R1151" s="9"/>
      <c r="S1151" s="9"/>
      <c r="T1151" s="9"/>
    </row>
    <row r="1152" spans="17:20" x14ac:dyDescent="0.25">
      <c r="Q1152" s="14">
        <v>79</v>
      </c>
      <c r="R1152" s="14"/>
      <c r="S1152" s="14"/>
      <c r="T1152" s="14"/>
    </row>
    <row r="1153" spans="17:20" x14ac:dyDescent="0.25">
      <c r="Q1153" s="9" t="s">
        <v>52</v>
      </c>
      <c r="R1153" s="9">
        <v>2</v>
      </c>
      <c r="S1153" s="9">
        <v>2</v>
      </c>
      <c r="T1153" s="9">
        <v>4</v>
      </c>
    </row>
    <row r="1154" spans="17:20" x14ac:dyDescent="0.25">
      <c r="Q1154" s="9" t="s">
        <v>53</v>
      </c>
      <c r="R1154" s="9">
        <v>130</v>
      </c>
      <c r="S1154" s="9">
        <v>116</v>
      </c>
      <c r="T1154" s="9">
        <v>246</v>
      </c>
    </row>
    <row r="1155" spans="17:20" x14ac:dyDescent="0.25">
      <c r="Q1155" s="9" t="s">
        <v>54</v>
      </c>
      <c r="R1155" s="9">
        <v>65</v>
      </c>
      <c r="S1155" s="9">
        <v>58</v>
      </c>
      <c r="T1155" s="9">
        <v>61.5</v>
      </c>
    </row>
    <row r="1156" spans="17:20" x14ac:dyDescent="0.25">
      <c r="Q1156" s="9" t="s">
        <v>55</v>
      </c>
      <c r="R1156" s="9">
        <v>512</v>
      </c>
      <c r="S1156" s="9">
        <v>338</v>
      </c>
      <c r="T1156" s="9">
        <v>299.66666666666669</v>
      </c>
    </row>
    <row r="1157" spans="17:20" x14ac:dyDescent="0.25">
      <c r="Q1157" s="9"/>
      <c r="R1157" s="9"/>
      <c r="S1157" s="9"/>
      <c r="T1157" s="9"/>
    </row>
    <row r="1158" spans="17:20" x14ac:dyDescent="0.25">
      <c r="Q1158" s="14">
        <v>38</v>
      </c>
      <c r="R1158" s="14"/>
      <c r="S1158" s="14"/>
      <c r="T1158" s="14"/>
    </row>
    <row r="1159" spans="17:20" x14ac:dyDescent="0.25">
      <c r="Q1159" s="9" t="s">
        <v>52</v>
      </c>
      <c r="R1159" s="9">
        <v>2</v>
      </c>
      <c r="S1159" s="9">
        <v>2</v>
      </c>
      <c r="T1159" s="9">
        <v>4</v>
      </c>
    </row>
    <row r="1160" spans="17:20" x14ac:dyDescent="0.25">
      <c r="Q1160" s="9" t="s">
        <v>53</v>
      </c>
      <c r="R1160" s="9">
        <v>119</v>
      </c>
      <c r="S1160" s="9">
        <v>118</v>
      </c>
      <c r="T1160" s="9">
        <v>237</v>
      </c>
    </row>
    <row r="1161" spans="17:20" x14ac:dyDescent="0.25">
      <c r="Q1161" s="9" t="s">
        <v>54</v>
      </c>
      <c r="R1161" s="9">
        <v>59.5</v>
      </c>
      <c r="S1161" s="9">
        <v>59</v>
      </c>
      <c r="T1161" s="9">
        <v>59.25</v>
      </c>
    </row>
    <row r="1162" spans="17:20" x14ac:dyDescent="0.25">
      <c r="Q1162" s="9" t="s">
        <v>55</v>
      </c>
      <c r="R1162" s="9">
        <v>544.5</v>
      </c>
      <c r="S1162" s="9">
        <v>512</v>
      </c>
      <c r="T1162" s="9">
        <v>352.25</v>
      </c>
    </row>
    <row r="1163" spans="17:20" x14ac:dyDescent="0.25">
      <c r="Q1163" s="9"/>
      <c r="R1163" s="9"/>
      <c r="S1163" s="9"/>
      <c r="T1163" s="9"/>
    </row>
    <row r="1164" spans="17:20" x14ac:dyDescent="0.25">
      <c r="Q1164" s="14">
        <v>64</v>
      </c>
      <c r="R1164" s="14"/>
      <c r="S1164" s="14"/>
      <c r="T1164" s="14"/>
    </row>
    <row r="1165" spans="17:20" x14ac:dyDescent="0.25">
      <c r="Q1165" s="9" t="s">
        <v>52</v>
      </c>
      <c r="R1165" s="9">
        <v>2</v>
      </c>
      <c r="S1165" s="9">
        <v>2</v>
      </c>
      <c r="T1165" s="9">
        <v>4</v>
      </c>
    </row>
    <row r="1166" spans="17:20" x14ac:dyDescent="0.25">
      <c r="Q1166" s="9" t="s">
        <v>53</v>
      </c>
      <c r="R1166" s="9">
        <v>151</v>
      </c>
      <c r="S1166" s="9">
        <v>137</v>
      </c>
      <c r="T1166" s="9">
        <v>288</v>
      </c>
    </row>
    <row r="1167" spans="17:20" x14ac:dyDescent="0.25">
      <c r="Q1167" s="9" t="s">
        <v>54</v>
      </c>
      <c r="R1167" s="9">
        <v>75.5</v>
      </c>
      <c r="S1167" s="9">
        <v>68.5</v>
      </c>
      <c r="T1167" s="9">
        <v>72</v>
      </c>
    </row>
    <row r="1168" spans="17:20" x14ac:dyDescent="0.25">
      <c r="Q1168" s="9" t="s">
        <v>55</v>
      </c>
      <c r="R1168" s="9">
        <v>12.5</v>
      </c>
      <c r="S1168" s="9">
        <v>4.5</v>
      </c>
      <c r="T1168" s="9">
        <v>22</v>
      </c>
    </row>
    <row r="1169" spans="17:20" x14ac:dyDescent="0.25">
      <c r="Q1169" s="9"/>
      <c r="R1169" s="9"/>
      <c r="S1169" s="9"/>
      <c r="T1169" s="9"/>
    </row>
    <row r="1170" spans="17:20" x14ac:dyDescent="0.25">
      <c r="Q1170" s="14">
        <v>62</v>
      </c>
      <c r="R1170" s="14"/>
      <c r="S1170" s="14"/>
      <c r="T1170" s="14"/>
    </row>
    <row r="1171" spans="17:20" x14ac:dyDescent="0.25">
      <c r="Q1171" s="9" t="s">
        <v>52</v>
      </c>
      <c r="R1171" s="9">
        <v>2</v>
      </c>
      <c r="S1171" s="9">
        <v>2</v>
      </c>
      <c r="T1171" s="9">
        <v>4</v>
      </c>
    </row>
    <row r="1172" spans="17:20" x14ac:dyDescent="0.25">
      <c r="Q1172" s="9" t="s">
        <v>53</v>
      </c>
      <c r="R1172" s="9">
        <v>134</v>
      </c>
      <c r="S1172" s="9">
        <v>139</v>
      </c>
      <c r="T1172" s="9">
        <v>273</v>
      </c>
    </row>
    <row r="1173" spans="17:20" x14ac:dyDescent="0.25">
      <c r="Q1173" s="9" t="s">
        <v>54</v>
      </c>
      <c r="R1173" s="9">
        <v>67</v>
      </c>
      <c r="S1173" s="9">
        <v>69.5</v>
      </c>
      <c r="T1173" s="9">
        <v>68.25</v>
      </c>
    </row>
    <row r="1174" spans="17:20" x14ac:dyDescent="0.25">
      <c r="Q1174" s="9" t="s">
        <v>55</v>
      </c>
      <c r="R1174" s="9">
        <v>18</v>
      </c>
      <c r="S1174" s="9">
        <v>60.5</v>
      </c>
      <c r="T1174" s="9">
        <v>28.25</v>
      </c>
    </row>
    <row r="1175" spans="17:20" x14ac:dyDescent="0.25">
      <c r="Q1175" s="9"/>
      <c r="R1175" s="9"/>
      <c r="S1175" s="9"/>
      <c r="T1175" s="9"/>
    </row>
    <row r="1176" spans="17:20" x14ac:dyDescent="0.25">
      <c r="Q1176" s="14">
        <v>73</v>
      </c>
      <c r="R1176" s="14"/>
      <c r="S1176" s="14"/>
      <c r="T1176" s="14"/>
    </row>
    <row r="1177" spans="17:20" x14ac:dyDescent="0.25">
      <c r="Q1177" s="9" t="s">
        <v>52</v>
      </c>
      <c r="R1177" s="9">
        <v>2</v>
      </c>
      <c r="S1177" s="9">
        <v>2</v>
      </c>
      <c r="T1177" s="9">
        <v>4</v>
      </c>
    </row>
    <row r="1178" spans="17:20" x14ac:dyDescent="0.25">
      <c r="Q1178" s="9" t="s">
        <v>53</v>
      </c>
      <c r="R1178" s="9">
        <v>135</v>
      </c>
      <c r="S1178" s="9">
        <v>136</v>
      </c>
      <c r="T1178" s="9">
        <v>271</v>
      </c>
    </row>
    <row r="1179" spans="17:20" x14ac:dyDescent="0.25">
      <c r="Q1179" s="9" t="s">
        <v>54</v>
      </c>
      <c r="R1179" s="9">
        <v>67.5</v>
      </c>
      <c r="S1179" s="9">
        <v>68</v>
      </c>
      <c r="T1179" s="9">
        <v>67.75</v>
      </c>
    </row>
    <row r="1180" spans="17:20" x14ac:dyDescent="0.25">
      <c r="Q1180" s="9" t="s">
        <v>55</v>
      </c>
      <c r="R1180" s="9">
        <v>0.5</v>
      </c>
      <c r="S1180" s="9">
        <v>162</v>
      </c>
      <c r="T1180" s="9">
        <v>54.25</v>
      </c>
    </row>
    <row r="1181" spans="17:20" x14ac:dyDescent="0.25">
      <c r="Q1181" s="9"/>
      <c r="R1181" s="9"/>
      <c r="S1181" s="9"/>
      <c r="T1181" s="9"/>
    </row>
    <row r="1182" spans="17:20" x14ac:dyDescent="0.25">
      <c r="Q1182" s="14">
        <v>76</v>
      </c>
      <c r="R1182" s="14"/>
      <c r="S1182" s="14"/>
      <c r="T1182" s="14"/>
    </row>
    <row r="1183" spans="17:20" x14ac:dyDescent="0.25">
      <c r="Q1183" s="9" t="s">
        <v>52</v>
      </c>
      <c r="R1183" s="9">
        <v>2</v>
      </c>
      <c r="S1183" s="9">
        <v>2</v>
      </c>
      <c r="T1183" s="9">
        <v>4</v>
      </c>
    </row>
    <row r="1184" spans="17:20" x14ac:dyDescent="0.25">
      <c r="Q1184" s="9" t="s">
        <v>53</v>
      </c>
      <c r="R1184" s="9">
        <v>121</v>
      </c>
      <c r="S1184" s="9">
        <v>123</v>
      </c>
      <c r="T1184" s="9">
        <v>244</v>
      </c>
    </row>
    <row r="1185" spans="17:20" x14ac:dyDescent="0.25">
      <c r="Q1185" s="9" t="s">
        <v>54</v>
      </c>
      <c r="R1185" s="9">
        <v>60.5</v>
      </c>
      <c r="S1185" s="9">
        <v>61.5</v>
      </c>
      <c r="T1185" s="9">
        <v>61</v>
      </c>
    </row>
    <row r="1186" spans="17:20" x14ac:dyDescent="0.25">
      <c r="Q1186" s="9" t="s">
        <v>55</v>
      </c>
      <c r="R1186" s="9">
        <v>84.5</v>
      </c>
      <c r="S1186" s="9">
        <v>60.5</v>
      </c>
      <c r="T1186" s="9">
        <v>48.666666666666664</v>
      </c>
    </row>
    <row r="1187" spans="17:20" x14ac:dyDescent="0.25">
      <c r="Q1187" s="9"/>
      <c r="R1187" s="9"/>
      <c r="S1187" s="9"/>
      <c r="T1187" s="9"/>
    </row>
    <row r="1188" spans="17:20" x14ac:dyDescent="0.25">
      <c r="Q1188" s="14">
        <v>65</v>
      </c>
      <c r="R1188" s="14"/>
      <c r="S1188" s="14"/>
      <c r="T1188" s="14"/>
    </row>
    <row r="1189" spans="17:20" x14ac:dyDescent="0.25">
      <c r="Q1189" s="9" t="s">
        <v>52</v>
      </c>
      <c r="R1189" s="9">
        <v>2</v>
      </c>
      <c r="S1189" s="9">
        <v>2</v>
      </c>
      <c r="T1189" s="9">
        <v>4</v>
      </c>
    </row>
    <row r="1190" spans="17:20" x14ac:dyDescent="0.25">
      <c r="Q1190" s="9" t="s">
        <v>53</v>
      </c>
      <c r="R1190" s="9">
        <v>119</v>
      </c>
      <c r="S1190" s="9">
        <v>118</v>
      </c>
      <c r="T1190" s="9">
        <v>237</v>
      </c>
    </row>
    <row r="1191" spans="17:20" x14ac:dyDescent="0.25">
      <c r="Q1191" s="9" t="s">
        <v>54</v>
      </c>
      <c r="R1191" s="9">
        <v>59.5</v>
      </c>
      <c r="S1191" s="9">
        <v>59</v>
      </c>
      <c r="T1191" s="9">
        <v>59.25</v>
      </c>
    </row>
    <row r="1192" spans="17:20" x14ac:dyDescent="0.25">
      <c r="Q1192" s="9" t="s">
        <v>55</v>
      </c>
      <c r="R1192" s="9">
        <v>420.5</v>
      </c>
      <c r="S1192" s="9">
        <v>648</v>
      </c>
      <c r="T1192" s="9">
        <v>356.25</v>
      </c>
    </row>
    <row r="1193" spans="17:20" x14ac:dyDescent="0.25">
      <c r="Q1193" s="9"/>
      <c r="R1193" s="9"/>
      <c r="S1193" s="9"/>
      <c r="T1193" s="9"/>
    </row>
    <row r="1194" spans="17:20" x14ac:dyDescent="0.25">
      <c r="Q1194" s="14">
        <v>50</v>
      </c>
      <c r="R1194" s="14"/>
      <c r="S1194" s="14"/>
      <c r="T1194" s="14"/>
    </row>
    <row r="1195" spans="17:20" x14ac:dyDescent="0.25">
      <c r="Q1195" s="9" t="s">
        <v>52</v>
      </c>
      <c r="R1195" s="9">
        <v>2</v>
      </c>
      <c r="S1195" s="9">
        <v>2</v>
      </c>
      <c r="T1195" s="9">
        <v>4</v>
      </c>
    </row>
    <row r="1196" spans="17:20" x14ac:dyDescent="0.25">
      <c r="Q1196" s="9" t="s">
        <v>53</v>
      </c>
      <c r="R1196" s="9">
        <v>156</v>
      </c>
      <c r="S1196" s="9">
        <v>158</v>
      </c>
      <c r="T1196" s="9">
        <v>314</v>
      </c>
    </row>
    <row r="1197" spans="17:20" x14ac:dyDescent="0.25">
      <c r="Q1197" s="9" t="s">
        <v>54</v>
      </c>
      <c r="R1197" s="9">
        <v>78</v>
      </c>
      <c r="S1197" s="9">
        <v>79</v>
      </c>
      <c r="T1197" s="9">
        <v>78.5</v>
      </c>
    </row>
    <row r="1198" spans="17:20" x14ac:dyDescent="0.25">
      <c r="Q1198" s="9" t="s">
        <v>55</v>
      </c>
      <c r="R1198" s="9">
        <v>242</v>
      </c>
      <c r="S1198" s="9">
        <v>512</v>
      </c>
      <c r="T1198" s="9">
        <v>251.66666666666666</v>
      </c>
    </row>
    <row r="1199" spans="17:20" x14ac:dyDescent="0.25">
      <c r="Q1199" s="9"/>
      <c r="R1199" s="9"/>
      <c r="S1199" s="9"/>
      <c r="T1199" s="9"/>
    </row>
    <row r="1200" spans="17:20" x14ac:dyDescent="0.25">
      <c r="Q1200" s="14">
        <v>74</v>
      </c>
      <c r="R1200" s="14"/>
      <c r="S1200" s="14"/>
      <c r="T1200" s="14"/>
    </row>
    <row r="1201" spans="17:20" x14ac:dyDescent="0.25">
      <c r="Q1201" s="9" t="s">
        <v>52</v>
      </c>
      <c r="R1201" s="9">
        <v>2</v>
      </c>
      <c r="S1201" s="9">
        <v>2</v>
      </c>
      <c r="T1201" s="9">
        <v>4</v>
      </c>
    </row>
    <row r="1202" spans="17:20" x14ac:dyDescent="0.25">
      <c r="Q1202" s="9" t="s">
        <v>53</v>
      </c>
      <c r="R1202" s="9">
        <v>122</v>
      </c>
      <c r="S1202" s="9">
        <v>111</v>
      </c>
      <c r="T1202" s="9">
        <v>233</v>
      </c>
    </row>
    <row r="1203" spans="17:20" x14ac:dyDescent="0.25">
      <c r="Q1203" s="9" t="s">
        <v>54</v>
      </c>
      <c r="R1203" s="9">
        <v>61</v>
      </c>
      <c r="S1203" s="9">
        <v>55.5</v>
      </c>
      <c r="T1203" s="9">
        <v>58.25</v>
      </c>
    </row>
    <row r="1204" spans="17:20" x14ac:dyDescent="0.25">
      <c r="Q1204" s="9" t="s">
        <v>55</v>
      </c>
      <c r="R1204" s="9">
        <v>8</v>
      </c>
      <c r="S1204" s="9">
        <v>4.5</v>
      </c>
      <c r="T1204" s="9">
        <v>14.25</v>
      </c>
    </row>
    <row r="1205" spans="17:20" x14ac:dyDescent="0.25">
      <c r="Q1205" s="9"/>
      <c r="R1205" s="9"/>
      <c r="S1205" s="9"/>
      <c r="T1205" s="9"/>
    </row>
    <row r="1206" spans="17:20" x14ac:dyDescent="0.25">
      <c r="Q1206" s="14">
        <v>59</v>
      </c>
      <c r="R1206" s="14"/>
      <c r="S1206" s="14"/>
      <c r="T1206" s="14"/>
    </row>
    <row r="1207" spans="17:20" x14ac:dyDescent="0.25">
      <c r="Q1207" s="9" t="s">
        <v>52</v>
      </c>
      <c r="R1207" s="9">
        <v>2</v>
      </c>
      <c r="S1207" s="9">
        <v>2</v>
      </c>
      <c r="T1207" s="9">
        <v>4</v>
      </c>
    </row>
    <row r="1208" spans="17:20" x14ac:dyDescent="0.25">
      <c r="Q1208" s="9" t="s">
        <v>53</v>
      </c>
      <c r="R1208" s="9">
        <v>97</v>
      </c>
      <c r="S1208" s="9">
        <v>110</v>
      </c>
      <c r="T1208" s="9">
        <v>207</v>
      </c>
    </row>
    <row r="1209" spans="17:20" x14ac:dyDescent="0.25">
      <c r="Q1209" s="9" t="s">
        <v>54</v>
      </c>
      <c r="R1209" s="9">
        <v>48.5</v>
      </c>
      <c r="S1209" s="9">
        <v>55</v>
      </c>
      <c r="T1209" s="9">
        <v>51.75</v>
      </c>
    </row>
    <row r="1210" spans="17:20" x14ac:dyDescent="0.25">
      <c r="Q1210" s="9" t="s">
        <v>55</v>
      </c>
      <c r="R1210" s="9">
        <v>60.5</v>
      </c>
      <c r="S1210" s="9">
        <v>288</v>
      </c>
      <c r="T1210" s="9">
        <v>130.25</v>
      </c>
    </row>
    <row r="1211" spans="17:20" x14ac:dyDescent="0.25">
      <c r="Q1211" s="9"/>
      <c r="R1211" s="9"/>
      <c r="S1211" s="9"/>
      <c r="T1211" s="9"/>
    </row>
    <row r="1212" spans="17:20" x14ac:dyDescent="0.25">
      <c r="Q1212" s="14">
        <v>49</v>
      </c>
      <c r="R1212" s="14"/>
      <c r="S1212" s="14"/>
      <c r="T1212" s="14"/>
    </row>
    <row r="1213" spans="17:20" x14ac:dyDescent="0.25">
      <c r="Q1213" s="9" t="s">
        <v>52</v>
      </c>
      <c r="R1213" s="9">
        <v>2</v>
      </c>
      <c r="S1213" s="9">
        <v>2</v>
      </c>
      <c r="T1213" s="9">
        <v>4</v>
      </c>
    </row>
    <row r="1214" spans="17:20" x14ac:dyDescent="0.25">
      <c r="Q1214" s="9" t="s">
        <v>53</v>
      </c>
      <c r="R1214" s="9">
        <v>164</v>
      </c>
      <c r="S1214" s="9">
        <v>155</v>
      </c>
      <c r="T1214" s="9">
        <v>319</v>
      </c>
    </row>
    <row r="1215" spans="17:20" x14ac:dyDescent="0.25">
      <c r="Q1215" s="9" t="s">
        <v>54</v>
      </c>
      <c r="R1215" s="9">
        <v>82</v>
      </c>
      <c r="S1215" s="9">
        <v>77.5</v>
      </c>
      <c r="T1215" s="9">
        <v>79.75</v>
      </c>
    </row>
    <row r="1216" spans="17:20" x14ac:dyDescent="0.25">
      <c r="Q1216" s="9" t="s">
        <v>55</v>
      </c>
      <c r="R1216" s="9">
        <v>578</v>
      </c>
      <c r="S1216" s="9">
        <v>1012.5</v>
      </c>
      <c r="T1216" s="9">
        <v>536.91666666666663</v>
      </c>
    </row>
    <row r="1217" spans="17:20" x14ac:dyDescent="0.25">
      <c r="Q1217" s="9"/>
      <c r="R1217" s="9"/>
      <c r="S1217" s="9"/>
      <c r="T1217" s="9"/>
    </row>
    <row r="1218" spans="17:20" x14ac:dyDescent="0.25">
      <c r="Q1218" s="14">
        <v>54</v>
      </c>
      <c r="R1218" s="14"/>
      <c r="S1218" s="14"/>
      <c r="T1218" s="14"/>
    </row>
    <row r="1219" spans="17:20" x14ac:dyDescent="0.25">
      <c r="Q1219" s="9" t="s">
        <v>52</v>
      </c>
      <c r="R1219" s="9">
        <v>2</v>
      </c>
      <c r="S1219" s="9">
        <v>2</v>
      </c>
      <c r="T1219" s="9">
        <v>4</v>
      </c>
    </row>
    <row r="1220" spans="17:20" x14ac:dyDescent="0.25">
      <c r="Q1220" s="9" t="s">
        <v>53</v>
      </c>
      <c r="R1220" s="9">
        <v>132</v>
      </c>
      <c r="S1220" s="9">
        <v>130</v>
      </c>
      <c r="T1220" s="9">
        <v>262</v>
      </c>
    </row>
    <row r="1221" spans="17:20" x14ac:dyDescent="0.25">
      <c r="Q1221" s="9" t="s">
        <v>54</v>
      </c>
      <c r="R1221" s="9">
        <v>66</v>
      </c>
      <c r="S1221" s="9">
        <v>65</v>
      </c>
      <c r="T1221" s="9">
        <v>65.5</v>
      </c>
    </row>
    <row r="1222" spans="17:20" x14ac:dyDescent="0.25">
      <c r="Q1222" s="9" t="s">
        <v>55</v>
      </c>
      <c r="R1222" s="9">
        <v>98</v>
      </c>
      <c r="S1222" s="9">
        <v>18</v>
      </c>
      <c r="T1222" s="9">
        <v>39</v>
      </c>
    </row>
    <row r="1223" spans="17:20" x14ac:dyDescent="0.25">
      <c r="Q1223" s="9"/>
      <c r="R1223" s="9"/>
      <c r="S1223" s="9"/>
      <c r="T1223" s="9"/>
    </row>
    <row r="1224" spans="17:20" x14ac:dyDescent="0.25">
      <c r="Q1224" s="14">
        <v>65</v>
      </c>
      <c r="R1224" s="14"/>
      <c r="S1224" s="14"/>
      <c r="T1224" s="14"/>
    </row>
    <row r="1225" spans="17:20" x14ac:dyDescent="0.25">
      <c r="Q1225" s="9" t="s">
        <v>52</v>
      </c>
      <c r="R1225" s="9">
        <v>2</v>
      </c>
      <c r="S1225" s="9">
        <v>2</v>
      </c>
      <c r="T1225" s="9">
        <v>4</v>
      </c>
    </row>
    <row r="1226" spans="17:20" x14ac:dyDescent="0.25">
      <c r="Q1226" s="9" t="s">
        <v>53</v>
      </c>
      <c r="R1226" s="9">
        <v>145</v>
      </c>
      <c r="S1226" s="9">
        <v>140</v>
      </c>
      <c r="T1226" s="9">
        <v>285</v>
      </c>
    </row>
    <row r="1227" spans="17:20" x14ac:dyDescent="0.25">
      <c r="Q1227" s="9" t="s">
        <v>54</v>
      </c>
      <c r="R1227" s="9">
        <v>72.5</v>
      </c>
      <c r="S1227" s="9">
        <v>70</v>
      </c>
      <c r="T1227" s="9">
        <v>71.25</v>
      </c>
    </row>
    <row r="1228" spans="17:20" x14ac:dyDescent="0.25">
      <c r="Q1228" s="9" t="s">
        <v>55</v>
      </c>
      <c r="R1228" s="9">
        <v>112.5</v>
      </c>
      <c r="S1228" s="9">
        <v>98</v>
      </c>
      <c r="T1228" s="9">
        <v>72.25</v>
      </c>
    </row>
    <row r="1229" spans="17:20" x14ac:dyDescent="0.25">
      <c r="Q1229" s="9"/>
      <c r="R1229" s="9"/>
      <c r="S1229" s="9"/>
      <c r="T1229" s="9"/>
    </row>
    <row r="1230" spans="17:20" x14ac:dyDescent="0.25">
      <c r="Q1230" s="14">
        <v>52</v>
      </c>
      <c r="R1230" s="14"/>
      <c r="S1230" s="14"/>
      <c r="T1230" s="14"/>
    </row>
    <row r="1231" spans="17:20" x14ac:dyDescent="0.25">
      <c r="Q1231" s="9" t="s">
        <v>52</v>
      </c>
      <c r="R1231" s="9">
        <v>2</v>
      </c>
      <c r="S1231" s="9">
        <v>2</v>
      </c>
      <c r="T1231" s="9">
        <v>4</v>
      </c>
    </row>
    <row r="1232" spans="17:20" x14ac:dyDescent="0.25">
      <c r="Q1232" s="9" t="s">
        <v>53</v>
      </c>
      <c r="R1232" s="9">
        <v>141</v>
      </c>
      <c r="S1232" s="9">
        <v>141</v>
      </c>
      <c r="T1232" s="9">
        <v>282</v>
      </c>
    </row>
    <row r="1233" spans="17:20" x14ac:dyDescent="0.25">
      <c r="Q1233" s="9" t="s">
        <v>54</v>
      </c>
      <c r="R1233" s="9">
        <v>70.5</v>
      </c>
      <c r="S1233" s="9">
        <v>70.5</v>
      </c>
      <c r="T1233" s="9">
        <v>70.5</v>
      </c>
    </row>
    <row r="1234" spans="17:20" x14ac:dyDescent="0.25">
      <c r="Q1234" s="9" t="s">
        <v>55</v>
      </c>
      <c r="R1234" s="9">
        <v>364.5</v>
      </c>
      <c r="S1234" s="9">
        <v>420.5</v>
      </c>
      <c r="T1234" s="9">
        <v>261.66666666666669</v>
      </c>
    </row>
    <row r="1235" spans="17:20" x14ac:dyDescent="0.25">
      <c r="Q1235" s="9"/>
      <c r="R1235" s="9"/>
      <c r="S1235" s="9"/>
      <c r="T1235" s="9"/>
    </row>
    <row r="1236" spans="17:20" x14ac:dyDescent="0.25">
      <c r="Q1236" s="14">
        <v>70</v>
      </c>
      <c r="R1236" s="14"/>
      <c r="S1236" s="14"/>
      <c r="T1236" s="14"/>
    </row>
    <row r="1237" spans="17:20" x14ac:dyDescent="0.25">
      <c r="Q1237" s="9" t="s">
        <v>52</v>
      </c>
      <c r="R1237" s="9">
        <v>2</v>
      </c>
      <c r="S1237" s="9">
        <v>2</v>
      </c>
      <c r="T1237" s="9">
        <v>4</v>
      </c>
    </row>
    <row r="1238" spans="17:20" x14ac:dyDescent="0.25">
      <c r="Q1238" s="9" t="s">
        <v>53</v>
      </c>
      <c r="R1238" s="9">
        <v>154</v>
      </c>
      <c r="S1238" s="9">
        <v>152</v>
      </c>
      <c r="T1238" s="9">
        <v>306</v>
      </c>
    </row>
    <row r="1239" spans="17:20" x14ac:dyDescent="0.25">
      <c r="Q1239" s="9" t="s">
        <v>54</v>
      </c>
      <c r="R1239" s="9">
        <v>77</v>
      </c>
      <c r="S1239" s="9">
        <v>76</v>
      </c>
      <c r="T1239" s="9">
        <v>76.5</v>
      </c>
    </row>
    <row r="1240" spans="17:20" x14ac:dyDescent="0.25">
      <c r="Q1240" s="9" t="s">
        <v>55</v>
      </c>
      <c r="R1240" s="9">
        <v>72</v>
      </c>
      <c r="S1240" s="9">
        <v>8</v>
      </c>
      <c r="T1240" s="9">
        <v>27</v>
      </c>
    </row>
    <row r="1241" spans="17:20" x14ac:dyDescent="0.25">
      <c r="Q1241" s="9"/>
      <c r="R1241" s="9"/>
      <c r="S1241" s="9"/>
      <c r="T1241" s="9"/>
    </row>
    <row r="1242" spans="17:20" x14ac:dyDescent="0.25">
      <c r="Q1242" s="14">
        <v>71</v>
      </c>
      <c r="R1242" s="14"/>
      <c r="S1242" s="14"/>
      <c r="T1242" s="14"/>
    </row>
    <row r="1243" spans="17:20" x14ac:dyDescent="0.25">
      <c r="Q1243" s="9" t="s">
        <v>52</v>
      </c>
      <c r="R1243" s="9">
        <v>2</v>
      </c>
      <c r="S1243" s="9">
        <v>2</v>
      </c>
      <c r="T1243" s="9">
        <v>4</v>
      </c>
    </row>
    <row r="1244" spans="17:20" x14ac:dyDescent="0.25">
      <c r="Q1244" s="9" t="s">
        <v>53</v>
      </c>
      <c r="R1244" s="9">
        <v>133</v>
      </c>
      <c r="S1244" s="9">
        <v>127</v>
      </c>
      <c r="T1244" s="9">
        <v>260</v>
      </c>
    </row>
    <row r="1245" spans="17:20" x14ac:dyDescent="0.25">
      <c r="Q1245" s="9" t="s">
        <v>54</v>
      </c>
      <c r="R1245" s="9">
        <v>66.5</v>
      </c>
      <c r="S1245" s="9">
        <v>63.5</v>
      </c>
      <c r="T1245" s="9">
        <v>65</v>
      </c>
    </row>
    <row r="1246" spans="17:20" x14ac:dyDescent="0.25">
      <c r="Q1246" s="9" t="s">
        <v>55</v>
      </c>
      <c r="R1246" s="9">
        <v>0.5</v>
      </c>
      <c r="S1246" s="9">
        <v>24.5</v>
      </c>
      <c r="T1246" s="9">
        <v>11.333333333333334</v>
      </c>
    </row>
    <row r="1247" spans="17:20" x14ac:dyDescent="0.25">
      <c r="Q1247" s="9"/>
      <c r="R1247" s="9"/>
      <c r="S1247" s="9"/>
      <c r="T1247" s="9"/>
    </row>
    <row r="1248" spans="17:20" x14ac:dyDescent="0.25">
      <c r="Q1248" s="14">
        <v>51</v>
      </c>
      <c r="R1248" s="14"/>
      <c r="S1248" s="14"/>
      <c r="T1248" s="14"/>
    </row>
    <row r="1249" spans="17:20" x14ac:dyDescent="0.25">
      <c r="Q1249" s="9" t="s">
        <v>52</v>
      </c>
      <c r="R1249" s="9">
        <v>2</v>
      </c>
      <c r="S1249" s="9">
        <v>2</v>
      </c>
      <c r="T1249" s="9">
        <v>4</v>
      </c>
    </row>
    <row r="1250" spans="17:20" x14ac:dyDescent="0.25">
      <c r="Q1250" s="9" t="s">
        <v>53</v>
      </c>
      <c r="R1250" s="9">
        <v>145</v>
      </c>
      <c r="S1250" s="9">
        <v>148</v>
      </c>
      <c r="T1250" s="9">
        <v>293</v>
      </c>
    </row>
    <row r="1251" spans="17:20" x14ac:dyDescent="0.25">
      <c r="Q1251" s="9" t="s">
        <v>54</v>
      </c>
      <c r="R1251" s="9">
        <v>72.5</v>
      </c>
      <c r="S1251" s="9">
        <v>74</v>
      </c>
      <c r="T1251" s="9">
        <v>73.25</v>
      </c>
    </row>
    <row r="1252" spans="17:20" x14ac:dyDescent="0.25">
      <c r="Q1252" s="9" t="s">
        <v>55</v>
      </c>
      <c r="R1252" s="9">
        <v>0.5</v>
      </c>
      <c r="S1252" s="9">
        <v>50</v>
      </c>
      <c r="T1252" s="9">
        <v>17.583333333333332</v>
      </c>
    </row>
    <row r="1253" spans="17:20" x14ac:dyDescent="0.25">
      <c r="Q1253" s="9"/>
      <c r="R1253" s="9"/>
      <c r="S1253" s="9"/>
      <c r="T1253" s="9"/>
    </row>
    <row r="1254" spans="17:20" x14ac:dyDescent="0.25">
      <c r="Q1254" s="14">
        <v>71</v>
      </c>
      <c r="R1254" s="14"/>
      <c r="S1254" s="14"/>
      <c r="T1254" s="14"/>
    </row>
    <row r="1255" spans="17:20" x14ac:dyDescent="0.25">
      <c r="Q1255" s="9" t="s">
        <v>52</v>
      </c>
      <c r="R1255" s="9">
        <v>2</v>
      </c>
      <c r="S1255" s="9">
        <v>2</v>
      </c>
      <c r="T1255" s="9">
        <v>4</v>
      </c>
    </row>
    <row r="1256" spans="17:20" x14ac:dyDescent="0.25">
      <c r="Q1256" s="9" t="s">
        <v>53</v>
      </c>
      <c r="R1256" s="9">
        <v>147</v>
      </c>
      <c r="S1256" s="9">
        <v>135</v>
      </c>
      <c r="T1256" s="9">
        <v>282</v>
      </c>
    </row>
    <row r="1257" spans="17:20" x14ac:dyDescent="0.25">
      <c r="Q1257" s="9" t="s">
        <v>54</v>
      </c>
      <c r="R1257" s="9">
        <v>73.5</v>
      </c>
      <c r="S1257" s="9">
        <v>67.5</v>
      </c>
      <c r="T1257" s="9">
        <v>70.5</v>
      </c>
    </row>
    <row r="1258" spans="17:20" x14ac:dyDescent="0.25">
      <c r="Q1258" s="9" t="s">
        <v>55</v>
      </c>
      <c r="R1258" s="9">
        <v>0.5</v>
      </c>
      <c r="S1258" s="9">
        <v>0.5</v>
      </c>
      <c r="T1258" s="9">
        <v>12.333333333333334</v>
      </c>
    </row>
    <row r="1259" spans="17:20" x14ac:dyDescent="0.25">
      <c r="Q1259" s="9"/>
      <c r="R1259" s="9"/>
      <c r="S1259" s="9"/>
      <c r="T1259" s="9"/>
    </row>
    <row r="1260" spans="17:20" x14ac:dyDescent="0.25">
      <c r="Q1260" s="14">
        <v>68</v>
      </c>
      <c r="R1260" s="14"/>
      <c r="S1260" s="14"/>
      <c r="T1260" s="14"/>
    </row>
    <row r="1261" spans="17:20" x14ac:dyDescent="0.25">
      <c r="Q1261" s="9" t="s">
        <v>52</v>
      </c>
      <c r="R1261" s="9">
        <v>2</v>
      </c>
      <c r="S1261" s="9">
        <v>2</v>
      </c>
      <c r="T1261" s="9">
        <v>4</v>
      </c>
    </row>
    <row r="1262" spans="17:20" x14ac:dyDescent="0.25">
      <c r="Q1262" s="9" t="s">
        <v>53</v>
      </c>
      <c r="R1262" s="9">
        <v>115</v>
      </c>
      <c r="S1262" s="9">
        <v>116</v>
      </c>
      <c r="T1262" s="9">
        <v>231</v>
      </c>
    </row>
    <row r="1263" spans="17:20" x14ac:dyDescent="0.25">
      <c r="Q1263" s="9" t="s">
        <v>54</v>
      </c>
      <c r="R1263" s="9">
        <v>57.5</v>
      </c>
      <c r="S1263" s="9">
        <v>58</v>
      </c>
      <c r="T1263" s="9">
        <v>57.75</v>
      </c>
    </row>
    <row r="1264" spans="17:20" x14ac:dyDescent="0.25">
      <c r="Q1264" s="9" t="s">
        <v>55</v>
      </c>
      <c r="R1264" s="9">
        <v>4.5</v>
      </c>
      <c r="S1264" s="9">
        <v>32</v>
      </c>
      <c r="T1264" s="9">
        <v>12.25</v>
      </c>
    </row>
    <row r="1265" spans="17:20" x14ac:dyDescent="0.25">
      <c r="Q1265" s="9"/>
      <c r="R1265" s="9"/>
      <c r="S1265" s="9"/>
      <c r="T1265" s="9"/>
    </row>
    <row r="1266" spans="17:20" x14ac:dyDescent="0.25">
      <c r="Q1266" s="14">
        <v>82</v>
      </c>
      <c r="R1266" s="14"/>
      <c r="S1266" s="14"/>
      <c r="T1266" s="14"/>
    </row>
    <row r="1267" spans="17:20" x14ac:dyDescent="0.25">
      <c r="Q1267" s="9" t="s">
        <v>52</v>
      </c>
      <c r="R1267" s="9">
        <v>2</v>
      </c>
      <c r="S1267" s="9">
        <v>2</v>
      </c>
      <c r="T1267" s="9">
        <v>4</v>
      </c>
    </row>
    <row r="1268" spans="17:20" x14ac:dyDescent="0.25">
      <c r="Q1268" s="9" t="s">
        <v>53</v>
      </c>
      <c r="R1268" s="9">
        <v>151</v>
      </c>
      <c r="S1268" s="9">
        <v>157</v>
      </c>
      <c r="T1268" s="9">
        <v>308</v>
      </c>
    </row>
    <row r="1269" spans="17:20" x14ac:dyDescent="0.25">
      <c r="Q1269" s="9" t="s">
        <v>54</v>
      </c>
      <c r="R1269" s="9">
        <v>75.5</v>
      </c>
      <c r="S1269" s="9">
        <v>78.5</v>
      </c>
      <c r="T1269" s="9">
        <v>77</v>
      </c>
    </row>
    <row r="1270" spans="17:20" x14ac:dyDescent="0.25">
      <c r="Q1270" s="9" t="s">
        <v>55</v>
      </c>
      <c r="R1270" s="9">
        <v>612.5</v>
      </c>
      <c r="S1270" s="9">
        <v>420.5</v>
      </c>
      <c r="T1270" s="9">
        <v>347.33333333333331</v>
      </c>
    </row>
    <row r="1271" spans="17:20" x14ac:dyDescent="0.25">
      <c r="Q1271" s="9"/>
      <c r="R1271" s="9"/>
      <c r="S1271" s="9"/>
      <c r="T1271" s="9"/>
    </row>
    <row r="1272" spans="17:20" x14ac:dyDescent="0.25">
      <c r="Q1272" s="14">
        <v>47</v>
      </c>
      <c r="R1272" s="14"/>
      <c r="S1272" s="14"/>
      <c r="T1272" s="14"/>
    </row>
    <row r="1273" spans="17:20" x14ac:dyDescent="0.25">
      <c r="Q1273" s="9" t="s">
        <v>52</v>
      </c>
      <c r="R1273" s="9">
        <v>2</v>
      </c>
      <c r="S1273" s="9">
        <v>2</v>
      </c>
      <c r="T1273" s="9">
        <v>4</v>
      </c>
    </row>
    <row r="1274" spans="17:20" x14ac:dyDescent="0.25">
      <c r="Q1274" s="9" t="s">
        <v>53</v>
      </c>
      <c r="R1274" s="9">
        <v>143</v>
      </c>
      <c r="S1274" s="9">
        <v>147</v>
      </c>
      <c r="T1274" s="9">
        <v>290</v>
      </c>
    </row>
    <row r="1275" spans="17:20" x14ac:dyDescent="0.25">
      <c r="Q1275" s="9" t="s">
        <v>54</v>
      </c>
      <c r="R1275" s="9">
        <v>71.5</v>
      </c>
      <c r="S1275" s="9">
        <v>73.5</v>
      </c>
      <c r="T1275" s="9">
        <v>72.5</v>
      </c>
    </row>
    <row r="1276" spans="17:20" x14ac:dyDescent="0.25">
      <c r="Q1276" s="9" t="s">
        <v>55</v>
      </c>
      <c r="R1276" s="9">
        <v>364.5</v>
      </c>
      <c r="S1276" s="9">
        <v>84.5</v>
      </c>
      <c r="T1276" s="9">
        <v>151</v>
      </c>
    </row>
    <row r="1277" spans="17:20" x14ac:dyDescent="0.25">
      <c r="Q1277" s="9"/>
      <c r="R1277" s="9"/>
      <c r="S1277" s="9"/>
      <c r="T1277" s="9"/>
    </row>
    <row r="1278" spans="17:20" x14ac:dyDescent="0.25">
      <c r="Q1278" s="14">
        <v>41</v>
      </c>
      <c r="R1278" s="14"/>
      <c r="S1278" s="14"/>
      <c r="T1278" s="14"/>
    </row>
    <row r="1279" spans="17:20" x14ac:dyDescent="0.25">
      <c r="Q1279" s="9" t="s">
        <v>52</v>
      </c>
      <c r="R1279" s="9">
        <v>2</v>
      </c>
      <c r="S1279" s="9">
        <v>2</v>
      </c>
      <c r="T1279" s="9">
        <v>4</v>
      </c>
    </row>
    <row r="1280" spans="17:20" x14ac:dyDescent="0.25">
      <c r="Q1280" s="9" t="s">
        <v>53</v>
      </c>
      <c r="R1280" s="9">
        <v>106</v>
      </c>
      <c r="S1280" s="9">
        <v>96</v>
      </c>
      <c r="T1280" s="9">
        <v>202</v>
      </c>
    </row>
    <row r="1281" spans="17:20" x14ac:dyDescent="0.25">
      <c r="Q1281" s="9" t="s">
        <v>54</v>
      </c>
      <c r="R1281" s="9">
        <v>53</v>
      </c>
      <c r="S1281" s="9">
        <v>48</v>
      </c>
      <c r="T1281" s="9">
        <v>50.5</v>
      </c>
    </row>
    <row r="1282" spans="17:20" x14ac:dyDescent="0.25">
      <c r="Q1282" s="9" t="s">
        <v>55</v>
      </c>
      <c r="R1282" s="9">
        <v>392</v>
      </c>
      <c r="S1282" s="9">
        <v>392</v>
      </c>
      <c r="T1282" s="9">
        <v>269.66666666666669</v>
      </c>
    </row>
    <row r="1283" spans="17:20" x14ac:dyDescent="0.25">
      <c r="Q1283" s="9"/>
      <c r="R1283" s="9"/>
      <c r="S1283" s="9"/>
      <c r="T1283" s="9"/>
    </row>
    <row r="1284" spans="17:20" x14ac:dyDescent="0.25">
      <c r="Q1284" s="14">
        <v>86</v>
      </c>
      <c r="R1284" s="14"/>
      <c r="S1284" s="14"/>
      <c r="T1284" s="14"/>
    </row>
    <row r="1285" spans="17:20" x14ac:dyDescent="0.25">
      <c r="Q1285" s="9" t="s">
        <v>52</v>
      </c>
      <c r="R1285" s="9">
        <v>2</v>
      </c>
      <c r="S1285" s="9">
        <v>2</v>
      </c>
      <c r="T1285" s="9">
        <v>4</v>
      </c>
    </row>
    <row r="1286" spans="17:20" x14ac:dyDescent="0.25">
      <c r="Q1286" s="9" t="s">
        <v>53</v>
      </c>
      <c r="R1286" s="9">
        <v>154</v>
      </c>
      <c r="S1286" s="9">
        <v>151</v>
      </c>
      <c r="T1286" s="9">
        <v>305</v>
      </c>
    </row>
    <row r="1287" spans="17:20" x14ac:dyDescent="0.25">
      <c r="Q1287" s="9" t="s">
        <v>54</v>
      </c>
      <c r="R1287" s="9">
        <v>77</v>
      </c>
      <c r="S1287" s="9">
        <v>75.5</v>
      </c>
      <c r="T1287" s="9">
        <v>76.25</v>
      </c>
    </row>
    <row r="1288" spans="17:20" x14ac:dyDescent="0.25">
      <c r="Q1288" s="9" t="s">
        <v>55</v>
      </c>
      <c r="R1288" s="9">
        <v>72</v>
      </c>
      <c r="S1288" s="9">
        <v>220.5</v>
      </c>
      <c r="T1288" s="9">
        <v>98.25</v>
      </c>
    </row>
    <row r="1289" spans="17:20" x14ac:dyDescent="0.25">
      <c r="Q1289" s="9"/>
      <c r="R1289" s="9"/>
      <c r="S1289" s="9"/>
      <c r="T1289" s="9"/>
    </row>
    <row r="1290" spans="17:20" x14ac:dyDescent="0.25">
      <c r="Q1290" s="14">
        <v>65</v>
      </c>
      <c r="R1290" s="14"/>
      <c r="S1290" s="14"/>
      <c r="T1290" s="14"/>
    </row>
    <row r="1291" spans="17:20" x14ac:dyDescent="0.25">
      <c r="Q1291" s="9" t="s">
        <v>52</v>
      </c>
      <c r="R1291" s="9">
        <v>2</v>
      </c>
      <c r="S1291" s="9">
        <v>2</v>
      </c>
      <c r="T1291" s="9">
        <v>4</v>
      </c>
    </row>
    <row r="1292" spans="17:20" x14ac:dyDescent="0.25">
      <c r="Q1292" s="9" t="s">
        <v>53</v>
      </c>
      <c r="R1292" s="9">
        <v>122</v>
      </c>
      <c r="S1292" s="9">
        <v>107</v>
      </c>
      <c r="T1292" s="9">
        <v>229</v>
      </c>
    </row>
    <row r="1293" spans="17:20" x14ac:dyDescent="0.25">
      <c r="Q1293" s="9" t="s">
        <v>54</v>
      </c>
      <c r="R1293" s="9">
        <v>61</v>
      </c>
      <c r="S1293" s="9">
        <v>53.5</v>
      </c>
      <c r="T1293" s="9">
        <v>57.25</v>
      </c>
    </row>
    <row r="1294" spans="17:20" x14ac:dyDescent="0.25">
      <c r="Q1294" s="9" t="s">
        <v>55</v>
      </c>
      <c r="R1294" s="9">
        <v>8</v>
      </c>
      <c r="S1294" s="9">
        <v>0.5</v>
      </c>
      <c r="T1294" s="9">
        <v>21.583333333333332</v>
      </c>
    </row>
    <row r="1295" spans="17:20" x14ac:dyDescent="0.25">
      <c r="Q1295" s="9"/>
      <c r="R1295" s="9"/>
      <c r="S1295" s="9"/>
      <c r="T1295" s="9"/>
    </row>
    <row r="1296" spans="17:20" x14ac:dyDescent="0.25">
      <c r="Q1296" s="14">
        <v>64</v>
      </c>
      <c r="R1296" s="14"/>
      <c r="S1296" s="14"/>
      <c r="T1296" s="14"/>
    </row>
    <row r="1297" spans="17:20" x14ac:dyDescent="0.25">
      <c r="Q1297" s="9" t="s">
        <v>52</v>
      </c>
      <c r="R1297" s="9">
        <v>2</v>
      </c>
      <c r="S1297" s="9">
        <v>2</v>
      </c>
      <c r="T1297" s="9">
        <v>4</v>
      </c>
    </row>
    <row r="1298" spans="17:20" x14ac:dyDescent="0.25">
      <c r="Q1298" s="9" t="s">
        <v>53</v>
      </c>
      <c r="R1298" s="9">
        <v>138</v>
      </c>
      <c r="S1298" s="9">
        <v>129</v>
      </c>
      <c r="T1298" s="9">
        <v>267</v>
      </c>
    </row>
    <row r="1299" spans="17:20" x14ac:dyDescent="0.25">
      <c r="Q1299" s="9" t="s">
        <v>54</v>
      </c>
      <c r="R1299" s="9">
        <v>69</v>
      </c>
      <c r="S1299" s="9">
        <v>64.5</v>
      </c>
      <c r="T1299" s="9">
        <v>66.75</v>
      </c>
    </row>
    <row r="1300" spans="17:20" x14ac:dyDescent="0.25">
      <c r="Q1300" s="9" t="s">
        <v>55</v>
      </c>
      <c r="R1300" s="9">
        <v>18</v>
      </c>
      <c r="S1300" s="9">
        <v>60.5</v>
      </c>
      <c r="T1300" s="9">
        <v>32.916666666666664</v>
      </c>
    </row>
    <row r="1301" spans="17:20" x14ac:dyDescent="0.25">
      <c r="Q1301" s="9"/>
      <c r="R1301" s="9"/>
      <c r="S1301" s="9"/>
      <c r="T1301" s="9"/>
    </row>
    <row r="1302" spans="17:20" x14ac:dyDescent="0.25">
      <c r="Q1302" s="14">
        <v>61</v>
      </c>
      <c r="R1302" s="14"/>
      <c r="S1302" s="14"/>
      <c r="T1302" s="14"/>
    </row>
    <row r="1303" spans="17:20" x14ac:dyDescent="0.25">
      <c r="Q1303" s="9" t="s">
        <v>52</v>
      </c>
      <c r="R1303" s="9">
        <v>2</v>
      </c>
      <c r="S1303" s="9">
        <v>2</v>
      </c>
      <c r="T1303" s="9">
        <v>4</v>
      </c>
    </row>
    <row r="1304" spans="17:20" x14ac:dyDescent="0.25">
      <c r="Q1304" s="9" t="s">
        <v>53</v>
      </c>
      <c r="R1304" s="9">
        <v>115</v>
      </c>
      <c r="S1304" s="9">
        <v>105</v>
      </c>
      <c r="T1304" s="9">
        <v>220</v>
      </c>
    </row>
    <row r="1305" spans="17:20" x14ac:dyDescent="0.25">
      <c r="Q1305" s="9" t="s">
        <v>54</v>
      </c>
      <c r="R1305" s="9">
        <v>57.5</v>
      </c>
      <c r="S1305" s="9">
        <v>52.5</v>
      </c>
      <c r="T1305" s="9">
        <v>55</v>
      </c>
    </row>
    <row r="1306" spans="17:20" x14ac:dyDescent="0.25">
      <c r="Q1306" s="9" t="s">
        <v>55</v>
      </c>
      <c r="R1306" s="9">
        <v>4.5</v>
      </c>
      <c r="S1306" s="9">
        <v>12.5</v>
      </c>
      <c r="T1306" s="9">
        <v>14</v>
      </c>
    </row>
    <row r="1307" spans="17:20" x14ac:dyDescent="0.25">
      <c r="Q1307" s="9"/>
      <c r="R1307" s="9"/>
      <c r="S1307" s="9"/>
      <c r="T1307" s="9"/>
    </row>
    <row r="1308" spans="17:20" x14ac:dyDescent="0.25">
      <c r="Q1308" s="14">
        <v>73</v>
      </c>
      <c r="R1308" s="14"/>
      <c r="S1308" s="14"/>
      <c r="T1308" s="14"/>
    </row>
    <row r="1309" spans="17:20" x14ac:dyDescent="0.25">
      <c r="Q1309" s="9" t="s">
        <v>52</v>
      </c>
      <c r="R1309" s="9">
        <v>2</v>
      </c>
      <c r="S1309" s="9">
        <v>2</v>
      </c>
      <c r="T1309" s="9">
        <v>4</v>
      </c>
    </row>
    <row r="1310" spans="17:20" x14ac:dyDescent="0.25">
      <c r="Q1310" s="9" t="s">
        <v>53</v>
      </c>
      <c r="R1310" s="9">
        <v>114</v>
      </c>
      <c r="S1310" s="9">
        <v>119</v>
      </c>
      <c r="T1310" s="9">
        <v>233</v>
      </c>
    </row>
    <row r="1311" spans="17:20" x14ac:dyDescent="0.25">
      <c r="Q1311" s="9" t="s">
        <v>54</v>
      </c>
      <c r="R1311" s="9">
        <v>57</v>
      </c>
      <c r="S1311" s="9">
        <v>59.5</v>
      </c>
      <c r="T1311" s="9">
        <v>58.25</v>
      </c>
    </row>
    <row r="1312" spans="17:20" x14ac:dyDescent="0.25">
      <c r="Q1312" s="9" t="s">
        <v>55</v>
      </c>
      <c r="R1312" s="9">
        <v>162</v>
      </c>
      <c r="S1312" s="9">
        <v>84.5</v>
      </c>
      <c r="T1312" s="9">
        <v>84.25</v>
      </c>
    </row>
    <row r="1313" spans="17:20" x14ac:dyDescent="0.25">
      <c r="Q1313" s="9"/>
      <c r="R1313" s="9"/>
      <c r="S1313" s="9"/>
      <c r="T1313" s="9"/>
    </row>
    <row r="1314" spans="17:20" x14ac:dyDescent="0.25">
      <c r="Q1314" s="14">
        <v>75</v>
      </c>
      <c r="R1314" s="14"/>
      <c r="S1314" s="14"/>
      <c r="T1314" s="14"/>
    </row>
    <row r="1315" spans="17:20" x14ac:dyDescent="0.25">
      <c r="Q1315" s="9" t="s">
        <v>52</v>
      </c>
      <c r="R1315" s="9">
        <v>2</v>
      </c>
      <c r="S1315" s="9">
        <v>2</v>
      </c>
      <c r="T1315" s="9">
        <v>4</v>
      </c>
    </row>
    <row r="1316" spans="17:20" x14ac:dyDescent="0.25">
      <c r="Q1316" s="9" t="s">
        <v>53</v>
      </c>
      <c r="R1316" s="9">
        <v>134</v>
      </c>
      <c r="S1316" s="9">
        <v>137</v>
      </c>
      <c r="T1316" s="9">
        <v>271</v>
      </c>
    </row>
    <row r="1317" spans="17:20" x14ac:dyDescent="0.25">
      <c r="Q1317" s="9" t="s">
        <v>54</v>
      </c>
      <c r="R1317" s="9">
        <v>67</v>
      </c>
      <c r="S1317" s="9">
        <v>68.5</v>
      </c>
      <c r="T1317" s="9">
        <v>67.75</v>
      </c>
    </row>
    <row r="1318" spans="17:20" x14ac:dyDescent="0.25">
      <c r="Q1318" s="9" t="s">
        <v>55</v>
      </c>
      <c r="R1318" s="9">
        <v>2</v>
      </c>
      <c r="S1318" s="9">
        <v>40.5</v>
      </c>
      <c r="T1318" s="9">
        <v>14.916666666666666</v>
      </c>
    </row>
    <row r="1319" spans="17:20" x14ac:dyDescent="0.25">
      <c r="Q1319" s="9"/>
      <c r="R1319" s="9"/>
      <c r="S1319" s="9"/>
      <c r="T1319" s="9"/>
    </row>
    <row r="1320" spans="17:20" x14ac:dyDescent="0.25">
      <c r="Q1320" s="14">
        <v>70</v>
      </c>
      <c r="R1320" s="14"/>
      <c r="S1320" s="14"/>
      <c r="T1320" s="14"/>
    </row>
    <row r="1321" spans="17:20" x14ac:dyDescent="0.25">
      <c r="Q1321" s="9" t="s">
        <v>52</v>
      </c>
      <c r="R1321" s="9">
        <v>2</v>
      </c>
      <c r="S1321" s="9">
        <v>2</v>
      </c>
      <c r="T1321" s="9">
        <v>4</v>
      </c>
    </row>
    <row r="1322" spans="17:20" x14ac:dyDescent="0.25">
      <c r="Q1322" s="9" t="s">
        <v>53</v>
      </c>
      <c r="R1322" s="9">
        <v>144</v>
      </c>
      <c r="S1322" s="9">
        <v>133</v>
      </c>
      <c r="T1322" s="9">
        <v>277</v>
      </c>
    </row>
    <row r="1323" spans="17:20" x14ac:dyDescent="0.25">
      <c r="Q1323" s="9" t="s">
        <v>54</v>
      </c>
      <c r="R1323" s="9">
        <v>72</v>
      </c>
      <c r="S1323" s="9">
        <v>66.5</v>
      </c>
      <c r="T1323" s="9">
        <v>69.25</v>
      </c>
    </row>
    <row r="1324" spans="17:20" x14ac:dyDescent="0.25">
      <c r="Q1324" s="9" t="s">
        <v>55</v>
      </c>
      <c r="R1324" s="9">
        <v>512</v>
      </c>
      <c r="S1324" s="9">
        <v>480.5</v>
      </c>
      <c r="T1324" s="9">
        <v>340.91666666666669</v>
      </c>
    </row>
    <row r="1325" spans="17:20" x14ac:dyDescent="0.25">
      <c r="Q1325" s="9"/>
      <c r="R1325" s="9"/>
      <c r="S1325" s="9"/>
      <c r="T1325" s="9"/>
    </row>
    <row r="1326" spans="17:20" x14ac:dyDescent="0.25">
      <c r="Q1326" s="14">
        <v>67</v>
      </c>
      <c r="R1326" s="14"/>
      <c r="S1326" s="14"/>
      <c r="T1326" s="14"/>
    </row>
    <row r="1327" spans="17:20" x14ac:dyDescent="0.25">
      <c r="Q1327" s="9" t="s">
        <v>52</v>
      </c>
      <c r="R1327" s="9">
        <v>2</v>
      </c>
      <c r="S1327" s="9">
        <v>2</v>
      </c>
      <c r="T1327" s="9">
        <v>4</v>
      </c>
    </row>
    <row r="1328" spans="17:20" x14ac:dyDescent="0.25">
      <c r="Q1328" s="9" t="s">
        <v>53</v>
      </c>
      <c r="R1328" s="9">
        <v>162</v>
      </c>
      <c r="S1328" s="9">
        <v>159</v>
      </c>
      <c r="T1328" s="9">
        <v>321</v>
      </c>
    </row>
    <row r="1329" spans="17:20" x14ac:dyDescent="0.25">
      <c r="Q1329" s="9" t="s">
        <v>54</v>
      </c>
      <c r="R1329" s="9">
        <v>81</v>
      </c>
      <c r="S1329" s="9">
        <v>79.5</v>
      </c>
      <c r="T1329" s="9">
        <v>80.25</v>
      </c>
    </row>
    <row r="1330" spans="17:20" x14ac:dyDescent="0.25">
      <c r="Q1330" s="9" t="s">
        <v>55</v>
      </c>
      <c r="R1330" s="9">
        <v>0</v>
      </c>
      <c r="S1330" s="9">
        <v>0.5</v>
      </c>
      <c r="T1330" s="9">
        <v>0.91666666666666663</v>
      </c>
    </row>
    <row r="1331" spans="17:20" x14ac:dyDescent="0.25">
      <c r="Q1331" s="9"/>
      <c r="R1331" s="9"/>
      <c r="S1331" s="9"/>
      <c r="T1331" s="9"/>
    </row>
    <row r="1332" spans="17:20" x14ac:dyDescent="0.25">
      <c r="Q1332" s="14">
        <v>59</v>
      </c>
      <c r="R1332" s="14"/>
      <c r="S1332" s="14"/>
      <c r="T1332" s="14"/>
    </row>
    <row r="1333" spans="17:20" x14ac:dyDescent="0.25">
      <c r="Q1333" s="9" t="s">
        <v>52</v>
      </c>
      <c r="R1333" s="9">
        <v>2</v>
      </c>
      <c r="S1333" s="9">
        <v>2</v>
      </c>
      <c r="T1333" s="9">
        <v>4</v>
      </c>
    </row>
    <row r="1334" spans="17:20" x14ac:dyDescent="0.25">
      <c r="Q1334" s="9" t="s">
        <v>53</v>
      </c>
      <c r="R1334" s="9">
        <v>156</v>
      </c>
      <c r="S1334" s="9">
        <v>145</v>
      </c>
      <c r="T1334" s="9">
        <v>301</v>
      </c>
    </row>
    <row r="1335" spans="17:20" x14ac:dyDescent="0.25">
      <c r="Q1335" s="9" t="s">
        <v>54</v>
      </c>
      <c r="R1335" s="9">
        <v>78</v>
      </c>
      <c r="S1335" s="9">
        <v>72.5</v>
      </c>
      <c r="T1335" s="9">
        <v>75.25</v>
      </c>
    </row>
    <row r="1336" spans="17:20" x14ac:dyDescent="0.25">
      <c r="Q1336" s="9" t="s">
        <v>55</v>
      </c>
      <c r="R1336" s="9">
        <v>50</v>
      </c>
      <c r="S1336" s="9">
        <v>24.5</v>
      </c>
      <c r="T1336" s="9">
        <v>34.916666666666664</v>
      </c>
    </row>
    <row r="1337" spans="17:20" x14ac:dyDescent="0.25">
      <c r="Q1337" s="9"/>
      <c r="R1337" s="9"/>
      <c r="S1337" s="9"/>
      <c r="T1337" s="9"/>
    </row>
    <row r="1338" spans="17:20" x14ac:dyDescent="0.25">
      <c r="Q1338" s="14">
        <v>79</v>
      </c>
      <c r="R1338" s="14"/>
      <c r="S1338" s="14"/>
      <c r="T1338" s="14"/>
    </row>
    <row r="1339" spans="17:20" x14ac:dyDescent="0.25">
      <c r="Q1339" s="9" t="s">
        <v>52</v>
      </c>
      <c r="R1339" s="9">
        <v>2</v>
      </c>
      <c r="S1339" s="9">
        <v>2</v>
      </c>
      <c r="T1339" s="9">
        <v>4</v>
      </c>
    </row>
    <row r="1340" spans="17:20" x14ac:dyDescent="0.25">
      <c r="Q1340" s="9" t="s">
        <v>53</v>
      </c>
      <c r="R1340" s="9">
        <v>156</v>
      </c>
      <c r="S1340" s="9">
        <v>150</v>
      </c>
      <c r="T1340" s="9">
        <v>306</v>
      </c>
    </row>
    <row r="1341" spans="17:20" x14ac:dyDescent="0.25">
      <c r="Q1341" s="9" t="s">
        <v>54</v>
      </c>
      <c r="R1341" s="9">
        <v>78</v>
      </c>
      <c r="S1341" s="9">
        <v>75</v>
      </c>
      <c r="T1341" s="9">
        <v>76.5</v>
      </c>
    </row>
    <row r="1342" spans="17:20" x14ac:dyDescent="0.25">
      <c r="Q1342" s="9" t="s">
        <v>55</v>
      </c>
      <c r="R1342" s="9">
        <v>32</v>
      </c>
      <c r="S1342" s="9">
        <v>8</v>
      </c>
      <c r="T1342" s="9">
        <v>16.333333333333332</v>
      </c>
    </row>
    <row r="1343" spans="17:20" x14ac:dyDescent="0.25">
      <c r="Q1343" s="9"/>
      <c r="R1343" s="9"/>
      <c r="S1343" s="9"/>
      <c r="T1343" s="9"/>
    </row>
    <row r="1344" spans="17:20" x14ac:dyDescent="0.25">
      <c r="Q1344" s="14">
        <v>69</v>
      </c>
      <c r="R1344" s="14"/>
      <c r="S1344" s="14"/>
      <c r="T1344" s="14"/>
    </row>
    <row r="1345" spans="17:20" x14ac:dyDescent="0.25">
      <c r="Q1345" s="9" t="s">
        <v>52</v>
      </c>
      <c r="R1345" s="9">
        <v>2</v>
      </c>
      <c r="S1345" s="9">
        <v>2</v>
      </c>
      <c r="T1345" s="9">
        <v>4</v>
      </c>
    </row>
    <row r="1346" spans="17:20" x14ac:dyDescent="0.25">
      <c r="Q1346" s="9" t="s">
        <v>53</v>
      </c>
      <c r="R1346" s="9">
        <v>147</v>
      </c>
      <c r="S1346" s="9">
        <v>140</v>
      </c>
      <c r="T1346" s="9">
        <v>287</v>
      </c>
    </row>
    <row r="1347" spans="17:20" x14ac:dyDescent="0.25">
      <c r="Q1347" s="9" t="s">
        <v>54</v>
      </c>
      <c r="R1347" s="9">
        <v>73.5</v>
      </c>
      <c r="S1347" s="9">
        <v>70</v>
      </c>
      <c r="T1347" s="9">
        <v>71.75</v>
      </c>
    </row>
    <row r="1348" spans="17:20" x14ac:dyDescent="0.25">
      <c r="Q1348" s="9" t="s">
        <v>55</v>
      </c>
      <c r="R1348" s="9">
        <v>112.5</v>
      </c>
      <c r="S1348" s="9">
        <v>200</v>
      </c>
      <c r="T1348" s="9">
        <v>108.25</v>
      </c>
    </row>
    <row r="1349" spans="17:20" x14ac:dyDescent="0.25">
      <c r="Q1349" s="9"/>
      <c r="R1349" s="9"/>
      <c r="S1349" s="9"/>
      <c r="T1349" s="9"/>
    </row>
    <row r="1350" spans="17:20" x14ac:dyDescent="0.25">
      <c r="Q1350" s="14">
        <v>47</v>
      </c>
      <c r="R1350" s="14"/>
      <c r="S1350" s="14"/>
      <c r="T1350" s="14"/>
    </row>
    <row r="1351" spans="17:20" x14ac:dyDescent="0.25">
      <c r="Q1351" s="9" t="s">
        <v>52</v>
      </c>
      <c r="R1351" s="9">
        <v>2</v>
      </c>
      <c r="S1351" s="9">
        <v>2</v>
      </c>
      <c r="T1351" s="9">
        <v>4</v>
      </c>
    </row>
    <row r="1352" spans="17:20" x14ac:dyDescent="0.25">
      <c r="Q1352" s="9" t="s">
        <v>53</v>
      </c>
      <c r="R1352" s="9">
        <v>119</v>
      </c>
      <c r="S1352" s="9">
        <v>114</v>
      </c>
      <c r="T1352" s="9">
        <v>233</v>
      </c>
    </row>
    <row r="1353" spans="17:20" x14ac:dyDescent="0.25">
      <c r="Q1353" s="9" t="s">
        <v>54</v>
      </c>
      <c r="R1353" s="9">
        <v>59.5</v>
      </c>
      <c r="S1353" s="9">
        <v>57</v>
      </c>
      <c r="T1353" s="9">
        <v>58.25</v>
      </c>
    </row>
    <row r="1354" spans="17:20" x14ac:dyDescent="0.25">
      <c r="Q1354" s="9" t="s">
        <v>55</v>
      </c>
      <c r="R1354" s="9">
        <v>364.5</v>
      </c>
      <c r="S1354" s="9">
        <v>450</v>
      </c>
      <c r="T1354" s="9">
        <v>273.58333333333331</v>
      </c>
    </row>
    <row r="1355" spans="17:20" x14ac:dyDescent="0.25">
      <c r="Q1355" s="9"/>
      <c r="R1355" s="9"/>
      <c r="S1355" s="9"/>
      <c r="T1355" s="9"/>
    </row>
    <row r="1356" spans="17:20" x14ac:dyDescent="0.25">
      <c r="Q1356" s="14">
        <v>64</v>
      </c>
      <c r="R1356" s="14"/>
      <c r="S1356" s="14"/>
      <c r="T1356" s="14"/>
    </row>
    <row r="1357" spans="17:20" x14ac:dyDescent="0.25">
      <c r="Q1357" s="9" t="s">
        <v>52</v>
      </c>
      <c r="R1357" s="9">
        <v>2</v>
      </c>
      <c r="S1357" s="9">
        <v>2</v>
      </c>
      <c r="T1357" s="9">
        <v>4</v>
      </c>
    </row>
    <row r="1358" spans="17:20" x14ac:dyDescent="0.25">
      <c r="Q1358" s="9" t="s">
        <v>53</v>
      </c>
      <c r="R1358" s="9">
        <v>177</v>
      </c>
      <c r="S1358" s="9">
        <v>182</v>
      </c>
      <c r="T1358" s="9">
        <v>359</v>
      </c>
    </row>
    <row r="1359" spans="17:20" x14ac:dyDescent="0.25">
      <c r="Q1359" s="9" t="s">
        <v>54</v>
      </c>
      <c r="R1359" s="9">
        <v>88.5</v>
      </c>
      <c r="S1359" s="9">
        <v>91</v>
      </c>
      <c r="T1359" s="9">
        <v>89.75</v>
      </c>
    </row>
    <row r="1360" spans="17:20" x14ac:dyDescent="0.25">
      <c r="Q1360" s="9" t="s">
        <v>55</v>
      </c>
      <c r="R1360" s="9">
        <v>24.5</v>
      </c>
      <c r="S1360" s="9">
        <v>72</v>
      </c>
      <c r="T1360" s="9">
        <v>34.25</v>
      </c>
    </row>
    <row r="1361" spans="17:20" x14ac:dyDescent="0.25">
      <c r="Q1361" s="9"/>
      <c r="R1361" s="9"/>
      <c r="S1361" s="9"/>
      <c r="T1361" s="9"/>
    </row>
    <row r="1362" spans="17:20" x14ac:dyDescent="0.25">
      <c r="Q1362" s="14">
        <v>65</v>
      </c>
      <c r="R1362" s="14"/>
      <c r="S1362" s="14"/>
      <c r="T1362" s="14"/>
    </row>
    <row r="1363" spans="17:20" x14ac:dyDescent="0.25">
      <c r="Q1363" s="9" t="s">
        <v>52</v>
      </c>
      <c r="R1363" s="9">
        <v>2</v>
      </c>
      <c r="S1363" s="9">
        <v>2</v>
      </c>
      <c r="T1363" s="9">
        <v>4</v>
      </c>
    </row>
    <row r="1364" spans="17:20" x14ac:dyDescent="0.25">
      <c r="Q1364" s="9" t="s">
        <v>53</v>
      </c>
      <c r="R1364" s="9">
        <v>135</v>
      </c>
      <c r="S1364" s="9">
        <v>123</v>
      </c>
      <c r="T1364" s="9">
        <v>258</v>
      </c>
    </row>
    <row r="1365" spans="17:20" x14ac:dyDescent="0.25">
      <c r="Q1365" s="9" t="s">
        <v>54</v>
      </c>
      <c r="R1365" s="9">
        <v>67.5</v>
      </c>
      <c r="S1365" s="9">
        <v>61.5</v>
      </c>
      <c r="T1365" s="9">
        <v>64.5</v>
      </c>
    </row>
    <row r="1366" spans="17:20" x14ac:dyDescent="0.25">
      <c r="Q1366" s="9" t="s">
        <v>55</v>
      </c>
      <c r="R1366" s="9">
        <v>180.5</v>
      </c>
      <c r="S1366" s="9">
        <v>312.5</v>
      </c>
      <c r="T1366" s="9">
        <v>176.33333333333334</v>
      </c>
    </row>
    <row r="1367" spans="17:20" x14ac:dyDescent="0.25">
      <c r="Q1367" s="9"/>
      <c r="R1367" s="9"/>
      <c r="S1367" s="9"/>
      <c r="T1367" s="9"/>
    </row>
    <row r="1368" spans="17:20" x14ac:dyDescent="0.25">
      <c r="Q1368" s="14">
        <v>53</v>
      </c>
      <c r="R1368" s="14"/>
      <c r="S1368" s="14"/>
      <c r="T1368" s="14"/>
    </row>
    <row r="1369" spans="17:20" x14ac:dyDescent="0.25">
      <c r="Q1369" s="9" t="s">
        <v>52</v>
      </c>
      <c r="R1369" s="9">
        <v>2</v>
      </c>
      <c r="S1369" s="9">
        <v>2</v>
      </c>
      <c r="T1369" s="9">
        <v>4</v>
      </c>
    </row>
    <row r="1370" spans="17:20" x14ac:dyDescent="0.25">
      <c r="Q1370" s="9" t="s">
        <v>53</v>
      </c>
      <c r="R1370" s="9">
        <v>117</v>
      </c>
      <c r="S1370" s="9">
        <v>109</v>
      </c>
      <c r="T1370" s="9">
        <v>226</v>
      </c>
    </row>
    <row r="1371" spans="17:20" x14ac:dyDescent="0.25">
      <c r="Q1371" s="9" t="s">
        <v>54</v>
      </c>
      <c r="R1371" s="9">
        <v>58.5</v>
      </c>
      <c r="S1371" s="9">
        <v>54.5</v>
      </c>
      <c r="T1371" s="9">
        <v>56.5</v>
      </c>
    </row>
    <row r="1372" spans="17:20" x14ac:dyDescent="0.25">
      <c r="Q1372" s="9" t="s">
        <v>55</v>
      </c>
      <c r="R1372" s="9">
        <v>12.5</v>
      </c>
      <c r="S1372" s="9">
        <v>112.5</v>
      </c>
      <c r="T1372" s="9">
        <v>47</v>
      </c>
    </row>
    <row r="1373" spans="17:20" x14ac:dyDescent="0.25">
      <c r="Q1373" s="9"/>
      <c r="R1373" s="9"/>
      <c r="S1373" s="9"/>
      <c r="T1373" s="9"/>
    </row>
    <row r="1374" spans="17:20" x14ac:dyDescent="0.25">
      <c r="Q1374" s="14">
        <v>79</v>
      </c>
      <c r="R1374" s="14"/>
      <c r="S1374" s="14"/>
      <c r="T1374" s="14"/>
    </row>
    <row r="1375" spans="17:20" x14ac:dyDescent="0.25">
      <c r="Q1375" s="9" t="s">
        <v>52</v>
      </c>
      <c r="R1375" s="9">
        <v>2</v>
      </c>
      <c r="S1375" s="9">
        <v>2</v>
      </c>
      <c r="T1375" s="9">
        <v>4</v>
      </c>
    </row>
    <row r="1376" spans="17:20" x14ac:dyDescent="0.25">
      <c r="Q1376" s="9" t="s">
        <v>53</v>
      </c>
      <c r="R1376" s="9">
        <v>143</v>
      </c>
      <c r="S1376" s="9">
        <v>137</v>
      </c>
      <c r="T1376" s="9">
        <v>280</v>
      </c>
    </row>
    <row r="1377" spans="17:20" x14ac:dyDescent="0.25">
      <c r="Q1377" s="9" t="s">
        <v>54</v>
      </c>
      <c r="R1377" s="9">
        <v>71.5</v>
      </c>
      <c r="S1377" s="9">
        <v>68.5</v>
      </c>
      <c r="T1377" s="9">
        <v>70</v>
      </c>
    </row>
    <row r="1378" spans="17:20" x14ac:dyDescent="0.25">
      <c r="Q1378" s="9" t="s">
        <v>55</v>
      </c>
      <c r="R1378" s="9">
        <v>612.5</v>
      </c>
      <c r="S1378" s="9">
        <v>840.5</v>
      </c>
      <c r="T1378" s="9">
        <v>487.33333333333331</v>
      </c>
    </row>
    <row r="1379" spans="17:20" x14ac:dyDescent="0.25">
      <c r="Q1379" s="9"/>
      <c r="R1379" s="9"/>
      <c r="S1379" s="9"/>
      <c r="T1379" s="9"/>
    </row>
    <row r="1380" spans="17:20" x14ac:dyDescent="0.25">
      <c r="Q1380" s="14">
        <v>100</v>
      </c>
      <c r="R1380" s="14"/>
      <c r="S1380" s="14"/>
      <c r="T1380" s="14"/>
    </row>
    <row r="1381" spans="17:20" x14ac:dyDescent="0.25">
      <c r="Q1381" s="9" t="s">
        <v>52</v>
      </c>
      <c r="R1381" s="9">
        <v>2</v>
      </c>
      <c r="S1381" s="9">
        <v>2</v>
      </c>
      <c r="T1381" s="9">
        <v>4</v>
      </c>
    </row>
    <row r="1382" spans="17:20" x14ac:dyDescent="0.25">
      <c r="Q1382" s="9" t="s">
        <v>53</v>
      </c>
      <c r="R1382" s="9">
        <v>165</v>
      </c>
      <c r="S1382" s="9">
        <v>168</v>
      </c>
      <c r="T1382" s="9">
        <v>333</v>
      </c>
    </row>
    <row r="1383" spans="17:20" x14ac:dyDescent="0.25">
      <c r="Q1383" s="9" t="s">
        <v>54</v>
      </c>
      <c r="R1383" s="9">
        <v>82.5</v>
      </c>
      <c r="S1383" s="9">
        <v>84</v>
      </c>
      <c r="T1383" s="9">
        <v>83.25</v>
      </c>
    </row>
    <row r="1384" spans="17:20" x14ac:dyDescent="0.25">
      <c r="Q1384" s="9" t="s">
        <v>55</v>
      </c>
      <c r="R1384" s="9">
        <v>612.5</v>
      </c>
      <c r="S1384" s="9">
        <v>512</v>
      </c>
      <c r="T1384" s="9">
        <v>375.58333333333331</v>
      </c>
    </row>
    <row r="1385" spans="17:20" x14ac:dyDescent="0.25">
      <c r="Q1385" s="9"/>
      <c r="R1385" s="9"/>
      <c r="S1385" s="9"/>
      <c r="T1385" s="9"/>
    </row>
    <row r="1386" spans="17:20" x14ac:dyDescent="0.25">
      <c r="Q1386" s="14">
        <v>53</v>
      </c>
      <c r="R1386" s="14"/>
      <c r="S1386" s="14"/>
      <c r="T1386" s="14"/>
    </row>
    <row r="1387" spans="17:20" x14ac:dyDescent="0.25">
      <c r="Q1387" s="9" t="s">
        <v>52</v>
      </c>
      <c r="R1387" s="9">
        <v>2</v>
      </c>
      <c r="S1387" s="9">
        <v>2</v>
      </c>
      <c r="T1387" s="9">
        <v>4</v>
      </c>
    </row>
    <row r="1388" spans="17:20" x14ac:dyDescent="0.25">
      <c r="Q1388" s="9" t="s">
        <v>53</v>
      </c>
      <c r="R1388" s="9">
        <v>112</v>
      </c>
      <c r="S1388" s="9">
        <v>100</v>
      </c>
      <c r="T1388" s="9">
        <v>212</v>
      </c>
    </row>
    <row r="1389" spans="17:20" x14ac:dyDescent="0.25">
      <c r="Q1389" s="9" t="s">
        <v>54</v>
      </c>
      <c r="R1389" s="9">
        <v>56</v>
      </c>
      <c r="S1389" s="9">
        <v>50</v>
      </c>
      <c r="T1389" s="9">
        <v>53</v>
      </c>
    </row>
    <row r="1390" spans="17:20" x14ac:dyDescent="0.25">
      <c r="Q1390" s="9" t="s">
        <v>55</v>
      </c>
      <c r="R1390" s="9">
        <v>8</v>
      </c>
      <c r="S1390" s="9">
        <v>50</v>
      </c>
      <c r="T1390" s="9">
        <v>31.333333333333332</v>
      </c>
    </row>
    <row r="1391" spans="17:20" x14ac:dyDescent="0.25">
      <c r="Q1391" s="9"/>
      <c r="R1391" s="9"/>
      <c r="S1391" s="9"/>
      <c r="T1391" s="9"/>
    </row>
    <row r="1392" spans="17:20" x14ac:dyDescent="0.25">
      <c r="Q1392" s="14">
        <v>71</v>
      </c>
      <c r="R1392" s="14"/>
      <c r="S1392" s="14"/>
      <c r="T1392" s="14"/>
    </row>
    <row r="1393" spans="17:20" x14ac:dyDescent="0.25">
      <c r="Q1393" s="9" t="s">
        <v>52</v>
      </c>
      <c r="R1393" s="9">
        <v>2</v>
      </c>
      <c r="S1393" s="9">
        <v>2</v>
      </c>
      <c r="T1393" s="9">
        <v>4</v>
      </c>
    </row>
    <row r="1394" spans="17:20" x14ac:dyDescent="0.25">
      <c r="Q1394" s="9" t="s">
        <v>53</v>
      </c>
      <c r="R1394" s="9">
        <v>160</v>
      </c>
      <c r="S1394" s="9">
        <v>167</v>
      </c>
      <c r="T1394" s="9">
        <v>327</v>
      </c>
    </row>
    <row r="1395" spans="17:20" x14ac:dyDescent="0.25">
      <c r="Q1395" s="9" t="s">
        <v>54</v>
      </c>
      <c r="R1395" s="9">
        <v>80</v>
      </c>
      <c r="S1395" s="9">
        <v>83.5</v>
      </c>
      <c r="T1395" s="9">
        <v>81.75</v>
      </c>
    </row>
    <row r="1396" spans="17:20" x14ac:dyDescent="0.25">
      <c r="Q1396" s="9" t="s">
        <v>55</v>
      </c>
      <c r="R1396" s="9">
        <v>200</v>
      </c>
      <c r="S1396" s="9">
        <v>112.5</v>
      </c>
      <c r="T1396" s="9">
        <v>108.25</v>
      </c>
    </row>
    <row r="1397" spans="17:20" x14ac:dyDescent="0.25">
      <c r="Q1397" s="9"/>
      <c r="R1397" s="9"/>
      <c r="S1397" s="9"/>
      <c r="T1397" s="9"/>
    </row>
    <row r="1398" spans="17:20" x14ac:dyDescent="0.25">
      <c r="Q1398" s="14">
        <v>75</v>
      </c>
      <c r="R1398" s="14"/>
      <c r="S1398" s="14"/>
      <c r="T1398" s="14"/>
    </row>
    <row r="1399" spans="17:20" x14ac:dyDescent="0.25">
      <c r="Q1399" s="9" t="s">
        <v>52</v>
      </c>
      <c r="R1399" s="9">
        <v>2</v>
      </c>
      <c r="S1399" s="9">
        <v>2</v>
      </c>
      <c r="T1399" s="9">
        <v>4</v>
      </c>
    </row>
    <row r="1400" spans="17:20" x14ac:dyDescent="0.25">
      <c r="Q1400" s="9" t="s">
        <v>53</v>
      </c>
      <c r="R1400" s="9">
        <v>145</v>
      </c>
      <c r="S1400" s="9">
        <v>153</v>
      </c>
      <c r="T1400" s="9">
        <v>298</v>
      </c>
    </row>
    <row r="1401" spans="17:20" x14ac:dyDescent="0.25">
      <c r="Q1401" s="9" t="s">
        <v>54</v>
      </c>
      <c r="R1401" s="9">
        <v>72.5</v>
      </c>
      <c r="S1401" s="9">
        <v>76.5</v>
      </c>
      <c r="T1401" s="9">
        <v>74.5</v>
      </c>
    </row>
    <row r="1402" spans="17:20" x14ac:dyDescent="0.25">
      <c r="Q1402" s="9" t="s">
        <v>55</v>
      </c>
      <c r="R1402" s="9">
        <v>420.5</v>
      </c>
      <c r="S1402" s="9">
        <v>420.5</v>
      </c>
      <c r="T1402" s="9">
        <v>285.66666666666669</v>
      </c>
    </row>
    <row r="1403" spans="17:20" x14ac:dyDescent="0.25">
      <c r="Q1403" s="9"/>
      <c r="R1403" s="9"/>
      <c r="S1403" s="9"/>
      <c r="T1403" s="9"/>
    </row>
    <row r="1404" spans="17:20" x14ac:dyDescent="0.25">
      <c r="Q1404" s="14">
        <v>26</v>
      </c>
      <c r="R1404" s="14"/>
      <c r="S1404" s="14"/>
      <c r="T1404" s="14"/>
    </row>
    <row r="1405" spans="17:20" x14ac:dyDescent="0.25">
      <c r="Q1405" s="9" t="s">
        <v>52</v>
      </c>
      <c r="R1405" s="9">
        <v>2</v>
      </c>
      <c r="S1405" s="9">
        <v>2</v>
      </c>
      <c r="T1405" s="9">
        <v>4</v>
      </c>
    </row>
    <row r="1406" spans="17:20" x14ac:dyDescent="0.25">
      <c r="Q1406" s="9" t="s">
        <v>53</v>
      </c>
      <c r="R1406" s="9">
        <v>98</v>
      </c>
      <c r="S1406" s="9">
        <v>103</v>
      </c>
      <c r="T1406" s="9">
        <v>201</v>
      </c>
    </row>
    <row r="1407" spans="17:20" x14ac:dyDescent="0.25">
      <c r="Q1407" s="9" t="s">
        <v>54</v>
      </c>
      <c r="R1407" s="9">
        <v>49</v>
      </c>
      <c r="S1407" s="9">
        <v>51.5</v>
      </c>
      <c r="T1407" s="9">
        <v>50.25</v>
      </c>
    </row>
    <row r="1408" spans="17:20" x14ac:dyDescent="0.25">
      <c r="Q1408" s="9" t="s">
        <v>55</v>
      </c>
      <c r="R1408" s="9">
        <v>648</v>
      </c>
      <c r="S1408" s="9">
        <v>364.5</v>
      </c>
      <c r="T1408" s="9">
        <v>339.58333333333331</v>
      </c>
    </row>
    <row r="1409" spans="17:20" x14ac:dyDescent="0.25">
      <c r="Q1409" s="9"/>
      <c r="R1409" s="9"/>
      <c r="S1409" s="9"/>
      <c r="T1409" s="9"/>
    </row>
    <row r="1410" spans="17:20" x14ac:dyDescent="0.25">
      <c r="Q1410" s="14">
        <v>77</v>
      </c>
      <c r="R1410" s="14"/>
      <c r="S1410" s="14"/>
      <c r="T1410" s="14"/>
    </row>
    <row r="1411" spans="17:20" x14ac:dyDescent="0.25">
      <c r="Q1411" s="9" t="s">
        <v>52</v>
      </c>
      <c r="R1411" s="9">
        <v>2</v>
      </c>
      <c r="S1411" s="9">
        <v>2</v>
      </c>
      <c r="T1411" s="9">
        <v>4</v>
      </c>
    </row>
    <row r="1412" spans="17:20" x14ac:dyDescent="0.25">
      <c r="Q1412" s="9" t="s">
        <v>53</v>
      </c>
      <c r="R1412" s="9">
        <v>162</v>
      </c>
      <c r="S1412" s="9">
        <v>161</v>
      </c>
      <c r="T1412" s="9">
        <v>323</v>
      </c>
    </row>
    <row r="1413" spans="17:20" x14ac:dyDescent="0.25">
      <c r="Q1413" s="9" t="s">
        <v>54</v>
      </c>
      <c r="R1413" s="9">
        <v>81</v>
      </c>
      <c r="S1413" s="9">
        <v>80.5</v>
      </c>
      <c r="T1413" s="9">
        <v>80.75</v>
      </c>
    </row>
    <row r="1414" spans="17:20" x14ac:dyDescent="0.25">
      <c r="Q1414" s="9" t="s">
        <v>55</v>
      </c>
      <c r="R1414" s="9">
        <v>98</v>
      </c>
      <c r="S1414" s="9">
        <v>40.5</v>
      </c>
      <c r="T1414" s="9">
        <v>46.25</v>
      </c>
    </row>
    <row r="1415" spans="17:20" x14ac:dyDescent="0.25">
      <c r="Q1415" s="9"/>
      <c r="R1415" s="9"/>
      <c r="S1415" s="9"/>
      <c r="T1415" s="9"/>
    </row>
    <row r="1416" spans="17:20" x14ac:dyDescent="0.25">
      <c r="Q1416" s="14">
        <v>83</v>
      </c>
      <c r="R1416" s="14"/>
      <c r="S1416" s="14"/>
      <c r="T1416" s="14"/>
    </row>
    <row r="1417" spans="17:20" x14ac:dyDescent="0.25">
      <c r="Q1417" s="9" t="s">
        <v>52</v>
      </c>
      <c r="R1417" s="9">
        <v>2</v>
      </c>
      <c r="S1417" s="9">
        <v>2</v>
      </c>
      <c r="T1417" s="9">
        <v>4</v>
      </c>
    </row>
    <row r="1418" spans="17:20" x14ac:dyDescent="0.25">
      <c r="Q1418" s="9" t="s">
        <v>53</v>
      </c>
      <c r="R1418" s="9">
        <v>154</v>
      </c>
      <c r="S1418" s="9">
        <v>164</v>
      </c>
      <c r="T1418" s="9">
        <v>318</v>
      </c>
    </row>
    <row r="1419" spans="17:20" x14ac:dyDescent="0.25">
      <c r="Q1419" s="9" t="s">
        <v>54</v>
      </c>
      <c r="R1419" s="9">
        <v>77</v>
      </c>
      <c r="S1419" s="9">
        <v>82</v>
      </c>
      <c r="T1419" s="9">
        <v>79.5</v>
      </c>
    </row>
    <row r="1420" spans="17:20" x14ac:dyDescent="0.25">
      <c r="Q1420" s="9" t="s">
        <v>55</v>
      </c>
      <c r="R1420" s="9">
        <v>128</v>
      </c>
      <c r="S1420" s="9">
        <v>128</v>
      </c>
      <c r="T1420" s="9">
        <v>93.666666666666671</v>
      </c>
    </row>
    <row r="1421" spans="17:20" x14ac:dyDescent="0.25">
      <c r="Q1421" s="9"/>
      <c r="R1421" s="9"/>
      <c r="S1421" s="9"/>
      <c r="T1421" s="9"/>
    </row>
    <row r="1422" spans="17:20" x14ac:dyDescent="0.25">
      <c r="Q1422" s="14">
        <v>68</v>
      </c>
      <c r="R1422" s="14"/>
      <c r="S1422" s="14"/>
      <c r="T1422" s="14"/>
    </row>
    <row r="1423" spans="17:20" x14ac:dyDescent="0.25">
      <c r="Q1423" s="9" t="s">
        <v>52</v>
      </c>
      <c r="R1423" s="9">
        <v>2</v>
      </c>
      <c r="S1423" s="9">
        <v>2</v>
      </c>
      <c r="T1423" s="9">
        <v>4</v>
      </c>
    </row>
    <row r="1424" spans="17:20" x14ac:dyDescent="0.25">
      <c r="Q1424" s="9" t="s">
        <v>53</v>
      </c>
      <c r="R1424" s="9">
        <v>153</v>
      </c>
      <c r="S1424" s="9">
        <v>145</v>
      </c>
      <c r="T1424" s="9">
        <v>298</v>
      </c>
    </row>
    <row r="1425" spans="17:20" x14ac:dyDescent="0.25">
      <c r="Q1425" s="9" t="s">
        <v>54</v>
      </c>
      <c r="R1425" s="9">
        <v>76.5</v>
      </c>
      <c r="S1425" s="9">
        <v>72.5</v>
      </c>
      <c r="T1425" s="9">
        <v>74.5</v>
      </c>
    </row>
    <row r="1426" spans="17:20" x14ac:dyDescent="0.25">
      <c r="Q1426" s="9" t="s">
        <v>55</v>
      </c>
      <c r="R1426" s="9">
        <v>180.5</v>
      </c>
      <c r="S1426" s="9">
        <v>264.5</v>
      </c>
      <c r="T1426" s="9">
        <v>153.66666666666666</v>
      </c>
    </row>
    <row r="1427" spans="17:20" x14ac:dyDescent="0.25">
      <c r="Q1427" s="9"/>
      <c r="R1427" s="9"/>
      <c r="S1427" s="9"/>
      <c r="T1427" s="9"/>
    </row>
    <row r="1428" spans="17:20" x14ac:dyDescent="0.25">
      <c r="Q1428" s="14">
        <v>90</v>
      </c>
      <c r="R1428" s="14"/>
      <c r="S1428" s="14"/>
      <c r="T1428" s="14"/>
    </row>
    <row r="1429" spans="17:20" x14ac:dyDescent="0.25">
      <c r="Q1429" s="9" t="s">
        <v>52</v>
      </c>
      <c r="R1429" s="9">
        <v>2</v>
      </c>
      <c r="S1429" s="9">
        <v>2</v>
      </c>
      <c r="T1429" s="9">
        <v>4</v>
      </c>
    </row>
    <row r="1430" spans="17:20" x14ac:dyDescent="0.25">
      <c r="Q1430" s="9" t="s">
        <v>53</v>
      </c>
      <c r="R1430" s="9">
        <v>166</v>
      </c>
      <c r="S1430" s="9">
        <v>174</v>
      </c>
      <c r="T1430" s="9">
        <v>340</v>
      </c>
    </row>
    <row r="1431" spans="17:20" x14ac:dyDescent="0.25">
      <c r="Q1431" s="9" t="s">
        <v>54</v>
      </c>
      <c r="R1431" s="9">
        <v>83</v>
      </c>
      <c r="S1431" s="9">
        <v>87</v>
      </c>
      <c r="T1431" s="9">
        <v>85</v>
      </c>
    </row>
    <row r="1432" spans="17:20" x14ac:dyDescent="0.25">
      <c r="Q1432" s="9" t="s">
        <v>55</v>
      </c>
      <c r="R1432" s="9">
        <v>98</v>
      </c>
      <c r="S1432" s="9">
        <v>32</v>
      </c>
      <c r="T1432" s="9">
        <v>48.666666666666664</v>
      </c>
    </row>
    <row r="1433" spans="17:20" x14ac:dyDescent="0.25">
      <c r="Q1433" s="9"/>
      <c r="R1433" s="9"/>
      <c r="S1433" s="9"/>
      <c r="T1433" s="9"/>
    </row>
    <row r="1434" spans="17:20" x14ac:dyDescent="0.25">
      <c r="Q1434" s="14">
        <v>76</v>
      </c>
      <c r="R1434" s="14"/>
      <c r="S1434" s="14"/>
      <c r="T1434" s="14"/>
    </row>
    <row r="1435" spans="17:20" x14ac:dyDescent="0.25">
      <c r="Q1435" s="9" t="s">
        <v>52</v>
      </c>
      <c r="R1435" s="9">
        <v>2</v>
      </c>
      <c r="S1435" s="9">
        <v>2</v>
      </c>
      <c r="T1435" s="9">
        <v>4</v>
      </c>
    </row>
    <row r="1436" spans="17:20" x14ac:dyDescent="0.25">
      <c r="Q1436" s="9" t="s">
        <v>53</v>
      </c>
      <c r="R1436" s="9">
        <v>130</v>
      </c>
      <c r="S1436" s="9">
        <v>138</v>
      </c>
      <c r="T1436" s="9">
        <v>268</v>
      </c>
    </row>
    <row r="1437" spans="17:20" x14ac:dyDescent="0.25">
      <c r="Q1437" s="9" t="s">
        <v>54</v>
      </c>
      <c r="R1437" s="9">
        <v>65</v>
      </c>
      <c r="S1437" s="9">
        <v>69</v>
      </c>
      <c r="T1437" s="9">
        <v>67</v>
      </c>
    </row>
    <row r="1438" spans="17:20" x14ac:dyDescent="0.25">
      <c r="Q1438" s="9" t="s">
        <v>55</v>
      </c>
      <c r="R1438" s="9">
        <v>18</v>
      </c>
      <c r="S1438" s="9">
        <v>18</v>
      </c>
      <c r="T1438" s="9">
        <v>17.333333333333332</v>
      </c>
    </row>
    <row r="1439" spans="17:20" x14ac:dyDescent="0.25">
      <c r="Q1439" s="9"/>
      <c r="R1439" s="9"/>
      <c r="S1439" s="9"/>
      <c r="T1439" s="9"/>
    </row>
    <row r="1440" spans="17:20" x14ac:dyDescent="0.25">
      <c r="Q1440" s="14">
        <v>55</v>
      </c>
      <c r="R1440" s="14"/>
      <c r="S1440" s="14"/>
      <c r="T1440" s="14"/>
    </row>
    <row r="1441" spans="17:20" x14ac:dyDescent="0.25">
      <c r="Q1441" s="9" t="s">
        <v>52</v>
      </c>
      <c r="R1441" s="9">
        <v>2</v>
      </c>
      <c r="S1441" s="9">
        <v>2</v>
      </c>
      <c r="T1441" s="9">
        <v>4</v>
      </c>
    </row>
    <row r="1442" spans="17:20" x14ac:dyDescent="0.25">
      <c r="Q1442" s="9" t="s">
        <v>53</v>
      </c>
      <c r="R1442" s="9">
        <v>135</v>
      </c>
      <c r="S1442" s="9">
        <v>137</v>
      </c>
      <c r="T1442" s="9">
        <v>272</v>
      </c>
    </row>
    <row r="1443" spans="17:20" x14ac:dyDescent="0.25">
      <c r="Q1443" s="9" t="s">
        <v>54</v>
      </c>
      <c r="R1443" s="9">
        <v>67.5</v>
      </c>
      <c r="S1443" s="9">
        <v>68.5</v>
      </c>
      <c r="T1443" s="9">
        <v>68</v>
      </c>
    </row>
    <row r="1444" spans="17:20" x14ac:dyDescent="0.25">
      <c r="Q1444" s="9" t="s">
        <v>55</v>
      </c>
      <c r="R1444" s="9">
        <v>24.5</v>
      </c>
      <c r="S1444" s="9">
        <v>4.5</v>
      </c>
      <c r="T1444" s="9">
        <v>10</v>
      </c>
    </row>
    <row r="1445" spans="17:20" x14ac:dyDescent="0.25">
      <c r="Q1445" s="9"/>
      <c r="R1445" s="9"/>
      <c r="S1445" s="9"/>
      <c r="T1445" s="9"/>
    </row>
    <row r="1446" spans="17:20" x14ac:dyDescent="0.25">
      <c r="Q1446" s="14">
        <v>73</v>
      </c>
      <c r="R1446" s="14"/>
      <c r="S1446" s="14"/>
      <c r="T1446" s="14"/>
    </row>
    <row r="1447" spans="17:20" x14ac:dyDescent="0.25">
      <c r="Q1447" s="9" t="s">
        <v>52</v>
      </c>
      <c r="R1447" s="9">
        <v>2</v>
      </c>
      <c r="S1447" s="9">
        <v>2</v>
      </c>
      <c r="T1447" s="9">
        <v>4</v>
      </c>
    </row>
    <row r="1448" spans="17:20" x14ac:dyDescent="0.25">
      <c r="Q1448" s="9" t="s">
        <v>53</v>
      </c>
      <c r="R1448" s="9">
        <v>130</v>
      </c>
      <c r="S1448" s="9">
        <v>124</v>
      </c>
      <c r="T1448" s="9">
        <v>254</v>
      </c>
    </row>
    <row r="1449" spans="17:20" x14ac:dyDescent="0.25">
      <c r="Q1449" s="9" t="s">
        <v>54</v>
      </c>
      <c r="R1449" s="9">
        <v>65</v>
      </c>
      <c r="S1449" s="9">
        <v>62</v>
      </c>
      <c r="T1449" s="9">
        <v>63.5</v>
      </c>
    </row>
    <row r="1450" spans="17:20" x14ac:dyDescent="0.25">
      <c r="Q1450" s="9" t="s">
        <v>55</v>
      </c>
      <c r="R1450" s="9">
        <v>72</v>
      </c>
      <c r="S1450" s="9">
        <v>72</v>
      </c>
      <c r="T1450" s="9">
        <v>51</v>
      </c>
    </row>
    <row r="1451" spans="17:20" x14ac:dyDescent="0.25">
      <c r="Q1451" s="9"/>
      <c r="R1451" s="9"/>
      <c r="S1451" s="9"/>
      <c r="T1451" s="9"/>
    </row>
    <row r="1452" spans="17:20" x14ac:dyDescent="0.25">
      <c r="Q1452" s="14">
        <v>68</v>
      </c>
      <c r="R1452" s="14"/>
      <c r="S1452" s="14"/>
      <c r="T1452" s="14"/>
    </row>
    <row r="1453" spans="17:20" x14ac:dyDescent="0.25">
      <c r="Q1453" s="9" t="s">
        <v>52</v>
      </c>
      <c r="R1453" s="9">
        <v>2</v>
      </c>
      <c r="S1453" s="9">
        <v>2</v>
      </c>
      <c r="T1453" s="9">
        <v>4</v>
      </c>
    </row>
    <row r="1454" spans="17:20" x14ac:dyDescent="0.25">
      <c r="Q1454" s="9" t="s">
        <v>53</v>
      </c>
      <c r="R1454" s="9">
        <v>120</v>
      </c>
      <c r="S1454" s="9">
        <v>107</v>
      </c>
      <c r="T1454" s="9">
        <v>227</v>
      </c>
    </row>
    <row r="1455" spans="17:20" x14ac:dyDescent="0.25">
      <c r="Q1455" s="9" t="s">
        <v>54</v>
      </c>
      <c r="R1455" s="9">
        <v>60</v>
      </c>
      <c r="S1455" s="9">
        <v>53.5</v>
      </c>
      <c r="T1455" s="9">
        <v>56.75</v>
      </c>
    </row>
    <row r="1456" spans="17:20" x14ac:dyDescent="0.25">
      <c r="Q1456" s="9" t="s">
        <v>55</v>
      </c>
      <c r="R1456" s="9">
        <v>128</v>
      </c>
      <c r="S1456" s="9">
        <v>112.5</v>
      </c>
      <c r="T1456" s="9">
        <v>94.25</v>
      </c>
    </row>
    <row r="1457" spans="17:20" x14ac:dyDescent="0.25">
      <c r="Q1457" s="9"/>
      <c r="R1457" s="9"/>
      <c r="S1457" s="9"/>
      <c r="T1457" s="9"/>
    </row>
    <row r="1458" spans="17:20" x14ac:dyDescent="0.25">
      <c r="Q1458" s="14">
        <v>49</v>
      </c>
      <c r="R1458" s="14"/>
      <c r="S1458" s="14"/>
      <c r="T1458" s="14"/>
    </row>
    <row r="1459" spans="17:20" x14ac:dyDescent="0.25">
      <c r="Q1459" s="9" t="s">
        <v>52</v>
      </c>
      <c r="R1459" s="9">
        <v>2</v>
      </c>
      <c r="S1459" s="9">
        <v>2</v>
      </c>
      <c r="T1459" s="9">
        <v>4</v>
      </c>
    </row>
    <row r="1460" spans="17:20" x14ac:dyDescent="0.25">
      <c r="Q1460" s="9" t="s">
        <v>53</v>
      </c>
      <c r="R1460" s="9">
        <v>126</v>
      </c>
      <c r="S1460" s="9">
        <v>125</v>
      </c>
      <c r="T1460" s="9">
        <v>251</v>
      </c>
    </row>
    <row r="1461" spans="17:20" x14ac:dyDescent="0.25">
      <c r="Q1461" s="9" t="s">
        <v>54</v>
      </c>
      <c r="R1461" s="9">
        <v>63</v>
      </c>
      <c r="S1461" s="9">
        <v>62.5</v>
      </c>
      <c r="T1461" s="9">
        <v>62.75</v>
      </c>
    </row>
    <row r="1462" spans="17:20" x14ac:dyDescent="0.25">
      <c r="Q1462" s="9" t="s">
        <v>55</v>
      </c>
      <c r="R1462" s="9">
        <v>242</v>
      </c>
      <c r="S1462" s="9">
        <v>144.5</v>
      </c>
      <c r="T1462" s="9">
        <v>128.91666666666666</v>
      </c>
    </row>
    <row r="1463" spans="17:20" x14ac:dyDescent="0.25">
      <c r="Q1463" s="9"/>
      <c r="R1463" s="9"/>
      <c r="S1463" s="9"/>
      <c r="T1463" s="9"/>
    </row>
    <row r="1464" spans="17:20" x14ac:dyDescent="0.25">
      <c r="Q1464" s="14">
        <v>61</v>
      </c>
      <c r="R1464" s="14"/>
      <c r="S1464" s="14"/>
      <c r="T1464" s="14"/>
    </row>
    <row r="1465" spans="17:20" x14ac:dyDescent="0.25">
      <c r="Q1465" s="9" t="s">
        <v>52</v>
      </c>
      <c r="R1465" s="9">
        <v>2</v>
      </c>
      <c r="S1465" s="9">
        <v>2</v>
      </c>
      <c r="T1465" s="9">
        <v>4</v>
      </c>
    </row>
    <row r="1466" spans="17:20" x14ac:dyDescent="0.25">
      <c r="Q1466" s="9" t="s">
        <v>53</v>
      </c>
      <c r="R1466" s="9">
        <v>122</v>
      </c>
      <c r="S1466" s="9">
        <v>130</v>
      </c>
      <c r="T1466" s="9">
        <v>252</v>
      </c>
    </row>
    <row r="1467" spans="17:20" x14ac:dyDescent="0.25">
      <c r="Q1467" s="9" t="s">
        <v>54</v>
      </c>
      <c r="R1467" s="9">
        <v>61</v>
      </c>
      <c r="S1467" s="9">
        <v>65</v>
      </c>
      <c r="T1467" s="9">
        <v>63</v>
      </c>
    </row>
    <row r="1468" spans="17:20" x14ac:dyDescent="0.25">
      <c r="Q1468" s="9" t="s">
        <v>55</v>
      </c>
      <c r="R1468" s="9">
        <v>392</v>
      </c>
      <c r="S1468" s="9">
        <v>162</v>
      </c>
      <c r="T1468" s="9">
        <v>190</v>
      </c>
    </row>
    <row r="1469" spans="17:20" x14ac:dyDescent="0.25">
      <c r="Q1469" s="9"/>
      <c r="R1469" s="9"/>
      <c r="S1469" s="9"/>
      <c r="T1469" s="9"/>
    </row>
    <row r="1470" spans="17:20" x14ac:dyDescent="0.25">
      <c r="Q1470" s="14">
        <v>64</v>
      </c>
      <c r="R1470" s="14"/>
      <c r="S1470" s="14"/>
      <c r="T1470" s="14"/>
    </row>
    <row r="1471" spans="17:20" x14ac:dyDescent="0.25">
      <c r="Q1471" s="9" t="s">
        <v>52</v>
      </c>
      <c r="R1471" s="9">
        <v>2</v>
      </c>
      <c r="S1471" s="9">
        <v>2</v>
      </c>
      <c r="T1471" s="9">
        <v>4</v>
      </c>
    </row>
    <row r="1472" spans="17:20" x14ac:dyDescent="0.25">
      <c r="Q1472" s="9" t="s">
        <v>53</v>
      </c>
      <c r="R1472" s="9">
        <v>135</v>
      </c>
      <c r="S1472" s="9">
        <v>139</v>
      </c>
      <c r="T1472" s="9">
        <v>274</v>
      </c>
    </row>
    <row r="1473" spans="17:20" x14ac:dyDescent="0.25">
      <c r="Q1473" s="9" t="s">
        <v>54</v>
      </c>
      <c r="R1473" s="9">
        <v>67.5</v>
      </c>
      <c r="S1473" s="9">
        <v>69.5</v>
      </c>
      <c r="T1473" s="9">
        <v>68.5</v>
      </c>
    </row>
    <row r="1474" spans="17:20" x14ac:dyDescent="0.25">
      <c r="Q1474" s="9" t="s">
        <v>55</v>
      </c>
      <c r="R1474" s="9">
        <v>420.5</v>
      </c>
      <c r="S1474" s="9">
        <v>312.5</v>
      </c>
      <c r="T1474" s="9">
        <v>245.66666666666666</v>
      </c>
    </row>
    <row r="1475" spans="17:20" x14ac:dyDescent="0.25">
      <c r="Q1475" s="9"/>
      <c r="R1475" s="9"/>
      <c r="S1475" s="9"/>
      <c r="T1475" s="9"/>
    </row>
    <row r="1476" spans="17:20" x14ac:dyDescent="0.25">
      <c r="Q1476" s="14">
        <v>65</v>
      </c>
      <c r="R1476" s="14"/>
      <c r="S1476" s="14"/>
      <c r="T1476" s="14"/>
    </row>
    <row r="1477" spans="17:20" x14ac:dyDescent="0.25">
      <c r="Q1477" s="9" t="s">
        <v>52</v>
      </c>
      <c r="R1477" s="9">
        <v>2</v>
      </c>
      <c r="S1477" s="9">
        <v>2</v>
      </c>
      <c r="T1477" s="9">
        <v>4</v>
      </c>
    </row>
    <row r="1478" spans="17:20" x14ac:dyDescent="0.25">
      <c r="Q1478" s="9" t="s">
        <v>53</v>
      </c>
      <c r="R1478" s="9">
        <v>149</v>
      </c>
      <c r="S1478" s="9">
        <v>146</v>
      </c>
      <c r="T1478" s="9">
        <v>295</v>
      </c>
    </row>
    <row r="1479" spans="17:20" x14ac:dyDescent="0.25">
      <c r="Q1479" s="9" t="s">
        <v>54</v>
      </c>
      <c r="R1479" s="9">
        <v>74.5</v>
      </c>
      <c r="S1479" s="9">
        <v>73</v>
      </c>
      <c r="T1479" s="9">
        <v>73.75</v>
      </c>
    </row>
    <row r="1480" spans="17:20" x14ac:dyDescent="0.25">
      <c r="Q1480" s="9" t="s">
        <v>55</v>
      </c>
      <c r="R1480" s="9">
        <v>220.5</v>
      </c>
      <c r="S1480" s="9">
        <v>18</v>
      </c>
      <c r="T1480" s="9">
        <v>80.25</v>
      </c>
    </row>
    <row r="1481" spans="17:20" x14ac:dyDescent="0.25">
      <c r="Q1481" s="9"/>
      <c r="R1481" s="9"/>
      <c r="S1481" s="9"/>
      <c r="T1481" s="9"/>
    </row>
    <row r="1482" spans="17:20" x14ac:dyDescent="0.25">
      <c r="Q1482" s="14">
        <v>83</v>
      </c>
      <c r="R1482" s="14"/>
      <c r="S1482" s="14"/>
      <c r="T1482" s="14"/>
    </row>
    <row r="1483" spans="17:20" x14ac:dyDescent="0.25">
      <c r="Q1483" s="9" t="s">
        <v>52</v>
      </c>
      <c r="R1483" s="9">
        <v>2</v>
      </c>
      <c r="S1483" s="9">
        <v>2</v>
      </c>
      <c r="T1483" s="9">
        <v>4</v>
      </c>
    </row>
    <row r="1484" spans="17:20" x14ac:dyDescent="0.25">
      <c r="Q1484" s="9" t="s">
        <v>53</v>
      </c>
      <c r="R1484" s="9">
        <v>171</v>
      </c>
      <c r="S1484" s="9">
        <v>180</v>
      </c>
      <c r="T1484" s="9">
        <v>351</v>
      </c>
    </row>
    <row r="1485" spans="17:20" x14ac:dyDescent="0.25">
      <c r="Q1485" s="9" t="s">
        <v>54</v>
      </c>
      <c r="R1485" s="9">
        <v>85.5</v>
      </c>
      <c r="S1485" s="9">
        <v>90</v>
      </c>
      <c r="T1485" s="9">
        <v>87.75</v>
      </c>
    </row>
    <row r="1486" spans="17:20" x14ac:dyDescent="0.25">
      <c r="Q1486" s="9" t="s">
        <v>55</v>
      </c>
      <c r="R1486" s="9">
        <v>12.5</v>
      </c>
      <c r="S1486" s="9">
        <v>0</v>
      </c>
      <c r="T1486" s="9">
        <v>10.916666666666666</v>
      </c>
    </row>
    <row r="1487" spans="17:20" x14ac:dyDescent="0.25">
      <c r="Q1487" s="9"/>
      <c r="R1487" s="9"/>
      <c r="S1487" s="9"/>
      <c r="T1487" s="9"/>
    </row>
    <row r="1488" spans="17:20" x14ac:dyDescent="0.25">
      <c r="Q1488" s="14">
        <v>54</v>
      </c>
      <c r="R1488" s="14"/>
      <c r="S1488" s="14"/>
      <c r="T1488" s="14"/>
    </row>
    <row r="1489" spans="17:20" x14ac:dyDescent="0.25">
      <c r="Q1489" s="9" t="s">
        <v>52</v>
      </c>
      <c r="R1489" s="9">
        <v>2</v>
      </c>
      <c r="S1489" s="9">
        <v>2</v>
      </c>
      <c r="T1489" s="9">
        <v>4</v>
      </c>
    </row>
    <row r="1490" spans="17:20" x14ac:dyDescent="0.25">
      <c r="Q1490" s="9" t="s">
        <v>53</v>
      </c>
      <c r="R1490" s="9">
        <v>128</v>
      </c>
      <c r="S1490" s="9">
        <v>134</v>
      </c>
      <c r="T1490" s="9">
        <v>262</v>
      </c>
    </row>
    <row r="1491" spans="17:20" x14ac:dyDescent="0.25">
      <c r="Q1491" s="9" t="s">
        <v>54</v>
      </c>
      <c r="R1491" s="9">
        <v>64</v>
      </c>
      <c r="S1491" s="9">
        <v>67</v>
      </c>
      <c r="T1491" s="9">
        <v>65.5</v>
      </c>
    </row>
    <row r="1492" spans="17:20" x14ac:dyDescent="0.25">
      <c r="Q1492" s="9" t="s">
        <v>55</v>
      </c>
      <c r="R1492" s="9">
        <v>0</v>
      </c>
      <c r="S1492" s="9">
        <v>2</v>
      </c>
      <c r="T1492" s="9">
        <v>3.6666666666666665</v>
      </c>
    </row>
    <row r="1493" spans="17:20" x14ac:dyDescent="0.25">
      <c r="Q1493" s="9"/>
      <c r="R1493" s="9"/>
      <c r="S1493" s="9"/>
      <c r="T1493" s="9"/>
    </row>
    <row r="1494" spans="17:20" x14ac:dyDescent="0.25">
      <c r="Q1494" s="14">
        <v>54</v>
      </c>
      <c r="R1494" s="14"/>
      <c r="S1494" s="14"/>
      <c r="T1494" s="14"/>
    </row>
    <row r="1495" spans="17:20" x14ac:dyDescent="0.25">
      <c r="Q1495" s="9" t="s">
        <v>52</v>
      </c>
      <c r="R1495" s="9">
        <v>2</v>
      </c>
      <c r="S1495" s="9">
        <v>2</v>
      </c>
      <c r="T1495" s="9">
        <v>4</v>
      </c>
    </row>
    <row r="1496" spans="17:20" x14ac:dyDescent="0.25">
      <c r="Q1496" s="9" t="s">
        <v>53</v>
      </c>
      <c r="R1496" s="9">
        <v>126</v>
      </c>
      <c r="S1496" s="9">
        <v>128</v>
      </c>
      <c r="T1496" s="9">
        <v>254</v>
      </c>
    </row>
    <row r="1497" spans="17:20" x14ac:dyDescent="0.25">
      <c r="Q1497" s="9" t="s">
        <v>54</v>
      </c>
      <c r="R1497" s="9">
        <v>63</v>
      </c>
      <c r="S1497" s="9">
        <v>64</v>
      </c>
      <c r="T1497" s="9">
        <v>63.5</v>
      </c>
    </row>
    <row r="1498" spans="17:20" x14ac:dyDescent="0.25">
      <c r="Q1498" s="9" t="s">
        <v>55</v>
      </c>
      <c r="R1498" s="9">
        <v>450</v>
      </c>
      <c r="S1498" s="9">
        <v>288</v>
      </c>
      <c r="T1498" s="9">
        <v>246.33333333333334</v>
      </c>
    </row>
    <row r="1499" spans="17:20" x14ac:dyDescent="0.25">
      <c r="Q1499" s="9"/>
      <c r="R1499" s="9"/>
      <c r="S1499" s="9"/>
      <c r="T1499" s="9"/>
    </row>
    <row r="1500" spans="17:20" x14ac:dyDescent="0.25">
      <c r="Q1500" s="14">
        <v>66</v>
      </c>
      <c r="R1500" s="14"/>
      <c r="S1500" s="14"/>
      <c r="T1500" s="14"/>
    </row>
    <row r="1501" spans="17:20" x14ac:dyDescent="0.25">
      <c r="Q1501" s="9" t="s">
        <v>52</v>
      </c>
      <c r="R1501" s="9">
        <v>2</v>
      </c>
      <c r="S1501" s="9">
        <v>2</v>
      </c>
      <c r="T1501" s="9">
        <v>4</v>
      </c>
    </row>
    <row r="1502" spans="17:20" x14ac:dyDescent="0.25">
      <c r="Q1502" s="9" t="s">
        <v>53</v>
      </c>
      <c r="R1502" s="9">
        <v>140</v>
      </c>
      <c r="S1502" s="9">
        <v>140</v>
      </c>
      <c r="T1502" s="9">
        <v>280</v>
      </c>
    </row>
    <row r="1503" spans="17:20" x14ac:dyDescent="0.25">
      <c r="Q1503" s="9" t="s">
        <v>54</v>
      </c>
      <c r="R1503" s="9">
        <v>70</v>
      </c>
      <c r="S1503" s="9">
        <v>70</v>
      </c>
      <c r="T1503" s="9">
        <v>70</v>
      </c>
    </row>
    <row r="1504" spans="17:20" x14ac:dyDescent="0.25">
      <c r="Q1504" s="9" t="s">
        <v>55</v>
      </c>
      <c r="R1504" s="9">
        <v>2</v>
      </c>
      <c r="S1504" s="9">
        <v>8</v>
      </c>
      <c r="T1504" s="9">
        <v>3.3333333333333335</v>
      </c>
    </row>
    <row r="1505" spans="17:20" x14ac:dyDescent="0.25">
      <c r="Q1505" s="9"/>
      <c r="R1505" s="9"/>
      <c r="S1505" s="9"/>
      <c r="T1505" s="9"/>
    </row>
    <row r="1506" spans="17:20" x14ac:dyDescent="0.25">
      <c r="Q1506" s="14">
        <v>74</v>
      </c>
      <c r="R1506" s="14"/>
      <c r="S1506" s="14"/>
      <c r="T1506" s="14"/>
    </row>
    <row r="1507" spans="17:20" x14ac:dyDescent="0.25">
      <c r="Q1507" s="9" t="s">
        <v>52</v>
      </c>
      <c r="R1507" s="9">
        <v>2</v>
      </c>
      <c r="S1507" s="9">
        <v>2</v>
      </c>
      <c r="T1507" s="9">
        <v>4</v>
      </c>
    </row>
    <row r="1508" spans="17:20" x14ac:dyDescent="0.25">
      <c r="Q1508" s="9" t="s">
        <v>53</v>
      </c>
      <c r="R1508" s="9">
        <v>166</v>
      </c>
      <c r="S1508" s="9">
        <v>174</v>
      </c>
      <c r="T1508" s="9">
        <v>340</v>
      </c>
    </row>
    <row r="1509" spans="17:20" x14ac:dyDescent="0.25">
      <c r="Q1509" s="9" t="s">
        <v>54</v>
      </c>
      <c r="R1509" s="9">
        <v>83</v>
      </c>
      <c r="S1509" s="9">
        <v>87</v>
      </c>
      <c r="T1509" s="9">
        <v>85</v>
      </c>
    </row>
    <row r="1510" spans="17:20" x14ac:dyDescent="0.25">
      <c r="Q1510" s="9" t="s">
        <v>55</v>
      </c>
      <c r="R1510" s="9">
        <v>32</v>
      </c>
      <c r="S1510" s="9">
        <v>50</v>
      </c>
      <c r="T1510" s="9">
        <v>32.666666666666664</v>
      </c>
    </row>
    <row r="1511" spans="17:20" x14ac:dyDescent="0.25">
      <c r="Q1511" s="9"/>
      <c r="R1511" s="9"/>
      <c r="S1511" s="9"/>
      <c r="T1511" s="9"/>
    </row>
    <row r="1512" spans="17:20" x14ac:dyDescent="0.25">
      <c r="Q1512" s="14">
        <v>63</v>
      </c>
      <c r="R1512" s="14"/>
      <c r="S1512" s="14"/>
      <c r="T1512" s="14"/>
    </row>
    <row r="1513" spans="17:20" x14ac:dyDescent="0.25">
      <c r="Q1513" s="9" t="s">
        <v>52</v>
      </c>
      <c r="R1513" s="9">
        <v>2</v>
      </c>
      <c r="S1513" s="9">
        <v>2</v>
      </c>
      <c r="T1513" s="9">
        <v>4</v>
      </c>
    </row>
    <row r="1514" spans="17:20" x14ac:dyDescent="0.25">
      <c r="Q1514" s="9" t="s">
        <v>53</v>
      </c>
      <c r="R1514" s="9">
        <v>150</v>
      </c>
      <c r="S1514" s="9">
        <v>146</v>
      </c>
      <c r="T1514" s="9">
        <v>296</v>
      </c>
    </row>
    <row r="1515" spans="17:20" x14ac:dyDescent="0.25">
      <c r="Q1515" s="9" t="s">
        <v>54</v>
      </c>
      <c r="R1515" s="9">
        <v>75</v>
      </c>
      <c r="S1515" s="9">
        <v>73</v>
      </c>
      <c r="T1515" s="9">
        <v>74</v>
      </c>
    </row>
    <row r="1516" spans="17:20" x14ac:dyDescent="0.25">
      <c r="Q1516" s="9" t="s">
        <v>55</v>
      </c>
      <c r="R1516" s="9">
        <v>392</v>
      </c>
      <c r="S1516" s="9">
        <v>722</v>
      </c>
      <c r="T1516" s="9">
        <v>372.66666666666669</v>
      </c>
    </row>
    <row r="1517" spans="17:20" x14ac:dyDescent="0.25">
      <c r="Q1517" s="9"/>
      <c r="R1517" s="9"/>
      <c r="S1517" s="9"/>
      <c r="T1517" s="9"/>
    </row>
    <row r="1518" spans="17:20" x14ac:dyDescent="0.25">
      <c r="Q1518" s="14">
        <v>40</v>
      </c>
      <c r="R1518" s="14"/>
      <c r="S1518" s="14"/>
      <c r="T1518" s="14"/>
    </row>
    <row r="1519" spans="17:20" x14ac:dyDescent="0.25">
      <c r="Q1519" s="9" t="s">
        <v>52</v>
      </c>
      <c r="R1519" s="9">
        <v>2</v>
      </c>
      <c r="S1519" s="9">
        <v>2</v>
      </c>
      <c r="T1519" s="9">
        <v>4</v>
      </c>
    </row>
    <row r="1520" spans="17:20" x14ac:dyDescent="0.25">
      <c r="Q1520" s="9" t="s">
        <v>53</v>
      </c>
      <c r="R1520" s="9">
        <v>141</v>
      </c>
      <c r="S1520" s="9">
        <v>134</v>
      </c>
      <c r="T1520" s="9">
        <v>275</v>
      </c>
    </row>
    <row r="1521" spans="17:20" x14ac:dyDescent="0.25">
      <c r="Q1521" s="9" t="s">
        <v>54</v>
      </c>
      <c r="R1521" s="9">
        <v>70.5</v>
      </c>
      <c r="S1521" s="9">
        <v>67</v>
      </c>
      <c r="T1521" s="9">
        <v>68.75</v>
      </c>
    </row>
    <row r="1522" spans="17:20" x14ac:dyDescent="0.25">
      <c r="Q1522" s="9" t="s">
        <v>55</v>
      </c>
      <c r="R1522" s="9">
        <v>264.5</v>
      </c>
      <c r="S1522" s="9">
        <v>338</v>
      </c>
      <c r="T1522" s="9">
        <v>204.91666666666666</v>
      </c>
    </row>
    <row r="1523" spans="17:20" x14ac:dyDescent="0.25">
      <c r="Q1523" s="9"/>
      <c r="R1523" s="9"/>
      <c r="S1523" s="9"/>
      <c r="T1523" s="9"/>
    </row>
    <row r="1524" spans="17:20" x14ac:dyDescent="0.25">
      <c r="Q1524" s="14">
        <v>68</v>
      </c>
      <c r="R1524" s="14"/>
      <c r="S1524" s="14"/>
      <c r="T1524" s="14"/>
    </row>
    <row r="1525" spans="17:20" x14ac:dyDescent="0.25">
      <c r="Q1525" s="9" t="s">
        <v>52</v>
      </c>
      <c r="R1525" s="9">
        <v>2</v>
      </c>
      <c r="S1525" s="9">
        <v>2</v>
      </c>
      <c r="T1525" s="9">
        <v>4</v>
      </c>
    </row>
    <row r="1526" spans="17:20" x14ac:dyDescent="0.25">
      <c r="Q1526" s="9" t="s">
        <v>53</v>
      </c>
      <c r="R1526" s="9">
        <v>129</v>
      </c>
      <c r="S1526" s="9">
        <v>120</v>
      </c>
      <c r="T1526" s="9">
        <v>249</v>
      </c>
    </row>
    <row r="1527" spans="17:20" x14ac:dyDescent="0.25">
      <c r="Q1527" s="9" t="s">
        <v>54</v>
      </c>
      <c r="R1527" s="9">
        <v>64.5</v>
      </c>
      <c r="S1527" s="9">
        <v>60</v>
      </c>
      <c r="T1527" s="9">
        <v>62.25</v>
      </c>
    </row>
    <row r="1528" spans="17:20" x14ac:dyDescent="0.25">
      <c r="Q1528" s="9" t="s">
        <v>55</v>
      </c>
      <c r="R1528" s="9">
        <v>60.5</v>
      </c>
      <c r="S1528" s="9">
        <v>72</v>
      </c>
      <c r="T1528" s="9">
        <v>50.916666666666664</v>
      </c>
    </row>
    <row r="1529" spans="17:20" x14ac:dyDescent="0.25">
      <c r="Q1529" s="9"/>
      <c r="R1529" s="9"/>
      <c r="S1529" s="9"/>
      <c r="T1529" s="9"/>
    </row>
    <row r="1530" spans="17:20" x14ac:dyDescent="0.25">
      <c r="Q1530" s="14">
        <v>79</v>
      </c>
      <c r="R1530" s="14"/>
      <c r="S1530" s="14"/>
      <c r="T1530" s="14"/>
    </row>
    <row r="1531" spans="17:20" x14ac:dyDescent="0.25">
      <c r="Q1531" s="9" t="s">
        <v>52</v>
      </c>
      <c r="R1531" s="9">
        <v>2</v>
      </c>
      <c r="S1531" s="9">
        <v>2</v>
      </c>
      <c r="T1531" s="9">
        <v>4</v>
      </c>
    </row>
    <row r="1532" spans="17:20" x14ac:dyDescent="0.25">
      <c r="Q1532" s="9" t="s">
        <v>53</v>
      </c>
      <c r="R1532" s="9">
        <v>170</v>
      </c>
      <c r="S1532" s="9">
        <v>164</v>
      </c>
      <c r="T1532" s="9">
        <v>334</v>
      </c>
    </row>
    <row r="1533" spans="17:20" x14ac:dyDescent="0.25">
      <c r="Q1533" s="9" t="s">
        <v>54</v>
      </c>
      <c r="R1533" s="9">
        <v>85</v>
      </c>
      <c r="S1533" s="9">
        <v>82</v>
      </c>
      <c r="T1533" s="9">
        <v>83.5</v>
      </c>
    </row>
    <row r="1534" spans="17:20" x14ac:dyDescent="0.25">
      <c r="Q1534" s="9" t="s">
        <v>55</v>
      </c>
      <c r="R1534" s="9">
        <v>98</v>
      </c>
      <c r="S1534" s="9">
        <v>50</v>
      </c>
      <c r="T1534" s="9">
        <v>52.333333333333336</v>
      </c>
    </row>
    <row r="1535" spans="17:20" x14ac:dyDescent="0.25">
      <c r="Q1535" s="9"/>
      <c r="R1535" s="9"/>
      <c r="S1535" s="9"/>
      <c r="T1535" s="9"/>
    </row>
    <row r="1536" spans="17:20" x14ac:dyDescent="0.25">
      <c r="Q1536" s="14">
        <v>76</v>
      </c>
      <c r="R1536" s="14"/>
      <c r="S1536" s="14"/>
      <c r="T1536" s="14"/>
    </row>
    <row r="1537" spans="17:20" x14ac:dyDescent="0.25">
      <c r="Q1537" s="9" t="s">
        <v>52</v>
      </c>
      <c r="R1537" s="9">
        <v>2</v>
      </c>
      <c r="S1537" s="9">
        <v>2</v>
      </c>
      <c r="T1537" s="9">
        <v>4</v>
      </c>
    </row>
    <row r="1538" spans="17:20" x14ac:dyDescent="0.25">
      <c r="Q1538" s="9" t="s">
        <v>53</v>
      </c>
      <c r="R1538" s="9">
        <v>121</v>
      </c>
      <c r="S1538" s="9">
        <v>116</v>
      </c>
      <c r="T1538" s="9">
        <v>237</v>
      </c>
    </row>
    <row r="1539" spans="17:20" x14ac:dyDescent="0.25">
      <c r="Q1539" s="9" t="s">
        <v>54</v>
      </c>
      <c r="R1539" s="9">
        <v>60.5</v>
      </c>
      <c r="S1539" s="9">
        <v>58</v>
      </c>
      <c r="T1539" s="9">
        <v>59.25</v>
      </c>
    </row>
    <row r="1540" spans="17:20" x14ac:dyDescent="0.25">
      <c r="Q1540" s="9" t="s">
        <v>55</v>
      </c>
      <c r="R1540" s="9">
        <v>220.5</v>
      </c>
      <c r="S1540" s="9">
        <v>450</v>
      </c>
      <c r="T1540" s="9">
        <v>225.58333333333334</v>
      </c>
    </row>
    <row r="1541" spans="17:20" x14ac:dyDescent="0.25">
      <c r="Q1541" s="9"/>
      <c r="R1541" s="9"/>
      <c r="S1541" s="9"/>
      <c r="T1541" s="9"/>
    </row>
    <row r="1542" spans="17:20" x14ac:dyDescent="0.25">
      <c r="Q1542" s="14">
        <v>62</v>
      </c>
      <c r="R1542" s="14"/>
      <c r="S1542" s="14"/>
      <c r="T1542" s="14"/>
    </row>
    <row r="1543" spans="17:20" x14ac:dyDescent="0.25">
      <c r="Q1543" s="9" t="s">
        <v>52</v>
      </c>
      <c r="R1543" s="9">
        <v>2</v>
      </c>
      <c r="S1543" s="9">
        <v>2</v>
      </c>
      <c r="T1543" s="9">
        <v>4</v>
      </c>
    </row>
    <row r="1544" spans="17:20" x14ac:dyDescent="0.25">
      <c r="Q1544" s="9" t="s">
        <v>53</v>
      </c>
      <c r="R1544" s="9">
        <v>110</v>
      </c>
      <c r="S1544" s="9">
        <v>114</v>
      </c>
      <c r="T1544" s="9">
        <v>224</v>
      </c>
    </row>
    <row r="1545" spans="17:20" x14ac:dyDescent="0.25">
      <c r="Q1545" s="9" t="s">
        <v>54</v>
      </c>
      <c r="R1545" s="9">
        <v>55</v>
      </c>
      <c r="S1545" s="9">
        <v>57</v>
      </c>
      <c r="T1545" s="9">
        <v>56</v>
      </c>
    </row>
    <row r="1546" spans="17:20" x14ac:dyDescent="0.25">
      <c r="Q1546" s="9" t="s">
        <v>55</v>
      </c>
      <c r="R1546" s="9">
        <v>72</v>
      </c>
      <c r="S1546" s="9">
        <v>50</v>
      </c>
      <c r="T1546" s="9">
        <v>42</v>
      </c>
    </row>
    <row r="1547" spans="17:20" x14ac:dyDescent="0.25">
      <c r="Q1547" s="9"/>
      <c r="R1547" s="9"/>
      <c r="S1547" s="9"/>
      <c r="T1547" s="9"/>
    </row>
    <row r="1548" spans="17:20" x14ac:dyDescent="0.25">
      <c r="Q1548" s="14">
        <v>77</v>
      </c>
      <c r="R1548" s="14"/>
      <c r="S1548" s="14"/>
      <c r="T1548" s="14"/>
    </row>
    <row r="1549" spans="17:20" x14ac:dyDescent="0.25">
      <c r="Q1549" s="9" t="s">
        <v>52</v>
      </c>
      <c r="R1549" s="9">
        <v>2</v>
      </c>
      <c r="S1549" s="9">
        <v>2</v>
      </c>
      <c r="T1549" s="9">
        <v>4</v>
      </c>
    </row>
    <row r="1550" spans="17:20" x14ac:dyDescent="0.25">
      <c r="Q1550" s="9" t="s">
        <v>53</v>
      </c>
      <c r="R1550" s="9">
        <v>184</v>
      </c>
      <c r="S1550" s="9">
        <v>179</v>
      </c>
      <c r="T1550" s="9">
        <v>363</v>
      </c>
    </row>
    <row r="1551" spans="17:20" x14ac:dyDescent="0.25">
      <c r="Q1551" s="9" t="s">
        <v>54</v>
      </c>
      <c r="R1551" s="9">
        <v>92</v>
      </c>
      <c r="S1551" s="9">
        <v>89.5</v>
      </c>
      <c r="T1551" s="9">
        <v>90.75</v>
      </c>
    </row>
    <row r="1552" spans="17:20" x14ac:dyDescent="0.25">
      <c r="Q1552" s="9" t="s">
        <v>55</v>
      </c>
      <c r="R1552" s="9">
        <v>50</v>
      </c>
      <c r="S1552" s="9">
        <v>40.5</v>
      </c>
      <c r="T1552" s="9">
        <v>32.25</v>
      </c>
    </row>
    <row r="1553" spans="17:20" x14ac:dyDescent="0.25">
      <c r="Q1553" s="9"/>
      <c r="R1553" s="9"/>
      <c r="S1553" s="9"/>
      <c r="T1553" s="9"/>
    </row>
    <row r="1554" spans="17:20" x14ac:dyDescent="0.25">
      <c r="Q1554" s="14">
        <v>74</v>
      </c>
      <c r="R1554" s="14"/>
      <c r="S1554" s="14"/>
      <c r="T1554" s="14"/>
    </row>
    <row r="1555" spans="17:20" x14ac:dyDescent="0.25">
      <c r="Q1555" s="9" t="s">
        <v>52</v>
      </c>
      <c r="R1555" s="9">
        <v>2</v>
      </c>
      <c r="S1555" s="9">
        <v>2</v>
      </c>
      <c r="T1555" s="9">
        <v>4</v>
      </c>
    </row>
    <row r="1556" spans="17:20" x14ac:dyDescent="0.25">
      <c r="Q1556" s="9" t="s">
        <v>53</v>
      </c>
      <c r="R1556" s="9">
        <v>163</v>
      </c>
      <c r="S1556" s="9">
        <v>157</v>
      </c>
      <c r="T1556" s="9">
        <v>320</v>
      </c>
    </row>
    <row r="1557" spans="17:20" x14ac:dyDescent="0.25">
      <c r="Q1557" s="9" t="s">
        <v>54</v>
      </c>
      <c r="R1557" s="9">
        <v>81.5</v>
      </c>
      <c r="S1557" s="9">
        <v>78.5</v>
      </c>
      <c r="T1557" s="9">
        <v>80</v>
      </c>
    </row>
    <row r="1558" spans="17:20" x14ac:dyDescent="0.25">
      <c r="Q1558" s="9" t="s">
        <v>55</v>
      </c>
      <c r="R1558" s="9">
        <v>112.5</v>
      </c>
      <c r="S1558" s="9">
        <v>60.5</v>
      </c>
      <c r="T1558" s="9">
        <v>60.666666666666664</v>
      </c>
    </row>
    <row r="1559" spans="17:20" x14ac:dyDescent="0.25">
      <c r="Q1559" s="9"/>
      <c r="R1559" s="9"/>
      <c r="S1559" s="9"/>
      <c r="T1559" s="9"/>
    </row>
    <row r="1560" spans="17:20" x14ac:dyDescent="0.25">
      <c r="Q1560" s="14">
        <v>66</v>
      </c>
      <c r="R1560" s="14"/>
      <c r="S1560" s="14"/>
      <c r="T1560" s="14"/>
    </row>
    <row r="1561" spans="17:20" x14ac:dyDescent="0.25">
      <c r="Q1561" s="9" t="s">
        <v>52</v>
      </c>
      <c r="R1561" s="9">
        <v>2</v>
      </c>
      <c r="S1561" s="9">
        <v>2</v>
      </c>
      <c r="T1561" s="9">
        <v>4</v>
      </c>
    </row>
    <row r="1562" spans="17:20" x14ac:dyDescent="0.25">
      <c r="Q1562" s="9" t="s">
        <v>53</v>
      </c>
      <c r="R1562" s="9">
        <v>156</v>
      </c>
      <c r="S1562" s="9">
        <v>157</v>
      </c>
      <c r="T1562" s="9">
        <v>313</v>
      </c>
    </row>
    <row r="1563" spans="17:20" x14ac:dyDescent="0.25">
      <c r="Q1563" s="9" t="s">
        <v>54</v>
      </c>
      <c r="R1563" s="9">
        <v>78</v>
      </c>
      <c r="S1563" s="9">
        <v>78.5</v>
      </c>
      <c r="T1563" s="9">
        <v>78.25</v>
      </c>
    </row>
    <row r="1564" spans="17:20" x14ac:dyDescent="0.25">
      <c r="Q1564" s="9" t="s">
        <v>55</v>
      </c>
      <c r="R1564" s="9">
        <v>0</v>
      </c>
      <c r="S1564" s="9">
        <v>0.5</v>
      </c>
      <c r="T1564" s="9">
        <v>0.25</v>
      </c>
    </row>
    <row r="1565" spans="17:20" x14ac:dyDescent="0.25">
      <c r="Q1565" s="9"/>
      <c r="R1565" s="9"/>
      <c r="S1565" s="9"/>
      <c r="T1565" s="9"/>
    </row>
    <row r="1566" spans="17:20" x14ac:dyDescent="0.25">
      <c r="Q1566" s="14">
        <v>71</v>
      </c>
      <c r="R1566" s="14"/>
      <c r="S1566" s="14"/>
      <c r="T1566" s="14"/>
    </row>
    <row r="1567" spans="17:20" x14ac:dyDescent="0.25">
      <c r="Q1567" s="9" t="s">
        <v>52</v>
      </c>
      <c r="R1567" s="9">
        <v>2</v>
      </c>
      <c r="S1567" s="9">
        <v>2</v>
      </c>
      <c r="T1567" s="9">
        <v>4</v>
      </c>
    </row>
    <row r="1568" spans="17:20" x14ac:dyDescent="0.25">
      <c r="Q1568" s="9" t="s">
        <v>53</v>
      </c>
      <c r="R1568" s="9">
        <v>135</v>
      </c>
      <c r="S1568" s="9">
        <v>136</v>
      </c>
      <c r="T1568" s="9">
        <v>271</v>
      </c>
    </row>
    <row r="1569" spans="17:20" x14ac:dyDescent="0.25">
      <c r="Q1569" s="9" t="s">
        <v>54</v>
      </c>
      <c r="R1569" s="9">
        <v>67.5</v>
      </c>
      <c r="S1569" s="9">
        <v>68</v>
      </c>
      <c r="T1569" s="9">
        <v>67.75</v>
      </c>
    </row>
    <row r="1570" spans="17:20" x14ac:dyDescent="0.25">
      <c r="Q1570" s="9" t="s">
        <v>55</v>
      </c>
      <c r="R1570" s="9">
        <v>684.5</v>
      </c>
      <c r="S1570" s="9">
        <v>512</v>
      </c>
      <c r="T1570" s="9">
        <v>398.91666666666669</v>
      </c>
    </row>
    <row r="1571" spans="17:20" x14ac:dyDescent="0.25">
      <c r="Q1571" s="9"/>
      <c r="R1571" s="9"/>
      <c r="S1571" s="9"/>
      <c r="T1571" s="9"/>
    </row>
    <row r="1572" spans="17:20" x14ac:dyDescent="0.25">
      <c r="Q1572" s="14">
        <v>69</v>
      </c>
      <c r="R1572" s="14"/>
      <c r="S1572" s="14"/>
      <c r="T1572" s="14"/>
    </row>
    <row r="1573" spans="17:20" x14ac:dyDescent="0.25">
      <c r="Q1573" s="9" t="s">
        <v>52</v>
      </c>
      <c r="R1573" s="9">
        <v>2</v>
      </c>
      <c r="S1573" s="9">
        <v>2</v>
      </c>
      <c r="T1573" s="9">
        <v>4</v>
      </c>
    </row>
    <row r="1574" spans="17:20" x14ac:dyDescent="0.25">
      <c r="Q1574" s="9" t="s">
        <v>53</v>
      </c>
      <c r="R1574" s="9">
        <v>117</v>
      </c>
      <c r="S1574" s="9">
        <v>107</v>
      </c>
      <c r="T1574" s="9">
        <v>224</v>
      </c>
    </row>
    <row r="1575" spans="17:20" x14ac:dyDescent="0.25">
      <c r="Q1575" s="9" t="s">
        <v>54</v>
      </c>
      <c r="R1575" s="9">
        <v>58.5</v>
      </c>
      <c r="S1575" s="9">
        <v>53.5</v>
      </c>
      <c r="T1575" s="9">
        <v>56</v>
      </c>
    </row>
    <row r="1576" spans="17:20" x14ac:dyDescent="0.25">
      <c r="Q1576" s="9" t="s">
        <v>55</v>
      </c>
      <c r="R1576" s="9">
        <v>0.5</v>
      </c>
      <c r="S1576" s="9">
        <v>24.5</v>
      </c>
      <c r="T1576" s="9">
        <v>16.666666666666668</v>
      </c>
    </row>
    <row r="1577" spans="17:20" x14ac:dyDescent="0.25">
      <c r="Q1577" s="9"/>
      <c r="R1577" s="9"/>
      <c r="S1577" s="9"/>
      <c r="T1577" s="9"/>
    </row>
    <row r="1578" spans="17:20" x14ac:dyDescent="0.25">
      <c r="Q1578" s="14">
        <v>53</v>
      </c>
      <c r="R1578" s="14"/>
      <c r="S1578" s="14"/>
      <c r="T1578" s="14"/>
    </row>
    <row r="1579" spans="17:20" x14ac:dyDescent="0.25">
      <c r="Q1579" s="9" t="s">
        <v>52</v>
      </c>
      <c r="R1579" s="9">
        <v>2</v>
      </c>
      <c r="S1579" s="9">
        <v>2</v>
      </c>
      <c r="T1579" s="9">
        <v>4</v>
      </c>
    </row>
    <row r="1580" spans="17:20" x14ac:dyDescent="0.25">
      <c r="Q1580" s="9" t="s">
        <v>53</v>
      </c>
      <c r="R1580" s="9">
        <v>112</v>
      </c>
      <c r="S1580" s="9">
        <v>108</v>
      </c>
      <c r="T1580" s="9">
        <v>220</v>
      </c>
    </row>
    <row r="1581" spans="17:20" x14ac:dyDescent="0.25">
      <c r="Q1581" s="9" t="s">
        <v>54</v>
      </c>
      <c r="R1581" s="9">
        <v>56</v>
      </c>
      <c r="S1581" s="9">
        <v>54</v>
      </c>
      <c r="T1581" s="9">
        <v>55</v>
      </c>
    </row>
    <row r="1582" spans="17:20" x14ac:dyDescent="0.25">
      <c r="Q1582" s="9" t="s">
        <v>55</v>
      </c>
      <c r="R1582" s="9">
        <v>32</v>
      </c>
      <c r="S1582" s="9">
        <v>50</v>
      </c>
      <c r="T1582" s="9">
        <v>28.666666666666668</v>
      </c>
    </row>
    <row r="1583" spans="17:20" x14ac:dyDescent="0.25">
      <c r="Q1583" s="9"/>
      <c r="R1583" s="9"/>
      <c r="S1583" s="9"/>
      <c r="T1583" s="9"/>
    </row>
    <row r="1584" spans="17:20" x14ac:dyDescent="0.25">
      <c r="Q1584" s="14">
        <v>56</v>
      </c>
      <c r="R1584" s="14"/>
      <c r="S1584" s="14"/>
      <c r="T1584" s="14"/>
    </row>
    <row r="1585" spans="17:20" x14ac:dyDescent="0.25">
      <c r="Q1585" s="9" t="s">
        <v>52</v>
      </c>
      <c r="R1585" s="9">
        <v>2</v>
      </c>
      <c r="S1585" s="9">
        <v>2</v>
      </c>
      <c r="T1585" s="9">
        <v>4</v>
      </c>
    </row>
    <row r="1586" spans="17:20" x14ac:dyDescent="0.25">
      <c r="Q1586" s="9" t="s">
        <v>53</v>
      </c>
      <c r="R1586" s="9">
        <v>114</v>
      </c>
      <c r="S1586" s="9">
        <v>103</v>
      </c>
      <c r="T1586" s="9">
        <v>217</v>
      </c>
    </row>
    <row r="1587" spans="17:20" x14ac:dyDescent="0.25">
      <c r="Q1587" s="9" t="s">
        <v>54</v>
      </c>
      <c r="R1587" s="9">
        <v>57</v>
      </c>
      <c r="S1587" s="9">
        <v>51.5</v>
      </c>
      <c r="T1587" s="9">
        <v>54.25</v>
      </c>
    </row>
    <row r="1588" spans="17:20" x14ac:dyDescent="0.25">
      <c r="Q1588" s="9" t="s">
        <v>55</v>
      </c>
      <c r="R1588" s="9">
        <v>32</v>
      </c>
      <c r="S1588" s="9">
        <v>144.5</v>
      </c>
      <c r="T1588" s="9">
        <v>68.916666666666671</v>
      </c>
    </row>
    <row r="1589" spans="17:20" x14ac:dyDescent="0.25">
      <c r="Q1589" s="9"/>
      <c r="R1589" s="9"/>
      <c r="S1589" s="9"/>
      <c r="T1589" s="9"/>
    </row>
    <row r="1590" spans="17:20" x14ac:dyDescent="0.25">
      <c r="Q1590" s="14">
        <v>29</v>
      </c>
      <c r="R1590" s="14"/>
      <c r="S1590" s="14"/>
      <c r="T1590" s="14"/>
    </row>
    <row r="1591" spans="17:20" x14ac:dyDescent="0.25">
      <c r="Q1591" s="9" t="s">
        <v>52</v>
      </c>
      <c r="R1591" s="9">
        <v>2</v>
      </c>
      <c r="S1591" s="9">
        <v>2</v>
      </c>
      <c r="T1591" s="9">
        <v>4</v>
      </c>
    </row>
    <row r="1592" spans="17:20" x14ac:dyDescent="0.25">
      <c r="Q1592" s="9" t="s">
        <v>53</v>
      </c>
      <c r="R1592" s="9">
        <v>115</v>
      </c>
      <c r="S1592" s="9">
        <v>117</v>
      </c>
      <c r="T1592" s="9">
        <v>232</v>
      </c>
    </row>
    <row r="1593" spans="17:20" x14ac:dyDescent="0.25">
      <c r="Q1593" s="9" t="s">
        <v>54</v>
      </c>
      <c r="R1593" s="9">
        <v>57.5</v>
      </c>
      <c r="S1593" s="9">
        <v>58.5</v>
      </c>
      <c r="T1593" s="9">
        <v>58</v>
      </c>
    </row>
    <row r="1594" spans="17:20" x14ac:dyDescent="0.25">
      <c r="Q1594" s="9" t="s">
        <v>55</v>
      </c>
      <c r="R1594" s="9">
        <v>544.5</v>
      </c>
      <c r="S1594" s="9">
        <v>264.5</v>
      </c>
      <c r="T1594" s="9">
        <v>270</v>
      </c>
    </row>
    <row r="1595" spans="17:20" x14ac:dyDescent="0.25">
      <c r="Q1595" s="9"/>
      <c r="R1595" s="9"/>
      <c r="S1595" s="9"/>
      <c r="T1595" s="9"/>
    </row>
    <row r="1596" spans="17:20" x14ac:dyDescent="0.25">
      <c r="Q1596" s="14">
        <v>68</v>
      </c>
      <c r="R1596" s="14"/>
      <c r="S1596" s="14"/>
      <c r="T1596" s="14"/>
    </row>
    <row r="1597" spans="17:20" x14ac:dyDescent="0.25">
      <c r="Q1597" s="9" t="s">
        <v>52</v>
      </c>
      <c r="R1597" s="9">
        <v>2</v>
      </c>
      <c r="S1597" s="9">
        <v>2</v>
      </c>
      <c r="T1597" s="9">
        <v>4</v>
      </c>
    </row>
    <row r="1598" spans="17:20" x14ac:dyDescent="0.25">
      <c r="Q1598" s="9" t="s">
        <v>53</v>
      </c>
      <c r="R1598" s="9">
        <v>121</v>
      </c>
      <c r="S1598" s="9">
        <v>126</v>
      </c>
      <c r="T1598" s="9">
        <v>247</v>
      </c>
    </row>
    <row r="1599" spans="17:20" x14ac:dyDescent="0.25">
      <c r="Q1599" s="9" t="s">
        <v>54</v>
      </c>
      <c r="R1599" s="9">
        <v>60.5</v>
      </c>
      <c r="S1599" s="9">
        <v>63</v>
      </c>
      <c r="T1599" s="9">
        <v>61.75</v>
      </c>
    </row>
    <row r="1600" spans="17:20" x14ac:dyDescent="0.25">
      <c r="Q1600" s="9" t="s">
        <v>55</v>
      </c>
      <c r="R1600" s="9">
        <v>84.5</v>
      </c>
      <c r="S1600" s="9">
        <v>200</v>
      </c>
      <c r="T1600" s="9">
        <v>96.916666666666671</v>
      </c>
    </row>
    <row r="1601" spans="17:20" x14ac:dyDescent="0.25">
      <c r="Q1601" s="9"/>
      <c r="R1601" s="9"/>
      <c r="S1601" s="9"/>
      <c r="T1601" s="9"/>
    </row>
    <row r="1602" spans="17:20" x14ac:dyDescent="0.25">
      <c r="Q1602" s="14">
        <v>62</v>
      </c>
      <c r="R1602" s="14"/>
      <c r="S1602" s="14"/>
      <c r="T1602" s="14"/>
    </row>
    <row r="1603" spans="17:20" x14ac:dyDescent="0.25">
      <c r="Q1603" s="9" t="s">
        <v>52</v>
      </c>
      <c r="R1603" s="9">
        <v>2</v>
      </c>
      <c r="S1603" s="9">
        <v>2</v>
      </c>
      <c r="T1603" s="9">
        <v>4</v>
      </c>
    </row>
    <row r="1604" spans="17:20" x14ac:dyDescent="0.25">
      <c r="Q1604" s="9" t="s">
        <v>53</v>
      </c>
      <c r="R1604" s="9">
        <v>149</v>
      </c>
      <c r="S1604" s="9">
        <v>152</v>
      </c>
      <c r="T1604" s="9">
        <v>301</v>
      </c>
    </row>
    <row r="1605" spans="17:20" x14ac:dyDescent="0.25">
      <c r="Q1605" s="9" t="s">
        <v>54</v>
      </c>
      <c r="R1605" s="9">
        <v>74.5</v>
      </c>
      <c r="S1605" s="9">
        <v>76</v>
      </c>
      <c r="T1605" s="9">
        <v>75.25</v>
      </c>
    </row>
    <row r="1606" spans="17:20" x14ac:dyDescent="0.25">
      <c r="Q1606" s="9" t="s">
        <v>55</v>
      </c>
      <c r="R1606" s="9">
        <v>364.5</v>
      </c>
      <c r="S1606" s="9">
        <v>648</v>
      </c>
      <c r="T1606" s="9">
        <v>338.25</v>
      </c>
    </row>
    <row r="1607" spans="17:20" x14ac:dyDescent="0.25">
      <c r="Q1607" s="9"/>
      <c r="R1607" s="9"/>
      <c r="S1607" s="9"/>
      <c r="T1607" s="9"/>
    </row>
    <row r="1608" spans="17:20" x14ac:dyDescent="0.25">
      <c r="Q1608" s="14">
        <v>73</v>
      </c>
      <c r="R1608" s="14"/>
      <c r="S1608" s="14"/>
      <c r="T1608" s="14"/>
    </row>
    <row r="1609" spans="17:20" x14ac:dyDescent="0.25">
      <c r="Q1609" s="9" t="s">
        <v>52</v>
      </c>
      <c r="R1609" s="9">
        <v>2</v>
      </c>
      <c r="S1609" s="9">
        <v>2</v>
      </c>
      <c r="T1609" s="9">
        <v>4</v>
      </c>
    </row>
    <row r="1610" spans="17:20" x14ac:dyDescent="0.25">
      <c r="Q1610" s="9" t="s">
        <v>53</v>
      </c>
      <c r="R1610" s="9">
        <v>152</v>
      </c>
      <c r="S1610" s="9">
        <v>151</v>
      </c>
      <c r="T1610" s="9">
        <v>303</v>
      </c>
    </row>
    <row r="1611" spans="17:20" x14ac:dyDescent="0.25">
      <c r="Q1611" s="9" t="s">
        <v>54</v>
      </c>
      <c r="R1611" s="9">
        <v>76</v>
      </c>
      <c r="S1611" s="9">
        <v>75.5</v>
      </c>
      <c r="T1611" s="9">
        <v>75.75</v>
      </c>
    </row>
    <row r="1612" spans="17:20" x14ac:dyDescent="0.25">
      <c r="Q1612" s="9" t="s">
        <v>55</v>
      </c>
      <c r="R1612" s="9">
        <v>98</v>
      </c>
      <c r="S1612" s="9">
        <v>112.5</v>
      </c>
      <c r="T1612" s="9">
        <v>70.25</v>
      </c>
    </row>
    <row r="1613" spans="17:20" x14ac:dyDescent="0.25">
      <c r="Q1613" s="9"/>
      <c r="R1613" s="9"/>
      <c r="S1613" s="9"/>
      <c r="T1613" s="9"/>
    </row>
    <row r="1614" spans="17:20" x14ac:dyDescent="0.25">
      <c r="Q1614" s="14">
        <v>51</v>
      </c>
      <c r="R1614" s="14"/>
      <c r="S1614" s="14"/>
      <c r="T1614" s="14"/>
    </row>
    <row r="1615" spans="17:20" x14ac:dyDescent="0.25">
      <c r="Q1615" s="9" t="s">
        <v>52</v>
      </c>
      <c r="R1615" s="9">
        <v>2</v>
      </c>
      <c r="S1615" s="9">
        <v>2</v>
      </c>
      <c r="T1615" s="9">
        <v>4</v>
      </c>
    </row>
    <row r="1616" spans="17:20" x14ac:dyDescent="0.25">
      <c r="Q1616" s="9" t="s">
        <v>53</v>
      </c>
      <c r="R1616" s="9">
        <v>126</v>
      </c>
      <c r="S1616" s="9">
        <v>120</v>
      </c>
      <c r="T1616" s="9">
        <v>246</v>
      </c>
    </row>
    <row r="1617" spans="17:20" x14ac:dyDescent="0.25">
      <c r="Q1617" s="9" t="s">
        <v>54</v>
      </c>
      <c r="R1617" s="9">
        <v>63</v>
      </c>
      <c r="S1617" s="9">
        <v>60</v>
      </c>
      <c r="T1617" s="9">
        <v>61.5</v>
      </c>
    </row>
    <row r="1618" spans="17:20" x14ac:dyDescent="0.25">
      <c r="Q1618" s="9" t="s">
        <v>55</v>
      </c>
      <c r="R1618" s="9">
        <v>18</v>
      </c>
      <c r="S1618" s="9">
        <v>8</v>
      </c>
      <c r="T1618" s="9">
        <v>11.666666666666666</v>
      </c>
    </row>
    <row r="1619" spans="17:20" x14ac:dyDescent="0.25">
      <c r="Q1619" s="9"/>
      <c r="R1619" s="9"/>
      <c r="S1619" s="9"/>
      <c r="T1619" s="9"/>
    </row>
    <row r="1620" spans="17:20" x14ac:dyDescent="0.25">
      <c r="Q1620" s="14">
        <v>85</v>
      </c>
      <c r="R1620" s="14"/>
      <c r="S1620" s="14"/>
      <c r="T1620" s="14"/>
    </row>
    <row r="1621" spans="17:20" x14ac:dyDescent="0.25">
      <c r="Q1621" s="9" t="s">
        <v>52</v>
      </c>
      <c r="R1621" s="9">
        <v>2</v>
      </c>
      <c r="S1621" s="9">
        <v>2</v>
      </c>
      <c r="T1621" s="9">
        <v>4</v>
      </c>
    </row>
    <row r="1622" spans="17:20" x14ac:dyDescent="0.25">
      <c r="Q1622" s="9" t="s">
        <v>53</v>
      </c>
      <c r="R1622" s="9">
        <v>158</v>
      </c>
      <c r="S1622" s="9">
        <v>157</v>
      </c>
      <c r="T1622" s="9">
        <v>315</v>
      </c>
    </row>
    <row r="1623" spans="17:20" x14ac:dyDescent="0.25">
      <c r="Q1623" s="9" t="s">
        <v>54</v>
      </c>
      <c r="R1623" s="9">
        <v>79</v>
      </c>
      <c r="S1623" s="9">
        <v>78.5</v>
      </c>
      <c r="T1623" s="9">
        <v>78.75</v>
      </c>
    </row>
    <row r="1624" spans="17:20" x14ac:dyDescent="0.25">
      <c r="Q1624" s="9" t="s">
        <v>55</v>
      </c>
      <c r="R1624" s="9">
        <v>338</v>
      </c>
      <c r="S1624" s="9">
        <v>112.5</v>
      </c>
      <c r="T1624" s="9">
        <v>150.25</v>
      </c>
    </row>
    <row r="1625" spans="17:20" x14ac:dyDescent="0.25">
      <c r="Q1625" s="9"/>
      <c r="R1625" s="9"/>
      <c r="S1625" s="9"/>
      <c r="T1625" s="9"/>
    </row>
    <row r="1626" spans="17:20" x14ac:dyDescent="0.25">
      <c r="Q1626" s="14">
        <v>75</v>
      </c>
      <c r="R1626" s="14"/>
      <c r="S1626" s="14"/>
      <c r="T1626" s="14"/>
    </row>
    <row r="1627" spans="17:20" x14ac:dyDescent="0.25">
      <c r="Q1627" s="9" t="s">
        <v>52</v>
      </c>
      <c r="R1627" s="9">
        <v>2</v>
      </c>
      <c r="S1627" s="9">
        <v>2</v>
      </c>
      <c r="T1627" s="9">
        <v>4</v>
      </c>
    </row>
    <row r="1628" spans="17:20" x14ac:dyDescent="0.25">
      <c r="Q1628" s="9" t="s">
        <v>53</v>
      </c>
      <c r="R1628" s="9">
        <v>151</v>
      </c>
      <c r="S1628" s="9">
        <v>148</v>
      </c>
      <c r="T1628" s="9">
        <v>299</v>
      </c>
    </row>
    <row r="1629" spans="17:20" x14ac:dyDescent="0.25">
      <c r="Q1629" s="9" t="s">
        <v>54</v>
      </c>
      <c r="R1629" s="9">
        <v>75.5</v>
      </c>
      <c r="S1629" s="9">
        <v>74</v>
      </c>
      <c r="T1629" s="9">
        <v>74.75</v>
      </c>
    </row>
    <row r="1630" spans="17:20" x14ac:dyDescent="0.25">
      <c r="Q1630" s="9" t="s">
        <v>55</v>
      </c>
      <c r="R1630" s="9">
        <v>84.5</v>
      </c>
      <c r="S1630" s="9">
        <v>72</v>
      </c>
      <c r="T1630" s="9">
        <v>52.916666666666664</v>
      </c>
    </row>
    <row r="1631" spans="17:20" x14ac:dyDescent="0.25">
      <c r="Q1631" s="9"/>
      <c r="R1631" s="9"/>
      <c r="S1631" s="9"/>
      <c r="T1631" s="9"/>
    </row>
    <row r="1632" spans="17:20" x14ac:dyDescent="0.25">
      <c r="Q1632" s="14">
        <v>81</v>
      </c>
      <c r="R1632" s="14"/>
      <c r="S1632" s="14"/>
      <c r="T1632" s="14"/>
    </row>
    <row r="1633" spans="17:20" x14ac:dyDescent="0.25">
      <c r="Q1633" s="9" t="s">
        <v>52</v>
      </c>
      <c r="R1633" s="9">
        <v>2</v>
      </c>
      <c r="S1633" s="9">
        <v>2</v>
      </c>
      <c r="T1633" s="9">
        <v>4</v>
      </c>
    </row>
    <row r="1634" spans="17:20" x14ac:dyDescent="0.25">
      <c r="Q1634" s="9" t="s">
        <v>53</v>
      </c>
      <c r="R1634" s="9">
        <v>172</v>
      </c>
      <c r="S1634" s="9">
        <v>168</v>
      </c>
      <c r="T1634" s="9">
        <v>340</v>
      </c>
    </row>
    <row r="1635" spans="17:20" x14ac:dyDescent="0.25">
      <c r="Q1635" s="9" t="s">
        <v>54</v>
      </c>
      <c r="R1635" s="9">
        <v>86</v>
      </c>
      <c r="S1635" s="9">
        <v>84</v>
      </c>
      <c r="T1635" s="9">
        <v>85</v>
      </c>
    </row>
    <row r="1636" spans="17:20" x14ac:dyDescent="0.25">
      <c r="Q1636" s="9" t="s">
        <v>55</v>
      </c>
      <c r="R1636" s="9">
        <v>162</v>
      </c>
      <c r="S1636" s="9">
        <v>50</v>
      </c>
      <c r="T1636" s="9">
        <v>72</v>
      </c>
    </row>
    <row r="1637" spans="17:20" x14ac:dyDescent="0.25">
      <c r="Q1637" s="9"/>
      <c r="R1637" s="9"/>
      <c r="S1637" s="9"/>
      <c r="T1637" s="9"/>
    </row>
    <row r="1638" spans="17:20" x14ac:dyDescent="0.25">
      <c r="Q1638" s="14">
        <v>64</v>
      </c>
      <c r="R1638" s="14"/>
      <c r="S1638" s="14"/>
      <c r="T1638" s="14"/>
    </row>
    <row r="1639" spans="17:20" x14ac:dyDescent="0.25">
      <c r="Q1639" s="9" t="s">
        <v>52</v>
      </c>
      <c r="R1639" s="9">
        <v>2</v>
      </c>
      <c r="S1639" s="9">
        <v>2</v>
      </c>
      <c r="T1639" s="9">
        <v>4</v>
      </c>
    </row>
    <row r="1640" spans="17:20" x14ac:dyDescent="0.25">
      <c r="Q1640" s="9" t="s">
        <v>53</v>
      </c>
      <c r="R1640" s="9">
        <v>146</v>
      </c>
      <c r="S1640" s="9">
        <v>146</v>
      </c>
      <c r="T1640" s="9">
        <v>292</v>
      </c>
    </row>
    <row r="1641" spans="17:20" x14ac:dyDescent="0.25">
      <c r="Q1641" s="9" t="s">
        <v>54</v>
      </c>
      <c r="R1641" s="9">
        <v>73</v>
      </c>
      <c r="S1641" s="9">
        <v>73</v>
      </c>
      <c r="T1641" s="9">
        <v>73</v>
      </c>
    </row>
    <row r="1642" spans="17:20" x14ac:dyDescent="0.25">
      <c r="Q1642" s="9" t="s">
        <v>55</v>
      </c>
      <c r="R1642" s="9">
        <v>200</v>
      </c>
      <c r="S1642" s="9">
        <v>98</v>
      </c>
      <c r="T1642" s="9">
        <v>99.333333333333329</v>
      </c>
    </row>
    <row r="1643" spans="17:20" x14ac:dyDescent="0.25">
      <c r="Q1643" s="9"/>
      <c r="R1643" s="9"/>
      <c r="S1643" s="9"/>
      <c r="T1643" s="9"/>
    </row>
    <row r="1644" spans="17:20" x14ac:dyDescent="0.25">
      <c r="Q1644" s="14">
        <v>92</v>
      </c>
      <c r="R1644" s="14"/>
      <c r="S1644" s="14"/>
      <c r="T1644" s="14"/>
    </row>
    <row r="1645" spans="17:20" x14ac:dyDescent="0.25">
      <c r="Q1645" s="9" t="s">
        <v>52</v>
      </c>
      <c r="R1645" s="9">
        <v>2</v>
      </c>
      <c r="S1645" s="9">
        <v>2</v>
      </c>
      <c r="T1645" s="9">
        <v>4</v>
      </c>
    </row>
    <row r="1646" spans="17:20" x14ac:dyDescent="0.25">
      <c r="Q1646" s="9" t="s">
        <v>53</v>
      </c>
      <c r="R1646" s="9">
        <v>167</v>
      </c>
      <c r="S1646" s="9">
        <v>161</v>
      </c>
      <c r="T1646" s="9">
        <v>328</v>
      </c>
    </row>
    <row r="1647" spans="17:20" x14ac:dyDescent="0.25">
      <c r="Q1647" s="9" t="s">
        <v>54</v>
      </c>
      <c r="R1647" s="9">
        <v>83.5</v>
      </c>
      <c r="S1647" s="9">
        <v>80.5</v>
      </c>
      <c r="T1647" s="9">
        <v>82</v>
      </c>
    </row>
    <row r="1648" spans="17:20" x14ac:dyDescent="0.25">
      <c r="Q1648" s="9" t="s">
        <v>55</v>
      </c>
      <c r="R1648" s="9">
        <v>544.5</v>
      </c>
      <c r="S1648" s="9">
        <v>544.5</v>
      </c>
      <c r="T1648" s="9">
        <v>366</v>
      </c>
    </row>
    <row r="1649" spans="17:20" x14ac:dyDescent="0.25">
      <c r="Q1649" s="9"/>
      <c r="R1649" s="9"/>
      <c r="S1649" s="9"/>
      <c r="T1649" s="9"/>
    </row>
    <row r="1650" spans="17:20" x14ac:dyDescent="0.25">
      <c r="Q1650" s="14">
        <v>62</v>
      </c>
      <c r="R1650" s="14"/>
      <c r="S1650" s="14"/>
      <c r="T1650" s="14"/>
    </row>
    <row r="1651" spans="17:20" x14ac:dyDescent="0.25">
      <c r="Q1651" s="9" t="s">
        <v>52</v>
      </c>
      <c r="R1651" s="9">
        <v>2</v>
      </c>
      <c r="S1651" s="9">
        <v>2</v>
      </c>
      <c r="T1651" s="9">
        <v>4</v>
      </c>
    </row>
    <row r="1652" spans="17:20" x14ac:dyDescent="0.25">
      <c r="Q1652" s="9" t="s">
        <v>53</v>
      </c>
      <c r="R1652" s="9">
        <v>139</v>
      </c>
      <c r="S1652" s="9">
        <v>133</v>
      </c>
      <c r="T1652" s="9">
        <v>272</v>
      </c>
    </row>
    <row r="1653" spans="17:20" x14ac:dyDescent="0.25">
      <c r="Q1653" s="9" t="s">
        <v>54</v>
      </c>
      <c r="R1653" s="9">
        <v>69.5</v>
      </c>
      <c r="S1653" s="9">
        <v>66.5</v>
      </c>
      <c r="T1653" s="9">
        <v>68</v>
      </c>
    </row>
    <row r="1654" spans="17:20" x14ac:dyDescent="0.25">
      <c r="Q1654" s="9" t="s">
        <v>55</v>
      </c>
      <c r="R1654" s="9">
        <v>12.5</v>
      </c>
      <c r="S1654" s="9">
        <v>12.5</v>
      </c>
      <c r="T1654" s="9">
        <v>11.333333333333334</v>
      </c>
    </row>
    <row r="1655" spans="17:20" x14ac:dyDescent="0.25">
      <c r="Q1655" s="9"/>
      <c r="R1655" s="9"/>
      <c r="S1655" s="9"/>
      <c r="T1655" s="9"/>
    </row>
    <row r="1656" spans="17:20" x14ac:dyDescent="0.25">
      <c r="Q1656" s="14">
        <v>79</v>
      </c>
      <c r="R1656" s="14"/>
      <c r="S1656" s="14"/>
      <c r="T1656" s="14"/>
    </row>
    <row r="1657" spans="17:20" x14ac:dyDescent="0.25">
      <c r="Q1657" s="9" t="s">
        <v>52</v>
      </c>
      <c r="R1657" s="9">
        <v>2</v>
      </c>
      <c r="S1657" s="9">
        <v>2</v>
      </c>
      <c r="T1657" s="9">
        <v>4</v>
      </c>
    </row>
    <row r="1658" spans="17:20" x14ac:dyDescent="0.25">
      <c r="Q1658" s="9" t="s">
        <v>53</v>
      </c>
      <c r="R1658" s="9">
        <v>166</v>
      </c>
      <c r="S1658" s="9">
        <v>153</v>
      </c>
      <c r="T1658" s="9">
        <v>319</v>
      </c>
    </row>
    <row r="1659" spans="17:20" x14ac:dyDescent="0.25">
      <c r="Q1659" s="9" t="s">
        <v>54</v>
      </c>
      <c r="R1659" s="9">
        <v>83</v>
      </c>
      <c r="S1659" s="9">
        <v>76.5</v>
      </c>
      <c r="T1659" s="9">
        <v>79.75</v>
      </c>
    </row>
    <row r="1660" spans="17:20" x14ac:dyDescent="0.25">
      <c r="Q1660" s="9" t="s">
        <v>55</v>
      </c>
      <c r="R1660" s="9">
        <v>98</v>
      </c>
      <c r="S1660" s="9">
        <v>264.5</v>
      </c>
      <c r="T1660" s="9">
        <v>134.91666666666666</v>
      </c>
    </row>
    <row r="1661" spans="17:20" x14ac:dyDescent="0.25">
      <c r="Q1661" s="9"/>
      <c r="R1661" s="9"/>
      <c r="S1661" s="9"/>
      <c r="T1661" s="9"/>
    </row>
    <row r="1662" spans="17:20" x14ac:dyDescent="0.25">
      <c r="Q1662" s="14">
        <v>40</v>
      </c>
      <c r="R1662" s="14"/>
      <c r="S1662" s="14"/>
      <c r="T1662" s="14"/>
    </row>
    <row r="1663" spans="17:20" x14ac:dyDescent="0.25">
      <c r="Q1663" s="9" t="s">
        <v>52</v>
      </c>
      <c r="R1663" s="9">
        <v>2</v>
      </c>
      <c r="S1663" s="9">
        <v>2</v>
      </c>
      <c r="T1663" s="9">
        <v>4</v>
      </c>
    </row>
    <row r="1664" spans="17:20" x14ac:dyDescent="0.25">
      <c r="Q1664" s="9" t="s">
        <v>53</v>
      </c>
      <c r="R1664" s="9">
        <v>110</v>
      </c>
      <c r="S1664" s="9">
        <v>114</v>
      </c>
      <c r="T1664" s="9">
        <v>224</v>
      </c>
    </row>
    <row r="1665" spans="17:20" x14ac:dyDescent="0.25">
      <c r="Q1665" s="9" t="s">
        <v>54</v>
      </c>
      <c r="R1665" s="9">
        <v>55</v>
      </c>
      <c r="S1665" s="9">
        <v>57</v>
      </c>
      <c r="T1665" s="9">
        <v>56</v>
      </c>
    </row>
    <row r="1666" spans="17:20" x14ac:dyDescent="0.25">
      <c r="Q1666" s="9" t="s">
        <v>55</v>
      </c>
      <c r="R1666" s="9">
        <v>98</v>
      </c>
      <c r="S1666" s="9">
        <v>98</v>
      </c>
      <c r="T1666" s="9">
        <v>66.666666666666671</v>
      </c>
    </row>
    <row r="1667" spans="17:20" x14ac:dyDescent="0.25">
      <c r="Q1667" s="9"/>
      <c r="R1667" s="9"/>
      <c r="S1667" s="9"/>
      <c r="T1667" s="9"/>
    </row>
    <row r="1668" spans="17:20" x14ac:dyDescent="0.25">
      <c r="Q1668" s="14">
        <v>53</v>
      </c>
      <c r="R1668" s="14"/>
      <c r="S1668" s="14"/>
      <c r="T1668" s="14"/>
    </row>
    <row r="1669" spans="17:20" x14ac:dyDescent="0.25">
      <c r="Q1669" s="9" t="s">
        <v>52</v>
      </c>
      <c r="R1669" s="9">
        <v>2</v>
      </c>
      <c r="S1669" s="9">
        <v>2</v>
      </c>
      <c r="T1669" s="9">
        <v>4</v>
      </c>
    </row>
    <row r="1670" spans="17:20" x14ac:dyDescent="0.25">
      <c r="Q1670" s="9" t="s">
        <v>53</v>
      </c>
      <c r="R1670" s="9">
        <v>84</v>
      </c>
      <c r="S1670" s="9">
        <v>73</v>
      </c>
      <c r="T1670" s="9">
        <v>157</v>
      </c>
    </row>
    <row r="1671" spans="17:20" x14ac:dyDescent="0.25">
      <c r="Q1671" s="9" t="s">
        <v>54</v>
      </c>
      <c r="R1671" s="9">
        <v>42</v>
      </c>
      <c r="S1671" s="9">
        <v>36.5</v>
      </c>
      <c r="T1671" s="9">
        <v>39.25</v>
      </c>
    </row>
    <row r="1672" spans="17:20" x14ac:dyDescent="0.25">
      <c r="Q1672" s="9" t="s">
        <v>55</v>
      </c>
      <c r="R1672" s="9">
        <v>18</v>
      </c>
      <c r="S1672" s="9">
        <v>24.5</v>
      </c>
      <c r="T1672" s="9">
        <v>24.25</v>
      </c>
    </row>
    <row r="1673" spans="17:20" x14ac:dyDescent="0.25">
      <c r="Q1673" s="9"/>
      <c r="R1673" s="9"/>
      <c r="S1673" s="9"/>
      <c r="T1673" s="9"/>
    </row>
    <row r="1674" spans="17:20" x14ac:dyDescent="0.25">
      <c r="Q1674" s="14">
        <v>55</v>
      </c>
      <c r="R1674" s="14"/>
      <c r="S1674" s="14"/>
      <c r="T1674" s="14"/>
    </row>
    <row r="1675" spans="17:20" x14ac:dyDescent="0.25">
      <c r="Q1675" s="9" t="s">
        <v>52</v>
      </c>
      <c r="R1675" s="9">
        <v>2</v>
      </c>
      <c r="S1675" s="9">
        <v>2</v>
      </c>
      <c r="T1675" s="9">
        <v>4</v>
      </c>
    </row>
    <row r="1676" spans="17:20" x14ac:dyDescent="0.25">
      <c r="Q1676" s="9" t="s">
        <v>53</v>
      </c>
      <c r="R1676" s="9">
        <v>139</v>
      </c>
      <c r="S1676" s="9">
        <v>145</v>
      </c>
      <c r="T1676" s="9">
        <v>284</v>
      </c>
    </row>
    <row r="1677" spans="17:20" x14ac:dyDescent="0.25">
      <c r="Q1677" s="9" t="s">
        <v>54</v>
      </c>
      <c r="R1677" s="9">
        <v>69.5</v>
      </c>
      <c r="S1677" s="9">
        <v>72.5</v>
      </c>
      <c r="T1677" s="9">
        <v>71</v>
      </c>
    </row>
    <row r="1678" spans="17:20" x14ac:dyDescent="0.25">
      <c r="Q1678" s="9" t="s">
        <v>55</v>
      </c>
      <c r="R1678" s="9">
        <v>12.5</v>
      </c>
      <c r="S1678" s="9">
        <v>84.5</v>
      </c>
      <c r="T1678" s="9">
        <v>35.333333333333336</v>
      </c>
    </row>
    <row r="1679" spans="17:20" x14ac:dyDescent="0.25">
      <c r="Q1679" s="9"/>
      <c r="R1679" s="9"/>
      <c r="S1679" s="9"/>
      <c r="T1679" s="9"/>
    </row>
    <row r="1680" spans="17:20" x14ac:dyDescent="0.25">
      <c r="Q1680" s="14">
        <v>53</v>
      </c>
      <c r="R1680" s="14"/>
      <c r="S1680" s="14"/>
      <c r="T1680" s="14"/>
    </row>
    <row r="1681" spans="17:20" x14ac:dyDescent="0.25">
      <c r="Q1681" s="9" t="s">
        <v>52</v>
      </c>
      <c r="R1681" s="9">
        <v>2</v>
      </c>
      <c r="S1681" s="9">
        <v>2</v>
      </c>
      <c r="T1681" s="9">
        <v>4</v>
      </c>
    </row>
    <row r="1682" spans="17:20" x14ac:dyDescent="0.25">
      <c r="Q1682" s="9" t="s">
        <v>53</v>
      </c>
      <c r="R1682" s="9">
        <v>136</v>
      </c>
      <c r="S1682" s="9">
        <v>132</v>
      </c>
      <c r="T1682" s="9">
        <v>268</v>
      </c>
    </row>
    <row r="1683" spans="17:20" x14ac:dyDescent="0.25">
      <c r="Q1683" s="9" t="s">
        <v>54</v>
      </c>
      <c r="R1683" s="9">
        <v>68</v>
      </c>
      <c r="S1683" s="9">
        <v>66</v>
      </c>
      <c r="T1683" s="9">
        <v>67</v>
      </c>
    </row>
    <row r="1684" spans="17:20" x14ac:dyDescent="0.25">
      <c r="Q1684" s="9" t="s">
        <v>55</v>
      </c>
      <c r="R1684" s="9">
        <v>8</v>
      </c>
      <c r="S1684" s="9">
        <v>32</v>
      </c>
      <c r="T1684" s="9">
        <v>14.666666666666666</v>
      </c>
    </row>
    <row r="1685" spans="17:20" x14ac:dyDescent="0.25">
      <c r="Q1685" s="9"/>
      <c r="R1685" s="9"/>
      <c r="S1685" s="9"/>
      <c r="T1685" s="9"/>
    </row>
    <row r="1686" spans="17:20" x14ac:dyDescent="0.25">
      <c r="Q1686" s="14">
        <v>74</v>
      </c>
      <c r="R1686" s="14"/>
      <c r="S1686" s="14"/>
      <c r="T1686" s="14"/>
    </row>
    <row r="1687" spans="17:20" x14ac:dyDescent="0.25">
      <c r="Q1687" s="9" t="s">
        <v>52</v>
      </c>
      <c r="R1687" s="9">
        <v>2</v>
      </c>
      <c r="S1687" s="9">
        <v>2</v>
      </c>
      <c r="T1687" s="9">
        <v>4</v>
      </c>
    </row>
    <row r="1688" spans="17:20" x14ac:dyDescent="0.25">
      <c r="Q1688" s="9" t="s">
        <v>53</v>
      </c>
      <c r="R1688" s="9">
        <v>149</v>
      </c>
      <c r="S1688" s="9">
        <v>153</v>
      </c>
      <c r="T1688" s="9">
        <v>302</v>
      </c>
    </row>
    <row r="1689" spans="17:20" x14ac:dyDescent="0.25">
      <c r="Q1689" s="9" t="s">
        <v>54</v>
      </c>
      <c r="R1689" s="9">
        <v>74.5</v>
      </c>
      <c r="S1689" s="9">
        <v>76.5</v>
      </c>
      <c r="T1689" s="9">
        <v>75.5</v>
      </c>
    </row>
    <row r="1690" spans="17:20" x14ac:dyDescent="0.25">
      <c r="Q1690" s="9" t="s">
        <v>55</v>
      </c>
      <c r="R1690" s="9">
        <v>0.5</v>
      </c>
      <c r="S1690" s="9">
        <v>12.5</v>
      </c>
      <c r="T1690" s="9">
        <v>5.666666666666667</v>
      </c>
    </row>
    <row r="1691" spans="17:20" x14ac:dyDescent="0.25">
      <c r="Q1691" s="9"/>
      <c r="R1691" s="9"/>
      <c r="S1691" s="9"/>
      <c r="T1691" s="9"/>
    </row>
    <row r="1692" spans="17:20" x14ac:dyDescent="0.25">
      <c r="Q1692" s="14">
        <v>96</v>
      </c>
      <c r="R1692" s="14"/>
      <c r="S1692" s="14"/>
      <c r="T1692" s="14"/>
    </row>
    <row r="1693" spans="17:20" x14ac:dyDescent="0.25">
      <c r="Q1693" s="9" t="s">
        <v>52</v>
      </c>
      <c r="R1693" s="9">
        <v>2</v>
      </c>
      <c r="S1693" s="9">
        <v>2</v>
      </c>
      <c r="T1693" s="9">
        <v>4</v>
      </c>
    </row>
    <row r="1694" spans="17:20" x14ac:dyDescent="0.25">
      <c r="Q1694" s="9" t="s">
        <v>53</v>
      </c>
      <c r="R1694" s="9">
        <v>170</v>
      </c>
      <c r="S1694" s="9">
        <v>172</v>
      </c>
      <c r="T1694" s="9">
        <v>342</v>
      </c>
    </row>
    <row r="1695" spans="17:20" x14ac:dyDescent="0.25">
      <c r="Q1695" s="9" t="s">
        <v>54</v>
      </c>
      <c r="R1695" s="9">
        <v>85</v>
      </c>
      <c r="S1695" s="9">
        <v>86</v>
      </c>
      <c r="T1695" s="9">
        <v>85.5</v>
      </c>
    </row>
    <row r="1696" spans="17:20" x14ac:dyDescent="0.25">
      <c r="Q1696" s="9" t="s">
        <v>55</v>
      </c>
      <c r="R1696" s="9">
        <v>50</v>
      </c>
      <c r="S1696" s="9">
        <v>72</v>
      </c>
      <c r="T1696" s="9">
        <v>41</v>
      </c>
    </row>
    <row r="1697" spans="17:20" x14ac:dyDescent="0.25">
      <c r="Q1697" s="9"/>
      <c r="R1697" s="9"/>
      <c r="S1697" s="9"/>
      <c r="T1697" s="9"/>
    </row>
    <row r="1698" spans="17:20" x14ac:dyDescent="0.25">
      <c r="Q1698" s="14">
        <v>48</v>
      </c>
      <c r="R1698" s="14"/>
      <c r="S1698" s="14"/>
      <c r="T1698" s="14"/>
    </row>
    <row r="1699" spans="17:20" x14ac:dyDescent="0.25">
      <c r="Q1699" s="9" t="s">
        <v>52</v>
      </c>
      <c r="R1699" s="9">
        <v>2</v>
      </c>
      <c r="S1699" s="9">
        <v>2</v>
      </c>
      <c r="T1699" s="9">
        <v>4</v>
      </c>
    </row>
    <row r="1700" spans="17:20" x14ac:dyDescent="0.25">
      <c r="Q1700" s="9" t="s">
        <v>53</v>
      </c>
      <c r="R1700" s="9">
        <v>94</v>
      </c>
      <c r="S1700" s="9">
        <v>91</v>
      </c>
      <c r="T1700" s="9">
        <v>185</v>
      </c>
    </row>
    <row r="1701" spans="17:20" x14ac:dyDescent="0.25">
      <c r="Q1701" s="9" t="s">
        <v>54</v>
      </c>
      <c r="R1701" s="9">
        <v>47</v>
      </c>
      <c r="S1701" s="9">
        <v>45.5</v>
      </c>
      <c r="T1701" s="9">
        <v>46.25</v>
      </c>
    </row>
    <row r="1702" spans="17:20" x14ac:dyDescent="0.25">
      <c r="Q1702" s="9" t="s">
        <v>55</v>
      </c>
      <c r="R1702" s="9">
        <v>32</v>
      </c>
      <c r="S1702" s="9">
        <v>0.5</v>
      </c>
      <c r="T1702" s="9">
        <v>11.583333333333334</v>
      </c>
    </row>
    <row r="1703" spans="17:20" x14ac:dyDescent="0.25">
      <c r="Q1703" s="9"/>
      <c r="R1703" s="9"/>
      <c r="S1703" s="9"/>
      <c r="T1703" s="9"/>
    </row>
    <row r="1704" spans="17:20" x14ac:dyDescent="0.25">
      <c r="Q1704" s="14">
        <v>92</v>
      </c>
      <c r="R1704" s="14"/>
      <c r="S1704" s="14"/>
      <c r="T1704" s="14"/>
    </row>
    <row r="1705" spans="17:20" x14ac:dyDescent="0.25">
      <c r="Q1705" s="9" t="s">
        <v>52</v>
      </c>
      <c r="R1705" s="9">
        <v>2</v>
      </c>
      <c r="S1705" s="9">
        <v>2</v>
      </c>
      <c r="T1705" s="9">
        <v>4</v>
      </c>
    </row>
    <row r="1706" spans="17:20" x14ac:dyDescent="0.25">
      <c r="Q1706" s="9" t="s">
        <v>53</v>
      </c>
      <c r="R1706" s="9">
        <v>171</v>
      </c>
      <c r="S1706" s="9">
        <v>178</v>
      </c>
      <c r="T1706" s="9">
        <v>349</v>
      </c>
    </row>
    <row r="1707" spans="17:20" x14ac:dyDescent="0.25">
      <c r="Q1707" s="9" t="s">
        <v>54</v>
      </c>
      <c r="R1707" s="9">
        <v>85.5</v>
      </c>
      <c r="S1707" s="9">
        <v>89</v>
      </c>
      <c r="T1707" s="9">
        <v>87.25</v>
      </c>
    </row>
    <row r="1708" spans="17:20" x14ac:dyDescent="0.25">
      <c r="Q1708" s="9" t="s">
        <v>55</v>
      </c>
      <c r="R1708" s="9">
        <v>420.5</v>
      </c>
      <c r="S1708" s="9">
        <v>242</v>
      </c>
      <c r="T1708" s="9">
        <v>224.91666666666666</v>
      </c>
    </row>
    <row r="1709" spans="17:20" x14ac:dyDescent="0.25">
      <c r="Q1709" s="9"/>
      <c r="R1709" s="9"/>
      <c r="S1709" s="9"/>
      <c r="T1709" s="9"/>
    </row>
    <row r="1710" spans="17:20" x14ac:dyDescent="0.25">
      <c r="Q1710" s="14">
        <v>63</v>
      </c>
      <c r="R1710" s="14"/>
      <c r="S1710" s="14"/>
      <c r="T1710" s="14"/>
    </row>
    <row r="1711" spans="17:20" x14ac:dyDescent="0.25">
      <c r="Q1711" s="9" t="s">
        <v>52</v>
      </c>
      <c r="R1711" s="9">
        <v>2</v>
      </c>
      <c r="S1711" s="9">
        <v>2</v>
      </c>
      <c r="T1711" s="9">
        <v>4</v>
      </c>
    </row>
    <row r="1712" spans="17:20" x14ac:dyDescent="0.25">
      <c r="Q1712" s="9" t="s">
        <v>53</v>
      </c>
      <c r="R1712" s="9">
        <v>116</v>
      </c>
      <c r="S1712" s="9">
        <v>114</v>
      </c>
      <c r="T1712" s="9">
        <v>230</v>
      </c>
    </row>
    <row r="1713" spans="17:20" x14ac:dyDescent="0.25">
      <c r="Q1713" s="9" t="s">
        <v>54</v>
      </c>
      <c r="R1713" s="9">
        <v>58</v>
      </c>
      <c r="S1713" s="9">
        <v>57</v>
      </c>
      <c r="T1713" s="9">
        <v>57.5</v>
      </c>
    </row>
    <row r="1714" spans="17:20" x14ac:dyDescent="0.25">
      <c r="Q1714" s="9" t="s">
        <v>55</v>
      </c>
      <c r="R1714" s="9">
        <v>200</v>
      </c>
      <c r="S1714" s="9">
        <v>200</v>
      </c>
      <c r="T1714" s="9">
        <v>133.66666666666666</v>
      </c>
    </row>
    <row r="1715" spans="17:20" x14ac:dyDescent="0.25">
      <c r="Q1715" s="9"/>
      <c r="R1715" s="9"/>
      <c r="S1715" s="9"/>
      <c r="T1715" s="9"/>
    </row>
    <row r="1716" spans="17:20" x14ac:dyDescent="0.25">
      <c r="Q1716" s="14">
        <v>71</v>
      </c>
      <c r="R1716" s="14"/>
      <c r="S1716" s="14"/>
      <c r="T1716" s="14"/>
    </row>
    <row r="1717" spans="17:20" x14ac:dyDescent="0.25">
      <c r="Q1717" s="9" t="s">
        <v>52</v>
      </c>
      <c r="R1717" s="9">
        <v>2</v>
      </c>
      <c r="S1717" s="9">
        <v>2</v>
      </c>
      <c r="T1717" s="9">
        <v>4</v>
      </c>
    </row>
    <row r="1718" spans="17:20" x14ac:dyDescent="0.25">
      <c r="Q1718" s="9" t="s">
        <v>53</v>
      </c>
      <c r="R1718" s="9">
        <v>171</v>
      </c>
      <c r="S1718" s="9">
        <v>162</v>
      </c>
      <c r="T1718" s="9">
        <v>333</v>
      </c>
    </row>
    <row r="1719" spans="17:20" x14ac:dyDescent="0.25">
      <c r="Q1719" s="9" t="s">
        <v>54</v>
      </c>
      <c r="R1719" s="9">
        <v>85.5</v>
      </c>
      <c r="S1719" s="9">
        <v>81</v>
      </c>
      <c r="T1719" s="9">
        <v>83.25</v>
      </c>
    </row>
    <row r="1720" spans="17:20" x14ac:dyDescent="0.25">
      <c r="Q1720" s="9" t="s">
        <v>55</v>
      </c>
      <c r="R1720" s="9">
        <v>220.5</v>
      </c>
      <c r="S1720" s="9">
        <v>242</v>
      </c>
      <c r="T1720" s="9">
        <v>160.91666666666666</v>
      </c>
    </row>
    <row r="1721" spans="17:20" x14ac:dyDescent="0.25">
      <c r="Q1721" s="9"/>
      <c r="R1721" s="9"/>
      <c r="S1721" s="9"/>
      <c r="T1721" s="9"/>
    </row>
    <row r="1722" spans="17:20" x14ac:dyDescent="0.25">
      <c r="Q1722" s="14">
        <v>53</v>
      </c>
      <c r="R1722" s="14"/>
      <c r="S1722" s="14"/>
      <c r="T1722" s="14"/>
    </row>
    <row r="1723" spans="17:20" x14ac:dyDescent="0.25">
      <c r="Q1723" s="9" t="s">
        <v>52</v>
      </c>
      <c r="R1723" s="9">
        <v>2</v>
      </c>
      <c r="S1723" s="9">
        <v>2</v>
      </c>
      <c r="T1723" s="9">
        <v>4</v>
      </c>
    </row>
    <row r="1724" spans="17:20" x14ac:dyDescent="0.25">
      <c r="Q1724" s="9" t="s">
        <v>53</v>
      </c>
      <c r="R1724" s="9">
        <v>128</v>
      </c>
      <c r="S1724" s="9">
        <v>120</v>
      </c>
      <c r="T1724" s="9">
        <v>248</v>
      </c>
    </row>
    <row r="1725" spans="17:20" x14ac:dyDescent="0.25">
      <c r="Q1725" s="9" t="s">
        <v>54</v>
      </c>
      <c r="R1725" s="9">
        <v>64</v>
      </c>
      <c r="S1725" s="9">
        <v>60</v>
      </c>
      <c r="T1725" s="9">
        <v>62</v>
      </c>
    </row>
    <row r="1726" spans="17:20" x14ac:dyDescent="0.25">
      <c r="Q1726" s="9" t="s">
        <v>55</v>
      </c>
      <c r="R1726" s="9">
        <v>8</v>
      </c>
      <c r="S1726" s="9">
        <v>32</v>
      </c>
      <c r="T1726" s="9">
        <v>18.666666666666668</v>
      </c>
    </row>
    <row r="1727" spans="17:20" x14ac:dyDescent="0.25">
      <c r="Q1727" s="9"/>
      <c r="R1727" s="9"/>
      <c r="S1727" s="9"/>
      <c r="T1727" s="9"/>
    </row>
    <row r="1728" spans="17:20" x14ac:dyDescent="0.25">
      <c r="Q1728" s="14">
        <v>74</v>
      </c>
      <c r="R1728" s="14"/>
      <c r="S1728" s="14"/>
      <c r="T1728" s="14"/>
    </row>
    <row r="1729" spans="17:20" x14ac:dyDescent="0.25">
      <c r="Q1729" s="9" t="s">
        <v>52</v>
      </c>
      <c r="R1729" s="9">
        <v>2</v>
      </c>
      <c r="S1729" s="9">
        <v>2</v>
      </c>
      <c r="T1729" s="9">
        <v>4</v>
      </c>
    </row>
    <row r="1730" spans="17:20" x14ac:dyDescent="0.25">
      <c r="Q1730" s="9" t="s">
        <v>53</v>
      </c>
      <c r="R1730" s="9">
        <v>136</v>
      </c>
      <c r="S1730" s="9">
        <v>124</v>
      </c>
      <c r="T1730" s="9">
        <v>260</v>
      </c>
    </row>
    <row r="1731" spans="17:20" x14ac:dyDescent="0.25">
      <c r="Q1731" s="9" t="s">
        <v>54</v>
      </c>
      <c r="R1731" s="9">
        <v>68</v>
      </c>
      <c r="S1731" s="9">
        <v>62</v>
      </c>
      <c r="T1731" s="9">
        <v>65</v>
      </c>
    </row>
    <row r="1732" spans="17:20" x14ac:dyDescent="0.25">
      <c r="Q1732" s="9" t="s">
        <v>55</v>
      </c>
      <c r="R1732" s="9">
        <v>338</v>
      </c>
      <c r="S1732" s="9">
        <v>162</v>
      </c>
      <c r="T1732" s="9">
        <v>178.66666666666666</v>
      </c>
    </row>
    <row r="1733" spans="17:20" x14ac:dyDescent="0.25">
      <c r="Q1733" s="9"/>
      <c r="R1733" s="9"/>
      <c r="S1733" s="9"/>
      <c r="T1733" s="9"/>
    </row>
    <row r="1734" spans="17:20" x14ac:dyDescent="0.25">
      <c r="Q1734" s="14">
        <v>61</v>
      </c>
      <c r="R1734" s="14"/>
      <c r="S1734" s="14"/>
      <c r="T1734" s="14"/>
    </row>
    <row r="1735" spans="17:20" x14ac:dyDescent="0.25">
      <c r="Q1735" s="9" t="s">
        <v>52</v>
      </c>
      <c r="R1735" s="9">
        <v>2</v>
      </c>
      <c r="S1735" s="9">
        <v>2</v>
      </c>
      <c r="T1735" s="9">
        <v>4</v>
      </c>
    </row>
    <row r="1736" spans="17:20" x14ac:dyDescent="0.25">
      <c r="Q1736" s="9" t="s">
        <v>53</v>
      </c>
      <c r="R1736" s="9">
        <v>142</v>
      </c>
      <c r="S1736" s="9">
        <v>141</v>
      </c>
      <c r="T1736" s="9">
        <v>283</v>
      </c>
    </row>
    <row r="1737" spans="17:20" x14ac:dyDescent="0.25">
      <c r="Q1737" s="9" t="s">
        <v>54</v>
      </c>
      <c r="R1737" s="9">
        <v>71</v>
      </c>
      <c r="S1737" s="9">
        <v>70.5</v>
      </c>
      <c r="T1737" s="9">
        <v>70.75</v>
      </c>
    </row>
    <row r="1738" spans="17:20" x14ac:dyDescent="0.25">
      <c r="Q1738" s="9" t="s">
        <v>55</v>
      </c>
      <c r="R1738" s="9">
        <v>800</v>
      </c>
      <c r="S1738" s="9">
        <v>684.5</v>
      </c>
      <c r="T1738" s="9">
        <v>494.91666666666669</v>
      </c>
    </row>
    <row r="1739" spans="17:20" x14ac:dyDescent="0.25">
      <c r="Q1739" s="9"/>
      <c r="R1739" s="9"/>
      <c r="S1739" s="9"/>
      <c r="T1739" s="9"/>
    </row>
    <row r="1740" spans="17:20" x14ac:dyDescent="0.25">
      <c r="Q1740" s="14">
        <v>48</v>
      </c>
      <c r="R1740" s="14"/>
      <c r="S1740" s="14"/>
      <c r="T1740" s="14"/>
    </row>
    <row r="1741" spans="17:20" x14ac:dyDescent="0.25">
      <c r="Q1741" s="9" t="s">
        <v>52</v>
      </c>
      <c r="R1741" s="9">
        <v>2</v>
      </c>
      <c r="S1741" s="9">
        <v>2</v>
      </c>
      <c r="T1741" s="9">
        <v>4</v>
      </c>
    </row>
    <row r="1742" spans="17:20" x14ac:dyDescent="0.25">
      <c r="Q1742" s="9" t="s">
        <v>53</v>
      </c>
      <c r="R1742" s="9">
        <v>117</v>
      </c>
      <c r="S1742" s="9">
        <v>126</v>
      </c>
      <c r="T1742" s="9">
        <v>243</v>
      </c>
    </row>
    <row r="1743" spans="17:20" x14ac:dyDescent="0.25">
      <c r="Q1743" s="9" t="s">
        <v>54</v>
      </c>
      <c r="R1743" s="9">
        <v>58.5</v>
      </c>
      <c r="S1743" s="9">
        <v>63</v>
      </c>
      <c r="T1743" s="9">
        <v>60.75</v>
      </c>
    </row>
    <row r="1744" spans="17:20" x14ac:dyDescent="0.25">
      <c r="Q1744" s="9" t="s">
        <v>55</v>
      </c>
      <c r="R1744" s="9">
        <v>12.5</v>
      </c>
      <c r="S1744" s="9">
        <v>50</v>
      </c>
      <c r="T1744" s="9">
        <v>27.583333333333332</v>
      </c>
    </row>
    <row r="1745" spans="17:20" x14ac:dyDescent="0.25">
      <c r="Q1745" s="9"/>
      <c r="R1745" s="9"/>
      <c r="S1745" s="9"/>
      <c r="T1745" s="9"/>
    </row>
    <row r="1746" spans="17:20" x14ac:dyDescent="0.25">
      <c r="Q1746" s="14">
        <v>81</v>
      </c>
      <c r="R1746" s="14"/>
      <c r="S1746" s="14"/>
      <c r="T1746" s="14"/>
    </row>
    <row r="1747" spans="17:20" x14ac:dyDescent="0.25">
      <c r="Q1747" s="9" t="s">
        <v>52</v>
      </c>
      <c r="R1747" s="9">
        <v>2</v>
      </c>
      <c r="S1747" s="9">
        <v>2</v>
      </c>
      <c r="T1747" s="9">
        <v>4</v>
      </c>
    </row>
    <row r="1748" spans="17:20" x14ac:dyDescent="0.25">
      <c r="Q1748" s="9" t="s">
        <v>53</v>
      </c>
      <c r="R1748" s="9">
        <v>176</v>
      </c>
      <c r="S1748" s="9">
        <v>176</v>
      </c>
      <c r="T1748" s="9">
        <v>352</v>
      </c>
    </row>
    <row r="1749" spans="17:20" x14ac:dyDescent="0.25">
      <c r="Q1749" s="9" t="s">
        <v>54</v>
      </c>
      <c r="R1749" s="9">
        <v>88</v>
      </c>
      <c r="S1749" s="9">
        <v>88</v>
      </c>
      <c r="T1749" s="9">
        <v>88</v>
      </c>
    </row>
    <row r="1750" spans="17:20" x14ac:dyDescent="0.25">
      <c r="Q1750" s="9" t="s">
        <v>55</v>
      </c>
      <c r="R1750" s="9">
        <v>162</v>
      </c>
      <c r="S1750" s="9">
        <v>128</v>
      </c>
      <c r="T1750" s="9">
        <v>96.666666666666671</v>
      </c>
    </row>
    <row r="1751" spans="17:20" x14ac:dyDescent="0.25">
      <c r="Q1751" s="9"/>
      <c r="R1751" s="9"/>
      <c r="S1751" s="9"/>
      <c r="T1751" s="9"/>
    </row>
    <row r="1752" spans="17:20" x14ac:dyDescent="0.25">
      <c r="Q1752" s="14">
        <v>63</v>
      </c>
      <c r="R1752" s="14"/>
      <c r="S1752" s="14"/>
      <c r="T1752" s="14"/>
    </row>
    <row r="1753" spans="17:20" x14ac:dyDescent="0.25">
      <c r="Q1753" s="9" t="s">
        <v>52</v>
      </c>
      <c r="R1753" s="9">
        <v>2</v>
      </c>
      <c r="S1753" s="9">
        <v>2</v>
      </c>
      <c r="T1753" s="9">
        <v>4</v>
      </c>
    </row>
    <row r="1754" spans="17:20" x14ac:dyDescent="0.25">
      <c r="Q1754" s="9" t="s">
        <v>53</v>
      </c>
      <c r="R1754" s="9">
        <v>148</v>
      </c>
      <c r="S1754" s="9">
        <v>158</v>
      </c>
      <c r="T1754" s="9">
        <v>306</v>
      </c>
    </row>
    <row r="1755" spans="17:20" x14ac:dyDescent="0.25">
      <c r="Q1755" s="9" t="s">
        <v>54</v>
      </c>
      <c r="R1755" s="9">
        <v>74</v>
      </c>
      <c r="S1755" s="9">
        <v>79</v>
      </c>
      <c r="T1755" s="9">
        <v>76.5</v>
      </c>
    </row>
    <row r="1756" spans="17:20" x14ac:dyDescent="0.25">
      <c r="Q1756" s="9" t="s">
        <v>55</v>
      </c>
      <c r="R1756" s="9">
        <v>2</v>
      </c>
      <c r="S1756" s="9">
        <v>2</v>
      </c>
      <c r="T1756" s="9">
        <v>9.6666666666666661</v>
      </c>
    </row>
    <row r="1757" spans="17:20" x14ac:dyDescent="0.25">
      <c r="Q1757" s="9"/>
      <c r="R1757" s="9"/>
      <c r="S1757" s="9"/>
      <c r="T1757" s="9"/>
    </row>
    <row r="1758" spans="17:20" x14ac:dyDescent="0.25">
      <c r="Q1758" s="14">
        <v>69</v>
      </c>
      <c r="R1758" s="14"/>
      <c r="S1758" s="14"/>
      <c r="T1758" s="14"/>
    </row>
    <row r="1759" spans="17:20" x14ac:dyDescent="0.25">
      <c r="Q1759" s="9" t="s">
        <v>52</v>
      </c>
      <c r="R1759" s="9">
        <v>2</v>
      </c>
      <c r="S1759" s="9">
        <v>2</v>
      </c>
      <c r="T1759" s="9">
        <v>4</v>
      </c>
    </row>
    <row r="1760" spans="17:20" x14ac:dyDescent="0.25">
      <c r="Q1760" s="9" t="s">
        <v>53</v>
      </c>
      <c r="R1760" s="9">
        <v>153</v>
      </c>
      <c r="S1760" s="9">
        <v>153</v>
      </c>
      <c r="T1760" s="9">
        <v>306</v>
      </c>
    </row>
    <row r="1761" spans="17:20" x14ac:dyDescent="0.25">
      <c r="Q1761" s="9" t="s">
        <v>54</v>
      </c>
      <c r="R1761" s="9">
        <v>76.5</v>
      </c>
      <c r="S1761" s="9">
        <v>76.5</v>
      </c>
      <c r="T1761" s="9">
        <v>76.5</v>
      </c>
    </row>
    <row r="1762" spans="17:20" x14ac:dyDescent="0.25">
      <c r="Q1762" s="9" t="s">
        <v>55</v>
      </c>
      <c r="R1762" s="9">
        <v>0.5</v>
      </c>
      <c r="S1762" s="9">
        <v>0.5</v>
      </c>
      <c r="T1762" s="9">
        <v>0.33333333333333331</v>
      </c>
    </row>
    <row r="1763" spans="17:20" x14ac:dyDescent="0.25">
      <c r="Q1763" s="9"/>
      <c r="R1763" s="9"/>
      <c r="S1763" s="9"/>
      <c r="T1763" s="9"/>
    </row>
    <row r="1764" spans="17:20" x14ac:dyDescent="0.25">
      <c r="Q1764" s="14">
        <v>55</v>
      </c>
      <c r="R1764" s="14"/>
      <c r="S1764" s="14"/>
      <c r="T1764" s="14"/>
    </row>
    <row r="1765" spans="17:20" x14ac:dyDescent="0.25">
      <c r="Q1765" s="9" t="s">
        <v>52</v>
      </c>
      <c r="R1765" s="9">
        <v>2</v>
      </c>
      <c r="S1765" s="9">
        <v>2</v>
      </c>
      <c r="T1765" s="9">
        <v>4</v>
      </c>
    </row>
    <row r="1766" spans="17:20" x14ac:dyDescent="0.25">
      <c r="Q1766" s="9" t="s">
        <v>53</v>
      </c>
      <c r="R1766" s="9">
        <v>136</v>
      </c>
      <c r="S1766" s="9">
        <v>135</v>
      </c>
      <c r="T1766" s="9">
        <v>271</v>
      </c>
    </row>
    <row r="1767" spans="17:20" x14ac:dyDescent="0.25">
      <c r="Q1767" s="9" t="s">
        <v>54</v>
      </c>
      <c r="R1767" s="9">
        <v>68</v>
      </c>
      <c r="S1767" s="9">
        <v>67.5</v>
      </c>
      <c r="T1767" s="9">
        <v>67.75</v>
      </c>
    </row>
    <row r="1768" spans="17:20" x14ac:dyDescent="0.25">
      <c r="Q1768" s="9" t="s">
        <v>55</v>
      </c>
      <c r="R1768" s="9">
        <v>50</v>
      </c>
      <c r="S1768" s="9">
        <v>60.5</v>
      </c>
      <c r="T1768" s="9">
        <v>36.916666666666664</v>
      </c>
    </row>
    <row r="1769" spans="17:20" x14ac:dyDescent="0.25">
      <c r="Q1769" s="9"/>
      <c r="R1769" s="9"/>
      <c r="S1769" s="9"/>
      <c r="T1769" s="9"/>
    </row>
    <row r="1770" spans="17:20" x14ac:dyDescent="0.25">
      <c r="Q1770" s="14">
        <v>54</v>
      </c>
      <c r="R1770" s="14"/>
      <c r="S1770" s="14"/>
      <c r="T1770" s="14"/>
    </row>
    <row r="1771" spans="17:20" x14ac:dyDescent="0.25">
      <c r="Q1771" s="9" t="s">
        <v>52</v>
      </c>
      <c r="R1771" s="9">
        <v>2</v>
      </c>
      <c r="S1771" s="9">
        <v>2</v>
      </c>
      <c r="T1771" s="9">
        <v>4</v>
      </c>
    </row>
    <row r="1772" spans="17:20" x14ac:dyDescent="0.25">
      <c r="Q1772" s="9" t="s">
        <v>53</v>
      </c>
      <c r="R1772" s="9">
        <v>130</v>
      </c>
      <c r="S1772" s="9">
        <v>130</v>
      </c>
      <c r="T1772" s="9">
        <v>260</v>
      </c>
    </row>
    <row r="1773" spans="17:20" x14ac:dyDescent="0.25">
      <c r="Q1773" s="9" t="s">
        <v>54</v>
      </c>
      <c r="R1773" s="9">
        <v>65</v>
      </c>
      <c r="S1773" s="9">
        <v>65</v>
      </c>
      <c r="T1773" s="9">
        <v>65</v>
      </c>
    </row>
    <row r="1774" spans="17:20" x14ac:dyDescent="0.25">
      <c r="Q1774" s="9" t="s">
        <v>55</v>
      </c>
      <c r="R1774" s="9">
        <v>2</v>
      </c>
      <c r="S1774" s="9">
        <v>0</v>
      </c>
      <c r="T1774" s="9">
        <v>0.66666666666666663</v>
      </c>
    </row>
    <row r="1775" spans="17:20" x14ac:dyDescent="0.25">
      <c r="Q1775" s="9"/>
      <c r="R1775" s="9"/>
      <c r="S1775" s="9"/>
      <c r="T1775" s="9"/>
    </row>
    <row r="1776" spans="17:20" x14ac:dyDescent="0.25">
      <c r="Q1776" s="14">
        <v>58</v>
      </c>
      <c r="R1776" s="14"/>
      <c r="S1776" s="14"/>
      <c r="T1776" s="14"/>
    </row>
    <row r="1777" spans="17:20" x14ac:dyDescent="0.25">
      <c r="Q1777" s="9" t="s">
        <v>52</v>
      </c>
      <c r="R1777" s="9">
        <v>2</v>
      </c>
      <c r="S1777" s="9">
        <v>2</v>
      </c>
      <c r="T1777" s="9">
        <v>4</v>
      </c>
    </row>
    <row r="1778" spans="17:20" x14ac:dyDescent="0.25">
      <c r="Q1778" s="9" t="s">
        <v>53</v>
      </c>
      <c r="R1778" s="9">
        <v>119</v>
      </c>
      <c r="S1778" s="9">
        <v>104</v>
      </c>
      <c r="T1778" s="9">
        <v>223</v>
      </c>
    </row>
    <row r="1779" spans="17:20" x14ac:dyDescent="0.25">
      <c r="Q1779" s="9" t="s">
        <v>54</v>
      </c>
      <c r="R1779" s="9">
        <v>59.5</v>
      </c>
      <c r="S1779" s="9">
        <v>52</v>
      </c>
      <c r="T1779" s="9">
        <v>55.75</v>
      </c>
    </row>
    <row r="1780" spans="17:20" x14ac:dyDescent="0.25">
      <c r="Q1780" s="9" t="s">
        <v>55</v>
      </c>
      <c r="R1780" s="9">
        <v>12.5</v>
      </c>
      <c r="S1780" s="9">
        <v>8</v>
      </c>
      <c r="T1780" s="9">
        <v>25.583333333333332</v>
      </c>
    </row>
    <row r="1781" spans="17:20" x14ac:dyDescent="0.25">
      <c r="Q1781" s="9"/>
      <c r="R1781" s="9"/>
      <c r="S1781" s="9"/>
      <c r="T1781" s="9"/>
    </row>
    <row r="1782" spans="17:20" x14ac:dyDescent="0.25">
      <c r="Q1782" s="14">
        <v>68</v>
      </c>
      <c r="R1782" s="14"/>
      <c r="S1782" s="14"/>
      <c r="T1782" s="14"/>
    </row>
    <row r="1783" spans="17:20" x14ac:dyDescent="0.25">
      <c r="Q1783" s="9" t="s">
        <v>52</v>
      </c>
      <c r="R1783" s="9">
        <v>2</v>
      </c>
      <c r="S1783" s="9">
        <v>2</v>
      </c>
      <c r="T1783" s="9">
        <v>4</v>
      </c>
    </row>
    <row r="1784" spans="17:20" x14ac:dyDescent="0.25">
      <c r="Q1784" s="9" t="s">
        <v>53</v>
      </c>
      <c r="R1784" s="9">
        <v>144</v>
      </c>
      <c r="S1784" s="9">
        <v>137</v>
      </c>
      <c r="T1784" s="9">
        <v>281</v>
      </c>
    </row>
    <row r="1785" spans="17:20" x14ac:dyDescent="0.25">
      <c r="Q1785" s="9" t="s">
        <v>54</v>
      </c>
      <c r="R1785" s="9">
        <v>72</v>
      </c>
      <c r="S1785" s="9">
        <v>68.5</v>
      </c>
      <c r="T1785" s="9">
        <v>70.25</v>
      </c>
    </row>
    <row r="1786" spans="17:20" x14ac:dyDescent="0.25">
      <c r="Q1786" s="9" t="s">
        <v>55</v>
      </c>
      <c r="R1786" s="9">
        <v>32</v>
      </c>
      <c r="S1786" s="9">
        <v>40.5</v>
      </c>
      <c r="T1786" s="9">
        <v>28.25</v>
      </c>
    </row>
    <row r="1787" spans="17:20" x14ac:dyDescent="0.25">
      <c r="Q1787" s="9"/>
      <c r="R1787" s="9"/>
      <c r="S1787" s="9"/>
      <c r="T1787" s="9"/>
    </row>
    <row r="1788" spans="17:20" x14ac:dyDescent="0.25">
      <c r="Q1788" s="14">
        <v>92</v>
      </c>
      <c r="R1788" s="14"/>
      <c r="S1788" s="14"/>
      <c r="T1788" s="14"/>
    </row>
    <row r="1789" spans="17:20" x14ac:dyDescent="0.25">
      <c r="Q1789" s="9" t="s">
        <v>52</v>
      </c>
      <c r="R1789" s="9">
        <v>2</v>
      </c>
      <c r="S1789" s="9">
        <v>2</v>
      </c>
      <c r="T1789" s="9">
        <v>4</v>
      </c>
    </row>
    <row r="1790" spans="17:20" x14ac:dyDescent="0.25">
      <c r="Q1790" s="9" t="s">
        <v>53</v>
      </c>
      <c r="R1790" s="9">
        <v>179</v>
      </c>
      <c r="S1790" s="9">
        <v>171</v>
      </c>
      <c r="T1790" s="9">
        <v>350</v>
      </c>
    </row>
    <row r="1791" spans="17:20" x14ac:dyDescent="0.25">
      <c r="Q1791" s="9" t="s">
        <v>54</v>
      </c>
      <c r="R1791" s="9">
        <v>89.5</v>
      </c>
      <c r="S1791" s="9">
        <v>85.5</v>
      </c>
      <c r="T1791" s="9">
        <v>87.5</v>
      </c>
    </row>
    <row r="1792" spans="17:20" x14ac:dyDescent="0.25">
      <c r="Q1792" s="9" t="s">
        <v>55</v>
      </c>
      <c r="R1792" s="9">
        <v>220.5</v>
      </c>
      <c r="S1792" s="9">
        <v>364.5</v>
      </c>
      <c r="T1792" s="9">
        <v>200.33333333333334</v>
      </c>
    </row>
    <row r="1793" spans="17:20" x14ac:dyDescent="0.25">
      <c r="Q1793" s="9"/>
      <c r="R1793" s="9"/>
      <c r="S1793" s="9"/>
      <c r="T1793" s="9"/>
    </row>
    <row r="1794" spans="17:20" x14ac:dyDescent="0.25">
      <c r="Q1794" s="14">
        <v>30</v>
      </c>
      <c r="R1794" s="14"/>
      <c r="S1794" s="14"/>
      <c r="T1794" s="14"/>
    </row>
    <row r="1795" spans="17:20" x14ac:dyDescent="0.25">
      <c r="Q1795" s="9" t="s">
        <v>52</v>
      </c>
      <c r="R1795" s="9">
        <v>2</v>
      </c>
      <c r="S1795" s="9">
        <v>2</v>
      </c>
      <c r="T1795" s="9">
        <v>4</v>
      </c>
    </row>
    <row r="1796" spans="17:20" x14ac:dyDescent="0.25">
      <c r="Q1796" s="9" t="s">
        <v>53</v>
      </c>
      <c r="R1796" s="9">
        <v>78</v>
      </c>
      <c r="S1796" s="9">
        <v>63</v>
      </c>
      <c r="T1796" s="9">
        <v>141</v>
      </c>
    </row>
    <row r="1797" spans="17:20" x14ac:dyDescent="0.25">
      <c r="Q1797" s="9" t="s">
        <v>54</v>
      </c>
      <c r="R1797" s="9">
        <v>39</v>
      </c>
      <c r="S1797" s="9">
        <v>31.5</v>
      </c>
      <c r="T1797" s="9">
        <v>35.25</v>
      </c>
    </row>
    <row r="1798" spans="17:20" x14ac:dyDescent="0.25">
      <c r="Q1798" s="9" t="s">
        <v>55</v>
      </c>
      <c r="R1798" s="9">
        <v>450</v>
      </c>
      <c r="S1798" s="9">
        <v>544.5</v>
      </c>
      <c r="T1798" s="9">
        <v>350.25</v>
      </c>
    </row>
    <row r="1799" spans="17:20" x14ac:dyDescent="0.25">
      <c r="Q1799" s="9"/>
      <c r="R1799" s="9"/>
      <c r="S1799" s="9"/>
      <c r="T1799" s="9"/>
    </row>
    <row r="1800" spans="17:20" x14ac:dyDescent="0.25">
      <c r="Q1800" s="14">
        <v>69</v>
      </c>
      <c r="R1800" s="14"/>
      <c r="S1800" s="14"/>
      <c r="T1800" s="14"/>
    </row>
    <row r="1801" spans="17:20" x14ac:dyDescent="0.25">
      <c r="Q1801" s="9" t="s">
        <v>52</v>
      </c>
      <c r="R1801" s="9">
        <v>2</v>
      </c>
      <c r="S1801" s="9">
        <v>2</v>
      </c>
      <c r="T1801" s="9">
        <v>4</v>
      </c>
    </row>
    <row r="1802" spans="17:20" x14ac:dyDescent="0.25">
      <c r="Q1802" s="9" t="s">
        <v>53</v>
      </c>
      <c r="R1802" s="9">
        <v>159</v>
      </c>
      <c r="S1802" s="9">
        <v>154</v>
      </c>
      <c r="T1802" s="9">
        <v>313</v>
      </c>
    </row>
    <row r="1803" spans="17:20" x14ac:dyDescent="0.25">
      <c r="Q1803" s="9" t="s">
        <v>54</v>
      </c>
      <c r="R1803" s="9">
        <v>79.5</v>
      </c>
      <c r="S1803" s="9">
        <v>77</v>
      </c>
      <c r="T1803" s="9">
        <v>78.25</v>
      </c>
    </row>
    <row r="1804" spans="17:20" x14ac:dyDescent="0.25">
      <c r="Q1804" s="9" t="s">
        <v>55</v>
      </c>
      <c r="R1804" s="9">
        <v>12.5</v>
      </c>
      <c r="S1804" s="9">
        <v>32</v>
      </c>
      <c r="T1804" s="9">
        <v>16.916666666666668</v>
      </c>
    </row>
    <row r="1805" spans="17:20" x14ac:dyDescent="0.25">
      <c r="Q1805" s="9"/>
      <c r="R1805" s="9"/>
      <c r="S1805" s="9"/>
      <c r="T1805" s="9"/>
    </row>
    <row r="1806" spans="17:20" x14ac:dyDescent="0.25">
      <c r="Q1806" s="14">
        <v>54</v>
      </c>
      <c r="R1806" s="14"/>
      <c r="S1806" s="14"/>
      <c r="T1806" s="14"/>
    </row>
    <row r="1807" spans="17:20" x14ac:dyDescent="0.25">
      <c r="Q1807" s="9" t="s">
        <v>52</v>
      </c>
      <c r="R1807" s="9">
        <v>2</v>
      </c>
      <c r="S1807" s="9">
        <v>2</v>
      </c>
      <c r="T1807" s="9">
        <v>4</v>
      </c>
    </row>
    <row r="1808" spans="17:20" x14ac:dyDescent="0.25">
      <c r="Q1808" s="9" t="s">
        <v>53</v>
      </c>
      <c r="R1808" s="9">
        <v>89</v>
      </c>
      <c r="S1808" s="9">
        <v>93</v>
      </c>
      <c r="T1808" s="9">
        <v>182</v>
      </c>
    </row>
    <row r="1809" spans="17:20" x14ac:dyDescent="0.25">
      <c r="Q1809" s="9" t="s">
        <v>54</v>
      </c>
      <c r="R1809" s="9">
        <v>44.5</v>
      </c>
      <c r="S1809" s="9">
        <v>46.5</v>
      </c>
      <c r="T1809" s="9">
        <v>45.5</v>
      </c>
    </row>
    <row r="1810" spans="17:20" x14ac:dyDescent="0.25">
      <c r="Q1810" s="9" t="s">
        <v>55</v>
      </c>
      <c r="R1810" s="9">
        <v>480.5</v>
      </c>
      <c r="S1810" s="9">
        <v>544.5</v>
      </c>
      <c r="T1810" s="9">
        <v>343</v>
      </c>
    </row>
    <row r="1811" spans="17:20" x14ac:dyDescent="0.25">
      <c r="Q1811" s="9"/>
      <c r="R1811" s="9"/>
      <c r="S1811" s="9"/>
      <c r="T1811" s="9"/>
    </row>
    <row r="1812" spans="17:20" x14ac:dyDescent="0.25">
      <c r="Q1812" s="14">
        <v>76</v>
      </c>
      <c r="R1812" s="14"/>
      <c r="S1812" s="14"/>
      <c r="T1812" s="14"/>
    </row>
    <row r="1813" spans="17:20" x14ac:dyDescent="0.25">
      <c r="Q1813" s="9" t="s">
        <v>52</v>
      </c>
      <c r="R1813" s="9">
        <v>2</v>
      </c>
      <c r="S1813" s="9">
        <v>2</v>
      </c>
      <c r="T1813" s="9">
        <v>4</v>
      </c>
    </row>
    <row r="1814" spans="17:20" x14ac:dyDescent="0.25">
      <c r="Q1814" s="9" t="s">
        <v>53</v>
      </c>
      <c r="R1814" s="9">
        <v>135</v>
      </c>
      <c r="S1814" s="9">
        <v>131</v>
      </c>
      <c r="T1814" s="9">
        <v>266</v>
      </c>
    </row>
    <row r="1815" spans="17:20" x14ac:dyDescent="0.25">
      <c r="Q1815" s="9" t="s">
        <v>54</v>
      </c>
      <c r="R1815" s="9">
        <v>67.5</v>
      </c>
      <c r="S1815" s="9">
        <v>65.5</v>
      </c>
      <c r="T1815" s="9">
        <v>66.5</v>
      </c>
    </row>
    <row r="1816" spans="17:20" x14ac:dyDescent="0.25">
      <c r="Q1816" s="9" t="s">
        <v>55</v>
      </c>
      <c r="R1816" s="9">
        <v>220.5</v>
      </c>
      <c r="S1816" s="9">
        <v>420.5</v>
      </c>
      <c r="T1816" s="9">
        <v>215</v>
      </c>
    </row>
    <row r="1817" spans="17:20" x14ac:dyDescent="0.25">
      <c r="Q1817" s="9"/>
      <c r="R1817" s="9"/>
      <c r="S1817" s="9"/>
      <c r="T1817" s="9"/>
    </row>
    <row r="1818" spans="17:20" x14ac:dyDescent="0.25">
      <c r="Q1818" s="14">
        <v>84</v>
      </c>
      <c r="R1818" s="14"/>
      <c r="S1818" s="14"/>
      <c r="T1818" s="14"/>
    </row>
    <row r="1819" spans="17:20" x14ac:dyDescent="0.25">
      <c r="Q1819" s="9" t="s">
        <v>52</v>
      </c>
      <c r="R1819" s="9">
        <v>2</v>
      </c>
      <c r="S1819" s="9">
        <v>2</v>
      </c>
      <c r="T1819" s="9">
        <v>4</v>
      </c>
    </row>
    <row r="1820" spans="17:20" x14ac:dyDescent="0.25">
      <c r="Q1820" s="9" t="s">
        <v>53</v>
      </c>
      <c r="R1820" s="9">
        <v>161</v>
      </c>
      <c r="S1820" s="9">
        <v>152</v>
      </c>
      <c r="T1820" s="9">
        <v>313</v>
      </c>
    </row>
    <row r="1821" spans="17:20" x14ac:dyDescent="0.25">
      <c r="Q1821" s="9" t="s">
        <v>54</v>
      </c>
      <c r="R1821" s="9">
        <v>80.5</v>
      </c>
      <c r="S1821" s="9">
        <v>76</v>
      </c>
      <c r="T1821" s="9">
        <v>78.25</v>
      </c>
    </row>
    <row r="1822" spans="17:20" x14ac:dyDescent="0.25">
      <c r="Q1822" s="9" t="s">
        <v>55</v>
      </c>
      <c r="R1822" s="9">
        <v>144.5</v>
      </c>
      <c r="S1822" s="9">
        <v>392</v>
      </c>
      <c r="T1822" s="9">
        <v>185.58333333333334</v>
      </c>
    </row>
    <row r="1823" spans="17:20" x14ac:dyDescent="0.25">
      <c r="Q1823" s="9"/>
      <c r="R1823" s="9"/>
      <c r="S1823" s="9"/>
      <c r="T1823" s="9"/>
    </row>
    <row r="1824" spans="17:20" x14ac:dyDescent="0.25">
      <c r="Q1824" s="14">
        <v>85</v>
      </c>
      <c r="R1824" s="14"/>
      <c r="S1824" s="14"/>
      <c r="T1824" s="14"/>
    </row>
    <row r="1825" spans="17:20" x14ac:dyDescent="0.25">
      <c r="Q1825" s="9" t="s">
        <v>52</v>
      </c>
      <c r="R1825" s="9">
        <v>2</v>
      </c>
      <c r="S1825" s="9">
        <v>2</v>
      </c>
      <c r="T1825" s="9">
        <v>4</v>
      </c>
    </row>
    <row r="1826" spans="17:20" x14ac:dyDescent="0.25">
      <c r="Q1826" s="9" t="s">
        <v>53</v>
      </c>
      <c r="R1826" s="9">
        <v>142</v>
      </c>
      <c r="S1826" s="9">
        <v>136</v>
      </c>
      <c r="T1826" s="9">
        <v>278</v>
      </c>
    </row>
    <row r="1827" spans="17:20" x14ac:dyDescent="0.25">
      <c r="Q1827" s="9" t="s">
        <v>54</v>
      </c>
      <c r="R1827" s="9">
        <v>71</v>
      </c>
      <c r="S1827" s="9">
        <v>68</v>
      </c>
      <c r="T1827" s="9">
        <v>69.5</v>
      </c>
    </row>
    <row r="1828" spans="17:20" x14ac:dyDescent="0.25">
      <c r="Q1828" s="9" t="s">
        <v>55</v>
      </c>
      <c r="R1828" s="9">
        <v>338</v>
      </c>
      <c r="S1828" s="9">
        <v>392</v>
      </c>
      <c r="T1828" s="9">
        <v>246.33333333333334</v>
      </c>
    </row>
    <row r="1829" spans="17:20" x14ac:dyDescent="0.25">
      <c r="Q1829" s="9"/>
      <c r="R1829" s="9"/>
      <c r="S1829" s="9"/>
      <c r="T1829" s="9"/>
    </row>
    <row r="1830" spans="17:20" x14ac:dyDescent="0.25">
      <c r="Q1830" s="14">
        <v>61</v>
      </c>
      <c r="R1830" s="14"/>
      <c r="S1830" s="14"/>
      <c r="T1830" s="14"/>
    </row>
    <row r="1831" spans="17:20" x14ac:dyDescent="0.25">
      <c r="Q1831" s="9" t="s">
        <v>52</v>
      </c>
      <c r="R1831" s="9">
        <v>2</v>
      </c>
      <c r="S1831" s="9">
        <v>2</v>
      </c>
      <c r="T1831" s="9">
        <v>4</v>
      </c>
    </row>
    <row r="1832" spans="17:20" x14ac:dyDescent="0.25">
      <c r="Q1832" s="9" t="s">
        <v>53</v>
      </c>
      <c r="R1832" s="9">
        <v>127</v>
      </c>
      <c r="S1832" s="9">
        <v>127</v>
      </c>
      <c r="T1832" s="9">
        <v>254</v>
      </c>
    </row>
    <row r="1833" spans="17:20" x14ac:dyDescent="0.25">
      <c r="Q1833" s="9" t="s">
        <v>54</v>
      </c>
      <c r="R1833" s="9">
        <v>63.5</v>
      </c>
      <c r="S1833" s="9">
        <v>63.5</v>
      </c>
      <c r="T1833" s="9">
        <v>63.5</v>
      </c>
    </row>
    <row r="1834" spans="17:20" x14ac:dyDescent="0.25">
      <c r="Q1834" s="9" t="s">
        <v>55</v>
      </c>
      <c r="R1834" s="9">
        <v>0.5</v>
      </c>
      <c r="S1834" s="9">
        <v>4.5</v>
      </c>
      <c r="T1834" s="9">
        <v>1.6666666666666667</v>
      </c>
    </row>
    <row r="1835" spans="17:20" x14ac:dyDescent="0.25">
      <c r="Q1835" s="9"/>
      <c r="R1835" s="9"/>
      <c r="S1835" s="9"/>
      <c r="T1835" s="9"/>
    </row>
    <row r="1836" spans="17:20" x14ac:dyDescent="0.25">
      <c r="Q1836" s="14">
        <v>69</v>
      </c>
      <c r="R1836" s="14"/>
      <c r="S1836" s="14"/>
      <c r="T1836" s="14"/>
    </row>
    <row r="1837" spans="17:20" x14ac:dyDescent="0.25">
      <c r="Q1837" s="9" t="s">
        <v>52</v>
      </c>
      <c r="R1837" s="9">
        <v>2</v>
      </c>
      <c r="S1837" s="9">
        <v>2</v>
      </c>
      <c r="T1837" s="9">
        <v>4</v>
      </c>
    </row>
    <row r="1838" spans="17:20" x14ac:dyDescent="0.25">
      <c r="Q1838" s="9" t="s">
        <v>53</v>
      </c>
      <c r="R1838" s="9">
        <v>119</v>
      </c>
      <c r="S1838" s="9">
        <v>129</v>
      </c>
      <c r="T1838" s="9">
        <v>248</v>
      </c>
    </row>
    <row r="1839" spans="17:20" x14ac:dyDescent="0.25">
      <c r="Q1839" s="9" t="s">
        <v>54</v>
      </c>
      <c r="R1839" s="9">
        <v>59.5</v>
      </c>
      <c r="S1839" s="9">
        <v>64.5</v>
      </c>
      <c r="T1839" s="9">
        <v>62</v>
      </c>
    </row>
    <row r="1840" spans="17:20" x14ac:dyDescent="0.25">
      <c r="Q1840" s="9" t="s">
        <v>55</v>
      </c>
      <c r="R1840" s="9">
        <v>0.5</v>
      </c>
      <c r="S1840" s="9">
        <v>4.5</v>
      </c>
      <c r="T1840" s="9">
        <v>10</v>
      </c>
    </row>
    <row r="1841" spans="17:20" x14ac:dyDescent="0.25">
      <c r="Q1841" s="9"/>
      <c r="R1841" s="9"/>
      <c r="S1841" s="9"/>
      <c r="T1841" s="9"/>
    </row>
    <row r="1842" spans="17:20" x14ac:dyDescent="0.25">
      <c r="Q1842" s="14">
        <v>94</v>
      </c>
      <c r="R1842" s="14"/>
      <c r="S1842" s="14"/>
      <c r="T1842" s="14"/>
    </row>
    <row r="1843" spans="17:20" x14ac:dyDescent="0.25">
      <c r="Q1843" s="9" t="s">
        <v>52</v>
      </c>
      <c r="R1843" s="9">
        <v>2</v>
      </c>
      <c r="S1843" s="9">
        <v>2</v>
      </c>
      <c r="T1843" s="9">
        <v>4</v>
      </c>
    </row>
    <row r="1844" spans="17:20" x14ac:dyDescent="0.25">
      <c r="Q1844" s="9" t="s">
        <v>53</v>
      </c>
      <c r="R1844" s="9">
        <v>167</v>
      </c>
      <c r="S1844" s="9">
        <v>165</v>
      </c>
      <c r="T1844" s="9">
        <v>332</v>
      </c>
    </row>
    <row r="1845" spans="17:20" x14ac:dyDescent="0.25">
      <c r="Q1845" s="9" t="s">
        <v>54</v>
      </c>
      <c r="R1845" s="9">
        <v>83.5</v>
      </c>
      <c r="S1845" s="9">
        <v>82.5</v>
      </c>
      <c r="T1845" s="9">
        <v>83</v>
      </c>
    </row>
    <row r="1846" spans="17:20" x14ac:dyDescent="0.25">
      <c r="Q1846" s="9" t="s">
        <v>55</v>
      </c>
      <c r="R1846" s="9">
        <v>84.5</v>
      </c>
      <c r="S1846" s="9">
        <v>144.5</v>
      </c>
      <c r="T1846" s="9">
        <v>76.666666666666671</v>
      </c>
    </row>
    <row r="1847" spans="17:20" x14ac:dyDescent="0.25">
      <c r="Q1847" s="9"/>
      <c r="R1847" s="9"/>
      <c r="S1847" s="9"/>
      <c r="T1847" s="9"/>
    </row>
    <row r="1848" spans="17:20" x14ac:dyDescent="0.25">
      <c r="Q1848" s="14">
        <v>82</v>
      </c>
      <c r="R1848" s="14"/>
      <c r="S1848" s="14"/>
      <c r="T1848" s="14"/>
    </row>
    <row r="1849" spans="17:20" x14ac:dyDescent="0.25">
      <c r="Q1849" s="9" t="s">
        <v>52</v>
      </c>
      <c r="R1849" s="9">
        <v>2</v>
      </c>
      <c r="S1849" s="9">
        <v>2</v>
      </c>
      <c r="T1849" s="9">
        <v>4</v>
      </c>
    </row>
    <row r="1850" spans="17:20" x14ac:dyDescent="0.25">
      <c r="Q1850" s="9" t="s">
        <v>53</v>
      </c>
      <c r="R1850" s="9">
        <v>161</v>
      </c>
      <c r="S1850" s="9">
        <v>165</v>
      </c>
      <c r="T1850" s="9">
        <v>326</v>
      </c>
    </row>
    <row r="1851" spans="17:20" x14ac:dyDescent="0.25">
      <c r="Q1851" s="9" t="s">
        <v>54</v>
      </c>
      <c r="R1851" s="9">
        <v>80.5</v>
      </c>
      <c r="S1851" s="9">
        <v>82.5</v>
      </c>
      <c r="T1851" s="9">
        <v>81.5</v>
      </c>
    </row>
    <row r="1852" spans="17:20" x14ac:dyDescent="0.25">
      <c r="Q1852" s="9" t="s">
        <v>55</v>
      </c>
      <c r="R1852" s="9">
        <v>312.5</v>
      </c>
      <c r="S1852" s="9">
        <v>220.5</v>
      </c>
      <c r="T1852" s="9">
        <v>179</v>
      </c>
    </row>
    <row r="1853" spans="17:20" x14ac:dyDescent="0.25">
      <c r="Q1853" s="9"/>
      <c r="R1853" s="9"/>
      <c r="S1853" s="9"/>
      <c r="T1853" s="9"/>
    </row>
    <row r="1854" spans="17:20" x14ac:dyDescent="0.25">
      <c r="Q1854" s="14">
        <v>37</v>
      </c>
      <c r="R1854" s="14"/>
      <c r="S1854" s="14"/>
      <c r="T1854" s="14"/>
    </row>
    <row r="1855" spans="17:20" x14ac:dyDescent="0.25">
      <c r="Q1855" s="9" t="s">
        <v>52</v>
      </c>
      <c r="R1855" s="9">
        <v>2</v>
      </c>
      <c r="S1855" s="9">
        <v>2</v>
      </c>
      <c r="T1855" s="9">
        <v>4</v>
      </c>
    </row>
    <row r="1856" spans="17:20" x14ac:dyDescent="0.25">
      <c r="Q1856" s="9" t="s">
        <v>53</v>
      </c>
      <c r="R1856" s="9">
        <v>123</v>
      </c>
      <c r="S1856" s="9">
        <v>121</v>
      </c>
      <c r="T1856" s="9">
        <v>244</v>
      </c>
    </row>
    <row r="1857" spans="17:20" x14ac:dyDescent="0.25">
      <c r="Q1857" s="9" t="s">
        <v>54</v>
      </c>
      <c r="R1857" s="9">
        <v>61.5</v>
      </c>
      <c r="S1857" s="9">
        <v>60.5</v>
      </c>
      <c r="T1857" s="9">
        <v>61</v>
      </c>
    </row>
    <row r="1858" spans="17:20" x14ac:dyDescent="0.25">
      <c r="Q1858" s="9" t="s">
        <v>55</v>
      </c>
      <c r="R1858" s="9">
        <v>544.5</v>
      </c>
      <c r="S1858" s="9">
        <v>1012.5</v>
      </c>
      <c r="T1858" s="9">
        <v>519.33333333333337</v>
      </c>
    </row>
    <row r="1859" spans="17:20" x14ac:dyDescent="0.25">
      <c r="Q1859" s="9"/>
      <c r="R1859" s="9"/>
      <c r="S1859" s="9"/>
      <c r="T1859" s="9"/>
    </row>
    <row r="1860" spans="17:20" x14ac:dyDescent="0.25">
      <c r="Q1860" s="14">
        <v>95</v>
      </c>
      <c r="R1860" s="14"/>
      <c r="S1860" s="14"/>
      <c r="T1860" s="14"/>
    </row>
    <row r="1861" spans="17:20" x14ac:dyDescent="0.25">
      <c r="Q1861" s="9" t="s">
        <v>52</v>
      </c>
      <c r="R1861" s="9">
        <v>2</v>
      </c>
      <c r="S1861" s="9">
        <v>2</v>
      </c>
      <c r="T1861" s="9">
        <v>4</v>
      </c>
    </row>
    <row r="1862" spans="17:20" x14ac:dyDescent="0.25">
      <c r="Q1862" s="9" t="s">
        <v>53</v>
      </c>
      <c r="R1862" s="9">
        <v>154</v>
      </c>
      <c r="S1862" s="9">
        <v>152</v>
      </c>
      <c r="T1862" s="9">
        <v>306</v>
      </c>
    </row>
    <row r="1863" spans="17:20" x14ac:dyDescent="0.25">
      <c r="Q1863" s="9" t="s">
        <v>54</v>
      </c>
      <c r="R1863" s="9">
        <v>77</v>
      </c>
      <c r="S1863" s="9">
        <v>76</v>
      </c>
      <c r="T1863" s="9">
        <v>76.5</v>
      </c>
    </row>
    <row r="1864" spans="17:20" x14ac:dyDescent="0.25">
      <c r="Q1864" s="9" t="s">
        <v>55</v>
      </c>
      <c r="R1864" s="9">
        <v>32</v>
      </c>
      <c r="S1864" s="9">
        <v>128</v>
      </c>
      <c r="T1864" s="9">
        <v>53.666666666666664</v>
      </c>
    </row>
    <row r="1865" spans="17:20" x14ac:dyDescent="0.25">
      <c r="Q1865" s="9"/>
      <c r="R1865" s="9"/>
      <c r="S1865" s="9"/>
      <c r="T1865" s="9"/>
    </row>
    <row r="1866" spans="17:20" x14ac:dyDescent="0.25">
      <c r="Q1866" s="14">
        <v>35</v>
      </c>
      <c r="R1866" s="14"/>
      <c r="S1866" s="14"/>
      <c r="T1866" s="14"/>
    </row>
    <row r="1867" spans="17:20" x14ac:dyDescent="0.25">
      <c r="Q1867" s="9" t="s">
        <v>52</v>
      </c>
      <c r="R1867" s="9">
        <v>2</v>
      </c>
      <c r="S1867" s="9">
        <v>2</v>
      </c>
      <c r="T1867" s="9">
        <v>4</v>
      </c>
    </row>
    <row r="1868" spans="17:20" x14ac:dyDescent="0.25">
      <c r="Q1868" s="9" t="s">
        <v>53</v>
      </c>
      <c r="R1868" s="9">
        <v>124</v>
      </c>
      <c r="S1868" s="9">
        <v>110</v>
      </c>
      <c r="T1868" s="9">
        <v>234</v>
      </c>
    </row>
    <row r="1869" spans="17:20" x14ac:dyDescent="0.25">
      <c r="Q1869" s="9" t="s">
        <v>54</v>
      </c>
      <c r="R1869" s="9">
        <v>62</v>
      </c>
      <c r="S1869" s="9">
        <v>55</v>
      </c>
      <c r="T1869" s="9">
        <v>58.5</v>
      </c>
    </row>
    <row r="1870" spans="17:20" x14ac:dyDescent="0.25">
      <c r="Q1870" s="9" t="s">
        <v>55</v>
      </c>
      <c r="R1870" s="9">
        <v>2</v>
      </c>
      <c r="S1870" s="9">
        <v>2</v>
      </c>
      <c r="T1870" s="9">
        <v>17.666666666666668</v>
      </c>
    </row>
    <row r="1871" spans="17:20" x14ac:dyDescent="0.25">
      <c r="Q1871" s="9"/>
      <c r="R1871" s="9"/>
      <c r="S1871" s="9"/>
      <c r="T1871" s="9"/>
    </row>
    <row r="1872" spans="17:20" x14ac:dyDescent="0.25">
      <c r="Q1872" s="14">
        <v>58</v>
      </c>
      <c r="R1872" s="14"/>
      <c r="S1872" s="14"/>
      <c r="T1872" s="14"/>
    </row>
    <row r="1873" spans="17:20" x14ac:dyDescent="0.25">
      <c r="Q1873" s="9" t="s">
        <v>52</v>
      </c>
      <c r="R1873" s="9">
        <v>2</v>
      </c>
      <c r="S1873" s="9">
        <v>2</v>
      </c>
      <c r="T1873" s="9">
        <v>4</v>
      </c>
    </row>
    <row r="1874" spans="17:20" x14ac:dyDescent="0.25">
      <c r="Q1874" s="9" t="s">
        <v>53</v>
      </c>
      <c r="R1874" s="9">
        <v>147</v>
      </c>
      <c r="S1874" s="9">
        <v>138</v>
      </c>
      <c r="T1874" s="9">
        <v>285</v>
      </c>
    </row>
    <row r="1875" spans="17:20" x14ac:dyDescent="0.25">
      <c r="Q1875" s="9" t="s">
        <v>54</v>
      </c>
      <c r="R1875" s="9">
        <v>73.5</v>
      </c>
      <c r="S1875" s="9">
        <v>69</v>
      </c>
      <c r="T1875" s="9">
        <v>71.25</v>
      </c>
    </row>
    <row r="1876" spans="17:20" x14ac:dyDescent="0.25">
      <c r="Q1876" s="9" t="s">
        <v>55</v>
      </c>
      <c r="R1876" s="9">
        <v>1012.5</v>
      </c>
      <c r="S1876" s="9">
        <v>578</v>
      </c>
      <c r="T1876" s="9">
        <v>536.91666666666663</v>
      </c>
    </row>
    <row r="1877" spans="17:20" x14ac:dyDescent="0.25">
      <c r="Q1877" s="9"/>
      <c r="R1877" s="9"/>
      <c r="S1877" s="9"/>
      <c r="T1877" s="9"/>
    </row>
    <row r="1878" spans="17:20" x14ac:dyDescent="0.25">
      <c r="Q1878" s="14">
        <v>61</v>
      </c>
      <c r="R1878" s="14"/>
      <c r="S1878" s="14"/>
      <c r="T1878" s="14"/>
    </row>
    <row r="1879" spans="17:20" x14ac:dyDescent="0.25">
      <c r="Q1879" s="9" t="s">
        <v>52</v>
      </c>
      <c r="R1879" s="9">
        <v>2</v>
      </c>
      <c r="S1879" s="9">
        <v>2</v>
      </c>
      <c r="T1879" s="9">
        <v>4</v>
      </c>
    </row>
    <row r="1880" spans="17:20" x14ac:dyDescent="0.25">
      <c r="Q1880" s="9" t="s">
        <v>53</v>
      </c>
      <c r="R1880" s="9">
        <v>155</v>
      </c>
      <c r="S1880" s="9">
        <v>161</v>
      </c>
      <c r="T1880" s="9">
        <v>316</v>
      </c>
    </row>
    <row r="1881" spans="17:20" x14ac:dyDescent="0.25">
      <c r="Q1881" s="9" t="s">
        <v>54</v>
      </c>
      <c r="R1881" s="9">
        <v>77.5</v>
      </c>
      <c r="S1881" s="9">
        <v>80.5</v>
      </c>
      <c r="T1881" s="9">
        <v>79</v>
      </c>
    </row>
    <row r="1882" spans="17:20" x14ac:dyDescent="0.25">
      <c r="Q1882" s="9" t="s">
        <v>55</v>
      </c>
      <c r="R1882" s="9">
        <v>760.5</v>
      </c>
      <c r="S1882" s="9">
        <v>684.5</v>
      </c>
      <c r="T1882" s="9">
        <v>484.66666666666669</v>
      </c>
    </row>
    <row r="1883" spans="17:20" x14ac:dyDescent="0.25">
      <c r="Q1883" s="9"/>
      <c r="R1883" s="9"/>
      <c r="S1883" s="9"/>
      <c r="T1883" s="9"/>
    </row>
    <row r="1884" spans="17:20" x14ac:dyDescent="0.25">
      <c r="Q1884" s="14">
        <v>69</v>
      </c>
      <c r="R1884" s="14"/>
      <c r="S1884" s="14"/>
      <c r="T1884" s="14"/>
    </row>
    <row r="1885" spans="17:20" x14ac:dyDescent="0.25">
      <c r="Q1885" s="9" t="s">
        <v>52</v>
      </c>
      <c r="R1885" s="9">
        <v>2</v>
      </c>
      <c r="S1885" s="9">
        <v>2</v>
      </c>
      <c r="T1885" s="9">
        <v>4</v>
      </c>
    </row>
    <row r="1886" spans="17:20" x14ac:dyDescent="0.25">
      <c r="Q1886" s="9" t="s">
        <v>53</v>
      </c>
      <c r="R1886" s="9">
        <v>118</v>
      </c>
      <c r="S1886" s="9">
        <v>109</v>
      </c>
      <c r="T1886" s="9">
        <v>227</v>
      </c>
    </row>
    <row r="1887" spans="17:20" x14ac:dyDescent="0.25">
      <c r="Q1887" s="9" t="s">
        <v>54</v>
      </c>
      <c r="R1887" s="9">
        <v>59</v>
      </c>
      <c r="S1887" s="9">
        <v>54.5</v>
      </c>
      <c r="T1887" s="9">
        <v>56.75</v>
      </c>
    </row>
    <row r="1888" spans="17:20" x14ac:dyDescent="0.25">
      <c r="Q1888" s="9" t="s">
        <v>55</v>
      </c>
      <c r="R1888" s="9">
        <v>242</v>
      </c>
      <c r="S1888" s="9">
        <v>144.5</v>
      </c>
      <c r="T1888" s="9">
        <v>135.58333333333334</v>
      </c>
    </row>
    <row r="1889" spans="17:20" x14ac:dyDescent="0.25">
      <c r="Q1889" s="9"/>
      <c r="R1889" s="9"/>
      <c r="S1889" s="9"/>
      <c r="T1889" s="9"/>
    </row>
    <row r="1890" spans="17:20" x14ac:dyDescent="0.25">
      <c r="Q1890" s="14">
        <v>49</v>
      </c>
      <c r="R1890" s="14"/>
      <c r="S1890" s="14"/>
      <c r="T1890" s="14"/>
    </row>
    <row r="1891" spans="17:20" x14ac:dyDescent="0.25">
      <c r="Q1891" s="9" t="s">
        <v>52</v>
      </c>
      <c r="R1891" s="9">
        <v>2</v>
      </c>
      <c r="S1891" s="9">
        <v>2</v>
      </c>
      <c r="T1891" s="9">
        <v>4</v>
      </c>
    </row>
    <row r="1892" spans="17:20" x14ac:dyDescent="0.25">
      <c r="Q1892" s="9" t="s">
        <v>53</v>
      </c>
      <c r="R1892" s="9">
        <v>108</v>
      </c>
      <c r="S1892" s="9">
        <v>101</v>
      </c>
      <c r="T1892" s="9">
        <v>209</v>
      </c>
    </row>
    <row r="1893" spans="17:20" x14ac:dyDescent="0.25">
      <c r="Q1893" s="9" t="s">
        <v>54</v>
      </c>
      <c r="R1893" s="9">
        <v>54</v>
      </c>
      <c r="S1893" s="9">
        <v>50.5</v>
      </c>
      <c r="T1893" s="9">
        <v>52.25</v>
      </c>
    </row>
    <row r="1894" spans="17:20" x14ac:dyDescent="0.25">
      <c r="Q1894" s="9" t="s">
        <v>55</v>
      </c>
      <c r="R1894" s="9">
        <v>18</v>
      </c>
      <c r="S1894" s="9">
        <v>40.5</v>
      </c>
      <c r="T1894" s="9">
        <v>23.583333333333332</v>
      </c>
    </row>
    <row r="1895" spans="17:20" x14ac:dyDescent="0.25">
      <c r="Q1895" s="9"/>
      <c r="R1895" s="9"/>
      <c r="S1895" s="9"/>
      <c r="T1895" s="9"/>
    </row>
    <row r="1896" spans="17:20" x14ac:dyDescent="0.25">
      <c r="Q1896" s="14">
        <v>67</v>
      </c>
      <c r="R1896" s="14"/>
      <c r="S1896" s="14"/>
      <c r="T1896" s="14"/>
    </row>
    <row r="1897" spans="17:20" x14ac:dyDescent="0.25">
      <c r="Q1897" s="9" t="s">
        <v>52</v>
      </c>
      <c r="R1897" s="9">
        <v>2</v>
      </c>
      <c r="S1897" s="9">
        <v>2</v>
      </c>
      <c r="T1897" s="9">
        <v>4</v>
      </c>
    </row>
    <row r="1898" spans="17:20" x14ac:dyDescent="0.25">
      <c r="Q1898" s="9" t="s">
        <v>53</v>
      </c>
      <c r="R1898" s="9">
        <v>124</v>
      </c>
      <c r="S1898" s="9">
        <v>135</v>
      </c>
      <c r="T1898" s="9">
        <v>259</v>
      </c>
    </row>
    <row r="1899" spans="17:20" x14ac:dyDescent="0.25">
      <c r="Q1899" s="9" t="s">
        <v>54</v>
      </c>
      <c r="R1899" s="9">
        <v>62</v>
      </c>
      <c r="S1899" s="9">
        <v>67.5</v>
      </c>
      <c r="T1899" s="9">
        <v>64.75</v>
      </c>
    </row>
    <row r="1900" spans="17:20" x14ac:dyDescent="0.25">
      <c r="Q1900" s="9" t="s">
        <v>55</v>
      </c>
      <c r="R1900" s="9">
        <v>8</v>
      </c>
      <c r="S1900" s="9">
        <v>12.5</v>
      </c>
      <c r="T1900" s="9">
        <v>16.916666666666668</v>
      </c>
    </row>
    <row r="1901" spans="17:20" x14ac:dyDescent="0.25">
      <c r="Q1901" s="9"/>
      <c r="R1901" s="9"/>
      <c r="S1901" s="9"/>
      <c r="T1901" s="9"/>
    </row>
    <row r="1902" spans="17:20" x14ac:dyDescent="0.25">
      <c r="Q1902" s="14">
        <v>66</v>
      </c>
      <c r="R1902" s="14"/>
      <c r="S1902" s="14"/>
      <c r="T1902" s="14"/>
    </row>
    <row r="1903" spans="17:20" x14ac:dyDescent="0.25">
      <c r="Q1903" s="9" t="s">
        <v>52</v>
      </c>
      <c r="R1903" s="9">
        <v>2</v>
      </c>
      <c r="S1903" s="9">
        <v>2</v>
      </c>
      <c r="T1903" s="9">
        <v>4</v>
      </c>
    </row>
    <row r="1904" spans="17:20" x14ac:dyDescent="0.25">
      <c r="Q1904" s="9" t="s">
        <v>53</v>
      </c>
      <c r="R1904" s="9">
        <v>162</v>
      </c>
      <c r="S1904" s="9">
        <v>166</v>
      </c>
      <c r="T1904" s="9">
        <v>328</v>
      </c>
    </row>
    <row r="1905" spans="17:20" x14ac:dyDescent="0.25">
      <c r="Q1905" s="9" t="s">
        <v>54</v>
      </c>
      <c r="R1905" s="9">
        <v>81</v>
      </c>
      <c r="S1905" s="9">
        <v>83</v>
      </c>
      <c r="T1905" s="9">
        <v>82</v>
      </c>
    </row>
    <row r="1906" spans="17:20" x14ac:dyDescent="0.25">
      <c r="Q1906" s="9" t="s">
        <v>55</v>
      </c>
      <c r="R1906" s="9">
        <v>98</v>
      </c>
      <c r="S1906" s="9">
        <v>8</v>
      </c>
      <c r="T1906" s="9">
        <v>36.666666666666664</v>
      </c>
    </row>
    <row r="1907" spans="17:20" x14ac:dyDescent="0.25">
      <c r="Q1907" s="9"/>
      <c r="R1907" s="9"/>
      <c r="S1907" s="9"/>
      <c r="T1907" s="9"/>
    </row>
    <row r="1908" spans="17:20" x14ac:dyDescent="0.25">
      <c r="Q1908" s="14">
        <v>84</v>
      </c>
      <c r="R1908" s="14"/>
      <c r="S1908" s="14"/>
      <c r="T1908" s="14"/>
    </row>
    <row r="1909" spans="17:20" x14ac:dyDescent="0.25">
      <c r="Q1909" s="9" t="s">
        <v>52</v>
      </c>
      <c r="R1909" s="9">
        <v>2</v>
      </c>
      <c r="S1909" s="9">
        <v>2</v>
      </c>
      <c r="T1909" s="9">
        <v>4</v>
      </c>
    </row>
    <row r="1910" spans="17:20" x14ac:dyDescent="0.25">
      <c r="Q1910" s="9" t="s">
        <v>53</v>
      </c>
      <c r="R1910" s="9">
        <v>158</v>
      </c>
      <c r="S1910" s="9">
        <v>144</v>
      </c>
      <c r="T1910" s="9">
        <v>302</v>
      </c>
    </row>
    <row r="1911" spans="17:20" x14ac:dyDescent="0.25">
      <c r="Q1911" s="9" t="s">
        <v>54</v>
      </c>
      <c r="R1911" s="9">
        <v>79</v>
      </c>
      <c r="S1911" s="9">
        <v>72</v>
      </c>
      <c r="T1911" s="9">
        <v>75.5</v>
      </c>
    </row>
    <row r="1912" spans="17:20" x14ac:dyDescent="0.25">
      <c r="Q1912" s="9" t="s">
        <v>55</v>
      </c>
      <c r="R1912" s="9">
        <v>50</v>
      </c>
      <c r="S1912" s="9">
        <v>128</v>
      </c>
      <c r="T1912" s="9">
        <v>75.666666666666671</v>
      </c>
    </row>
    <row r="1913" spans="17:20" x14ac:dyDescent="0.25">
      <c r="Q1913" s="9"/>
      <c r="R1913" s="9"/>
      <c r="S1913" s="9"/>
      <c r="T1913" s="9"/>
    </row>
    <row r="1914" spans="17:20" x14ac:dyDescent="0.25">
      <c r="Q1914" s="14">
        <v>67</v>
      </c>
      <c r="R1914" s="14"/>
      <c r="S1914" s="14"/>
      <c r="T1914" s="14"/>
    </row>
    <row r="1915" spans="17:20" x14ac:dyDescent="0.25">
      <c r="Q1915" s="9" t="s">
        <v>52</v>
      </c>
      <c r="R1915" s="9">
        <v>2</v>
      </c>
      <c r="S1915" s="9">
        <v>2</v>
      </c>
      <c r="T1915" s="9">
        <v>4</v>
      </c>
    </row>
    <row r="1916" spans="17:20" x14ac:dyDescent="0.25">
      <c r="Q1916" s="9" t="s">
        <v>53</v>
      </c>
      <c r="R1916" s="9">
        <v>172</v>
      </c>
      <c r="S1916" s="9">
        <v>169</v>
      </c>
      <c r="T1916" s="9">
        <v>341</v>
      </c>
    </row>
    <row r="1917" spans="17:20" x14ac:dyDescent="0.25">
      <c r="Q1917" s="9" t="s">
        <v>54</v>
      </c>
      <c r="R1917" s="9">
        <v>86</v>
      </c>
      <c r="S1917" s="9">
        <v>84.5</v>
      </c>
      <c r="T1917" s="9">
        <v>85.25</v>
      </c>
    </row>
    <row r="1918" spans="17:20" x14ac:dyDescent="0.25">
      <c r="Q1918" s="9" t="s">
        <v>55</v>
      </c>
      <c r="R1918" s="9">
        <v>72</v>
      </c>
      <c r="S1918" s="9">
        <v>24.5</v>
      </c>
      <c r="T1918" s="9">
        <v>32.916666666666664</v>
      </c>
    </row>
    <row r="1919" spans="17:20" x14ac:dyDescent="0.25">
      <c r="Q1919" s="9"/>
      <c r="R1919" s="9"/>
      <c r="S1919" s="9"/>
      <c r="T1919" s="9"/>
    </row>
    <row r="1920" spans="17:20" x14ac:dyDescent="0.25">
      <c r="Q1920" s="14">
        <v>86</v>
      </c>
      <c r="R1920" s="14"/>
      <c r="S1920" s="14"/>
      <c r="T1920" s="14"/>
    </row>
    <row r="1921" spans="17:20" x14ac:dyDescent="0.25">
      <c r="Q1921" s="9" t="s">
        <v>52</v>
      </c>
      <c r="R1921" s="9">
        <v>2</v>
      </c>
      <c r="S1921" s="9">
        <v>2</v>
      </c>
      <c r="T1921" s="9">
        <v>4</v>
      </c>
    </row>
    <row r="1922" spans="17:20" x14ac:dyDescent="0.25">
      <c r="Q1922" s="9" t="s">
        <v>53</v>
      </c>
      <c r="R1922" s="9">
        <v>150</v>
      </c>
      <c r="S1922" s="9">
        <v>147</v>
      </c>
      <c r="T1922" s="9">
        <v>297</v>
      </c>
    </row>
    <row r="1923" spans="17:20" x14ac:dyDescent="0.25">
      <c r="Q1923" s="9" t="s">
        <v>54</v>
      </c>
      <c r="R1923" s="9">
        <v>75</v>
      </c>
      <c r="S1923" s="9">
        <v>73.5</v>
      </c>
      <c r="T1923" s="9">
        <v>74.25</v>
      </c>
    </row>
    <row r="1924" spans="17:20" x14ac:dyDescent="0.25">
      <c r="Q1924" s="9" t="s">
        <v>55</v>
      </c>
      <c r="R1924" s="9">
        <v>2</v>
      </c>
      <c r="S1924" s="9">
        <v>0.5</v>
      </c>
      <c r="T1924" s="9">
        <v>1.5833333333333333</v>
      </c>
    </row>
    <row r="1925" spans="17:20" x14ac:dyDescent="0.25">
      <c r="Q1925" s="9"/>
      <c r="R1925" s="9"/>
      <c r="S1925" s="9"/>
      <c r="T1925" s="9"/>
    </row>
    <row r="1926" spans="17:20" x14ac:dyDescent="0.25">
      <c r="Q1926" s="14">
        <v>41</v>
      </c>
      <c r="R1926" s="14"/>
      <c r="S1926" s="14"/>
      <c r="T1926" s="14"/>
    </row>
    <row r="1927" spans="17:20" x14ac:dyDescent="0.25">
      <c r="Q1927" s="9" t="s">
        <v>52</v>
      </c>
      <c r="R1927" s="9">
        <v>2</v>
      </c>
      <c r="S1927" s="9">
        <v>2</v>
      </c>
      <c r="T1927" s="9">
        <v>4</v>
      </c>
    </row>
    <row r="1928" spans="17:20" x14ac:dyDescent="0.25">
      <c r="Q1928" s="9" t="s">
        <v>53</v>
      </c>
      <c r="R1928" s="9">
        <v>140</v>
      </c>
      <c r="S1928" s="9">
        <v>141</v>
      </c>
      <c r="T1928" s="9">
        <v>281</v>
      </c>
    </row>
    <row r="1929" spans="17:20" x14ac:dyDescent="0.25">
      <c r="Q1929" s="9" t="s">
        <v>54</v>
      </c>
      <c r="R1929" s="9">
        <v>70</v>
      </c>
      <c r="S1929" s="9">
        <v>70.5</v>
      </c>
      <c r="T1929" s="9">
        <v>70.25</v>
      </c>
    </row>
    <row r="1930" spans="17:20" x14ac:dyDescent="0.25">
      <c r="Q1930" s="9" t="s">
        <v>55</v>
      </c>
      <c r="R1930" s="9">
        <v>648</v>
      </c>
      <c r="S1930" s="9">
        <v>760.5</v>
      </c>
      <c r="T1930" s="9">
        <v>469.58333333333331</v>
      </c>
    </row>
    <row r="1931" spans="17:20" x14ac:dyDescent="0.25">
      <c r="Q1931" s="9"/>
      <c r="R1931" s="9"/>
      <c r="S1931" s="9"/>
      <c r="T1931" s="9"/>
    </row>
    <row r="1932" spans="17:20" x14ac:dyDescent="0.25">
      <c r="Q1932" s="14">
        <v>72</v>
      </c>
      <c r="R1932" s="14"/>
      <c r="S1932" s="14"/>
      <c r="T1932" s="14"/>
    </row>
    <row r="1933" spans="17:20" x14ac:dyDescent="0.25">
      <c r="Q1933" s="9" t="s">
        <v>52</v>
      </c>
      <c r="R1933" s="9">
        <v>2</v>
      </c>
      <c r="S1933" s="9">
        <v>2</v>
      </c>
      <c r="T1933" s="9">
        <v>4</v>
      </c>
    </row>
    <row r="1934" spans="17:20" x14ac:dyDescent="0.25">
      <c r="Q1934" s="9" t="s">
        <v>53</v>
      </c>
      <c r="R1934" s="9">
        <v>160</v>
      </c>
      <c r="S1934" s="9">
        <v>159</v>
      </c>
      <c r="T1934" s="9">
        <v>319</v>
      </c>
    </row>
    <row r="1935" spans="17:20" x14ac:dyDescent="0.25">
      <c r="Q1935" s="9" t="s">
        <v>54</v>
      </c>
      <c r="R1935" s="9">
        <v>80</v>
      </c>
      <c r="S1935" s="9">
        <v>79.5</v>
      </c>
      <c r="T1935" s="9">
        <v>79.75</v>
      </c>
    </row>
    <row r="1936" spans="17:20" x14ac:dyDescent="0.25">
      <c r="Q1936" s="9" t="s">
        <v>55</v>
      </c>
      <c r="R1936" s="9">
        <v>2</v>
      </c>
      <c r="S1936" s="9">
        <v>0.5</v>
      </c>
      <c r="T1936" s="9">
        <v>0.91666666666666663</v>
      </c>
    </row>
    <row r="1937" spans="17:20" x14ac:dyDescent="0.25">
      <c r="Q1937" s="9"/>
      <c r="R1937" s="9"/>
      <c r="S1937" s="9"/>
      <c r="T1937" s="9"/>
    </row>
    <row r="1938" spans="17:20" x14ac:dyDescent="0.25">
      <c r="Q1938" s="14">
        <v>70</v>
      </c>
      <c r="R1938" s="14"/>
      <c r="S1938" s="14"/>
      <c r="T1938" s="14"/>
    </row>
    <row r="1939" spans="17:20" x14ac:dyDescent="0.25">
      <c r="Q1939" s="9" t="s">
        <v>52</v>
      </c>
      <c r="R1939" s="9">
        <v>2</v>
      </c>
      <c r="S1939" s="9">
        <v>2</v>
      </c>
      <c r="T1939" s="9">
        <v>4</v>
      </c>
    </row>
    <row r="1940" spans="17:20" x14ac:dyDescent="0.25">
      <c r="Q1940" s="9" t="s">
        <v>53</v>
      </c>
      <c r="R1940" s="9">
        <v>146</v>
      </c>
      <c r="S1940" s="9">
        <v>141</v>
      </c>
      <c r="T1940" s="9">
        <v>287</v>
      </c>
    </row>
    <row r="1941" spans="17:20" x14ac:dyDescent="0.25">
      <c r="Q1941" s="9" t="s">
        <v>54</v>
      </c>
      <c r="R1941" s="9">
        <v>73</v>
      </c>
      <c r="S1941" s="9">
        <v>70.5</v>
      </c>
      <c r="T1941" s="9">
        <v>71.75</v>
      </c>
    </row>
    <row r="1942" spans="17:20" x14ac:dyDescent="0.25">
      <c r="Q1942" s="9" t="s">
        <v>55</v>
      </c>
      <c r="R1942" s="9">
        <v>128</v>
      </c>
      <c r="S1942" s="9">
        <v>220.5</v>
      </c>
      <c r="T1942" s="9">
        <v>118.25</v>
      </c>
    </row>
    <row r="1943" spans="17:20" x14ac:dyDescent="0.25">
      <c r="Q1943" s="9"/>
      <c r="R1943" s="9"/>
      <c r="S1943" s="9"/>
      <c r="T1943" s="9"/>
    </row>
    <row r="1944" spans="17:20" x14ac:dyDescent="0.25">
      <c r="Q1944" s="14">
        <v>59</v>
      </c>
      <c r="R1944" s="14"/>
      <c r="S1944" s="14"/>
      <c r="T1944" s="14"/>
    </row>
    <row r="1945" spans="17:20" x14ac:dyDescent="0.25">
      <c r="Q1945" s="9" t="s">
        <v>52</v>
      </c>
      <c r="R1945" s="9">
        <v>2</v>
      </c>
      <c r="S1945" s="9">
        <v>2</v>
      </c>
      <c r="T1945" s="9">
        <v>4</v>
      </c>
    </row>
    <row r="1946" spans="17:20" x14ac:dyDescent="0.25">
      <c r="Q1946" s="9" t="s">
        <v>53</v>
      </c>
      <c r="R1946" s="9">
        <v>132</v>
      </c>
      <c r="S1946" s="9">
        <v>133</v>
      </c>
      <c r="T1946" s="9">
        <v>265</v>
      </c>
    </row>
    <row r="1947" spans="17:20" x14ac:dyDescent="0.25">
      <c r="Q1947" s="9" t="s">
        <v>54</v>
      </c>
      <c r="R1947" s="9">
        <v>66</v>
      </c>
      <c r="S1947" s="9">
        <v>66.5</v>
      </c>
      <c r="T1947" s="9">
        <v>66.25</v>
      </c>
    </row>
    <row r="1948" spans="17:20" x14ac:dyDescent="0.25">
      <c r="Q1948" s="9" t="s">
        <v>55</v>
      </c>
      <c r="R1948" s="9">
        <v>32</v>
      </c>
      <c r="S1948" s="9">
        <v>4.5</v>
      </c>
      <c r="T1948" s="9">
        <v>12.25</v>
      </c>
    </row>
    <row r="1949" spans="17:20" x14ac:dyDescent="0.25">
      <c r="Q1949" s="9"/>
      <c r="R1949" s="9"/>
      <c r="S1949" s="9"/>
      <c r="T1949" s="9"/>
    </row>
    <row r="1950" spans="17:20" x14ac:dyDescent="0.25">
      <c r="Q1950" s="14">
        <v>50</v>
      </c>
      <c r="R1950" s="14"/>
      <c r="S1950" s="14"/>
      <c r="T1950" s="14"/>
    </row>
    <row r="1951" spans="17:20" x14ac:dyDescent="0.25">
      <c r="Q1951" s="9" t="s">
        <v>52</v>
      </c>
      <c r="R1951" s="9">
        <v>2</v>
      </c>
      <c r="S1951" s="9">
        <v>2</v>
      </c>
      <c r="T1951" s="9">
        <v>4</v>
      </c>
    </row>
    <row r="1952" spans="17:20" x14ac:dyDescent="0.25">
      <c r="Q1952" s="9" t="s">
        <v>53</v>
      </c>
      <c r="R1952" s="9">
        <v>132</v>
      </c>
      <c r="S1952" s="9">
        <v>136</v>
      </c>
      <c r="T1952" s="9">
        <v>268</v>
      </c>
    </row>
    <row r="1953" spans="17:20" x14ac:dyDescent="0.25">
      <c r="Q1953" s="9" t="s">
        <v>54</v>
      </c>
      <c r="R1953" s="9">
        <v>66</v>
      </c>
      <c r="S1953" s="9">
        <v>68</v>
      </c>
      <c r="T1953" s="9">
        <v>67</v>
      </c>
    </row>
    <row r="1954" spans="17:20" x14ac:dyDescent="0.25">
      <c r="Q1954" s="9" t="s">
        <v>55</v>
      </c>
      <c r="R1954" s="9">
        <v>338</v>
      </c>
      <c r="S1954" s="9">
        <v>338</v>
      </c>
      <c r="T1954" s="9">
        <v>226.66666666666666</v>
      </c>
    </row>
    <row r="1955" spans="17:20" x14ac:dyDescent="0.25">
      <c r="Q1955" s="9"/>
      <c r="R1955" s="9"/>
      <c r="S1955" s="9"/>
      <c r="T1955" s="9"/>
    </row>
    <row r="1956" spans="17:20" x14ac:dyDescent="0.25">
      <c r="Q1956" s="14">
        <v>51</v>
      </c>
      <c r="R1956" s="14"/>
      <c r="S1956" s="14"/>
      <c r="T1956" s="14"/>
    </row>
    <row r="1957" spans="17:20" x14ac:dyDescent="0.25">
      <c r="Q1957" s="9" t="s">
        <v>52</v>
      </c>
      <c r="R1957" s="9">
        <v>2</v>
      </c>
      <c r="S1957" s="9">
        <v>2</v>
      </c>
      <c r="T1957" s="9">
        <v>4</v>
      </c>
    </row>
    <row r="1958" spans="17:20" x14ac:dyDescent="0.25">
      <c r="Q1958" s="9" t="s">
        <v>53</v>
      </c>
      <c r="R1958" s="9">
        <v>136</v>
      </c>
      <c r="S1958" s="9">
        <v>129</v>
      </c>
      <c r="T1958" s="9">
        <v>265</v>
      </c>
    </row>
    <row r="1959" spans="17:20" x14ac:dyDescent="0.25">
      <c r="Q1959" s="9" t="s">
        <v>54</v>
      </c>
      <c r="R1959" s="9">
        <v>68</v>
      </c>
      <c r="S1959" s="9">
        <v>64.5</v>
      </c>
      <c r="T1959" s="9">
        <v>66.25</v>
      </c>
    </row>
    <row r="1960" spans="17:20" x14ac:dyDescent="0.25">
      <c r="Q1960" s="9" t="s">
        <v>55</v>
      </c>
      <c r="R1960" s="9">
        <v>288</v>
      </c>
      <c r="S1960" s="9">
        <v>264.5</v>
      </c>
      <c r="T1960" s="9">
        <v>188.25</v>
      </c>
    </row>
    <row r="1961" spans="17:20" x14ac:dyDescent="0.25">
      <c r="Q1961" s="9"/>
      <c r="R1961" s="9"/>
      <c r="S1961" s="9"/>
      <c r="T1961" s="9"/>
    </row>
    <row r="1962" spans="17:20" x14ac:dyDescent="0.25">
      <c r="Q1962" s="14">
        <v>85</v>
      </c>
      <c r="R1962" s="14"/>
      <c r="S1962" s="14"/>
      <c r="T1962" s="14"/>
    </row>
    <row r="1963" spans="17:20" x14ac:dyDescent="0.25">
      <c r="Q1963" s="9" t="s">
        <v>52</v>
      </c>
      <c r="R1963" s="9">
        <v>2</v>
      </c>
      <c r="S1963" s="9">
        <v>2</v>
      </c>
      <c r="T1963" s="9">
        <v>4</v>
      </c>
    </row>
    <row r="1964" spans="17:20" x14ac:dyDescent="0.25">
      <c r="Q1964" s="9" t="s">
        <v>53</v>
      </c>
      <c r="R1964" s="9">
        <v>156</v>
      </c>
      <c r="S1964" s="9">
        <v>172</v>
      </c>
      <c r="T1964" s="9">
        <v>328</v>
      </c>
    </row>
    <row r="1965" spans="17:20" x14ac:dyDescent="0.25">
      <c r="Q1965" s="9" t="s">
        <v>54</v>
      </c>
      <c r="R1965" s="9">
        <v>78</v>
      </c>
      <c r="S1965" s="9">
        <v>86</v>
      </c>
      <c r="T1965" s="9">
        <v>82</v>
      </c>
    </row>
    <row r="1966" spans="17:20" x14ac:dyDescent="0.25">
      <c r="Q1966" s="9" t="s">
        <v>55</v>
      </c>
      <c r="R1966" s="9">
        <v>128</v>
      </c>
      <c r="S1966" s="9">
        <v>288</v>
      </c>
      <c r="T1966" s="9">
        <v>160</v>
      </c>
    </row>
    <row r="1967" spans="17:20" x14ac:dyDescent="0.25">
      <c r="Q1967" s="9"/>
      <c r="R1967" s="9"/>
      <c r="S1967" s="9"/>
      <c r="T1967" s="9"/>
    </row>
    <row r="1968" spans="17:20" x14ac:dyDescent="0.25">
      <c r="Q1968" s="14">
        <v>73</v>
      </c>
      <c r="R1968" s="14"/>
      <c r="S1968" s="14"/>
      <c r="T1968" s="14"/>
    </row>
    <row r="1969" spans="17:20" x14ac:dyDescent="0.25">
      <c r="Q1969" s="9" t="s">
        <v>52</v>
      </c>
      <c r="R1969" s="9">
        <v>2</v>
      </c>
      <c r="S1969" s="9">
        <v>2</v>
      </c>
      <c r="T1969" s="9">
        <v>4</v>
      </c>
    </row>
    <row r="1970" spans="17:20" x14ac:dyDescent="0.25">
      <c r="Q1970" s="9" t="s">
        <v>53</v>
      </c>
      <c r="R1970" s="9">
        <v>146</v>
      </c>
      <c r="S1970" s="9">
        <v>146</v>
      </c>
      <c r="T1970" s="9">
        <v>292</v>
      </c>
    </row>
    <row r="1971" spans="17:20" x14ac:dyDescent="0.25">
      <c r="Q1971" s="9" t="s">
        <v>54</v>
      </c>
      <c r="R1971" s="9">
        <v>73</v>
      </c>
      <c r="S1971" s="9">
        <v>73</v>
      </c>
      <c r="T1971" s="9">
        <v>73</v>
      </c>
    </row>
    <row r="1972" spans="17:20" x14ac:dyDescent="0.25">
      <c r="Q1972" s="9" t="s">
        <v>55</v>
      </c>
      <c r="R1972" s="9">
        <v>72</v>
      </c>
      <c r="S1972" s="9">
        <v>72</v>
      </c>
      <c r="T1972" s="9">
        <v>48</v>
      </c>
    </row>
    <row r="1973" spans="17:20" x14ac:dyDescent="0.25">
      <c r="Q1973" s="9"/>
      <c r="R1973" s="9"/>
      <c r="S1973" s="9"/>
      <c r="T1973" s="9"/>
    </row>
    <row r="1974" spans="17:20" x14ac:dyDescent="0.25">
      <c r="Q1974" s="14">
        <v>77</v>
      </c>
      <c r="R1974" s="14"/>
      <c r="S1974" s="14"/>
      <c r="T1974" s="14"/>
    </row>
    <row r="1975" spans="17:20" x14ac:dyDescent="0.25">
      <c r="Q1975" s="9" t="s">
        <v>52</v>
      </c>
      <c r="R1975" s="9">
        <v>2</v>
      </c>
      <c r="S1975" s="9">
        <v>2</v>
      </c>
      <c r="T1975" s="9">
        <v>4</v>
      </c>
    </row>
    <row r="1976" spans="17:20" x14ac:dyDescent="0.25">
      <c r="Q1976" s="9" t="s">
        <v>53</v>
      </c>
      <c r="R1976" s="9">
        <v>133</v>
      </c>
      <c r="S1976" s="9">
        <v>125</v>
      </c>
      <c r="T1976" s="9">
        <v>258</v>
      </c>
    </row>
    <row r="1977" spans="17:20" x14ac:dyDescent="0.25">
      <c r="Q1977" s="9" t="s">
        <v>54</v>
      </c>
      <c r="R1977" s="9">
        <v>66.5</v>
      </c>
      <c r="S1977" s="9">
        <v>62.5</v>
      </c>
      <c r="T1977" s="9">
        <v>64.5</v>
      </c>
    </row>
    <row r="1978" spans="17:20" x14ac:dyDescent="0.25">
      <c r="Q1978" s="9" t="s">
        <v>55</v>
      </c>
      <c r="R1978" s="9">
        <v>0.5</v>
      </c>
      <c r="S1978" s="9">
        <v>4.5</v>
      </c>
      <c r="T1978" s="9">
        <v>7</v>
      </c>
    </row>
    <row r="1979" spans="17:20" x14ac:dyDescent="0.25">
      <c r="Q1979" s="9"/>
      <c r="R1979" s="9"/>
      <c r="S1979" s="9"/>
      <c r="T1979" s="9"/>
    </row>
    <row r="1980" spans="17:20" x14ac:dyDescent="0.25">
      <c r="Q1980" s="14">
        <v>43</v>
      </c>
      <c r="R1980" s="14"/>
      <c r="S1980" s="14"/>
      <c r="T1980" s="14"/>
    </row>
    <row r="1981" spans="17:20" x14ac:dyDescent="0.25">
      <c r="Q1981" s="9" t="s">
        <v>52</v>
      </c>
      <c r="R1981" s="9">
        <v>2</v>
      </c>
      <c r="S1981" s="9">
        <v>2</v>
      </c>
      <c r="T1981" s="9">
        <v>4</v>
      </c>
    </row>
    <row r="1982" spans="17:20" x14ac:dyDescent="0.25">
      <c r="Q1982" s="9" t="s">
        <v>53</v>
      </c>
      <c r="R1982" s="9">
        <v>147</v>
      </c>
      <c r="S1982" s="9">
        <v>143</v>
      </c>
      <c r="T1982" s="9">
        <v>290</v>
      </c>
    </row>
    <row r="1983" spans="17:20" x14ac:dyDescent="0.25">
      <c r="Q1983" s="9" t="s">
        <v>54</v>
      </c>
      <c r="R1983" s="9">
        <v>73.5</v>
      </c>
      <c r="S1983" s="9">
        <v>71.5</v>
      </c>
      <c r="T1983" s="9">
        <v>72.5</v>
      </c>
    </row>
    <row r="1984" spans="17:20" x14ac:dyDescent="0.25">
      <c r="Q1984" s="9" t="s">
        <v>55</v>
      </c>
      <c r="R1984" s="9">
        <v>364.5</v>
      </c>
      <c r="S1984" s="9">
        <v>364.5</v>
      </c>
      <c r="T1984" s="9">
        <v>244.33333333333334</v>
      </c>
    </row>
    <row r="1985" spans="17:20" x14ac:dyDescent="0.25">
      <c r="Q1985" s="9"/>
      <c r="R1985" s="9"/>
      <c r="S1985" s="9"/>
      <c r="T1985" s="9"/>
    </row>
    <row r="1986" spans="17:20" x14ac:dyDescent="0.25">
      <c r="Q1986" s="14">
        <v>74</v>
      </c>
      <c r="R1986" s="14"/>
      <c r="S1986" s="14"/>
      <c r="T1986" s="14"/>
    </row>
    <row r="1987" spans="17:20" x14ac:dyDescent="0.25">
      <c r="Q1987" s="9" t="s">
        <v>52</v>
      </c>
      <c r="R1987" s="9">
        <v>2</v>
      </c>
      <c r="S1987" s="9">
        <v>2</v>
      </c>
      <c r="T1987" s="9">
        <v>4</v>
      </c>
    </row>
    <row r="1988" spans="17:20" x14ac:dyDescent="0.25">
      <c r="Q1988" s="9" t="s">
        <v>53</v>
      </c>
      <c r="R1988" s="9">
        <v>143</v>
      </c>
      <c r="S1988" s="9">
        <v>136</v>
      </c>
      <c r="T1988" s="9">
        <v>279</v>
      </c>
    </row>
    <row r="1989" spans="17:20" x14ac:dyDescent="0.25">
      <c r="Q1989" s="9" t="s">
        <v>54</v>
      </c>
      <c r="R1989" s="9">
        <v>71.5</v>
      </c>
      <c r="S1989" s="9">
        <v>68</v>
      </c>
      <c r="T1989" s="9">
        <v>69.75</v>
      </c>
    </row>
    <row r="1990" spans="17:20" x14ac:dyDescent="0.25">
      <c r="Q1990" s="9" t="s">
        <v>55</v>
      </c>
      <c r="R1990" s="9">
        <v>60.5</v>
      </c>
      <c r="S1990" s="9">
        <v>50</v>
      </c>
      <c r="T1990" s="9">
        <v>40.916666666666664</v>
      </c>
    </row>
    <row r="1991" spans="17:20" x14ac:dyDescent="0.25">
      <c r="Q1991" s="9"/>
      <c r="R1991" s="9"/>
      <c r="S1991" s="9"/>
      <c r="T1991" s="9"/>
    </row>
    <row r="1992" spans="17:20" x14ac:dyDescent="0.25">
      <c r="Q1992" s="14">
        <v>55</v>
      </c>
      <c r="R1992" s="14"/>
      <c r="S1992" s="14"/>
      <c r="T1992" s="14"/>
    </row>
    <row r="1993" spans="17:20" x14ac:dyDescent="0.25">
      <c r="Q1993" s="9" t="s">
        <v>52</v>
      </c>
      <c r="R1993" s="9">
        <v>2</v>
      </c>
      <c r="S1993" s="9">
        <v>2</v>
      </c>
      <c r="T1993" s="9">
        <v>4</v>
      </c>
    </row>
    <row r="1994" spans="17:20" x14ac:dyDescent="0.25">
      <c r="Q1994" s="9" t="s">
        <v>53</v>
      </c>
      <c r="R1994" s="9">
        <v>140</v>
      </c>
      <c r="S1994" s="9">
        <v>136</v>
      </c>
      <c r="T1994" s="9">
        <v>276</v>
      </c>
    </row>
    <row r="1995" spans="17:20" x14ac:dyDescent="0.25">
      <c r="Q1995" s="9" t="s">
        <v>54</v>
      </c>
      <c r="R1995" s="9">
        <v>70</v>
      </c>
      <c r="S1995" s="9">
        <v>68</v>
      </c>
      <c r="T1995" s="9">
        <v>69</v>
      </c>
    </row>
    <row r="1996" spans="17:20" x14ac:dyDescent="0.25">
      <c r="Q1996" s="9" t="s">
        <v>55</v>
      </c>
      <c r="R1996" s="9">
        <v>2</v>
      </c>
      <c r="S1996" s="9">
        <v>2</v>
      </c>
      <c r="T1996" s="9">
        <v>2.6666666666666665</v>
      </c>
    </row>
    <row r="1997" spans="17:20" x14ac:dyDescent="0.25">
      <c r="Q1997" s="9"/>
      <c r="R1997" s="9"/>
      <c r="S1997" s="9"/>
      <c r="T1997" s="9"/>
    </row>
    <row r="1998" spans="17:20" x14ac:dyDescent="0.25">
      <c r="Q1998" s="14">
        <v>80</v>
      </c>
      <c r="R1998" s="14"/>
      <c r="S1998" s="14"/>
      <c r="T1998" s="14"/>
    </row>
    <row r="1999" spans="17:20" x14ac:dyDescent="0.25">
      <c r="Q1999" s="9" t="s">
        <v>52</v>
      </c>
      <c r="R1999" s="9">
        <v>2</v>
      </c>
      <c r="S1999" s="9">
        <v>2</v>
      </c>
      <c r="T1999" s="9">
        <v>4</v>
      </c>
    </row>
    <row r="2000" spans="17:20" x14ac:dyDescent="0.25">
      <c r="Q2000" s="9" t="s">
        <v>53</v>
      </c>
      <c r="R2000" s="9">
        <v>123</v>
      </c>
      <c r="S2000" s="9">
        <v>123</v>
      </c>
      <c r="T2000" s="9">
        <v>246</v>
      </c>
    </row>
    <row r="2001" spans="17:20" x14ac:dyDescent="0.25">
      <c r="Q2001" s="9" t="s">
        <v>54</v>
      </c>
      <c r="R2001" s="9">
        <v>61.5</v>
      </c>
      <c r="S2001" s="9">
        <v>61.5</v>
      </c>
      <c r="T2001" s="9">
        <v>61.5</v>
      </c>
    </row>
    <row r="2002" spans="17:20" x14ac:dyDescent="0.25">
      <c r="Q2002" s="9" t="s">
        <v>55</v>
      </c>
      <c r="R2002" s="9">
        <v>4.5</v>
      </c>
      <c r="S2002" s="9">
        <v>4.5</v>
      </c>
      <c r="T2002" s="9">
        <v>3</v>
      </c>
    </row>
    <row r="2003" spans="17:20" x14ac:dyDescent="0.25">
      <c r="Q2003" s="9"/>
      <c r="R2003" s="9"/>
      <c r="S2003" s="9"/>
      <c r="T2003" s="9"/>
    </row>
    <row r="2004" spans="17:20" x14ac:dyDescent="0.25">
      <c r="Q2004" s="14">
        <v>63</v>
      </c>
      <c r="R2004" s="14"/>
      <c r="S2004" s="14"/>
      <c r="T2004" s="14"/>
    </row>
    <row r="2005" spans="17:20" x14ac:dyDescent="0.25">
      <c r="Q2005" s="9" t="s">
        <v>52</v>
      </c>
      <c r="R2005" s="9">
        <v>2</v>
      </c>
      <c r="S2005" s="9">
        <v>2</v>
      </c>
      <c r="T2005" s="9">
        <v>4</v>
      </c>
    </row>
    <row r="2006" spans="17:20" x14ac:dyDescent="0.25">
      <c r="Q2006" s="9" t="s">
        <v>53</v>
      </c>
      <c r="R2006" s="9">
        <v>158</v>
      </c>
      <c r="S2006" s="9">
        <v>158</v>
      </c>
      <c r="T2006" s="9">
        <v>316</v>
      </c>
    </row>
    <row r="2007" spans="17:20" x14ac:dyDescent="0.25">
      <c r="Q2007" s="9" t="s">
        <v>54</v>
      </c>
      <c r="R2007" s="9">
        <v>79</v>
      </c>
      <c r="S2007" s="9">
        <v>79</v>
      </c>
      <c r="T2007" s="9">
        <v>79</v>
      </c>
    </row>
    <row r="2008" spans="17:20" x14ac:dyDescent="0.25">
      <c r="Q2008" s="9" t="s">
        <v>55</v>
      </c>
      <c r="R2008" s="9">
        <v>72</v>
      </c>
      <c r="S2008" s="9">
        <v>128</v>
      </c>
      <c r="T2008" s="9">
        <v>66.666666666666671</v>
      </c>
    </row>
    <row r="2009" spans="17:20" x14ac:dyDescent="0.25">
      <c r="Q2009" s="9"/>
      <c r="R2009" s="9"/>
      <c r="S2009" s="9"/>
      <c r="T2009" s="9"/>
    </row>
    <row r="2010" spans="17:20" x14ac:dyDescent="0.25">
      <c r="Q2010" s="14">
        <v>73</v>
      </c>
      <c r="R2010" s="14"/>
      <c r="S2010" s="14"/>
      <c r="T2010" s="14"/>
    </row>
    <row r="2011" spans="17:20" x14ac:dyDescent="0.25">
      <c r="Q2011" s="9" t="s">
        <v>52</v>
      </c>
      <c r="R2011" s="9">
        <v>2</v>
      </c>
      <c r="S2011" s="9">
        <v>2</v>
      </c>
      <c r="T2011" s="9">
        <v>4</v>
      </c>
    </row>
    <row r="2012" spans="17:20" x14ac:dyDescent="0.25">
      <c r="Q2012" s="9" t="s">
        <v>53</v>
      </c>
      <c r="R2012" s="9">
        <v>146</v>
      </c>
      <c r="S2012" s="9">
        <v>138</v>
      </c>
      <c r="T2012" s="9">
        <v>284</v>
      </c>
    </row>
    <row r="2013" spans="17:20" x14ac:dyDescent="0.25">
      <c r="Q2013" s="9" t="s">
        <v>54</v>
      </c>
      <c r="R2013" s="9">
        <v>73</v>
      </c>
      <c r="S2013" s="9">
        <v>69</v>
      </c>
      <c r="T2013" s="9">
        <v>71</v>
      </c>
    </row>
    <row r="2014" spans="17:20" x14ac:dyDescent="0.25">
      <c r="Q2014" s="9" t="s">
        <v>55</v>
      </c>
      <c r="R2014" s="9">
        <v>2</v>
      </c>
      <c r="S2014" s="9">
        <v>128</v>
      </c>
      <c r="T2014" s="9">
        <v>48.666666666666664</v>
      </c>
    </row>
    <row r="2015" spans="17:20" x14ac:dyDescent="0.25">
      <c r="Q2015" s="9"/>
      <c r="R2015" s="9"/>
      <c r="S2015" s="9"/>
      <c r="T2015" s="9"/>
    </row>
    <row r="2016" spans="17:20" x14ac:dyDescent="0.25">
      <c r="Q2016" s="14">
        <v>66</v>
      </c>
      <c r="R2016" s="14"/>
      <c r="S2016" s="14"/>
      <c r="T2016" s="14"/>
    </row>
    <row r="2017" spans="17:20" x14ac:dyDescent="0.25">
      <c r="Q2017" s="9" t="s">
        <v>52</v>
      </c>
      <c r="R2017" s="9">
        <v>2</v>
      </c>
      <c r="S2017" s="9">
        <v>2</v>
      </c>
      <c r="T2017" s="9">
        <v>4</v>
      </c>
    </row>
    <row r="2018" spans="17:20" x14ac:dyDescent="0.25">
      <c r="Q2018" s="9" t="s">
        <v>53</v>
      </c>
      <c r="R2018" s="9">
        <v>133</v>
      </c>
      <c r="S2018" s="9">
        <v>118</v>
      </c>
      <c r="T2018" s="9">
        <v>251</v>
      </c>
    </row>
    <row r="2019" spans="17:20" x14ac:dyDescent="0.25">
      <c r="Q2019" s="9" t="s">
        <v>54</v>
      </c>
      <c r="R2019" s="9">
        <v>66.5</v>
      </c>
      <c r="S2019" s="9">
        <v>59</v>
      </c>
      <c r="T2019" s="9">
        <v>62.75</v>
      </c>
    </row>
    <row r="2020" spans="17:20" x14ac:dyDescent="0.25">
      <c r="Q2020" s="9" t="s">
        <v>55</v>
      </c>
      <c r="R2020" s="9">
        <v>180.5</v>
      </c>
      <c r="S2020" s="9">
        <v>162</v>
      </c>
      <c r="T2020" s="9">
        <v>132.91666666666666</v>
      </c>
    </row>
    <row r="2021" spans="17:20" x14ac:dyDescent="0.25">
      <c r="Q2021" s="9"/>
      <c r="R2021" s="9"/>
      <c r="S2021" s="9"/>
      <c r="T2021" s="9"/>
    </row>
    <row r="2022" spans="17:20" x14ac:dyDescent="0.25">
      <c r="Q2022" s="14">
        <v>69</v>
      </c>
      <c r="R2022" s="14"/>
      <c r="S2022" s="14"/>
      <c r="T2022" s="14"/>
    </row>
    <row r="2023" spans="17:20" x14ac:dyDescent="0.25">
      <c r="Q2023" s="9" t="s">
        <v>52</v>
      </c>
      <c r="R2023" s="9">
        <v>2</v>
      </c>
      <c r="S2023" s="9">
        <v>2</v>
      </c>
      <c r="T2023" s="9">
        <v>4</v>
      </c>
    </row>
    <row r="2024" spans="17:20" x14ac:dyDescent="0.25">
      <c r="Q2024" s="9" t="s">
        <v>53</v>
      </c>
      <c r="R2024" s="9">
        <v>162</v>
      </c>
      <c r="S2024" s="9">
        <v>160</v>
      </c>
      <c r="T2024" s="9">
        <v>322</v>
      </c>
    </row>
    <row r="2025" spans="17:20" x14ac:dyDescent="0.25">
      <c r="Q2025" s="9" t="s">
        <v>54</v>
      </c>
      <c r="R2025" s="9">
        <v>81</v>
      </c>
      <c r="S2025" s="9">
        <v>80</v>
      </c>
      <c r="T2025" s="9">
        <v>80.5</v>
      </c>
    </row>
    <row r="2026" spans="17:20" x14ac:dyDescent="0.25">
      <c r="Q2026" s="9" t="s">
        <v>55</v>
      </c>
      <c r="R2026" s="9">
        <v>18</v>
      </c>
      <c r="S2026" s="9">
        <v>32</v>
      </c>
      <c r="T2026" s="9">
        <v>17</v>
      </c>
    </row>
    <row r="2027" spans="17:20" x14ac:dyDescent="0.25">
      <c r="Q2027" s="9"/>
      <c r="R2027" s="9"/>
      <c r="S2027" s="9"/>
      <c r="T2027" s="9"/>
    </row>
    <row r="2028" spans="17:20" x14ac:dyDescent="0.25">
      <c r="Q2028" s="14">
        <v>69</v>
      </c>
      <c r="R2028" s="14"/>
      <c r="S2028" s="14"/>
      <c r="T2028" s="14"/>
    </row>
    <row r="2029" spans="17:20" x14ac:dyDescent="0.25">
      <c r="Q2029" s="9" t="s">
        <v>52</v>
      </c>
      <c r="R2029" s="9">
        <v>2</v>
      </c>
      <c r="S2029" s="9">
        <v>2</v>
      </c>
      <c r="T2029" s="9">
        <v>4</v>
      </c>
    </row>
    <row r="2030" spans="17:20" x14ac:dyDescent="0.25">
      <c r="Q2030" s="9" t="s">
        <v>53</v>
      </c>
      <c r="R2030" s="9">
        <v>141</v>
      </c>
      <c r="S2030" s="9">
        <v>144</v>
      </c>
      <c r="T2030" s="9">
        <v>285</v>
      </c>
    </row>
    <row r="2031" spans="17:20" x14ac:dyDescent="0.25">
      <c r="Q2031" s="9" t="s">
        <v>54</v>
      </c>
      <c r="R2031" s="9">
        <v>70.5</v>
      </c>
      <c r="S2031" s="9">
        <v>72</v>
      </c>
      <c r="T2031" s="9">
        <v>71.25</v>
      </c>
    </row>
    <row r="2032" spans="17:20" x14ac:dyDescent="0.25">
      <c r="Q2032" s="9" t="s">
        <v>55</v>
      </c>
      <c r="R2032" s="9">
        <v>84.5</v>
      </c>
      <c r="S2032" s="9">
        <v>72</v>
      </c>
      <c r="T2032" s="9">
        <v>52.916666666666664</v>
      </c>
    </row>
    <row r="2033" spans="17:20" x14ac:dyDescent="0.25">
      <c r="Q2033" s="9"/>
      <c r="R2033" s="9"/>
      <c r="S2033" s="9"/>
      <c r="T2033" s="9"/>
    </row>
    <row r="2034" spans="17:20" x14ac:dyDescent="0.25">
      <c r="Q2034" s="14">
        <v>73</v>
      </c>
      <c r="R2034" s="14"/>
      <c r="S2034" s="14"/>
      <c r="T2034" s="14"/>
    </row>
    <row r="2035" spans="17:20" x14ac:dyDescent="0.25">
      <c r="Q2035" s="9" t="s">
        <v>52</v>
      </c>
      <c r="R2035" s="9">
        <v>2</v>
      </c>
      <c r="S2035" s="9">
        <v>2</v>
      </c>
      <c r="T2035" s="9">
        <v>4</v>
      </c>
    </row>
    <row r="2036" spans="17:20" x14ac:dyDescent="0.25">
      <c r="Q2036" s="9" t="s">
        <v>53</v>
      </c>
      <c r="R2036" s="9">
        <v>160</v>
      </c>
      <c r="S2036" s="9">
        <v>152</v>
      </c>
      <c r="T2036" s="9">
        <v>312</v>
      </c>
    </row>
    <row r="2037" spans="17:20" x14ac:dyDescent="0.25">
      <c r="Q2037" s="9" t="s">
        <v>54</v>
      </c>
      <c r="R2037" s="9">
        <v>80</v>
      </c>
      <c r="S2037" s="9">
        <v>76</v>
      </c>
      <c r="T2037" s="9">
        <v>78</v>
      </c>
    </row>
    <row r="2038" spans="17:20" x14ac:dyDescent="0.25">
      <c r="Q2038" s="9" t="s">
        <v>55</v>
      </c>
      <c r="R2038" s="9">
        <v>8</v>
      </c>
      <c r="S2038" s="9">
        <v>0</v>
      </c>
      <c r="T2038" s="9">
        <v>8</v>
      </c>
    </row>
    <row r="2039" spans="17:20" x14ac:dyDescent="0.25">
      <c r="Q2039" s="9"/>
      <c r="R2039" s="9"/>
      <c r="S2039" s="9"/>
      <c r="T2039" s="9"/>
    </row>
    <row r="2040" spans="17:20" x14ac:dyDescent="0.25">
      <c r="Q2040" s="14">
        <v>81</v>
      </c>
      <c r="R2040" s="14"/>
      <c r="S2040" s="14"/>
      <c r="T2040" s="14"/>
    </row>
    <row r="2041" spans="17:20" x14ac:dyDescent="0.25">
      <c r="Q2041" s="9" t="s">
        <v>52</v>
      </c>
      <c r="R2041" s="9">
        <v>2</v>
      </c>
      <c r="S2041" s="9">
        <v>2</v>
      </c>
      <c r="T2041" s="9">
        <v>4</v>
      </c>
    </row>
    <row r="2042" spans="17:20" x14ac:dyDescent="0.25">
      <c r="Q2042" s="9" t="s">
        <v>53</v>
      </c>
      <c r="R2042" s="9">
        <v>136</v>
      </c>
      <c r="S2042" s="9">
        <v>138</v>
      </c>
      <c r="T2042" s="9">
        <v>274</v>
      </c>
    </row>
    <row r="2043" spans="17:20" x14ac:dyDescent="0.25">
      <c r="Q2043" s="9" t="s">
        <v>54</v>
      </c>
      <c r="R2043" s="9">
        <v>68</v>
      </c>
      <c r="S2043" s="9">
        <v>69</v>
      </c>
      <c r="T2043" s="9">
        <v>68.5</v>
      </c>
    </row>
    <row r="2044" spans="17:20" x14ac:dyDescent="0.25">
      <c r="Q2044" s="9" t="s">
        <v>55</v>
      </c>
      <c r="R2044" s="9">
        <v>98</v>
      </c>
      <c r="S2044" s="9">
        <v>162</v>
      </c>
      <c r="T2044" s="9">
        <v>87</v>
      </c>
    </row>
    <row r="2045" spans="17:20" x14ac:dyDescent="0.25">
      <c r="Q2045" s="9"/>
      <c r="R2045" s="9"/>
      <c r="S2045" s="9"/>
      <c r="T2045" s="9"/>
    </row>
    <row r="2046" spans="17:20" x14ac:dyDescent="0.25">
      <c r="Q2046" s="14">
        <v>67</v>
      </c>
      <c r="R2046" s="14"/>
      <c r="S2046" s="14"/>
      <c r="T2046" s="14"/>
    </row>
    <row r="2047" spans="17:20" x14ac:dyDescent="0.25">
      <c r="Q2047" s="9" t="s">
        <v>52</v>
      </c>
      <c r="R2047" s="9">
        <v>2</v>
      </c>
      <c r="S2047" s="9">
        <v>2</v>
      </c>
      <c r="T2047" s="9">
        <v>4</v>
      </c>
    </row>
    <row r="2048" spans="17:20" x14ac:dyDescent="0.25">
      <c r="Q2048" s="9" t="s">
        <v>53</v>
      </c>
      <c r="R2048" s="9">
        <v>140</v>
      </c>
      <c r="S2048" s="9">
        <v>134</v>
      </c>
      <c r="T2048" s="9">
        <v>274</v>
      </c>
    </row>
    <row r="2049" spans="17:20" x14ac:dyDescent="0.25">
      <c r="Q2049" s="9" t="s">
        <v>54</v>
      </c>
      <c r="R2049" s="9">
        <v>70</v>
      </c>
      <c r="S2049" s="9">
        <v>67</v>
      </c>
      <c r="T2049" s="9">
        <v>68.5</v>
      </c>
    </row>
    <row r="2050" spans="17:20" x14ac:dyDescent="0.25">
      <c r="Q2050" s="9" t="s">
        <v>55</v>
      </c>
      <c r="R2050" s="9">
        <v>8</v>
      </c>
      <c r="S2050" s="9">
        <v>98</v>
      </c>
      <c r="T2050" s="9">
        <v>38.333333333333336</v>
      </c>
    </row>
    <row r="2051" spans="17:20" x14ac:dyDescent="0.25">
      <c r="Q2051" s="9"/>
      <c r="R2051" s="9"/>
      <c r="S2051" s="9"/>
      <c r="T2051" s="9"/>
    </row>
    <row r="2052" spans="17:20" x14ac:dyDescent="0.25">
      <c r="Q2052" s="14">
        <v>62</v>
      </c>
      <c r="R2052" s="14"/>
      <c r="S2052" s="14"/>
      <c r="T2052" s="14"/>
    </row>
    <row r="2053" spans="17:20" x14ac:dyDescent="0.25">
      <c r="Q2053" s="9" t="s">
        <v>52</v>
      </c>
      <c r="R2053" s="9">
        <v>2</v>
      </c>
      <c r="S2053" s="9">
        <v>2</v>
      </c>
      <c r="T2053" s="9">
        <v>4</v>
      </c>
    </row>
    <row r="2054" spans="17:20" x14ac:dyDescent="0.25">
      <c r="Q2054" s="9" t="s">
        <v>53</v>
      </c>
      <c r="R2054" s="9">
        <v>95</v>
      </c>
      <c r="S2054" s="9">
        <v>98</v>
      </c>
      <c r="T2054" s="9">
        <v>193</v>
      </c>
    </row>
    <row r="2055" spans="17:20" x14ac:dyDescent="0.25">
      <c r="Q2055" s="9" t="s">
        <v>54</v>
      </c>
      <c r="R2055" s="9">
        <v>47.5</v>
      </c>
      <c r="S2055" s="9">
        <v>49</v>
      </c>
      <c r="T2055" s="9">
        <v>48.25</v>
      </c>
    </row>
    <row r="2056" spans="17:20" x14ac:dyDescent="0.25">
      <c r="Q2056" s="9" t="s">
        <v>55</v>
      </c>
      <c r="R2056" s="9">
        <v>112.5</v>
      </c>
      <c r="S2056" s="9">
        <v>50</v>
      </c>
      <c r="T2056" s="9">
        <v>54.916666666666664</v>
      </c>
    </row>
    <row r="2057" spans="17:20" x14ac:dyDescent="0.25">
      <c r="Q2057" s="9"/>
      <c r="R2057" s="9"/>
      <c r="S2057" s="9"/>
      <c r="T2057" s="9"/>
    </row>
    <row r="2058" spans="17:20" x14ac:dyDescent="0.25">
      <c r="Q2058" s="14">
        <v>62</v>
      </c>
      <c r="R2058" s="14"/>
      <c r="S2058" s="14"/>
      <c r="T2058" s="14"/>
    </row>
    <row r="2059" spans="17:20" x14ac:dyDescent="0.25">
      <c r="Q2059" s="9" t="s">
        <v>52</v>
      </c>
      <c r="R2059" s="9">
        <v>2</v>
      </c>
      <c r="S2059" s="9">
        <v>2</v>
      </c>
      <c r="T2059" s="9">
        <v>4</v>
      </c>
    </row>
    <row r="2060" spans="17:20" x14ac:dyDescent="0.25">
      <c r="Q2060" s="9" t="s">
        <v>53</v>
      </c>
      <c r="R2060" s="9">
        <v>165</v>
      </c>
      <c r="S2060" s="9">
        <v>168</v>
      </c>
      <c r="T2060" s="9">
        <v>333</v>
      </c>
    </row>
    <row r="2061" spans="17:20" x14ac:dyDescent="0.25">
      <c r="Q2061" s="9" t="s">
        <v>54</v>
      </c>
      <c r="R2061" s="9">
        <v>82.5</v>
      </c>
      <c r="S2061" s="9">
        <v>84</v>
      </c>
      <c r="T2061" s="9">
        <v>83.25</v>
      </c>
    </row>
    <row r="2062" spans="17:20" x14ac:dyDescent="0.25">
      <c r="Q2062" s="9" t="s">
        <v>55</v>
      </c>
      <c r="R2062" s="9">
        <v>544.5</v>
      </c>
      <c r="S2062" s="9">
        <v>512</v>
      </c>
      <c r="T2062" s="9">
        <v>352.91666666666669</v>
      </c>
    </row>
    <row r="2063" spans="17:20" x14ac:dyDescent="0.25">
      <c r="Q2063" s="9"/>
      <c r="R2063" s="9"/>
      <c r="S2063" s="9"/>
      <c r="T2063" s="9"/>
    </row>
    <row r="2064" spans="17:20" x14ac:dyDescent="0.25">
      <c r="Q2064" s="14">
        <v>85</v>
      </c>
      <c r="R2064" s="14"/>
      <c r="S2064" s="14"/>
      <c r="T2064" s="14"/>
    </row>
    <row r="2065" spans="17:20" x14ac:dyDescent="0.25">
      <c r="Q2065" s="9" t="s">
        <v>52</v>
      </c>
      <c r="R2065" s="9">
        <v>2</v>
      </c>
      <c r="S2065" s="9">
        <v>2</v>
      </c>
      <c r="T2065" s="9">
        <v>4</v>
      </c>
    </row>
    <row r="2066" spans="17:20" x14ac:dyDescent="0.25">
      <c r="Q2066" s="9" t="s">
        <v>53</v>
      </c>
      <c r="R2066" s="9">
        <v>153</v>
      </c>
      <c r="S2066" s="9">
        <v>141</v>
      </c>
      <c r="T2066" s="9">
        <v>294</v>
      </c>
    </row>
    <row r="2067" spans="17:20" x14ac:dyDescent="0.25">
      <c r="Q2067" s="9" t="s">
        <v>54</v>
      </c>
      <c r="R2067" s="9">
        <v>76.5</v>
      </c>
      <c r="S2067" s="9">
        <v>70.5</v>
      </c>
      <c r="T2067" s="9">
        <v>73.5</v>
      </c>
    </row>
    <row r="2068" spans="17:20" x14ac:dyDescent="0.25">
      <c r="Q2068" s="9" t="s">
        <v>55</v>
      </c>
      <c r="R2068" s="9">
        <v>4.5</v>
      </c>
      <c r="S2068" s="9">
        <v>12.5</v>
      </c>
      <c r="T2068" s="9">
        <v>17.666666666666668</v>
      </c>
    </row>
    <row r="2069" spans="17:20" x14ac:dyDescent="0.25">
      <c r="Q2069" s="9"/>
      <c r="R2069" s="9"/>
      <c r="S2069" s="9"/>
      <c r="T2069" s="9"/>
    </row>
    <row r="2070" spans="17:20" x14ac:dyDescent="0.25">
      <c r="Q2070" s="14">
        <v>53</v>
      </c>
      <c r="R2070" s="14"/>
      <c r="S2070" s="14"/>
      <c r="T2070" s="14"/>
    </row>
    <row r="2071" spans="17:20" x14ac:dyDescent="0.25">
      <c r="Q2071" s="9" t="s">
        <v>52</v>
      </c>
      <c r="R2071" s="9">
        <v>2</v>
      </c>
      <c r="S2071" s="9">
        <v>2</v>
      </c>
      <c r="T2071" s="9">
        <v>4</v>
      </c>
    </row>
    <row r="2072" spans="17:20" x14ac:dyDescent="0.25">
      <c r="Q2072" s="9" t="s">
        <v>53</v>
      </c>
      <c r="R2072" s="9">
        <v>148</v>
      </c>
      <c r="S2072" s="9">
        <v>127</v>
      </c>
      <c r="T2072" s="9">
        <v>275</v>
      </c>
    </row>
    <row r="2073" spans="17:20" x14ac:dyDescent="0.25">
      <c r="Q2073" s="9" t="s">
        <v>54</v>
      </c>
      <c r="R2073" s="9">
        <v>74</v>
      </c>
      <c r="S2073" s="9">
        <v>63.5</v>
      </c>
      <c r="T2073" s="9">
        <v>68.75</v>
      </c>
    </row>
    <row r="2074" spans="17:20" x14ac:dyDescent="0.25">
      <c r="Q2074" s="9" t="s">
        <v>55</v>
      </c>
      <c r="R2074" s="9">
        <v>512</v>
      </c>
      <c r="S2074" s="9">
        <v>760.5</v>
      </c>
      <c r="T2074" s="9">
        <v>460.91666666666669</v>
      </c>
    </row>
    <row r="2075" spans="17:20" x14ac:dyDescent="0.25">
      <c r="Q2075" s="9"/>
      <c r="R2075" s="9"/>
      <c r="S2075" s="9"/>
      <c r="T2075" s="9"/>
    </row>
    <row r="2076" spans="17:20" x14ac:dyDescent="0.25">
      <c r="Q2076" s="14">
        <v>49</v>
      </c>
      <c r="R2076" s="14"/>
      <c r="S2076" s="14"/>
      <c r="T2076" s="14"/>
    </row>
    <row r="2077" spans="17:20" x14ac:dyDescent="0.25">
      <c r="Q2077" s="9" t="s">
        <v>52</v>
      </c>
      <c r="R2077" s="9">
        <v>2</v>
      </c>
      <c r="S2077" s="9">
        <v>2</v>
      </c>
      <c r="T2077" s="9">
        <v>4</v>
      </c>
    </row>
    <row r="2078" spans="17:20" x14ac:dyDescent="0.25">
      <c r="Q2078" s="9" t="s">
        <v>53</v>
      </c>
      <c r="R2078" s="9">
        <v>129</v>
      </c>
      <c r="S2078" s="9">
        <v>131</v>
      </c>
      <c r="T2078" s="9">
        <v>260</v>
      </c>
    </row>
    <row r="2079" spans="17:20" x14ac:dyDescent="0.25">
      <c r="Q2079" s="9" t="s">
        <v>54</v>
      </c>
      <c r="R2079" s="9">
        <v>64.5</v>
      </c>
      <c r="S2079" s="9">
        <v>65.5</v>
      </c>
      <c r="T2079" s="9">
        <v>65</v>
      </c>
    </row>
    <row r="2080" spans="17:20" x14ac:dyDescent="0.25">
      <c r="Q2080" s="9" t="s">
        <v>55</v>
      </c>
      <c r="R2080" s="9">
        <v>264.5</v>
      </c>
      <c r="S2080" s="9">
        <v>312.5</v>
      </c>
      <c r="T2080" s="9">
        <v>192.66666666666666</v>
      </c>
    </row>
    <row r="2081" spans="17:20" x14ac:dyDescent="0.25">
      <c r="Q2081" s="9"/>
      <c r="R2081" s="9"/>
      <c r="S2081" s="9"/>
      <c r="T2081" s="9"/>
    </row>
    <row r="2082" spans="17:20" x14ac:dyDescent="0.25">
      <c r="Q2082" s="14">
        <v>66</v>
      </c>
      <c r="R2082" s="14"/>
      <c r="S2082" s="14"/>
      <c r="T2082" s="14"/>
    </row>
    <row r="2083" spans="17:20" x14ac:dyDescent="0.25">
      <c r="Q2083" s="9" t="s">
        <v>52</v>
      </c>
      <c r="R2083" s="9">
        <v>2</v>
      </c>
      <c r="S2083" s="9">
        <v>2</v>
      </c>
      <c r="T2083" s="9">
        <v>4</v>
      </c>
    </row>
    <row r="2084" spans="17:20" x14ac:dyDescent="0.25">
      <c r="Q2084" s="9" t="s">
        <v>53</v>
      </c>
      <c r="R2084" s="9">
        <v>151</v>
      </c>
      <c r="S2084" s="9">
        <v>154</v>
      </c>
      <c r="T2084" s="9">
        <v>305</v>
      </c>
    </row>
    <row r="2085" spans="17:20" x14ac:dyDescent="0.25">
      <c r="Q2085" s="9" t="s">
        <v>54</v>
      </c>
      <c r="R2085" s="9">
        <v>75.5</v>
      </c>
      <c r="S2085" s="9">
        <v>77</v>
      </c>
      <c r="T2085" s="9">
        <v>76.25</v>
      </c>
    </row>
    <row r="2086" spans="17:20" x14ac:dyDescent="0.25">
      <c r="Q2086" s="9" t="s">
        <v>55</v>
      </c>
      <c r="R2086" s="9">
        <v>4.5</v>
      </c>
      <c r="S2086" s="9">
        <v>32</v>
      </c>
      <c r="T2086" s="9">
        <v>12.916666666666666</v>
      </c>
    </row>
    <row r="2087" spans="17:20" x14ac:dyDescent="0.25">
      <c r="Q2087" s="9"/>
      <c r="R2087" s="9"/>
      <c r="S2087" s="9"/>
      <c r="T2087" s="9"/>
    </row>
    <row r="2088" spans="17:20" x14ac:dyDescent="0.25">
      <c r="Q2088" s="14">
        <v>49</v>
      </c>
      <c r="R2088" s="14"/>
      <c r="S2088" s="14"/>
      <c r="T2088" s="14"/>
    </row>
    <row r="2089" spans="17:20" x14ac:dyDescent="0.25">
      <c r="Q2089" s="9" t="s">
        <v>52</v>
      </c>
      <c r="R2089" s="9">
        <v>2</v>
      </c>
      <c r="S2089" s="9">
        <v>2</v>
      </c>
      <c r="T2089" s="9">
        <v>4</v>
      </c>
    </row>
    <row r="2090" spans="17:20" x14ac:dyDescent="0.25">
      <c r="Q2090" s="9" t="s">
        <v>53</v>
      </c>
      <c r="R2090" s="9">
        <v>152</v>
      </c>
      <c r="S2090" s="9">
        <v>142</v>
      </c>
      <c r="T2090" s="9">
        <v>294</v>
      </c>
    </row>
    <row r="2091" spans="17:20" x14ac:dyDescent="0.25">
      <c r="Q2091" s="9" t="s">
        <v>54</v>
      </c>
      <c r="R2091" s="9">
        <v>76</v>
      </c>
      <c r="S2091" s="9">
        <v>71</v>
      </c>
      <c r="T2091" s="9">
        <v>73.5</v>
      </c>
    </row>
    <row r="2092" spans="17:20" x14ac:dyDescent="0.25">
      <c r="Q2092" s="9" t="s">
        <v>55</v>
      </c>
      <c r="R2092" s="9">
        <v>338</v>
      </c>
      <c r="S2092" s="9">
        <v>450</v>
      </c>
      <c r="T2092" s="9">
        <v>271</v>
      </c>
    </row>
    <row r="2093" spans="17:20" x14ac:dyDescent="0.25">
      <c r="Q2093" s="9"/>
      <c r="R2093" s="9"/>
      <c r="S2093" s="9"/>
      <c r="T2093" s="9"/>
    </row>
    <row r="2094" spans="17:20" x14ac:dyDescent="0.25">
      <c r="Q2094" s="14">
        <v>75</v>
      </c>
      <c r="R2094" s="14"/>
      <c r="S2094" s="14"/>
      <c r="T2094" s="14"/>
    </row>
    <row r="2095" spans="17:20" x14ac:dyDescent="0.25">
      <c r="Q2095" s="9" t="s">
        <v>52</v>
      </c>
      <c r="R2095" s="9">
        <v>2</v>
      </c>
      <c r="S2095" s="9">
        <v>2</v>
      </c>
      <c r="T2095" s="9">
        <v>4</v>
      </c>
    </row>
    <row r="2096" spans="17:20" x14ac:dyDescent="0.25">
      <c r="Q2096" s="9" t="s">
        <v>53</v>
      </c>
      <c r="R2096" s="9">
        <v>154</v>
      </c>
      <c r="S2096" s="9">
        <v>160</v>
      </c>
      <c r="T2096" s="9">
        <v>314</v>
      </c>
    </row>
    <row r="2097" spans="17:20" x14ac:dyDescent="0.25">
      <c r="Q2097" s="9" t="s">
        <v>54</v>
      </c>
      <c r="R2097" s="9">
        <v>77</v>
      </c>
      <c r="S2097" s="9">
        <v>80</v>
      </c>
      <c r="T2097" s="9">
        <v>78.5</v>
      </c>
    </row>
    <row r="2098" spans="17:20" x14ac:dyDescent="0.25">
      <c r="Q2098" s="9" t="s">
        <v>55</v>
      </c>
      <c r="R2098" s="9">
        <v>50</v>
      </c>
      <c r="S2098" s="9">
        <v>200</v>
      </c>
      <c r="T2098" s="9">
        <v>86.333333333333329</v>
      </c>
    </row>
    <row r="2099" spans="17:20" x14ac:dyDescent="0.25">
      <c r="Q2099" s="9"/>
      <c r="R2099" s="9"/>
      <c r="S2099" s="9"/>
      <c r="T2099" s="9"/>
    </row>
    <row r="2100" spans="17:20" x14ac:dyDescent="0.25">
      <c r="Q2100" s="14">
        <v>57</v>
      </c>
      <c r="R2100" s="14"/>
      <c r="S2100" s="14"/>
      <c r="T2100" s="14"/>
    </row>
    <row r="2101" spans="17:20" x14ac:dyDescent="0.25">
      <c r="Q2101" s="9" t="s">
        <v>52</v>
      </c>
      <c r="R2101" s="9">
        <v>2</v>
      </c>
      <c r="S2101" s="9">
        <v>2</v>
      </c>
      <c r="T2101" s="9">
        <v>4</v>
      </c>
    </row>
    <row r="2102" spans="17:20" x14ac:dyDescent="0.25">
      <c r="Q2102" s="9" t="s">
        <v>53</v>
      </c>
      <c r="R2102" s="9">
        <v>144</v>
      </c>
      <c r="S2102" s="9">
        <v>138</v>
      </c>
      <c r="T2102" s="9">
        <v>282</v>
      </c>
    </row>
    <row r="2103" spans="17:20" x14ac:dyDescent="0.25">
      <c r="Q2103" s="9" t="s">
        <v>54</v>
      </c>
      <c r="R2103" s="9">
        <v>72</v>
      </c>
      <c r="S2103" s="9">
        <v>69</v>
      </c>
      <c r="T2103" s="9">
        <v>70.5</v>
      </c>
    </row>
    <row r="2104" spans="17:20" x14ac:dyDescent="0.25">
      <c r="Q2104" s="9" t="s">
        <v>55</v>
      </c>
      <c r="R2104" s="9">
        <v>72</v>
      </c>
      <c r="S2104" s="9">
        <v>200</v>
      </c>
      <c r="T2104" s="9">
        <v>93.666666666666671</v>
      </c>
    </row>
    <row r="2105" spans="17:20" x14ac:dyDescent="0.25">
      <c r="Q2105" s="9"/>
      <c r="R2105" s="9"/>
      <c r="S2105" s="9"/>
      <c r="T2105" s="9"/>
    </row>
    <row r="2106" spans="17:20" x14ac:dyDescent="0.25">
      <c r="Q2106" s="14">
        <v>79</v>
      </c>
      <c r="R2106" s="14"/>
      <c r="S2106" s="14"/>
      <c r="T2106" s="14"/>
    </row>
    <row r="2107" spans="17:20" x14ac:dyDescent="0.25">
      <c r="Q2107" s="9" t="s">
        <v>52</v>
      </c>
      <c r="R2107" s="9">
        <v>2</v>
      </c>
      <c r="S2107" s="9">
        <v>2</v>
      </c>
      <c r="T2107" s="9">
        <v>4</v>
      </c>
    </row>
    <row r="2108" spans="17:20" x14ac:dyDescent="0.25">
      <c r="Q2108" s="9" t="s">
        <v>53</v>
      </c>
      <c r="R2108" s="9">
        <v>148</v>
      </c>
      <c r="S2108" s="9">
        <v>154</v>
      </c>
      <c r="T2108" s="9">
        <v>302</v>
      </c>
    </row>
    <row r="2109" spans="17:20" x14ac:dyDescent="0.25">
      <c r="Q2109" s="9" t="s">
        <v>54</v>
      </c>
      <c r="R2109" s="9">
        <v>74</v>
      </c>
      <c r="S2109" s="9">
        <v>77</v>
      </c>
      <c r="T2109" s="9">
        <v>75.5</v>
      </c>
    </row>
    <row r="2110" spans="17:20" x14ac:dyDescent="0.25">
      <c r="Q2110" s="9" t="s">
        <v>55</v>
      </c>
      <c r="R2110" s="9">
        <v>98</v>
      </c>
      <c r="S2110" s="9">
        <v>50</v>
      </c>
      <c r="T2110" s="9">
        <v>52.333333333333336</v>
      </c>
    </row>
    <row r="2111" spans="17:20" x14ac:dyDescent="0.25">
      <c r="Q2111" s="9"/>
      <c r="R2111" s="9"/>
      <c r="S2111" s="9"/>
      <c r="T2111" s="9"/>
    </row>
    <row r="2112" spans="17:20" x14ac:dyDescent="0.25">
      <c r="Q2112" s="14">
        <v>87</v>
      </c>
      <c r="R2112" s="14"/>
      <c r="S2112" s="14"/>
      <c r="T2112" s="14"/>
    </row>
    <row r="2113" spans="17:20" x14ac:dyDescent="0.25">
      <c r="Q2113" s="9" t="s">
        <v>52</v>
      </c>
      <c r="R2113" s="9">
        <v>2</v>
      </c>
      <c r="S2113" s="9">
        <v>2</v>
      </c>
      <c r="T2113" s="9">
        <v>4</v>
      </c>
    </row>
    <row r="2114" spans="17:20" x14ac:dyDescent="0.25">
      <c r="Q2114" s="9" t="s">
        <v>53</v>
      </c>
      <c r="R2114" s="9">
        <v>148</v>
      </c>
      <c r="S2114" s="9">
        <v>154</v>
      </c>
      <c r="T2114" s="9">
        <v>302</v>
      </c>
    </row>
    <row r="2115" spans="17:20" x14ac:dyDescent="0.25">
      <c r="Q2115" s="9" t="s">
        <v>54</v>
      </c>
      <c r="R2115" s="9">
        <v>74</v>
      </c>
      <c r="S2115" s="9">
        <v>77</v>
      </c>
      <c r="T2115" s="9">
        <v>75.5</v>
      </c>
    </row>
    <row r="2116" spans="17:20" x14ac:dyDescent="0.25">
      <c r="Q2116" s="9" t="s">
        <v>55</v>
      </c>
      <c r="R2116" s="9">
        <v>200</v>
      </c>
      <c r="S2116" s="9">
        <v>200</v>
      </c>
      <c r="T2116" s="9">
        <v>136.33333333333334</v>
      </c>
    </row>
    <row r="2117" spans="17:20" x14ac:dyDescent="0.25">
      <c r="Q2117" s="9"/>
      <c r="R2117" s="9"/>
      <c r="S2117" s="9"/>
      <c r="T2117" s="9"/>
    </row>
    <row r="2118" spans="17:20" x14ac:dyDescent="0.25">
      <c r="Q2118" s="14">
        <v>59</v>
      </c>
      <c r="R2118" s="14"/>
      <c r="S2118" s="14"/>
      <c r="T2118" s="14"/>
    </row>
    <row r="2119" spans="17:20" x14ac:dyDescent="0.25">
      <c r="Q2119" s="9" t="s">
        <v>52</v>
      </c>
      <c r="R2119" s="9">
        <v>2</v>
      </c>
      <c r="S2119" s="9">
        <v>2</v>
      </c>
      <c r="T2119" s="9">
        <v>4</v>
      </c>
    </row>
    <row r="2120" spans="17:20" x14ac:dyDescent="0.25">
      <c r="Q2120" s="9" t="s">
        <v>53</v>
      </c>
      <c r="R2120" s="9">
        <v>135</v>
      </c>
      <c r="S2120" s="9">
        <v>129</v>
      </c>
      <c r="T2120" s="9">
        <v>264</v>
      </c>
    </row>
    <row r="2121" spans="17:20" x14ac:dyDescent="0.25">
      <c r="Q2121" s="9" t="s">
        <v>54</v>
      </c>
      <c r="R2121" s="9">
        <v>67.5</v>
      </c>
      <c r="S2121" s="9">
        <v>64.5</v>
      </c>
      <c r="T2121" s="9">
        <v>66</v>
      </c>
    </row>
    <row r="2122" spans="17:20" x14ac:dyDescent="0.25">
      <c r="Q2122" s="9" t="s">
        <v>55</v>
      </c>
      <c r="R2122" s="9">
        <v>40.5</v>
      </c>
      <c r="S2122" s="9">
        <v>0.5</v>
      </c>
      <c r="T2122" s="9">
        <v>16.666666666666668</v>
      </c>
    </row>
    <row r="2123" spans="17:20" x14ac:dyDescent="0.25">
      <c r="Q2123" s="9"/>
      <c r="R2123" s="9"/>
      <c r="S2123" s="9"/>
      <c r="T2123" s="9"/>
    </row>
    <row r="2124" spans="17:20" x14ac:dyDescent="0.25">
      <c r="Q2124" s="14">
        <v>46</v>
      </c>
      <c r="R2124" s="14"/>
      <c r="S2124" s="14"/>
      <c r="T2124" s="14"/>
    </row>
    <row r="2125" spans="17:20" x14ac:dyDescent="0.25">
      <c r="Q2125" s="9" t="s">
        <v>52</v>
      </c>
      <c r="R2125" s="9">
        <v>2</v>
      </c>
      <c r="S2125" s="9">
        <v>2</v>
      </c>
      <c r="T2125" s="9">
        <v>4</v>
      </c>
    </row>
    <row r="2126" spans="17:20" x14ac:dyDescent="0.25">
      <c r="Q2126" s="9" t="s">
        <v>53</v>
      </c>
      <c r="R2126" s="9">
        <v>93</v>
      </c>
      <c r="S2126" s="9">
        <v>88</v>
      </c>
      <c r="T2126" s="9">
        <v>181</v>
      </c>
    </row>
    <row r="2127" spans="17:20" x14ac:dyDescent="0.25">
      <c r="Q2127" s="9" t="s">
        <v>54</v>
      </c>
      <c r="R2127" s="9">
        <v>46.5</v>
      </c>
      <c r="S2127" s="9">
        <v>44</v>
      </c>
      <c r="T2127" s="9">
        <v>45.25</v>
      </c>
    </row>
    <row r="2128" spans="17:20" x14ac:dyDescent="0.25">
      <c r="Q2128" s="9" t="s">
        <v>55</v>
      </c>
      <c r="R2128" s="9">
        <v>312.5</v>
      </c>
      <c r="S2128" s="9">
        <v>128</v>
      </c>
      <c r="T2128" s="9">
        <v>148.91666666666666</v>
      </c>
    </row>
    <row r="2129" spans="17:20" x14ac:dyDescent="0.25">
      <c r="Q2129" s="9"/>
      <c r="R2129" s="9"/>
      <c r="S2129" s="9"/>
      <c r="T2129" s="9"/>
    </row>
    <row r="2130" spans="17:20" x14ac:dyDescent="0.25">
      <c r="Q2130" s="14">
        <v>89</v>
      </c>
      <c r="R2130" s="14"/>
      <c r="S2130" s="14"/>
      <c r="T2130" s="14"/>
    </row>
    <row r="2131" spans="17:20" x14ac:dyDescent="0.25">
      <c r="Q2131" s="9" t="s">
        <v>52</v>
      </c>
      <c r="R2131" s="9">
        <v>2</v>
      </c>
      <c r="S2131" s="9">
        <v>2</v>
      </c>
      <c r="T2131" s="9">
        <v>4</v>
      </c>
    </row>
    <row r="2132" spans="17:20" x14ac:dyDescent="0.25">
      <c r="Q2132" s="9" t="s">
        <v>53</v>
      </c>
      <c r="R2132" s="9">
        <v>148</v>
      </c>
      <c r="S2132" s="9">
        <v>137</v>
      </c>
      <c r="T2132" s="9">
        <v>285</v>
      </c>
    </row>
    <row r="2133" spans="17:20" x14ac:dyDescent="0.25">
      <c r="Q2133" s="9" t="s">
        <v>54</v>
      </c>
      <c r="R2133" s="9">
        <v>74</v>
      </c>
      <c r="S2133" s="9">
        <v>68.5</v>
      </c>
      <c r="T2133" s="9">
        <v>71.25</v>
      </c>
    </row>
    <row r="2134" spans="17:20" x14ac:dyDescent="0.25">
      <c r="Q2134" s="9" t="s">
        <v>55</v>
      </c>
      <c r="R2134" s="9">
        <v>338</v>
      </c>
      <c r="S2134" s="9">
        <v>220.5</v>
      </c>
      <c r="T2134" s="9">
        <v>196.25</v>
      </c>
    </row>
    <row r="2135" spans="17:20" x14ac:dyDescent="0.25">
      <c r="Q2135" s="9"/>
      <c r="R2135" s="9"/>
      <c r="S2135" s="9"/>
      <c r="T2135" s="9"/>
    </row>
    <row r="2136" spans="17:20" x14ac:dyDescent="0.25">
      <c r="Q2136" s="14">
        <v>93</v>
      </c>
      <c r="R2136" s="14"/>
      <c r="S2136" s="14"/>
      <c r="T2136" s="14"/>
    </row>
    <row r="2137" spans="17:20" x14ac:dyDescent="0.25">
      <c r="Q2137" s="9" t="s">
        <v>52</v>
      </c>
      <c r="R2137" s="9">
        <v>2</v>
      </c>
      <c r="S2137" s="9">
        <v>2</v>
      </c>
      <c r="T2137" s="9">
        <v>4</v>
      </c>
    </row>
    <row r="2138" spans="17:20" x14ac:dyDescent="0.25">
      <c r="Q2138" s="9" t="s">
        <v>53</v>
      </c>
      <c r="R2138" s="9">
        <v>169</v>
      </c>
      <c r="S2138" s="9">
        <v>175</v>
      </c>
      <c r="T2138" s="9">
        <v>344</v>
      </c>
    </row>
    <row r="2139" spans="17:20" x14ac:dyDescent="0.25">
      <c r="Q2139" s="9" t="s">
        <v>54</v>
      </c>
      <c r="R2139" s="9">
        <v>84.5</v>
      </c>
      <c r="S2139" s="9">
        <v>87.5</v>
      </c>
      <c r="T2139" s="9">
        <v>86</v>
      </c>
    </row>
    <row r="2140" spans="17:20" x14ac:dyDescent="0.25">
      <c r="Q2140" s="9" t="s">
        <v>55</v>
      </c>
      <c r="R2140" s="9">
        <v>0.5</v>
      </c>
      <c r="S2140" s="9">
        <v>12.5</v>
      </c>
      <c r="T2140" s="9">
        <v>7.333333333333333</v>
      </c>
    </row>
    <row r="2141" spans="17:20" x14ac:dyDescent="0.25">
      <c r="Q2141" s="9"/>
      <c r="R2141" s="9"/>
      <c r="S2141" s="9"/>
      <c r="T2141" s="9"/>
    </row>
    <row r="2142" spans="17:20" x14ac:dyDescent="0.25">
      <c r="Q2142" s="14">
        <v>98</v>
      </c>
      <c r="R2142" s="14"/>
      <c r="S2142" s="14"/>
      <c r="T2142" s="14"/>
    </row>
    <row r="2143" spans="17:20" x14ac:dyDescent="0.25">
      <c r="Q2143" s="9" t="s">
        <v>52</v>
      </c>
      <c r="R2143" s="9">
        <v>2</v>
      </c>
      <c r="S2143" s="9">
        <v>2</v>
      </c>
      <c r="T2143" s="9">
        <v>4</v>
      </c>
    </row>
    <row r="2144" spans="17:20" x14ac:dyDescent="0.25">
      <c r="Q2144" s="9" t="s">
        <v>53</v>
      </c>
      <c r="R2144" s="9">
        <v>181</v>
      </c>
      <c r="S2144" s="9">
        <v>183</v>
      </c>
      <c r="T2144" s="9">
        <v>364</v>
      </c>
    </row>
    <row r="2145" spans="17:20" x14ac:dyDescent="0.25">
      <c r="Q2145" s="9" t="s">
        <v>54</v>
      </c>
      <c r="R2145" s="9">
        <v>90.5</v>
      </c>
      <c r="S2145" s="9">
        <v>91.5</v>
      </c>
      <c r="T2145" s="9">
        <v>91</v>
      </c>
    </row>
    <row r="2146" spans="17:20" x14ac:dyDescent="0.25">
      <c r="Q2146" s="9" t="s">
        <v>55</v>
      </c>
      <c r="R2146" s="9">
        <v>180.5</v>
      </c>
      <c r="S2146" s="9">
        <v>112.5</v>
      </c>
      <c r="T2146" s="9">
        <v>98</v>
      </c>
    </row>
    <row r="2147" spans="17:20" x14ac:dyDescent="0.25">
      <c r="Q2147" s="9"/>
      <c r="R2147" s="9"/>
      <c r="S2147" s="9"/>
      <c r="T2147" s="9"/>
    </row>
    <row r="2148" spans="17:20" x14ac:dyDescent="0.25">
      <c r="Q2148" s="14">
        <v>60</v>
      </c>
      <c r="R2148" s="14"/>
      <c r="S2148" s="14"/>
      <c r="T2148" s="14"/>
    </row>
    <row r="2149" spans="17:20" x14ac:dyDescent="0.25">
      <c r="Q2149" s="9" t="s">
        <v>52</v>
      </c>
      <c r="R2149" s="9">
        <v>2</v>
      </c>
      <c r="S2149" s="9">
        <v>2</v>
      </c>
      <c r="T2149" s="9">
        <v>4</v>
      </c>
    </row>
    <row r="2150" spans="17:20" x14ac:dyDescent="0.25">
      <c r="Q2150" s="9" t="s">
        <v>53</v>
      </c>
      <c r="R2150" s="9">
        <v>164</v>
      </c>
      <c r="S2150" s="9">
        <v>161</v>
      </c>
      <c r="T2150" s="9">
        <v>325</v>
      </c>
    </row>
    <row r="2151" spans="17:20" x14ac:dyDescent="0.25">
      <c r="Q2151" s="9" t="s">
        <v>54</v>
      </c>
      <c r="R2151" s="9">
        <v>82</v>
      </c>
      <c r="S2151" s="9">
        <v>80.5</v>
      </c>
      <c r="T2151" s="9">
        <v>81.25</v>
      </c>
    </row>
    <row r="2152" spans="17:20" x14ac:dyDescent="0.25">
      <c r="Q2152" s="9" t="s">
        <v>55</v>
      </c>
      <c r="R2152" s="9">
        <v>288</v>
      </c>
      <c r="S2152" s="9">
        <v>84.5</v>
      </c>
      <c r="T2152" s="9">
        <v>124.91666666666667</v>
      </c>
    </row>
    <row r="2153" spans="17:20" x14ac:dyDescent="0.25">
      <c r="Q2153" s="9"/>
      <c r="R2153" s="9"/>
      <c r="S2153" s="9"/>
      <c r="T2153" s="9"/>
    </row>
    <row r="2154" spans="17:20" x14ac:dyDescent="0.25">
      <c r="Q2154" s="14">
        <v>73</v>
      </c>
      <c r="R2154" s="14"/>
      <c r="S2154" s="14"/>
      <c r="T2154" s="14"/>
    </row>
    <row r="2155" spans="17:20" x14ac:dyDescent="0.25">
      <c r="Q2155" s="9" t="s">
        <v>52</v>
      </c>
      <c r="R2155" s="9">
        <v>2</v>
      </c>
      <c r="S2155" s="9">
        <v>2</v>
      </c>
      <c r="T2155" s="9">
        <v>4</v>
      </c>
    </row>
    <row r="2156" spans="17:20" x14ac:dyDescent="0.25">
      <c r="Q2156" s="9" t="s">
        <v>53</v>
      </c>
      <c r="R2156" s="9">
        <v>174</v>
      </c>
      <c r="S2156" s="9">
        <v>171</v>
      </c>
      <c r="T2156" s="9">
        <v>345</v>
      </c>
    </row>
    <row r="2157" spans="17:20" x14ac:dyDescent="0.25">
      <c r="Q2157" s="9" t="s">
        <v>54</v>
      </c>
      <c r="R2157" s="9">
        <v>87</v>
      </c>
      <c r="S2157" s="9">
        <v>85.5</v>
      </c>
      <c r="T2157" s="9">
        <v>86.25</v>
      </c>
    </row>
    <row r="2158" spans="17:20" x14ac:dyDescent="0.25">
      <c r="Q2158" s="9" t="s">
        <v>55</v>
      </c>
      <c r="R2158" s="9">
        <v>162</v>
      </c>
      <c r="S2158" s="9">
        <v>364.5</v>
      </c>
      <c r="T2158" s="9">
        <v>176.25</v>
      </c>
    </row>
    <row r="2159" spans="17:20" x14ac:dyDescent="0.25">
      <c r="Q2159" s="9"/>
      <c r="R2159" s="9"/>
      <c r="S2159" s="9"/>
      <c r="T2159" s="9"/>
    </row>
    <row r="2160" spans="17:20" x14ac:dyDescent="0.25">
      <c r="Q2160" s="14">
        <v>76</v>
      </c>
      <c r="R2160" s="14"/>
      <c r="S2160" s="14"/>
      <c r="T2160" s="14"/>
    </row>
    <row r="2161" spans="17:20" x14ac:dyDescent="0.25">
      <c r="Q2161" s="9" t="s">
        <v>52</v>
      </c>
      <c r="R2161" s="9">
        <v>2</v>
      </c>
      <c r="S2161" s="9">
        <v>2</v>
      </c>
      <c r="T2161" s="9">
        <v>4</v>
      </c>
    </row>
    <row r="2162" spans="17:20" x14ac:dyDescent="0.25">
      <c r="Q2162" s="9" t="s">
        <v>53</v>
      </c>
      <c r="R2162" s="9">
        <v>149</v>
      </c>
      <c r="S2162" s="9">
        <v>154</v>
      </c>
      <c r="T2162" s="9">
        <v>303</v>
      </c>
    </row>
    <row r="2163" spans="17:20" x14ac:dyDescent="0.25">
      <c r="Q2163" s="9" t="s">
        <v>54</v>
      </c>
      <c r="R2163" s="9">
        <v>74.5</v>
      </c>
      <c r="S2163" s="9">
        <v>77</v>
      </c>
      <c r="T2163" s="9">
        <v>75.75</v>
      </c>
    </row>
    <row r="2164" spans="17:20" x14ac:dyDescent="0.25">
      <c r="Q2164" s="9" t="s">
        <v>55</v>
      </c>
      <c r="R2164" s="9">
        <v>4.5</v>
      </c>
      <c r="S2164" s="9">
        <v>18</v>
      </c>
      <c r="T2164" s="9">
        <v>9.5833333333333339</v>
      </c>
    </row>
    <row r="2165" spans="17:20" x14ac:dyDescent="0.25">
      <c r="Q2165" s="9"/>
      <c r="R2165" s="9"/>
      <c r="S2165" s="9"/>
      <c r="T2165" s="9"/>
    </row>
    <row r="2166" spans="17:20" x14ac:dyDescent="0.25">
      <c r="Q2166" s="14">
        <v>62</v>
      </c>
      <c r="R2166" s="14"/>
      <c r="S2166" s="14"/>
      <c r="T2166" s="14"/>
    </row>
    <row r="2167" spans="17:20" x14ac:dyDescent="0.25">
      <c r="Q2167" s="9" t="s">
        <v>52</v>
      </c>
      <c r="R2167" s="9">
        <v>2</v>
      </c>
      <c r="S2167" s="9">
        <v>2</v>
      </c>
      <c r="T2167" s="9">
        <v>4</v>
      </c>
    </row>
    <row r="2168" spans="17:20" x14ac:dyDescent="0.25">
      <c r="Q2168" s="9" t="s">
        <v>53</v>
      </c>
      <c r="R2168" s="9">
        <v>131</v>
      </c>
      <c r="S2168" s="9">
        <v>129</v>
      </c>
      <c r="T2168" s="9">
        <v>260</v>
      </c>
    </row>
    <row r="2169" spans="17:20" x14ac:dyDescent="0.25">
      <c r="Q2169" s="9" t="s">
        <v>54</v>
      </c>
      <c r="R2169" s="9">
        <v>65.5</v>
      </c>
      <c r="S2169" s="9">
        <v>64.5</v>
      </c>
      <c r="T2169" s="9">
        <v>65</v>
      </c>
    </row>
    <row r="2170" spans="17:20" x14ac:dyDescent="0.25">
      <c r="Q2170" s="9" t="s">
        <v>55</v>
      </c>
      <c r="R2170" s="9">
        <v>84.5</v>
      </c>
      <c r="S2170" s="9">
        <v>60.5</v>
      </c>
      <c r="T2170" s="9">
        <v>48.666666666666664</v>
      </c>
    </row>
    <row r="2171" spans="17:20" x14ac:dyDescent="0.25">
      <c r="Q2171" s="9"/>
      <c r="R2171" s="9"/>
      <c r="S2171" s="9"/>
      <c r="T2171" s="9"/>
    </row>
    <row r="2172" spans="17:20" x14ac:dyDescent="0.25">
      <c r="Q2172" s="14">
        <v>74</v>
      </c>
      <c r="R2172" s="14"/>
      <c r="S2172" s="14"/>
      <c r="T2172" s="14"/>
    </row>
    <row r="2173" spans="17:20" x14ac:dyDescent="0.25">
      <c r="Q2173" s="9" t="s">
        <v>52</v>
      </c>
      <c r="R2173" s="9">
        <v>2</v>
      </c>
      <c r="S2173" s="9">
        <v>2</v>
      </c>
      <c r="T2173" s="9">
        <v>4</v>
      </c>
    </row>
    <row r="2174" spans="17:20" x14ac:dyDescent="0.25">
      <c r="Q2174" s="9" t="s">
        <v>53</v>
      </c>
      <c r="R2174" s="9">
        <v>138</v>
      </c>
      <c r="S2174" s="9">
        <v>130</v>
      </c>
      <c r="T2174" s="9">
        <v>268</v>
      </c>
    </row>
    <row r="2175" spans="17:20" x14ac:dyDescent="0.25">
      <c r="Q2175" s="9" t="s">
        <v>54</v>
      </c>
      <c r="R2175" s="9">
        <v>69</v>
      </c>
      <c r="S2175" s="9">
        <v>65</v>
      </c>
      <c r="T2175" s="9">
        <v>67</v>
      </c>
    </row>
    <row r="2176" spans="17:20" x14ac:dyDescent="0.25">
      <c r="Q2176" s="9" t="s">
        <v>55</v>
      </c>
      <c r="R2176" s="9">
        <v>882</v>
      </c>
      <c r="S2176" s="9">
        <v>1058</v>
      </c>
      <c r="T2176" s="9">
        <v>652</v>
      </c>
    </row>
    <row r="2177" spans="17:20" x14ac:dyDescent="0.25">
      <c r="Q2177" s="9"/>
      <c r="R2177" s="9"/>
      <c r="S2177" s="9"/>
      <c r="T2177" s="9"/>
    </row>
    <row r="2178" spans="17:20" x14ac:dyDescent="0.25">
      <c r="Q2178" s="14">
        <v>47</v>
      </c>
      <c r="R2178" s="14"/>
      <c r="S2178" s="14"/>
      <c r="T2178" s="14"/>
    </row>
    <row r="2179" spans="17:20" x14ac:dyDescent="0.25">
      <c r="Q2179" s="9" t="s">
        <v>52</v>
      </c>
      <c r="R2179" s="9">
        <v>2</v>
      </c>
      <c r="S2179" s="9">
        <v>2</v>
      </c>
      <c r="T2179" s="9">
        <v>4</v>
      </c>
    </row>
    <row r="2180" spans="17:20" x14ac:dyDescent="0.25">
      <c r="Q2180" s="9" t="s">
        <v>53</v>
      </c>
      <c r="R2180" s="9">
        <v>117</v>
      </c>
      <c r="S2180" s="9">
        <v>112</v>
      </c>
      <c r="T2180" s="9">
        <v>229</v>
      </c>
    </row>
    <row r="2181" spans="17:20" x14ac:dyDescent="0.25">
      <c r="Q2181" s="9" t="s">
        <v>54</v>
      </c>
      <c r="R2181" s="9">
        <v>58.5</v>
      </c>
      <c r="S2181" s="9">
        <v>56</v>
      </c>
      <c r="T2181" s="9">
        <v>57.25</v>
      </c>
    </row>
    <row r="2182" spans="17:20" x14ac:dyDescent="0.25">
      <c r="Q2182" s="9" t="s">
        <v>55</v>
      </c>
      <c r="R2182" s="9">
        <v>480.5</v>
      </c>
      <c r="S2182" s="9">
        <v>450</v>
      </c>
      <c r="T2182" s="9">
        <v>312.25</v>
      </c>
    </row>
    <row r="2183" spans="17:20" x14ac:dyDescent="0.25">
      <c r="Q2183" s="9"/>
      <c r="R2183" s="9"/>
      <c r="S2183" s="9"/>
      <c r="T2183" s="9"/>
    </row>
    <row r="2184" spans="17:20" x14ac:dyDescent="0.25">
      <c r="Q2184" s="14">
        <v>65</v>
      </c>
      <c r="R2184" s="14"/>
      <c r="S2184" s="14"/>
      <c r="T2184" s="14"/>
    </row>
    <row r="2185" spans="17:20" x14ac:dyDescent="0.25">
      <c r="Q2185" s="9" t="s">
        <v>52</v>
      </c>
      <c r="R2185" s="9">
        <v>2</v>
      </c>
      <c r="S2185" s="9">
        <v>2</v>
      </c>
      <c r="T2185" s="9">
        <v>4</v>
      </c>
    </row>
    <row r="2186" spans="17:20" x14ac:dyDescent="0.25">
      <c r="Q2186" s="9" t="s">
        <v>53</v>
      </c>
      <c r="R2186" s="9">
        <v>126</v>
      </c>
      <c r="S2186" s="9">
        <v>134</v>
      </c>
      <c r="T2186" s="9">
        <v>260</v>
      </c>
    </row>
    <row r="2187" spans="17:20" x14ac:dyDescent="0.25">
      <c r="Q2187" s="9" t="s">
        <v>54</v>
      </c>
      <c r="R2187" s="9">
        <v>63</v>
      </c>
      <c r="S2187" s="9">
        <v>67</v>
      </c>
      <c r="T2187" s="9">
        <v>65</v>
      </c>
    </row>
    <row r="2188" spans="17:20" x14ac:dyDescent="0.25">
      <c r="Q2188" s="9" t="s">
        <v>55</v>
      </c>
      <c r="R2188" s="9">
        <v>288</v>
      </c>
      <c r="S2188" s="9">
        <v>200</v>
      </c>
      <c r="T2188" s="9">
        <v>168</v>
      </c>
    </row>
    <row r="2189" spans="17:20" x14ac:dyDescent="0.25">
      <c r="Q2189" s="9"/>
      <c r="R2189" s="9"/>
      <c r="S2189" s="9"/>
      <c r="T2189" s="9"/>
    </row>
    <row r="2190" spans="17:20" x14ac:dyDescent="0.25">
      <c r="Q2190" s="14">
        <v>73</v>
      </c>
      <c r="R2190" s="14"/>
      <c r="S2190" s="14"/>
      <c r="T2190" s="14"/>
    </row>
    <row r="2191" spans="17:20" x14ac:dyDescent="0.25">
      <c r="Q2191" s="9" t="s">
        <v>52</v>
      </c>
      <c r="R2191" s="9">
        <v>2</v>
      </c>
      <c r="S2191" s="9">
        <v>2</v>
      </c>
      <c r="T2191" s="9">
        <v>4</v>
      </c>
    </row>
    <row r="2192" spans="17:20" x14ac:dyDescent="0.25">
      <c r="Q2192" s="9" t="s">
        <v>53</v>
      </c>
      <c r="R2192" s="9">
        <v>131</v>
      </c>
      <c r="S2192" s="9">
        <v>121</v>
      </c>
      <c r="T2192" s="9">
        <v>252</v>
      </c>
    </row>
    <row r="2193" spans="17:20" x14ac:dyDescent="0.25">
      <c r="Q2193" s="9" t="s">
        <v>54</v>
      </c>
      <c r="R2193" s="9">
        <v>65.5</v>
      </c>
      <c r="S2193" s="9">
        <v>60.5</v>
      </c>
      <c r="T2193" s="9">
        <v>63</v>
      </c>
    </row>
    <row r="2194" spans="17:20" x14ac:dyDescent="0.25">
      <c r="Q2194" s="9" t="s">
        <v>55</v>
      </c>
      <c r="R2194" s="9">
        <v>1404.5</v>
      </c>
      <c r="S2194" s="9">
        <v>1104.5</v>
      </c>
      <c r="T2194" s="9">
        <v>844.66666666666663</v>
      </c>
    </row>
    <row r="2195" spans="17:20" x14ac:dyDescent="0.25">
      <c r="Q2195" s="9"/>
      <c r="R2195" s="9"/>
      <c r="S2195" s="9"/>
      <c r="T2195" s="9"/>
    </row>
    <row r="2196" spans="17:20" x14ac:dyDescent="0.25">
      <c r="Q2196" s="14">
        <v>68</v>
      </c>
      <c r="R2196" s="14"/>
      <c r="S2196" s="14"/>
      <c r="T2196" s="14"/>
    </row>
    <row r="2197" spans="17:20" x14ac:dyDescent="0.25">
      <c r="Q2197" s="9" t="s">
        <v>52</v>
      </c>
      <c r="R2197" s="9">
        <v>2</v>
      </c>
      <c r="S2197" s="9">
        <v>2</v>
      </c>
      <c r="T2197" s="9">
        <v>4</v>
      </c>
    </row>
    <row r="2198" spans="17:20" x14ac:dyDescent="0.25">
      <c r="Q2198" s="9" t="s">
        <v>53</v>
      </c>
      <c r="R2198" s="9">
        <v>123</v>
      </c>
      <c r="S2198" s="9">
        <v>123</v>
      </c>
      <c r="T2198" s="9">
        <v>246</v>
      </c>
    </row>
    <row r="2199" spans="17:20" x14ac:dyDescent="0.25">
      <c r="Q2199" s="9" t="s">
        <v>54</v>
      </c>
      <c r="R2199" s="9">
        <v>61.5</v>
      </c>
      <c r="S2199" s="9">
        <v>61.5</v>
      </c>
      <c r="T2199" s="9">
        <v>61.5</v>
      </c>
    </row>
    <row r="2200" spans="17:20" x14ac:dyDescent="0.25">
      <c r="Q2200" s="9" t="s">
        <v>55</v>
      </c>
      <c r="R2200" s="9">
        <v>480.5</v>
      </c>
      <c r="S2200" s="9">
        <v>684.5</v>
      </c>
      <c r="T2200" s="9">
        <v>388.33333333333331</v>
      </c>
    </row>
    <row r="2201" spans="17:20" x14ac:dyDescent="0.25">
      <c r="Q2201" s="9"/>
      <c r="R2201" s="9"/>
      <c r="S2201" s="9"/>
      <c r="T2201" s="9"/>
    </row>
    <row r="2202" spans="17:20" x14ac:dyDescent="0.25">
      <c r="Q2202" s="14">
        <v>87</v>
      </c>
      <c r="R2202" s="14"/>
      <c r="S2202" s="14"/>
      <c r="T2202" s="14"/>
    </row>
    <row r="2203" spans="17:20" x14ac:dyDescent="0.25">
      <c r="Q2203" s="9" t="s">
        <v>52</v>
      </c>
      <c r="R2203" s="9">
        <v>2</v>
      </c>
      <c r="S2203" s="9">
        <v>2</v>
      </c>
      <c r="T2203" s="9">
        <v>4</v>
      </c>
    </row>
    <row r="2204" spans="17:20" x14ac:dyDescent="0.25">
      <c r="Q2204" s="9" t="s">
        <v>53</v>
      </c>
      <c r="R2204" s="9">
        <v>136</v>
      </c>
      <c r="S2204" s="9">
        <v>138</v>
      </c>
      <c r="T2204" s="9">
        <v>274</v>
      </c>
    </row>
    <row r="2205" spans="17:20" x14ac:dyDescent="0.25">
      <c r="Q2205" s="9" t="s">
        <v>54</v>
      </c>
      <c r="R2205" s="9">
        <v>68</v>
      </c>
      <c r="S2205" s="9">
        <v>69</v>
      </c>
      <c r="T2205" s="9">
        <v>68.5</v>
      </c>
    </row>
    <row r="2206" spans="17:20" x14ac:dyDescent="0.25">
      <c r="Q2206" s="9" t="s">
        <v>55</v>
      </c>
      <c r="R2206" s="9">
        <v>882</v>
      </c>
      <c r="S2206" s="9">
        <v>1250</v>
      </c>
      <c r="T2206" s="9">
        <v>711</v>
      </c>
    </row>
    <row r="2207" spans="17:20" x14ac:dyDescent="0.25">
      <c r="Q2207" s="9"/>
      <c r="R2207" s="9"/>
      <c r="S2207" s="9"/>
      <c r="T2207" s="9"/>
    </row>
    <row r="2208" spans="17:20" x14ac:dyDescent="0.25">
      <c r="Q2208" s="14">
        <v>53</v>
      </c>
      <c r="R2208" s="14"/>
      <c r="S2208" s="14"/>
      <c r="T2208" s="14"/>
    </row>
    <row r="2209" spans="17:20" x14ac:dyDescent="0.25">
      <c r="Q2209" s="9" t="s">
        <v>52</v>
      </c>
      <c r="R2209" s="9">
        <v>2</v>
      </c>
      <c r="S2209" s="9">
        <v>2</v>
      </c>
      <c r="T2209" s="9">
        <v>4</v>
      </c>
    </row>
    <row r="2210" spans="17:20" x14ac:dyDescent="0.25">
      <c r="Q2210" s="9" t="s">
        <v>53</v>
      </c>
      <c r="R2210" s="9">
        <v>115</v>
      </c>
      <c r="S2210" s="9">
        <v>116</v>
      </c>
      <c r="T2210" s="9">
        <v>231</v>
      </c>
    </row>
    <row r="2211" spans="17:20" x14ac:dyDescent="0.25">
      <c r="Q2211" s="9" t="s">
        <v>54</v>
      </c>
      <c r="R2211" s="9">
        <v>57.5</v>
      </c>
      <c r="S2211" s="9">
        <v>58</v>
      </c>
      <c r="T2211" s="9">
        <v>57.75</v>
      </c>
    </row>
    <row r="2212" spans="17:20" x14ac:dyDescent="0.25">
      <c r="Q2212" s="9" t="s">
        <v>55</v>
      </c>
      <c r="R2212" s="9">
        <v>0.5</v>
      </c>
      <c r="S2212" s="9">
        <v>2</v>
      </c>
      <c r="T2212" s="9">
        <v>0.91666666666666663</v>
      </c>
    </row>
    <row r="2213" spans="17:20" x14ac:dyDescent="0.25">
      <c r="Q2213" s="9"/>
      <c r="R2213" s="9"/>
      <c r="S2213" s="9"/>
      <c r="T2213" s="9"/>
    </row>
    <row r="2214" spans="17:20" x14ac:dyDescent="0.25">
      <c r="Q2214" s="14">
        <v>92</v>
      </c>
      <c r="R2214" s="14"/>
      <c r="S2214" s="14"/>
      <c r="T2214" s="14"/>
    </row>
    <row r="2215" spans="17:20" x14ac:dyDescent="0.25">
      <c r="Q2215" s="9" t="s">
        <v>52</v>
      </c>
      <c r="R2215" s="9">
        <v>2</v>
      </c>
      <c r="S2215" s="9">
        <v>2</v>
      </c>
      <c r="T2215" s="9">
        <v>4</v>
      </c>
    </row>
    <row r="2216" spans="17:20" x14ac:dyDescent="0.25">
      <c r="Q2216" s="9" t="s">
        <v>53</v>
      </c>
      <c r="R2216" s="9">
        <v>145</v>
      </c>
      <c r="S2216" s="9">
        <v>157</v>
      </c>
      <c r="T2216" s="9">
        <v>302</v>
      </c>
    </row>
    <row r="2217" spans="17:20" x14ac:dyDescent="0.25">
      <c r="Q2217" s="9" t="s">
        <v>54</v>
      </c>
      <c r="R2217" s="9">
        <v>72.5</v>
      </c>
      <c r="S2217" s="9">
        <v>78.5</v>
      </c>
      <c r="T2217" s="9">
        <v>75.5</v>
      </c>
    </row>
    <row r="2218" spans="17:20" x14ac:dyDescent="0.25">
      <c r="Q2218" s="9" t="s">
        <v>55</v>
      </c>
      <c r="R2218" s="9">
        <v>84.5</v>
      </c>
      <c r="S2218" s="9">
        <v>60.5</v>
      </c>
      <c r="T2218" s="9">
        <v>60.333333333333336</v>
      </c>
    </row>
    <row r="2219" spans="17:20" x14ac:dyDescent="0.25">
      <c r="Q2219" s="9"/>
      <c r="R2219" s="9"/>
      <c r="S2219" s="9"/>
      <c r="T2219" s="9"/>
    </row>
    <row r="2220" spans="17:20" x14ac:dyDescent="0.25">
      <c r="Q2220" s="14">
        <v>81</v>
      </c>
      <c r="R2220" s="14"/>
      <c r="S2220" s="14"/>
      <c r="T2220" s="14"/>
    </row>
    <row r="2221" spans="17:20" x14ac:dyDescent="0.25">
      <c r="Q2221" s="9" t="s">
        <v>52</v>
      </c>
      <c r="R2221" s="9">
        <v>2</v>
      </c>
      <c r="S2221" s="9">
        <v>2</v>
      </c>
      <c r="T2221" s="9">
        <v>4</v>
      </c>
    </row>
    <row r="2222" spans="17:20" x14ac:dyDescent="0.25">
      <c r="Q2222" s="9" t="s">
        <v>53</v>
      </c>
      <c r="R2222" s="9">
        <v>131</v>
      </c>
      <c r="S2222" s="9">
        <v>128</v>
      </c>
      <c r="T2222" s="9">
        <v>259</v>
      </c>
    </row>
    <row r="2223" spans="17:20" x14ac:dyDescent="0.25">
      <c r="Q2223" s="9" t="s">
        <v>54</v>
      </c>
      <c r="R2223" s="9">
        <v>65.5</v>
      </c>
      <c r="S2223" s="9">
        <v>64</v>
      </c>
      <c r="T2223" s="9">
        <v>64.75</v>
      </c>
    </row>
    <row r="2224" spans="17:20" x14ac:dyDescent="0.25">
      <c r="Q2224" s="9" t="s">
        <v>55</v>
      </c>
      <c r="R2224" s="9">
        <v>60.5</v>
      </c>
      <c r="S2224" s="9">
        <v>162</v>
      </c>
      <c r="T2224" s="9">
        <v>74.916666666666671</v>
      </c>
    </row>
    <row r="2225" spans="17:20" x14ac:dyDescent="0.25">
      <c r="Q2225" s="9"/>
      <c r="R2225" s="9"/>
      <c r="S2225" s="9"/>
      <c r="T2225" s="9"/>
    </row>
    <row r="2226" spans="17:20" x14ac:dyDescent="0.25">
      <c r="Q2226" s="14">
        <v>80</v>
      </c>
      <c r="R2226" s="14"/>
      <c r="S2226" s="14"/>
      <c r="T2226" s="14"/>
    </row>
    <row r="2227" spans="17:20" x14ac:dyDescent="0.25">
      <c r="Q2227" s="9" t="s">
        <v>52</v>
      </c>
      <c r="R2227" s="9">
        <v>2</v>
      </c>
      <c r="S2227" s="9">
        <v>2</v>
      </c>
      <c r="T2227" s="9">
        <v>4</v>
      </c>
    </row>
    <row r="2228" spans="17:20" x14ac:dyDescent="0.25">
      <c r="Q2228" s="9" t="s">
        <v>53</v>
      </c>
      <c r="R2228" s="9">
        <v>130</v>
      </c>
      <c r="S2228" s="9">
        <v>128</v>
      </c>
      <c r="T2228" s="9">
        <v>258</v>
      </c>
    </row>
    <row r="2229" spans="17:20" x14ac:dyDescent="0.25">
      <c r="Q2229" s="9" t="s">
        <v>54</v>
      </c>
      <c r="R2229" s="9">
        <v>65</v>
      </c>
      <c r="S2229" s="9">
        <v>64</v>
      </c>
      <c r="T2229" s="9">
        <v>64.5</v>
      </c>
    </row>
    <row r="2230" spans="17:20" x14ac:dyDescent="0.25">
      <c r="Q2230" s="9" t="s">
        <v>55</v>
      </c>
      <c r="R2230" s="9">
        <v>128</v>
      </c>
      <c r="S2230" s="9">
        <v>128</v>
      </c>
      <c r="T2230" s="9">
        <v>85.666666666666671</v>
      </c>
    </row>
    <row r="2231" spans="17:20" x14ac:dyDescent="0.25">
      <c r="Q2231" s="9"/>
      <c r="R2231" s="9"/>
      <c r="S2231" s="9"/>
      <c r="T2231" s="9"/>
    </row>
    <row r="2232" spans="17:20" x14ac:dyDescent="0.25">
      <c r="Q2232" s="14">
        <v>81</v>
      </c>
      <c r="R2232" s="14"/>
      <c r="S2232" s="14"/>
      <c r="T2232" s="14"/>
    </row>
    <row r="2233" spans="17:20" x14ac:dyDescent="0.25">
      <c r="Q2233" s="9" t="s">
        <v>52</v>
      </c>
      <c r="R2233" s="9">
        <v>2</v>
      </c>
      <c r="S2233" s="9">
        <v>2</v>
      </c>
      <c r="T2233" s="9">
        <v>4</v>
      </c>
    </row>
    <row r="2234" spans="17:20" x14ac:dyDescent="0.25">
      <c r="Q2234" s="9" t="s">
        <v>53</v>
      </c>
      <c r="R2234" s="9">
        <v>157</v>
      </c>
      <c r="S2234" s="9">
        <v>154</v>
      </c>
      <c r="T2234" s="9">
        <v>311</v>
      </c>
    </row>
    <row r="2235" spans="17:20" x14ac:dyDescent="0.25">
      <c r="Q2235" s="9" t="s">
        <v>54</v>
      </c>
      <c r="R2235" s="9">
        <v>78.5</v>
      </c>
      <c r="S2235" s="9">
        <v>77</v>
      </c>
      <c r="T2235" s="9">
        <v>77.75</v>
      </c>
    </row>
    <row r="2236" spans="17:20" x14ac:dyDescent="0.25">
      <c r="Q2236" s="9" t="s">
        <v>55</v>
      </c>
      <c r="R2236" s="9">
        <v>60.5</v>
      </c>
      <c r="S2236" s="9">
        <v>50</v>
      </c>
      <c r="T2236" s="9">
        <v>37.583333333333336</v>
      </c>
    </row>
    <row r="2237" spans="17:20" x14ac:dyDescent="0.25">
      <c r="Q2237" s="9"/>
      <c r="R2237" s="9"/>
      <c r="S2237" s="9"/>
      <c r="T2237" s="9"/>
    </row>
    <row r="2238" spans="17:20" x14ac:dyDescent="0.25">
      <c r="Q2238" s="14">
        <v>55</v>
      </c>
      <c r="R2238" s="14"/>
      <c r="S2238" s="14"/>
      <c r="T2238" s="14"/>
    </row>
    <row r="2239" spans="17:20" x14ac:dyDescent="0.25">
      <c r="Q2239" s="9" t="s">
        <v>52</v>
      </c>
      <c r="R2239" s="9">
        <v>2</v>
      </c>
      <c r="S2239" s="9">
        <v>2</v>
      </c>
      <c r="T2239" s="9">
        <v>4</v>
      </c>
    </row>
    <row r="2240" spans="17:20" x14ac:dyDescent="0.25">
      <c r="Q2240" s="9" t="s">
        <v>53</v>
      </c>
      <c r="R2240" s="9">
        <v>134</v>
      </c>
      <c r="S2240" s="9">
        <v>121</v>
      </c>
      <c r="T2240" s="9">
        <v>255</v>
      </c>
    </row>
    <row r="2241" spans="17:20" x14ac:dyDescent="0.25">
      <c r="Q2241" s="9" t="s">
        <v>54</v>
      </c>
      <c r="R2241" s="9">
        <v>67</v>
      </c>
      <c r="S2241" s="9">
        <v>60.5</v>
      </c>
      <c r="T2241" s="9">
        <v>63.75</v>
      </c>
    </row>
    <row r="2242" spans="17:20" x14ac:dyDescent="0.25">
      <c r="Q2242" s="9" t="s">
        <v>55</v>
      </c>
      <c r="R2242" s="9">
        <v>288</v>
      </c>
      <c r="S2242" s="9">
        <v>364.5</v>
      </c>
      <c r="T2242" s="9">
        <v>231.58333333333334</v>
      </c>
    </row>
    <row r="2243" spans="17:20" x14ac:dyDescent="0.25">
      <c r="Q2243" s="9"/>
      <c r="R2243" s="9"/>
      <c r="S2243" s="9"/>
      <c r="T2243" s="9"/>
    </row>
    <row r="2244" spans="17:20" x14ac:dyDescent="0.25">
      <c r="Q2244" s="14">
        <v>69</v>
      </c>
      <c r="R2244" s="14"/>
      <c r="S2244" s="14"/>
      <c r="T2244" s="14"/>
    </row>
    <row r="2245" spans="17:20" x14ac:dyDescent="0.25">
      <c r="Q2245" s="9" t="s">
        <v>52</v>
      </c>
      <c r="R2245" s="9">
        <v>2</v>
      </c>
      <c r="S2245" s="9">
        <v>2</v>
      </c>
      <c r="T2245" s="9">
        <v>4</v>
      </c>
    </row>
    <row r="2246" spans="17:20" x14ac:dyDescent="0.25">
      <c r="Q2246" s="9" t="s">
        <v>53</v>
      </c>
      <c r="R2246" s="9">
        <v>139</v>
      </c>
      <c r="S2246" s="9">
        <v>139</v>
      </c>
      <c r="T2246" s="9">
        <v>278</v>
      </c>
    </row>
    <row r="2247" spans="17:20" x14ac:dyDescent="0.25">
      <c r="Q2247" s="9" t="s">
        <v>54</v>
      </c>
      <c r="R2247" s="9">
        <v>69.5</v>
      </c>
      <c r="S2247" s="9">
        <v>69.5</v>
      </c>
      <c r="T2247" s="9">
        <v>69.5</v>
      </c>
    </row>
    <row r="2248" spans="17:20" x14ac:dyDescent="0.25">
      <c r="Q2248" s="9" t="s">
        <v>55</v>
      </c>
      <c r="R2248" s="9">
        <v>60.5</v>
      </c>
      <c r="S2248" s="9">
        <v>4.5</v>
      </c>
      <c r="T2248" s="9">
        <v>21.666666666666668</v>
      </c>
    </row>
    <row r="2249" spans="17:20" x14ac:dyDescent="0.25">
      <c r="Q2249" s="9"/>
      <c r="R2249" s="9"/>
      <c r="S2249" s="9"/>
      <c r="T2249" s="9"/>
    </row>
    <row r="2250" spans="17:20" x14ac:dyDescent="0.25">
      <c r="Q2250" s="14">
        <v>50</v>
      </c>
      <c r="R2250" s="14"/>
      <c r="S2250" s="14"/>
      <c r="T2250" s="14"/>
    </row>
    <row r="2251" spans="17:20" x14ac:dyDescent="0.25">
      <c r="Q2251" s="9" t="s">
        <v>52</v>
      </c>
      <c r="R2251" s="9">
        <v>2</v>
      </c>
      <c r="S2251" s="9">
        <v>2</v>
      </c>
      <c r="T2251" s="9">
        <v>4</v>
      </c>
    </row>
    <row r="2252" spans="17:20" x14ac:dyDescent="0.25">
      <c r="Q2252" s="9" t="s">
        <v>53</v>
      </c>
      <c r="R2252" s="9">
        <v>144</v>
      </c>
      <c r="S2252" s="9">
        <v>145</v>
      </c>
      <c r="T2252" s="9">
        <v>289</v>
      </c>
    </row>
    <row r="2253" spans="17:20" x14ac:dyDescent="0.25">
      <c r="Q2253" s="9" t="s">
        <v>54</v>
      </c>
      <c r="R2253" s="9">
        <v>72</v>
      </c>
      <c r="S2253" s="9">
        <v>72.5</v>
      </c>
      <c r="T2253" s="9">
        <v>72.25</v>
      </c>
    </row>
    <row r="2254" spans="17:20" x14ac:dyDescent="0.25">
      <c r="Q2254" s="9" t="s">
        <v>55</v>
      </c>
      <c r="R2254" s="9">
        <v>288</v>
      </c>
      <c r="S2254" s="9">
        <v>364.5</v>
      </c>
      <c r="T2254" s="9">
        <v>217.58333333333334</v>
      </c>
    </row>
    <row r="2255" spans="17:20" x14ac:dyDescent="0.25">
      <c r="Q2255" s="9"/>
      <c r="R2255" s="9"/>
      <c r="S2255" s="9"/>
      <c r="T2255" s="9"/>
    </row>
    <row r="2256" spans="17:20" x14ac:dyDescent="0.25">
      <c r="Q2256" s="14">
        <v>71</v>
      </c>
      <c r="R2256" s="14"/>
      <c r="S2256" s="14"/>
      <c r="T2256" s="14"/>
    </row>
    <row r="2257" spans="17:20" x14ac:dyDescent="0.25">
      <c r="Q2257" s="9" t="s">
        <v>52</v>
      </c>
      <c r="R2257" s="9">
        <v>2</v>
      </c>
      <c r="S2257" s="9">
        <v>2</v>
      </c>
      <c r="T2257" s="9">
        <v>4</v>
      </c>
    </row>
    <row r="2258" spans="17:20" x14ac:dyDescent="0.25">
      <c r="Q2258" s="9" t="s">
        <v>53</v>
      </c>
      <c r="R2258" s="9">
        <v>141</v>
      </c>
      <c r="S2258" s="9">
        <v>133</v>
      </c>
      <c r="T2258" s="9">
        <v>274</v>
      </c>
    </row>
    <row r="2259" spans="17:20" x14ac:dyDescent="0.25">
      <c r="Q2259" s="9" t="s">
        <v>54</v>
      </c>
      <c r="R2259" s="9">
        <v>70.5</v>
      </c>
      <c r="S2259" s="9">
        <v>66.5</v>
      </c>
      <c r="T2259" s="9">
        <v>68.5</v>
      </c>
    </row>
    <row r="2260" spans="17:20" x14ac:dyDescent="0.25">
      <c r="Q2260" s="9" t="s">
        <v>55</v>
      </c>
      <c r="R2260" s="9">
        <v>4.5</v>
      </c>
      <c r="S2260" s="9">
        <v>4.5</v>
      </c>
      <c r="T2260" s="9">
        <v>8.3333333333333339</v>
      </c>
    </row>
    <row r="2261" spans="17:20" x14ac:dyDescent="0.25">
      <c r="Q2261" s="9"/>
      <c r="R2261" s="9"/>
      <c r="S2261" s="9"/>
      <c r="T2261" s="9"/>
    </row>
    <row r="2262" spans="17:20" x14ac:dyDescent="0.25">
      <c r="Q2262" s="14">
        <v>79</v>
      </c>
      <c r="R2262" s="14"/>
      <c r="S2262" s="14"/>
      <c r="T2262" s="14"/>
    </row>
    <row r="2263" spans="17:20" x14ac:dyDescent="0.25">
      <c r="Q2263" s="9" t="s">
        <v>52</v>
      </c>
      <c r="R2263" s="9">
        <v>2</v>
      </c>
      <c r="S2263" s="9">
        <v>2</v>
      </c>
      <c r="T2263" s="9">
        <v>4</v>
      </c>
    </row>
    <row r="2264" spans="17:20" x14ac:dyDescent="0.25">
      <c r="Q2264" s="9" t="s">
        <v>53</v>
      </c>
      <c r="R2264" s="9">
        <v>167</v>
      </c>
      <c r="S2264" s="9">
        <v>160</v>
      </c>
      <c r="T2264" s="9">
        <v>327</v>
      </c>
    </row>
    <row r="2265" spans="17:20" x14ac:dyDescent="0.25">
      <c r="Q2265" s="9" t="s">
        <v>54</v>
      </c>
      <c r="R2265" s="9">
        <v>83.5</v>
      </c>
      <c r="S2265" s="9">
        <v>80</v>
      </c>
      <c r="T2265" s="9">
        <v>81.75</v>
      </c>
    </row>
    <row r="2266" spans="17:20" x14ac:dyDescent="0.25">
      <c r="Q2266" s="9" t="s">
        <v>55</v>
      </c>
      <c r="R2266" s="9">
        <v>84.5</v>
      </c>
      <c r="S2266" s="9">
        <v>50</v>
      </c>
      <c r="T2266" s="9">
        <v>48.916666666666664</v>
      </c>
    </row>
    <row r="2267" spans="17:20" x14ac:dyDescent="0.25">
      <c r="Q2267" s="9"/>
      <c r="R2267" s="9"/>
      <c r="S2267" s="9"/>
      <c r="T2267" s="9"/>
    </row>
    <row r="2268" spans="17:20" x14ac:dyDescent="0.25">
      <c r="Q2268" s="14">
        <v>58</v>
      </c>
      <c r="R2268" s="14"/>
      <c r="S2268" s="14"/>
      <c r="T2268" s="14"/>
    </row>
    <row r="2269" spans="17:20" x14ac:dyDescent="0.25">
      <c r="Q2269" s="9" t="s">
        <v>52</v>
      </c>
      <c r="R2269" s="9">
        <v>2</v>
      </c>
      <c r="S2269" s="9">
        <v>2</v>
      </c>
      <c r="T2269" s="9">
        <v>4</v>
      </c>
    </row>
    <row r="2270" spans="17:20" x14ac:dyDescent="0.25">
      <c r="Q2270" s="9" t="s">
        <v>53</v>
      </c>
      <c r="R2270" s="9">
        <v>150</v>
      </c>
      <c r="S2270" s="9">
        <v>145</v>
      </c>
      <c r="T2270" s="9">
        <v>295</v>
      </c>
    </row>
    <row r="2271" spans="17:20" x14ac:dyDescent="0.25">
      <c r="Q2271" s="9" t="s">
        <v>54</v>
      </c>
      <c r="R2271" s="9">
        <v>75</v>
      </c>
      <c r="S2271" s="9">
        <v>72.5</v>
      </c>
      <c r="T2271" s="9">
        <v>73.75</v>
      </c>
    </row>
    <row r="2272" spans="17:20" x14ac:dyDescent="0.25">
      <c r="Q2272" s="9" t="s">
        <v>55</v>
      </c>
      <c r="R2272" s="9">
        <v>800</v>
      </c>
      <c r="S2272" s="9">
        <v>760.5</v>
      </c>
      <c r="T2272" s="9">
        <v>522.25</v>
      </c>
    </row>
    <row r="2273" spans="17:20" x14ac:dyDescent="0.25">
      <c r="Q2273" s="9"/>
      <c r="R2273" s="9"/>
      <c r="S2273" s="9"/>
      <c r="T2273" s="9"/>
    </row>
    <row r="2274" spans="17:20" x14ac:dyDescent="0.25">
      <c r="Q2274" s="14">
        <v>55</v>
      </c>
      <c r="R2274" s="14"/>
      <c r="S2274" s="14"/>
      <c r="T2274" s="14"/>
    </row>
    <row r="2275" spans="17:20" x14ac:dyDescent="0.25">
      <c r="Q2275" s="9" t="s">
        <v>52</v>
      </c>
      <c r="R2275" s="9">
        <v>2</v>
      </c>
      <c r="S2275" s="9">
        <v>2</v>
      </c>
      <c r="T2275" s="9">
        <v>4</v>
      </c>
    </row>
    <row r="2276" spans="17:20" x14ac:dyDescent="0.25">
      <c r="Q2276" s="9" t="s">
        <v>53</v>
      </c>
      <c r="R2276" s="9">
        <v>126</v>
      </c>
      <c r="S2276" s="9">
        <v>124</v>
      </c>
      <c r="T2276" s="9">
        <v>250</v>
      </c>
    </row>
    <row r="2277" spans="17:20" x14ac:dyDescent="0.25">
      <c r="Q2277" s="9" t="s">
        <v>54</v>
      </c>
      <c r="R2277" s="9">
        <v>63</v>
      </c>
      <c r="S2277" s="9">
        <v>62</v>
      </c>
      <c r="T2277" s="9">
        <v>62.5</v>
      </c>
    </row>
    <row r="2278" spans="17:20" x14ac:dyDescent="0.25">
      <c r="Q2278" s="9" t="s">
        <v>55</v>
      </c>
      <c r="R2278" s="9">
        <v>50</v>
      </c>
      <c r="S2278" s="9">
        <v>200</v>
      </c>
      <c r="T2278" s="9">
        <v>83.666666666666671</v>
      </c>
    </row>
    <row r="2279" spans="17:20" x14ac:dyDescent="0.25">
      <c r="Q2279" s="9"/>
      <c r="R2279" s="9"/>
      <c r="S2279" s="9"/>
      <c r="T2279" s="9"/>
    </row>
    <row r="2280" spans="17:20" x14ac:dyDescent="0.25">
      <c r="Q2280" s="14">
        <v>52</v>
      </c>
      <c r="R2280" s="14"/>
      <c r="S2280" s="14"/>
      <c r="T2280" s="14"/>
    </row>
    <row r="2281" spans="17:20" x14ac:dyDescent="0.25">
      <c r="Q2281" s="9" t="s">
        <v>52</v>
      </c>
      <c r="R2281" s="9">
        <v>2</v>
      </c>
      <c r="S2281" s="9">
        <v>2</v>
      </c>
      <c r="T2281" s="9">
        <v>4</v>
      </c>
    </row>
    <row r="2282" spans="17:20" x14ac:dyDescent="0.25">
      <c r="Q2282" s="9" t="s">
        <v>53</v>
      </c>
      <c r="R2282" s="9">
        <v>136</v>
      </c>
      <c r="S2282" s="9">
        <v>142</v>
      </c>
      <c r="T2282" s="9">
        <v>278</v>
      </c>
    </row>
    <row r="2283" spans="17:20" x14ac:dyDescent="0.25">
      <c r="Q2283" s="9" t="s">
        <v>54</v>
      </c>
      <c r="R2283" s="9">
        <v>68</v>
      </c>
      <c r="S2283" s="9">
        <v>71</v>
      </c>
      <c r="T2283" s="9">
        <v>69.5</v>
      </c>
    </row>
    <row r="2284" spans="17:20" x14ac:dyDescent="0.25">
      <c r="Q2284" s="9" t="s">
        <v>55</v>
      </c>
      <c r="R2284" s="9">
        <v>162</v>
      </c>
      <c r="S2284" s="9">
        <v>72</v>
      </c>
      <c r="T2284" s="9">
        <v>81</v>
      </c>
    </row>
    <row r="2285" spans="17:20" x14ac:dyDescent="0.25">
      <c r="Q2285" s="9"/>
      <c r="R2285" s="9"/>
      <c r="S2285" s="9"/>
      <c r="T2285" s="9"/>
    </row>
    <row r="2286" spans="17:20" x14ac:dyDescent="0.25">
      <c r="Q2286" s="14">
        <v>53</v>
      </c>
      <c r="R2286" s="14"/>
      <c r="S2286" s="14"/>
      <c r="T2286" s="14"/>
    </row>
    <row r="2287" spans="17:20" x14ac:dyDescent="0.25">
      <c r="Q2287" s="9" t="s">
        <v>52</v>
      </c>
      <c r="R2287" s="9">
        <v>2</v>
      </c>
      <c r="S2287" s="9">
        <v>2</v>
      </c>
      <c r="T2287" s="9">
        <v>4</v>
      </c>
    </row>
    <row r="2288" spans="17:20" x14ac:dyDescent="0.25">
      <c r="Q2288" s="9" t="s">
        <v>53</v>
      </c>
      <c r="R2288" s="9">
        <v>130</v>
      </c>
      <c r="S2288" s="9">
        <v>118</v>
      </c>
      <c r="T2288" s="9">
        <v>248</v>
      </c>
    </row>
    <row r="2289" spans="17:20" x14ac:dyDescent="0.25">
      <c r="Q2289" s="9" t="s">
        <v>54</v>
      </c>
      <c r="R2289" s="9">
        <v>65</v>
      </c>
      <c r="S2289" s="9">
        <v>59</v>
      </c>
      <c r="T2289" s="9">
        <v>62</v>
      </c>
    </row>
    <row r="2290" spans="17:20" x14ac:dyDescent="0.25">
      <c r="Q2290" s="9" t="s">
        <v>55</v>
      </c>
      <c r="R2290" s="9">
        <v>98</v>
      </c>
      <c r="S2290" s="9">
        <v>50</v>
      </c>
      <c r="T2290" s="9">
        <v>61.333333333333336</v>
      </c>
    </row>
    <row r="2291" spans="17:20" x14ac:dyDescent="0.25">
      <c r="Q2291" s="9"/>
      <c r="R2291" s="9"/>
      <c r="S2291" s="9"/>
      <c r="T2291" s="9"/>
    </row>
    <row r="2292" spans="17:20" x14ac:dyDescent="0.25">
      <c r="Q2292" s="14">
        <v>78</v>
      </c>
      <c r="R2292" s="14"/>
      <c r="S2292" s="14"/>
      <c r="T2292" s="14"/>
    </row>
    <row r="2293" spans="17:20" x14ac:dyDescent="0.25">
      <c r="Q2293" s="9" t="s">
        <v>52</v>
      </c>
      <c r="R2293" s="9">
        <v>2</v>
      </c>
      <c r="S2293" s="9">
        <v>2</v>
      </c>
      <c r="T2293" s="9">
        <v>4</v>
      </c>
    </row>
    <row r="2294" spans="17:20" x14ac:dyDescent="0.25">
      <c r="Q2294" s="9" t="s">
        <v>53</v>
      </c>
      <c r="R2294" s="9">
        <v>143</v>
      </c>
      <c r="S2294" s="9">
        <v>149</v>
      </c>
      <c r="T2294" s="9">
        <v>292</v>
      </c>
    </row>
    <row r="2295" spans="17:20" x14ac:dyDescent="0.25">
      <c r="Q2295" s="9" t="s">
        <v>54</v>
      </c>
      <c r="R2295" s="9">
        <v>71.5</v>
      </c>
      <c r="S2295" s="9">
        <v>74.5</v>
      </c>
      <c r="T2295" s="9">
        <v>73</v>
      </c>
    </row>
    <row r="2296" spans="17:20" x14ac:dyDescent="0.25">
      <c r="Q2296" s="9" t="s">
        <v>55</v>
      </c>
      <c r="R2296" s="9">
        <v>180.5</v>
      </c>
      <c r="S2296" s="9">
        <v>264.5</v>
      </c>
      <c r="T2296" s="9">
        <v>151.33333333333334</v>
      </c>
    </row>
    <row r="2297" spans="17:20" x14ac:dyDescent="0.25">
      <c r="Q2297" s="9"/>
      <c r="R2297" s="9"/>
      <c r="S2297" s="9"/>
      <c r="T2297" s="9"/>
    </row>
    <row r="2298" spans="17:20" x14ac:dyDescent="0.25">
      <c r="Q2298" s="14">
        <v>60</v>
      </c>
      <c r="R2298" s="14"/>
      <c r="S2298" s="14"/>
      <c r="T2298" s="14"/>
    </row>
    <row r="2299" spans="17:20" x14ac:dyDescent="0.25">
      <c r="Q2299" s="9" t="s">
        <v>52</v>
      </c>
      <c r="R2299" s="9">
        <v>2</v>
      </c>
      <c r="S2299" s="9">
        <v>2</v>
      </c>
      <c r="T2299" s="9">
        <v>4</v>
      </c>
    </row>
    <row r="2300" spans="17:20" x14ac:dyDescent="0.25">
      <c r="Q2300" s="9" t="s">
        <v>53</v>
      </c>
      <c r="R2300" s="9">
        <v>135</v>
      </c>
      <c r="S2300" s="9">
        <v>131</v>
      </c>
      <c r="T2300" s="9">
        <v>266</v>
      </c>
    </row>
    <row r="2301" spans="17:20" x14ac:dyDescent="0.25">
      <c r="Q2301" s="9" t="s">
        <v>54</v>
      </c>
      <c r="R2301" s="9">
        <v>67.5</v>
      </c>
      <c r="S2301" s="9">
        <v>65.5</v>
      </c>
      <c r="T2301" s="9">
        <v>66.5</v>
      </c>
    </row>
    <row r="2302" spans="17:20" x14ac:dyDescent="0.25">
      <c r="Q2302" s="9" t="s">
        <v>55</v>
      </c>
      <c r="R2302" s="9">
        <v>40.5</v>
      </c>
      <c r="S2302" s="9">
        <v>84.5</v>
      </c>
      <c r="T2302" s="9">
        <v>43</v>
      </c>
    </row>
    <row r="2303" spans="17:20" x14ac:dyDescent="0.25">
      <c r="Q2303" s="9"/>
      <c r="R2303" s="9"/>
      <c r="S2303" s="9"/>
      <c r="T2303" s="9"/>
    </row>
    <row r="2304" spans="17:20" x14ac:dyDescent="0.25">
      <c r="Q2304" s="14">
        <v>58</v>
      </c>
      <c r="R2304" s="14"/>
      <c r="S2304" s="14"/>
      <c r="T2304" s="14"/>
    </row>
    <row r="2305" spans="17:20" x14ac:dyDescent="0.25">
      <c r="Q2305" s="9" t="s">
        <v>52</v>
      </c>
      <c r="R2305" s="9">
        <v>2</v>
      </c>
      <c r="S2305" s="9">
        <v>2</v>
      </c>
      <c r="T2305" s="9">
        <v>4</v>
      </c>
    </row>
    <row r="2306" spans="17:20" x14ac:dyDescent="0.25">
      <c r="Q2306" s="9" t="s">
        <v>53</v>
      </c>
      <c r="R2306" s="9">
        <v>137</v>
      </c>
      <c r="S2306" s="9">
        <v>137</v>
      </c>
      <c r="T2306" s="9">
        <v>274</v>
      </c>
    </row>
    <row r="2307" spans="17:20" x14ac:dyDescent="0.25">
      <c r="Q2307" s="9" t="s">
        <v>54</v>
      </c>
      <c r="R2307" s="9">
        <v>68.5</v>
      </c>
      <c r="S2307" s="9">
        <v>68.5</v>
      </c>
      <c r="T2307" s="9">
        <v>68.5</v>
      </c>
    </row>
    <row r="2308" spans="17:20" x14ac:dyDescent="0.25">
      <c r="Q2308" s="9" t="s">
        <v>55</v>
      </c>
      <c r="R2308" s="9">
        <v>84.5</v>
      </c>
      <c r="S2308" s="9">
        <v>144.5</v>
      </c>
      <c r="T2308" s="9">
        <v>76.333333333333329</v>
      </c>
    </row>
    <row r="2309" spans="17:20" x14ac:dyDescent="0.25">
      <c r="Q2309" s="9"/>
      <c r="R2309" s="9"/>
      <c r="S2309" s="9"/>
      <c r="T2309" s="9"/>
    </row>
    <row r="2310" spans="17:20" x14ac:dyDescent="0.25">
      <c r="Q2310" s="14">
        <v>68</v>
      </c>
      <c r="R2310" s="14"/>
      <c r="S2310" s="14"/>
      <c r="T2310" s="14"/>
    </row>
    <row r="2311" spans="17:20" x14ac:dyDescent="0.25">
      <c r="Q2311" s="9" t="s">
        <v>52</v>
      </c>
      <c r="R2311" s="9">
        <v>2</v>
      </c>
      <c r="S2311" s="9">
        <v>2</v>
      </c>
      <c r="T2311" s="9">
        <v>4</v>
      </c>
    </row>
    <row r="2312" spans="17:20" x14ac:dyDescent="0.25">
      <c r="Q2312" s="9" t="s">
        <v>53</v>
      </c>
      <c r="R2312" s="9">
        <v>131</v>
      </c>
      <c r="S2312" s="9">
        <v>132</v>
      </c>
      <c r="T2312" s="9">
        <v>263</v>
      </c>
    </row>
    <row r="2313" spans="17:20" x14ac:dyDescent="0.25">
      <c r="Q2313" s="9" t="s">
        <v>54</v>
      </c>
      <c r="R2313" s="9">
        <v>65.5</v>
      </c>
      <c r="S2313" s="9">
        <v>66</v>
      </c>
      <c r="T2313" s="9">
        <v>65.75</v>
      </c>
    </row>
    <row r="2314" spans="17:20" x14ac:dyDescent="0.25">
      <c r="Q2314" s="9" t="s">
        <v>55</v>
      </c>
      <c r="R2314" s="9">
        <v>60.5</v>
      </c>
      <c r="S2314" s="9">
        <v>162</v>
      </c>
      <c r="T2314" s="9">
        <v>74.25</v>
      </c>
    </row>
    <row r="2315" spans="17:20" x14ac:dyDescent="0.25">
      <c r="Q2315" s="9"/>
      <c r="R2315" s="9"/>
      <c r="S2315" s="9"/>
      <c r="T2315" s="9"/>
    </row>
    <row r="2316" spans="17:20" x14ac:dyDescent="0.25">
      <c r="Q2316" s="14">
        <v>52</v>
      </c>
      <c r="R2316" s="14"/>
      <c r="S2316" s="14"/>
      <c r="T2316" s="14"/>
    </row>
    <row r="2317" spans="17:20" x14ac:dyDescent="0.25">
      <c r="Q2317" s="9" t="s">
        <v>52</v>
      </c>
      <c r="R2317" s="9">
        <v>2</v>
      </c>
      <c r="S2317" s="9">
        <v>2</v>
      </c>
      <c r="T2317" s="9">
        <v>4</v>
      </c>
    </row>
    <row r="2318" spans="17:20" x14ac:dyDescent="0.25">
      <c r="Q2318" s="9" t="s">
        <v>53</v>
      </c>
      <c r="R2318" s="9">
        <v>121</v>
      </c>
      <c r="S2318" s="9">
        <v>123</v>
      </c>
      <c r="T2318" s="9">
        <v>244</v>
      </c>
    </row>
    <row r="2319" spans="17:20" x14ac:dyDescent="0.25">
      <c r="Q2319" s="9" t="s">
        <v>54</v>
      </c>
      <c r="R2319" s="9">
        <v>60.5</v>
      </c>
      <c r="S2319" s="9">
        <v>61.5</v>
      </c>
      <c r="T2319" s="9">
        <v>61</v>
      </c>
    </row>
    <row r="2320" spans="17:20" x14ac:dyDescent="0.25">
      <c r="Q2320" s="9" t="s">
        <v>55</v>
      </c>
      <c r="R2320" s="9">
        <v>312.5</v>
      </c>
      <c r="S2320" s="9">
        <v>312.5</v>
      </c>
      <c r="T2320" s="9">
        <v>208.66666666666666</v>
      </c>
    </row>
    <row r="2321" spans="17:20" x14ac:dyDescent="0.25">
      <c r="Q2321" s="9"/>
      <c r="R2321" s="9"/>
      <c r="S2321" s="9"/>
      <c r="T2321" s="9"/>
    </row>
    <row r="2322" spans="17:20" x14ac:dyDescent="0.25">
      <c r="Q2322" s="14">
        <v>52</v>
      </c>
      <c r="R2322" s="14"/>
      <c r="S2322" s="14"/>
      <c r="T2322" s="14"/>
    </row>
    <row r="2323" spans="17:20" x14ac:dyDescent="0.25">
      <c r="Q2323" s="9" t="s">
        <v>52</v>
      </c>
      <c r="R2323" s="9">
        <v>2</v>
      </c>
      <c r="S2323" s="9">
        <v>2</v>
      </c>
      <c r="T2323" s="9">
        <v>4</v>
      </c>
    </row>
    <row r="2324" spans="17:20" x14ac:dyDescent="0.25">
      <c r="Q2324" s="9" t="s">
        <v>53</v>
      </c>
      <c r="R2324" s="9">
        <v>145</v>
      </c>
      <c r="S2324" s="9">
        <v>151</v>
      </c>
      <c r="T2324" s="9">
        <v>296</v>
      </c>
    </row>
    <row r="2325" spans="17:20" x14ac:dyDescent="0.25">
      <c r="Q2325" s="9" t="s">
        <v>54</v>
      </c>
      <c r="R2325" s="9">
        <v>72.5</v>
      </c>
      <c r="S2325" s="9">
        <v>75.5</v>
      </c>
      <c r="T2325" s="9">
        <v>74</v>
      </c>
    </row>
    <row r="2326" spans="17:20" x14ac:dyDescent="0.25">
      <c r="Q2326" s="9" t="s">
        <v>55</v>
      </c>
      <c r="R2326" s="9">
        <v>60.5</v>
      </c>
      <c r="S2326" s="9">
        <v>24.5</v>
      </c>
      <c r="T2326" s="9">
        <v>31.333333333333332</v>
      </c>
    </row>
    <row r="2327" spans="17:20" x14ac:dyDescent="0.25">
      <c r="Q2327" s="9"/>
      <c r="R2327" s="9"/>
      <c r="S2327" s="9"/>
      <c r="T2327" s="9"/>
    </row>
    <row r="2328" spans="17:20" x14ac:dyDescent="0.25">
      <c r="Q2328" s="14">
        <v>66</v>
      </c>
      <c r="R2328" s="14"/>
      <c r="S2328" s="14"/>
      <c r="T2328" s="14"/>
    </row>
    <row r="2329" spans="17:20" x14ac:dyDescent="0.25">
      <c r="Q2329" s="9" t="s">
        <v>52</v>
      </c>
      <c r="R2329" s="9">
        <v>2</v>
      </c>
      <c r="S2329" s="9">
        <v>2</v>
      </c>
      <c r="T2329" s="9">
        <v>4</v>
      </c>
    </row>
    <row r="2330" spans="17:20" x14ac:dyDescent="0.25">
      <c r="Q2330" s="9" t="s">
        <v>53</v>
      </c>
      <c r="R2330" s="9">
        <v>123</v>
      </c>
      <c r="S2330" s="9">
        <v>115</v>
      </c>
      <c r="T2330" s="9">
        <v>238</v>
      </c>
    </row>
    <row r="2331" spans="17:20" x14ac:dyDescent="0.25">
      <c r="Q2331" s="9" t="s">
        <v>54</v>
      </c>
      <c r="R2331" s="9">
        <v>61.5</v>
      </c>
      <c r="S2331" s="9">
        <v>57.5</v>
      </c>
      <c r="T2331" s="9">
        <v>59.5</v>
      </c>
    </row>
    <row r="2332" spans="17:20" x14ac:dyDescent="0.25">
      <c r="Q2332" s="9" t="s">
        <v>55</v>
      </c>
      <c r="R2332" s="9">
        <v>24.5</v>
      </c>
      <c r="S2332" s="9">
        <v>12.5</v>
      </c>
      <c r="T2332" s="9">
        <v>17.666666666666668</v>
      </c>
    </row>
    <row r="2333" spans="17:20" x14ac:dyDescent="0.25">
      <c r="Q2333" s="9"/>
      <c r="R2333" s="9"/>
      <c r="S2333" s="9"/>
      <c r="T2333" s="9"/>
    </row>
    <row r="2334" spans="17:20" x14ac:dyDescent="0.25">
      <c r="Q2334" s="14">
        <v>66</v>
      </c>
      <c r="R2334" s="14"/>
      <c r="S2334" s="14"/>
      <c r="T2334" s="14"/>
    </row>
    <row r="2335" spans="17:20" x14ac:dyDescent="0.25">
      <c r="Q2335" s="9" t="s">
        <v>52</v>
      </c>
      <c r="R2335" s="9">
        <v>2</v>
      </c>
      <c r="S2335" s="9">
        <v>2</v>
      </c>
      <c r="T2335" s="9">
        <v>4</v>
      </c>
    </row>
    <row r="2336" spans="17:20" x14ac:dyDescent="0.25">
      <c r="Q2336" s="9" t="s">
        <v>53</v>
      </c>
      <c r="R2336" s="9">
        <v>116</v>
      </c>
      <c r="S2336" s="9">
        <v>113</v>
      </c>
      <c r="T2336" s="9">
        <v>229</v>
      </c>
    </row>
    <row r="2337" spans="17:20" x14ac:dyDescent="0.25">
      <c r="Q2337" s="9" t="s">
        <v>54</v>
      </c>
      <c r="R2337" s="9">
        <v>58</v>
      </c>
      <c r="S2337" s="9">
        <v>56.5</v>
      </c>
      <c r="T2337" s="9">
        <v>57.25</v>
      </c>
    </row>
    <row r="2338" spans="17:20" x14ac:dyDescent="0.25">
      <c r="Q2338" s="9" t="s">
        <v>55</v>
      </c>
      <c r="R2338" s="9">
        <v>392</v>
      </c>
      <c r="S2338" s="9">
        <v>364.5</v>
      </c>
      <c r="T2338" s="9">
        <v>252.91666666666666</v>
      </c>
    </row>
    <row r="2339" spans="17:20" x14ac:dyDescent="0.25">
      <c r="Q2339" s="9"/>
      <c r="R2339" s="9"/>
      <c r="S2339" s="9"/>
      <c r="T2339" s="9"/>
    </row>
    <row r="2340" spans="17:20" x14ac:dyDescent="0.25">
      <c r="Q2340" s="14">
        <v>72</v>
      </c>
      <c r="R2340" s="14"/>
      <c r="S2340" s="14"/>
      <c r="T2340" s="14"/>
    </row>
    <row r="2341" spans="17:20" x14ac:dyDescent="0.25">
      <c r="Q2341" s="9" t="s">
        <v>52</v>
      </c>
      <c r="R2341" s="9">
        <v>2</v>
      </c>
      <c r="S2341" s="9">
        <v>2</v>
      </c>
      <c r="T2341" s="9">
        <v>4</v>
      </c>
    </row>
    <row r="2342" spans="17:20" x14ac:dyDescent="0.25">
      <c r="Q2342" s="9" t="s">
        <v>53</v>
      </c>
      <c r="R2342" s="9">
        <v>164</v>
      </c>
      <c r="S2342" s="9">
        <v>164</v>
      </c>
      <c r="T2342" s="9">
        <v>328</v>
      </c>
    </row>
    <row r="2343" spans="17:20" x14ac:dyDescent="0.25">
      <c r="Q2343" s="9" t="s">
        <v>54</v>
      </c>
      <c r="R2343" s="9">
        <v>82</v>
      </c>
      <c r="S2343" s="9">
        <v>82</v>
      </c>
      <c r="T2343" s="9">
        <v>82</v>
      </c>
    </row>
    <row r="2344" spans="17:20" x14ac:dyDescent="0.25">
      <c r="Q2344" s="9" t="s">
        <v>55</v>
      </c>
      <c r="R2344" s="9">
        <v>18</v>
      </c>
      <c r="S2344" s="9">
        <v>0</v>
      </c>
      <c r="T2344" s="9">
        <v>6</v>
      </c>
    </row>
    <row r="2345" spans="17:20" x14ac:dyDescent="0.25">
      <c r="Q2345" s="9"/>
      <c r="R2345" s="9"/>
      <c r="S2345" s="9"/>
      <c r="T2345" s="9"/>
    </row>
    <row r="2346" spans="17:20" x14ac:dyDescent="0.25">
      <c r="Q2346" s="14">
        <v>46</v>
      </c>
      <c r="R2346" s="14"/>
      <c r="S2346" s="14"/>
      <c r="T2346" s="14"/>
    </row>
    <row r="2347" spans="17:20" x14ac:dyDescent="0.25">
      <c r="Q2347" s="9" t="s">
        <v>52</v>
      </c>
      <c r="R2347" s="9">
        <v>2</v>
      </c>
      <c r="S2347" s="9">
        <v>2</v>
      </c>
      <c r="T2347" s="9">
        <v>4</v>
      </c>
    </row>
    <row r="2348" spans="17:20" x14ac:dyDescent="0.25">
      <c r="Q2348" s="9" t="s">
        <v>53</v>
      </c>
      <c r="R2348" s="9">
        <v>146</v>
      </c>
      <c r="S2348" s="9">
        <v>141</v>
      </c>
      <c r="T2348" s="9">
        <v>287</v>
      </c>
    </row>
    <row r="2349" spans="17:20" x14ac:dyDescent="0.25">
      <c r="Q2349" s="9" t="s">
        <v>54</v>
      </c>
      <c r="R2349" s="9">
        <v>73</v>
      </c>
      <c r="S2349" s="9">
        <v>70.5</v>
      </c>
      <c r="T2349" s="9">
        <v>71.75</v>
      </c>
    </row>
    <row r="2350" spans="17:20" x14ac:dyDescent="0.25">
      <c r="Q2350" s="9" t="s">
        <v>55</v>
      </c>
      <c r="R2350" s="9">
        <v>578</v>
      </c>
      <c r="S2350" s="9">
        <v>364.5</v>
      </c>
      <c r="T2350" s="9">
        <v>316.25</v>
      </c>
    </row>
    <row r="2351" spans="17:20" x14ac:dyDescent="0.25">
      <c r="Q2351" s="9"/>
      <c r="R2351" s="9"/>
      <c r="S2351" s="9"/>
      <c r="T2351" s="9"/>
    </row>
    <row r="2352" spans="17:20" x14ac:dyDescent="0.25">
      <c r="Q2352" s="14">
        <v>76</v>
      </c>
      <c r="R2352" s="14"/>
      <c r="S2352" s="14"/>
      <c r="T2352" s="14"/>
    </row>
    <row r="2353" spans="17:20" x14ac:dyDescent="0.25">
      <c r="Q2353" s="9" t="s">
        <v>52</v>
      </c>
      <c r="R2353" s="9">
        <v>2</v>
      </c>
      <c r="S2353" s="9">
        <v>2</v>
      </c>
      <c r="T2353" s="9">
        <v>4</v>
      </c>
    </row>
    <row r="2354" spans="17:20" x14ac:dyDescent="0.25">
      <c r="Q2354" s="9" t="s">
        <v>53</v>
      </c>
      <c r="R2354" s="9">
        <v>144</v>
      </c>
      <c r="S2354" s="9">
        <v>144</v>
      </c>
      <c r="T2354" s="9">
        <v>288</v>
      </c>
    </row>
    <row r="2355" spans="17:20" x14ac:dyDescent="0.25">
      <c r="Q2355" s="9" t="s">
        <v>54</v>
      </c>
      <c r="R2355" s="9">
        <v>72</v>
      </c>
      <c r="S2355" s="9">
        <v>72</v>
      </c>
      <c r="T2355" s="9">
        <v>72</v>
      </c>
    </row>
    <row r="2356" spans="17:20" x14ac:dyDescent="0.25">
      <c r="Q2356" s="9" t="s">
        <v>55</v>
      </c>
      <c r="R2356" s="9">
        <v>338</v>
      </c>
      <c r="S2356" s="9">
        <v>200</v>
      </c>
      <c r="T2356" s="9">
        <v>179.33333333333334</v>
      </c>
    </row>
    <row r="2357" spans="17:20" x14ac:dyDescent="0.25">
      <c r="Q2357" s="9"/>
      <c r="R2357" s="9"/>
      <c r="S2357" s="9"/>
      <c r="T2357" s="9"/>
    </row>
    <row r="2358" spans="17:20" x14ac:dyDescent="0.25">
      <c r="Q2358" s="14">
        <v>91</v>
      </c>
      <c r="R2358" s="14"/>
      <c r="S2358" s="14"/>
      <c r="T2358" s="14"/>
    </row>
    <row r="2359" spans="17:20" x14ac:dyDescent="0.25">
      <c r="Q2359" s="9" t="s">
        <v>52</v>
      </c>
      <c r="R2359" s="9">
        <v>2</v>
      </c>
      <c r="S2359" s="9">
        <v>2</v>
      </c>
      <c r="T2359" s="9">
        <v>4</v>
      </c>
    </row>
    <row r="2360" spans="17:20" x14ac:dyDescent="0.25">
      <c r="Q2360" s="9" t="s">
        <v>53</v>
      </c>
      <c r="R2360" s="9">
        <v>132</v>
      </c>
      <c r="S2360" s="9">
        <v>123</v>
      </c>
      <c r="T2360" s="9">
        <v>255</v>
      </c>
    </row>
    <row r="2361" spans="17:20" x14ac:dyDescent="0.25">
      <c r="Q2361" s="9" t="s">
        <v>54</v>
      </c>
      <c r="R2361" s="9">
        <v>66</v>
      </c>
      <c r="S2361" s="9">
        <v>61.5</v>
      </c>
      <c r="T2361" s="9">
        <v>63.75</v>
      </c>
    </row>
    <row r="2362" spans="17:20" x14ac:dyDescent="0.25">
      <c r="Q2362" s="9" t="s">
        <v>55</v>
      </c>
      <c r="R2362" s="9">
        <v>450</v>
      </c>
      <c r="S2362" s="9">
        <v>612.5</v>
      </c>
      <c r="T2362" s="9">
        <v>360.91666666666669</v>
      </c>
    </row>
    <row r="2363" spans="17:20" x14ac:dyDescent="0.25">
      <c r="Q2363" s="9"/>
      <c r="R2363" s="9"/>
      <c r="S2363" s="9"/>
      <c r="T2363" s="9"/>
    </row>
    <row r="2364" spans="17:20" x14ac:dyDescent="0.25">
      <c r="Q2364" s="14">
        <v>72</v>
      </c>
      <c r="R2364" s="14"/>
      <c r="S2364" s="14"/>
      <c r="T2364" s="14"/>
    </row>
    <row r="2365" spans="17:20" x14ac:dyDescent="0.25">
      <c r="Q2365" s="9" t="s">
        <v>52</v>
      </c>
      <c r="R2365" s="9">
        <v>2</v>
      </c>
      <c r="S2365" s="9">
        <v>2</v>
      </c>
      <c r="T2365" s="9">
        <v>4</v>
      </c>
    </row>
    <row r="2366" spans="17:20" x14ac:dyDescent="0.25">
      <c r="Q2366" s="9" t="s">
        <v>53</v>
      </c>
      <c r="R2366" s="9">
        <v>117</v>
      </c>
      <c r="S2366" s="9">
        <v>109</v>
      </c>
      <c r="T2366" s="9">
        <v>226</v>
      </c>
    </row>
    <row r="2367" spans="17:20" x14ac:dyDescent="0.25">
      <c r="Q2367" s="9" t="s">
        <v>54</v>
      </c>
      <c r="R2367" s="9">
        <v>58.5</v>
      </c>
      <c r="S2367" s="9">
        <v>54.5</v>
      </c>
      <c r="T2367" s="9">
        <v>56.5</v>
      </c>
    </row>
    <row r="2368" spans="17:20" x14ac:dyDescent="0.25">
      <c r="Q2368" s="9" t="s">
        <v>55</v>
      </c>
      <c r="R2368" s="9">
        <v>840.5</v>
      </c>
      <c r="S2368" s="9">
        <v>1012.5</v>
      </c>
      <c r="T2368" s="9">
        <v>623</v>
      </c>
    </row>
    <row r="2369" spans="17:20" x14ac:dyDescent="0.25">
      <c r="Q2369" s="9"/>
      <c r="R2369" s="9"/>
      <c r="S2369" s="9"/>
      <c r="T2369" s="9"/>
    </row>
    <row r="2370" spans="17:20" x14ac:dyDescent="0.25">
      <c r="Q2370" s="14">
        <v>68</v>
      </c>
      <c r="R2370" s="14"/>
      <c r="S2370" s="14"/>
      <c r="T2370" s="14"/>
    </row>
    <row r="2371" spans="17:20" x14ac:dyDescent="0.25">
      <c r="Q2371" s="9" t="s">
        <v>52</v>
      </c>
      <c r="R2371" s="9">
        <v>2</v>
      </c>
      <c r="S2371" s="9">
        <v>2</v>
      </c>
      <c r="T2371" s="9">
        <v>4</v>
      </c>
    </row>
    <row r="2372" spans="17:20" x14ac:dyDescent="0.25">
      <c r="Q2372" s="9" t="s">
        <v>53</v>
      </c>
      <c r="R2372" s="9">
        <v>130</v>
      </c>
      <c r="S2372" s="9">
        <v>122</v>
      </c>
      <c r="T2372" s="9">
        <v>252</v>
      </c>
    </row>
    <row r="2373" spans="17:20" x14ac:dyDescent="0.25">
      <c r="Q2373" s="9" t="s">
        <v>54</v>
      </c>
      <c r="R2373" s="9">
        <v>65</v>
      </c>
      <c r="S2373" s="9">
        <v>61</v>
      </c>
      <c r="T2373" s="9">
        <v>63</v>
      </c>
    </row>
    <row r="2374" spans="17:20" x14ac:dyDescent="0.25">
      <c r="Q2374" s="9" t="s">
        <v>55</v>
      </c>
      <c r="R2374" s="9">
        <v>0</v>
      </c>
      <c r="S2374" s="9">
        <v>0</v>
      </c>
      <c r="T2374" s="9">
        <v>5.333333333333333</v>
      </c>
    </row>
    <row r="2375" spans="17:20" x14ac:dyDescent="0.25">
      <c r="Q2375" s="9"/>
      <c r="R2375" s="9"/>
      <c r="S2375" s="9"/>
      <c r="T2375" s="9"/>
    </row>
    <row r="2376" spans="17:20" x14ac:dyDescent="0.25">
      <c r="Q2376" s="14">
        <v>48</v>
      </c>
      <c r="R2376" s="14"/>
      <c r="S2376" s="14"/>
      <c r="T2376" s="14"/>
    </row>
    <row r="2377" spans="17:20" x14ac:dyDescent="0.25">
      <c r="Q2377" s="9" t="s">
        <v>52</v>
      </c>
      <c r="R2377" s="9">
        <v>2</v>
      </c>
      <c r="S2377" s="9">
        <v>2</v>
      </c>
      <c r="T2377" s="9">
        <v>4</v>
      </c>
    </row>
    <row r="2378" spans="17:20" x14ac:dyDescent="0.25">
      <c r="Q2378" s="9" t="s">
        <v>53</v>
      </c>
      <c r="R2378" s="9">
        <v>128</v>
      </c>
      <c r="S2378" s="9">
        <v>130</v>
      </c>
      <c r="T2378" s="9">
        <v>258</v>
      </c>
    </row>
    <row r="2379" spans="17:20" x14ac:dyDescent="0.25">
      <c r="Q2379" s="9" t="s">
        <v>54</v>
      </c>
      <c r="R2379" s="9">
        <v>64</v>
      </c>
      <c r="S2379" s="9">
        <v>65</v>
      </c>
      <c r="T2379" s="9">
        <v>64.5</v>
      </c>
    </row>
    <row r="2380" spans="17:20" x14ac:dyDescent="0.25">
      <c r="Q2380" s="9" t="s">
        <v>55</v>
      </c>
      <c r="R2380" s="9">
        <v>8</v>
      </c>
      <c r="S2380" s="9">
        <v>50</v>
      </c>
      <c r="T2380" s="9">
        <v>19.666666666666668</v>
      </c>
    </row>
    <row r="2381" spans="17:20" x14ac:dyDescent="0.25">
      <c r="Q2381" s="9"/>
      <c r="R2381" s="9"/>
      <c r="S2381" s="9"/>
      <c r="T2381" s="9"/>
    </row>
    <row r="2382" spans="17:20" x14ac:dyDescent="0.25">
      <c r="Q2382" s="14">
        <v>66</v>
      </c>
      <c r="R2382" s="14"/>
      <c r="S2382" s="14"/>
      <c r="T2382" s="14"/>
    </row>
    <row r="2383" spans="17:20" x14ac:dyDescent="0.25">
      <c r="Q2383" s="9" t="s">
        <v>52</v>
      </c>
      <c r="R2383" s="9">
        <v>2</v>
      </c>
      <c r="S2383" s="9">
        <v>2</v>
      </c>
      <c r="T2383" s="9">
        <v>4</v>
      </c>
    </row>
    <row r="2384" spans="17:20" x14ac:dyDescent="0.25">
      <c r="Q2384" s="9" t="s">
        <v>53</v>
      </c>
      <c r="R2384" s="9">
        <v>158</v>
      </c>
      <c r="S2384" s="9">
        <v>146</v>
      </c>
      <c r="T2384" s="9">
        <v>304</v>
      </c>
    </row>
    <row r="2385" spans="17:20" x14ac:dyDescent="0.25">
      <c r="Q2385" s="9" t="s">
        <v>54</v>
      </c>
      <c r="R2385" s="9">
        <v>79</v>
      </c>
      <c r="S2385" s="9">
        <v>73</v>
      </c>
      <c r="T2385" s="9">
        <v>76</v>
      </c>
    </row>
    <row r="2386" spans="17:20" x14ac:dyDescent="0.25">
      <c r="Q2386" s="9" t="s">
        <v>55</v>
      </c>
      <c r="R2386" s="9">
        <v>50</v>
      </c>
      <c r="S2386" s="9">
        <v>32</v>
      </c>
      <c r="T2386" s="9">
        <v>39.333333333333336</v>
      </c>
    </row>
    <row r="2387" spans="17:20" x14ac:dyDescent="0.25">
      <c r="Q2387" s="9"/>
      <c r="R2387" s="9"/>
      <c r="S2387" s="9"/>
      <c r="T2387" s="9"/>
    </row>
    <row r="2388" spans="17:20" x14ac:dyDescent="0.25">
      <c r="Q2388" s="14">
        <v>42</v>
      </c>
      <c r="R2388" s="14"/>
      <c r="S2388" s="14"/>
      <c r="T2388" s="14"/>
    </row>
    <row r="2389" spans="17:20" x14ac:dyDescent="0.25">
      <c r="Q2389" s="9" t="s">
        <v>52</v>
      </c>
      <c r="R2389" s="9">
        <v>2</v>
      </c>
      <c r="S2389" s="9">
        <v>2</v>
      </c>
      <c r="T2389" s="9">
        <v>4</v>
      </c>
    </row>
    <row r="2390" spans="17:20" x14ac:dyDescent="0.25">
      <c r="Q2390" s="9" t="s">
        <v>53</v>
      </c>
      <c r="R2390" s="9">
        <v>120</v>
      </c>
      <c r="S2390" s="9">
        <v>124</v>
      </c>
      <c r="T2390" s="9">
        <v>244</v>
      </c>
    </row>
    <row r="2391" spans="17:20" x14ac:dyDescent="0.25">
      <c r="Q2391" s="9" t="s">
        <v>54</v>
      </c>
      <c r="R2391" s="9">
        <v>60</v>
      </c>
      <c r="S2391" s="9">
        <v>62</v>
      </c>
      <c r="T2391" s="9">
        <v>61</v>
      </c>
    </row>
    <row r="2392" spans="17:20" x14ac:dyDescent="0.25">
      <c r="Q2392" s="9" t="s">
        <v>55</v>
      </c>
      <c r="R2392" s="9">
        <v>128</v>
      </c>
      <c r="S2392" s="9">
        <v>242</v>
      </c>
      <c r="T2392" s="9">
        <v>124.66666666666667</v>
      </c>
    </row>
    <row r="2393" spans="17:20" x14ac:dyDescent="0.25">
      <c r="Q2393" s="9"/>
      <c r="R2393" s="9"/>
      <c r="S2393" s="9"/>
      <c r="T2393" s="9"/>
    </row>
    <row r="2394" spans="17:20" x14ac:dyDescent="0.25">
      <c r="Q2394" s="14">
        <v>70</v>
      </c>
      <c r="R2394" s="14"/>
      <c r="S2394" s="14"/>
      <c r="T2394" s="14"/>
    </row>
    <row r="2395" spans="17:20" x14ac:dyDescent="0.25">
      <c r="Q2395" s="9" t="s">
        <v>52</v>
      </c>
      <c r="R2395" s="9">
        <v>2</v>
      </c>
      <c r="S2395" s="9">
        <v>2</v>
      </c>
      <c r="T2395" s="9">
        <v>4</v>
      </c>
    </row>
    <row r="2396" spans="17:20" x14ac:dyDescent="0.25">
      <c r="Q2396" s="9" t="s">
        <v>53</v>
      </c>
      <c r="R2396" s="9">
        <v>154</v>
      </c>
      <c r="S2396" s="9">
        <v>151</v>
      </c>
      <c r="T2396" s="9">
        <v>305</v>
      </c>
    </row>
    <row r="2397" spans="17:20" x14ac:dyDescent="0.25">
      <c r="Q2397" s="9" t="s">
        <v>54</v>
      </c>
      <c r="R2397" s="9">
        <v>77</v>
      </c>
      <c r="S2397" s="9">
        <v>75.5</v>
      </c>
      <c r="T2397" s="9">
        <v>76.25</v>
      </c>
    </row>
    <row r="2398" spans="17:20" x14ac:dyDescent="0.25">
      <c r="Q2398" s="9" t="s">
        <v>55</v>
      </c>
      <c r="R2398" s="9">
        <v>98</v>
      </c>
      <c r="S2398" s="9">
        <v>60.5</v>
      </c>
      <c r="T2398" s="9">
        <v>53.583333333333336</v>
      </c>
    </row>
    <row r="2399" spans="17:20" x14ac:dyDescent="0.25">
      <c r="Q2399" s="9"/>
      <c r="R2399" s="9"/>
      <c r="S2399" s="9"/>
      <c r="T2399" s="9"/>
    </row>
    <row r="2400" spans="17:20" x14ac:dyDescent="0.25">
      <c r="Q2400" s="14">
        <v>69</v>
      </c>
      <c r="R2400" s="14"/>
      <c r="S2400" s="14"/>
      <c r="T2400" s="14"/>
    </row>
    <row r="2401" spans="17:20" x14ac:dyDescent="0.25">
      <c r="Q2401" s="9" t="s">
        <v>52</v>
      </c>
      <c r="R2401" s="9">
        <v>2</v>
      </c>
      <c r="S2401" s="9">
        <v>2</v>
      </c>
      <c r="T2401" s="9">
        <v>4</v>
      </c>
    </row>
    <row r="2402" spans="17:20" x14ac:dyDescent="0.25">
      <c r="Q2402" s="9" t="s">
        <v>53</v>
      </c>
      <c r="R2402" s="9">
        <v>115</v>
      </c>
      <c r="S2402" s="9">
        <v>111</v>
      </c>
      <c r="T2402" s="9">
        <v>226</v>
      </c>
    </row>
    <row r="2403" spans="17:20" x14ac:dyDescent="0.25">
      <c r="Q2403" s="9" t="s">
        <v>54</v>
      </c>
      <c r="R2403" s="9">
        <v>57.5</v>
      </c>
      <c r="S2403" s="9">
        <v>55.5</v>
      </c>
      <c r="T2403" s="9">
        <v>56.5</v>
      </c>
    </row>
    <row r="2404" spans="17:20" x14ac:dyDescent="0.25">
      <c r="Q2404" s="9" t="s">
        <v>55</v>
      </c>
      <c r="R2404" s="9">
        <v>12.5</v>
      </c>
      <c r="S2404" s="9">
        <v>4.5</v>
      </c>
      <c r="T2404" s="9">
        <v>7</v>
      </c>
    </row>
    <row r="2405" spans="17:20" x14ac:dyDescent="0.25">
      <c r="Q2405" s="9"/>
      <c r="R2405" s="9"/>
      <c r="S2405" s="9"/>
      <c r="T2405" s="9"/>
    </row>
    <row r="2406" spans="17:20" x14ac:dyDescent="0.25">
      <c r="Q2406" s="14">
        <v>67</v>
      </c>
      <c r="R2406" s="14"/>
      <c r="S2406" s="14"/>
      <c r="T2406" s="14"/>
    </row>
    <row r="2407" spans="17:20" x14ac:dyDescent="0.25">
      <c r="Q2407" s="9" t="s">
        <v>52</v>
      </c>
      <c r="R2407" s="9">
        <v>2</v>
      </c>
      <c r="S2407" s="9">
        <v>2</v>
      </c>
      <c r="T2407" s="9">
        <v>4</v>
      </c>
    </row>
    <row r="2408" spans="17:20" x14ac:dyDescent="0.25">
      <c r="Q2408" s="9" t="s">
        <v>53</v>
      </c>
      <c r="R2408" s="9">
        <v>153</v>
      </c>
      <c r="S2408" s="9">
        <v>141</v>
      </c>
      <c r="T2408" s="9">
        <v>294</v>
      </c>
    </row>
    <row r="2409" spans="17:20" x14ac:dyDescent="0.25">
      <c r="Q2409" s="9" t="s">
        <v>54</v>
      </c>
      <c r="R2409" s="9">
        <v>76.5</v>
      </c>
      <c r="S2409" s="9">
        <v>70.5</v>
      </c>
      <c r="T2409" s="9">
        <v>73.5</v>
      </c>
    </row>
    <row r="2410" spans="17:20" x14ac:dyDescent="0.25">
      <c r="Q2410" s="9" t="s">
        <v>55</v>
      </c>
      <c r="R2410" s="9">
        <v>24.5</v>
      </c>
      <c r="S2410" s="9">
        <v>12.5</v>
      </c>
      <c r="T2410" s="9">
        <v>24.333333333333332</v>
      </c>
    </row>
    <row r="2411" spans="17:20" x14ac:dyDescent="0.25">
      <c r="Q2411" s="9"/>
      <c r="R2411" s="9"/>
      <c r="S2411" s="9"/>
      <c r="T2411" s="9"/>
    </row>
    <row r="2412" spans="17:20" x14ac:dyDescent="0.25">
      <c r="Q2412" s="14">
        <v>87</v>
      </c>
      <c r="R2412" s="14"/>
      <c r="S2412" s="14"/>
      <c r="T2412" s="14"/>
    </row>
    <row r="2413" spans="17:20" x14ac:dyDescent="0.25">
      <c r="Q2413" s="9" t="s">
        <v>52</v>
      </c>
      <c r="R2413" s="9">
        <v>2</v>
      </c>
      <c r="S2413" s="9">
        <v>2</v>
      </c>
      <c r="T2413" s="9">
        <v>4</v>
      </c>
    </row>
    <row r="2414" spans="17:20" x14ac:dyDescent="0.25">
      <c r="Q2414" s="9" t="s">
        <v>53</v>
      </c>
      <c r="R2414" s="9">
        <v>179</v>
      </c>
      <c r="S2414" s="9">
        <v>182</v>
      </c>
      <c r="T2414" s="9">
        <v>361</v>
      </c>
    </row>
    <row r="2415" spans="17:20" x14ac:dyDescent="0.25">
      <c r="Q2415" s="9" t="s">
        <v>54</v>
      </c>
      <c r="R2415" s="9">
        <v>89.5</v>
      </c>
      <c r="S2415" s="9">
        <v>91</v>
      </c>
      <c r="T2415" s="9">
        <v>90.25</v>
      </c>
    </row>
    <row r="2416" spans="17:20" x14ac:dyDescent="0.25">
      <c r="Q2416" s="9" t="s">
        <v>55</v>
      </c>
      <c r="R2416" s="9">
        <v>40.5</v>
      </c>
      <c r="S2416" s="9">
        <v>32</v>
      </c>
      <c r="T2416" s="9">
        <v>24.916666666666668</v>
      </c>
    </row>
    <row r="2417" spans="17:20" x14ac:dyDescent="0.25">
      <c r="Q2417" s="9"/>
      <c r="R2417" s="9"/>
      <c r="S2417" s="9"/>
      <c r="T2417" s="9"/>
    </row>
    <row r="2418" spans="17:20" x14ac:dyDescent="0.25">
      <c r="Q2418" s="14">
        <v>73</v>
      </c>
      <c r="R2418" s="14"/>
      <c r="S2418" s="14"/>
      <c r="T2418" s="14"/>
    </row>
    <row r="2419" spans="17:20" x14ac:dyDescent="0.25">
      <c r="Q2419" s="9" t="s">
        <v>52</v>
      </c>
      <c r="R2419" s="9">
        <v>2</v>
      </c>
      <c r="S2419" s="9">
        <v>2</v>
      </c>
      <c r="T2419" s="9">
        <v>4</v>
      </c>
    </row>
    <row r="2420" spans="17:20" x14ac:dyDescent="0.25">
      <c r="Q2420" s="9" t="s">
        <v>53</v>
      </c>
      <c r="R2420" s="9">
        <v>157</v>
      </c>
      <c r="S2420" s="9">
        <v>152</v>
      </c>
      <c r="T2420" s="9">
        <v>309</v>
      </c>
    </row>
    <row r="2421" spans="17:20" x14ac:dyDescent="0.25">
      <c r="Q2421" s="9" t="s">
        <v>54</v>
      </c>
      <c r="R2421" s="9">
        <v>78.5</v>
      </c>
      <c r="S2421" s="9">
        <v>76</v>
      </c>
      <c r="T2421" s="9">
        <v>77.25</v>
      </c>
    </row>
    <row r="2422" spans="17:20" x14ac:dyDescent="0.25">
      <c r="Q2422" s="9" t="s">
        <v>55</v>
      </c>
      <c r="R2422" s="9">
        <v>12.5</v>
      </c>
      <c r="S2422" s="9">
        <v>8</v>
      </c>
      <c r="T2422" s="9">
        <v>8.9166666666666661</v>
      </c>
    </row>
    <row r="2423" spans="17:20" x14ac:dyDescent="0.25">
      <c r="Q2423" s="9"/>
      <c r="R2423" s="9"/>
      <c r="S2423" s="9"/>
      <c r="T2423" s="9"/>
    </row>
    <row r="2424" spans="17:20" x14ac:dyDescent="0.25">
      <c r="Q2424" s="14">
        <v>64</v>
      </c>
      <c r="R2424" s="14"/>
      <c r="S2424" s="14"/>
      <c r="T2424" s="14"/>
    </row>
    <row r="2425" spans="17:20" x14ac:dyDescent="0.25">
      <c r="Q2425" s="9" t="s">
        <v>52</v>
      </c>
      <c r="R2425" s="9">
        <v>2</v>
      </c>
      <c r="S2425" s="9">
        <v>2</v>
      </c>
      <c r="T2425" s="9">
        <v>4</v>
      </c>
    </row>
    <row r="2426" spans="17:20" x14ac:dyDescent="0.25">
      <c r="Q2426" s="9" t="s">
        <v>53</v>
      </c>
      <c r="R2426" s="9">
        <v>119</v>
      </c>
      <c r="S2426" s="9">
        <v>115</v>
      </c>
      <c r="T2426" s="9">
        <v>234</v>
      </c>
    </row>
    <row r="2427" spans="17:20" x14ac:dyDescent="0.25">
      <c r="Q2427" s="9" t="s">
        <v>54</v>
      </c>
      <c r="R2427" s="9">
        <v>59.5</v>
      </c>
      <c r="S2427" s="9">
        <v>57.5</v>
      </c>
      <c r="T2427" s="9">
        <v>58.5</v>
      </c>
    </row>
    <row r="2428" spans="17:20" x14ac:dyDescent="0.25">
      <c r="Q2428" s="9" t="s">
        <v>55</v>
      </c>
      <c r="R2428" s="9">
        <v>420.5</v>
      </c>
      <c r="S2428" s="9">
        <v>612.5</v>
      </c>
      <c r="T2428" s="9">
        <v>345.66666666666669</v>
      </c>
    </row>
    <row r="2429" spans="17:20" x14ac:dyDescent="0.25">
      <c r="Q2429" s="9"/>
      <c r="R2429" s="9"/>
      <c r="S2429" s="9"/>
      <c r="T2429" s="9"/>
    </row>
    <row r="2430" spans="17:20" x14ac:dyDescent="0.25">
      <c r="Q2430" s="14">
        <v>90</v>
      </c>
      <c r="R2430" s="14"/>
      <c r="S2430" s="14"/>
      <c r="T2430" s="14"/>
    </row>
    <row r="2431" spans="17:20" x14ac:dyDescent="0.25">
      <c r="Q2431" s="9" t="s">
        <v>52</v>
      </c>
      <c r="R2431" s="9">
        <v>2</v>
      </c>
      <c r="S2431" s="9">
        <v>2</v>
      </c>
      <c r="T2431" s="9">
        <v>4</v>
      </c>
    </row>
    <row r="2432" spans="17:20" x14ac:dyDescent="0.25">
      <c r="Q2432" s="9" t="s">
        <v>53</v>
      </c>
      <c r="R2432" s="9">
        <v>129</v>
      </c>
      <c r="S2432" s="9">
        <v>120</v>
      </c>
      <c r="T2432" s="9">
        <v>249</v>
      </c>
    </row>
    <row r="2433" spans="17:20" x14ac:dyDescent="0.25">
      <c r="Q2433" s="9" t="s">
        <v>54</v>
      </c>
      <c r="R2433" s="9">
        <v>64.5</v>
      </c>
      <c r="S2433" s="9">
        <v>60</v>
      </c>
      <c r="T2433" s="9">
        <v>62.25</v>
      </c>
    </row>
    <row r="2434" spans="17:20" x14ac:dyDescent="0.25">
      <c r="Q2434" s="9" t="s">
        <v>55</v>
      </c>
      <c r="R2434" s="9">
        <v>220.5</v>
      </c>
      <c r="S2434" s="9">
        <v>162</v>
      </c>
      <c r="T2434" s="9">
        <v>134.25</v>
      </c>
    </row>
    <row r="2435" spans="17:20" x14ac:dyDescent="0.25">
      <c r="Q2435" s="9"/>
      <c r="R2435" s="9"/>
      <c r="S2435" s="9"/>
      <c r="T2435" s="9"/>
    </row>
    <row r="2436" spans="17:20" x14ac:dyDescent="0.25">
      <c r="Q2436" s="14">
        <v>51</v>
      </c>
      <c r="R2436" s="14"/>
      <c r="S2436" s="14"/>
      <c r="T2436" s="14"/>
    </row>
    <row r="2437" spans="17:20" x14ac:dyDescent="0.25">
      <c r="Q2437" s="9" t="s">
        <v>52</v>
      </c>
      <c r="R2437" s="9">
        <v>2</v>
      </c>
      <c r="S2437" s="9">
        <v>2</v>
      </c>
      <c r="T2437" s="9">
        <v>4</v>
      </c>
    </row>
    <row r="2438" spans="17:20" x14ac:dyDescent="0.25">
      <c r="Q2438" s="9" t="s">
        <v>53</v>
      </c>
      <c r="R2438" s="9">
        <v>78</v>
      </c>
      <c r="S2438" s="9">
        <v>85</v>
      </c>
      <c r="T2438" s="9">
        <v>163</v>
      </c>
    </row>
    <row r="2439" spans="17:20" x14ac:dyDescent="0.25">
      <c r="Q2439" s="9" t="s">
        <v>54</v>
      </c>
      <c r="R2439" s="9">
        <v>39</v>
      </c>
      <c r="S2439" s="9">
        <v>42.5</v>
      </c>
      <c r="T2439" s="9">
        <v>40.75</v>
      </c>
    </row>
    <row r="2440" spans="17:20" x14ac:dyDescent="0.25">
      <c r="Q2440" s="9" t="s">
        <v>55</v>
      </c>
      <c r="R2440" s="9">
        <v>128</v>
      </c>
      <c r="S2440" s="9">
        <v>84.5</v>
      </c>
      <c r="T2440" s="9">
        <v>74.916666666666671</v>
      </c>
    </row>
    <row r="2441" spans="17:20" x14ac:dyDescent="0.25">
      <c r="Q2441" s="9"/>
      <c r="R2441" s="9"/>
      <c r="S2441" s="9"/>
      <c r="T2441" s="9"/>
    </row>
    <row r="2442" spans="17:20" x14ac:dyDescent="0.25">
      <c r="Q2442" s="14">
        <v>54</v>
      </c>
      <c r="R2442" s="14"/>
      <c r="S2442" s="14"/>
      <c r="T2442" s="14"/>
    </row>
    <row r="2443" spans="17:20" x14ac:dyDescent="0.25">
      <c r="Q2443" s="9" t="s">
        <v>52</v>
      </c>
      <c r="R2443" s="9">
        <v>2</v>
      </c>
      <c r="S2443" s="9">
        <v>2</v>
      </c>
      <c r="T2443" s="9">
        <v>4</v>
      </c>
    </row>
    <row r="2444" spans="17:20" x14ac:dyDescent="0.25">
      <c r="Q2444" s="9" t="s">
        <v>53</v>
      </c>
      <c r="R2444" s="9">
        <v>148</v>
      </c>
      <c r="S2444" s="9">
        <v>143</v>
      </c>
      <c r="T2444" s="9">
        <v>291</v>
      </c>
    </row>
    <row r="2445" spans="17:20" x14ac:dyDescent="0.25">
      <c r="Q2445" s="9" t="s">
        <v>54</v>
      </c>
      <c r="R2445" s="9">
        <v>74</v>
      </c>
      <c r="S2445" s="9">
        <v>71.5</v>
      </c>
      <c r="T2445" s="9">
        <v>72.75</v>
      </c>
    </row>
    <row r="2446" spans="17:20" x14ac:dyDescent="0.25">
      <c r="Q2446" s="9" t="s">
        <v>55</v>
      </c>
      <c r="R2446" s="9">
        <v>200</v>
      </c>
      <c r="S2446" s="9">
        <v>40.5</v>
      </c>
      <c r="T2446" s="9">
        <v>82.25</v>
      </c>
    </row>
    <row r="2447" spans="17:20" x14ac:dyDescent="0.25">
      <c r="Q2447" s="9"/>
      <c r="R2447" s="9"/>
      <c r="S2447" s="9"/>
      <c r="T2447" s="9"/>
    </row>
    <row r="2448" spans="17:20" x14ac:dyDescent="0.25">
      <c r="Q2448" s="14">
        <v>72</v>
      </c>
      <c r="R2448" s="14"/>
      <c r="S2448" s="14"/>
      <c r="T2448" s="14"/>
    </row>
    <row r="2449" spans="17:20" x14ac:dyDescent="0.25">
      <c r="Q2449" s="9" t="s">
        <v>52</v>
      </c>
      <c r="R2449" s="9">
        <v>2</v>
      </c>
      <c r="S2449" s="9">
        <v>2</v>
      </c>
      <c r="T2449" s="9">
        <v>4</v>
      </c>
    </row>
    <row r="2450" spans="17:20" x14ac:dyDescent="0.25">
      <c r="Q2450" s="9" t="s">
        <v>53</v>
      </c>
      <c r="R2450" s="9">
        <v>166</v>
      </c>
      <c r="S2450" s="9">
        <v>170</v>
      </c>
      <c r="T2450" s="9">
        <v>336</v>
      </c>
    </row>
    <row r="2451" spans="17:20" x14ac:dyDescent="0.25">
      <c r="Q2451" s="9" t="s">
        <v>54</v>
      </c>
      <c r="R2451" s="9">
        <v>83</v>
      </c>
      <c r="S2451" s="9">
        <v>85</v>
      </c>
      <c r="T2451" s="9">
        <v>84</v>
      </c>
    </row>
    <row r="2452" spans="17:20" x14ac:dyDescent="0.25">
      <c r="Q2452" s="9" t="s">
        <v>55</v>
      </c>
      <c r="R2452" s="9">
        <v>18</v>
      </c>
      <c r="S2452" s="9">
        <v>8</v>
      </c>
      <c r="T2452" s="9">
        <v>10</v>
      </c>
    </row>
    <row r="2453" spans="17:20" x14ac:dyDescent="0.25">
      <c r="Q2453" s="9"/>
      <c r="R2453" s="9"/>
      <c r="S2453" s="9"/>
      <c r="T2453" s="9"/>
    </row>
    <row r="2454" spans="17:20" x14ac:dyDescent="0.25">
      <c r="Q2454" s="14">
        <v>45</v>
      </c>
      <c r="R2454" s="14"/>
      <c r="S2454" s="14"/>
      <c r="T2454" s="14"/>
    </row>
    <row r="2455" spans="17:20" x14ac:dyDescent="0.25">
      <c r="Q2455" s="9" t="s">
        <v>52</v>
      </c>
      <c r="R2455" s="9">
        <v>2</v>
      </c>
      <c r="S2455" s="9">
        <v>2</v>
      </c>
      <c r="T2455" s="9">
        <v>4</v>
      </c>
    </row>
    <row r="2456" spans="17:20" x14ac:dyDescent="0.25">
      <c r="Q2456" s="9" t="s">
        <v>53</v>
      </c>
      <c r="R2456" s="9">
        <v>129</v>
      </c>
      <c r="S2456" s="9">
        <v>140</v>
      </c>
      <c r="T2456" s="9">
        <v>269</v>
      </c>
    </row>
    <row r="2457" spans="17:20" x14ac:dyDescent="0.25">
      <c r="Q2457" s="9" t="s">
        <v>54</v>
      </c>
      <c r="R2457" s="9">
        <v>64.5</v>
      </c>
      <c r="S2457" s="9">
        <v>70</v>
      </c>
      <c r="T2457" s="9">
        <v>67.25</v>
      </c>
    </row>
    <row r="2458" spans="17:20" x14ac:dyDescent="0.25">
      <c r="Q2458" s="9" t="s">
        <v>55</v>
      </c>
      <c r="R2458" s="9">
        <v>60.5</v>
      </c>
      <c r="S2458" s="9">
        <v>72</v>
      </c>
      <c r="T2458" s="9">
        <v>54.25</v>
      </c>
    </row>
    <row r="2459" spans="17:20" x14ac:dyDescent="0.25">
      <c r="Q2459" s="9"/>
      <c r="R2459" s="9"/>
      <c r="S2459" s="9"/>
      <c r="T2459" s="9"/>
    </row>
    <row r="2460" spans="17:20" x14ac:dyDescent="0.25">
      <c r="Q2460" s="14">
        <v>60</v>
      </c>
      <c r="R2460" s="14"/>
      <c r="S2460" s="14"/>
      <c r="T2460" s="14"/>
    </row>
    <row r="2461" spans="17:20" x14ac:dyDescent="0.25">
      <c r="Q2461" s="9" t="s">
        <v>52</v>
      </c>
      <c r="R2461" s="9">
        <v>2</v>
      </c>
      <c r="S2461" s="9">
        <v>2</v>
      </c>
      <c r="T2461" s="9">
        <v>4</v>
      </c>
    </row>
    <row r="2462" spans="17:20" x14ac:dyDescent="0.25">
      <c r="Q2462" s="9" t="s">
        <v>53</v>
      </c>
      <c r="R2462" s="9">
        <v>163</v>
      </c>
      <c r="S2462" s="9">
        <v>156</v>
      </c>
      <c r="T2462" s="9">
        <v>319</v>
      </c>
    </row>
    <row r="2463" spans="17:20" x14ac:dyDescent="0.25">
      <c r="Q2463" s="9" t="s">
        <v>54</v>
      </c>
      <c r="R2463" s="9">
        <v>81.5</v>
      </c>
      <c r="S2463" s="9">
        <v>78</v>
      </c>
      <c r="T2463" s="9">
        <v>79.75</v>
      </c>
    </row>
    <row r="2464" spans="17:20" x14ac:dyDescent="0.25">
      <c r="Q2464" s="9" t="s">
        <v>55</v>
      </c>
      <c r="R2464" s="9">
        <v>180.5</v>
      </c>
      <c r="S2464" s="9">
        <v>200</v>
      </c>
      <c r="T2464" s="9">
        <v>130.91666666666666</v>
      </c>
    </row>
    <row r="2465" spans="17:20" x14ac:dyDescent="0.25">
      <c r="Q2465" s="9"/>
      <c r="R2465" s="9"/>
      <c r="S2465" s="9"/>
      <c r="T2465" s="9"/>
    </row>
    <row r="2466" spans="17:20" x14ac:dyDescent="0.25">
      <c r="Q2466" s="14">
        <v>85</v>
      </c>
      <c r="R2466" s="14"/>
      <c r="S2466" s="14"/>
      <c r="T2466" s="14"/>
    </row>
    <row r="2467" spans="17:20" x14ac:dyDescent="0.25">
      <c r="Q2467" s="9" t="s">
        <v>52</v>
      </c>
      <c r="R2467" s="9">
        <v>2</v>
      </c>
      <c r="S2467" s="9">
        <v>2</v>
      </c>
      <c r="T2467" s="9">
        <v>4</v>
      </c>
    </row>
    <row r="2468" spans="17:20" x14ac:dyDescent="0.25">
      <c r="Q2468" s="9" t="s">
        <v>53</v>
      </c>
      <c r="R2468" s="9">
        <v>180</v>
      </c>
      <c r="S2468" s="9">
        <v>185</v>
      </c>
      <c r="T2468" s="9">
        <v>365</v>
      </c>
    </row>
    <row r="2469" spans="17:20" x14ac:dyDescent="0.25">
      <c r="Q2469" s="9" t="s">
        <v>54</v>
      </c>
      <c r="R2469" s="9">
        <v>90</v>
      </c>
      <c r="S2469" s="9">
        <v>92.5</v>
      </c>
      <c r="T2469" s="9">
        <v>91.25</v>
      </c>
    </row>
    <row r="2470" spans="17:20" x14ac:dyDescent="0.25">
      <c r="Q2470" s="9" t="s">
        <v>55</v>
      </c>
      <c r="R2470" s="9">
        <v>0</v>
      </c>
      <c r="S2470" s="9">
        <v>0.5</v>
      </c>
      <c r="T2470" s="9">
        <v>2.25</v>
      </c>
    </row>
    <row r="2471" spans="17:20" x14ac:dyDescent="0.25">
      <c r="Q2471" s="9"/>
      <c r="R2471" s="9"/>
      <c r="S2471" s="9"/>
      <c r="T2471" s="9"/>
    </row>
    <row r="2472" spans="17:20" x14ac:dyDescent="0.25">
      <c r="Q2472" s="14">
        <v>49</v>
      </c>
      <c r="R2472" s="14"/>
      <c r="S2472" s="14"/>
      <c r="T2472" s="14"/>
    </row>
    <row r="2473" spans="17:20" x14ac:dyDescent="0.25">
      <c r="Q2473" s="9" t="s">
        <v>52</v>
      </c>
      <c r="R2473" s="9">
        <v>2</v>
      </c>
      <c r="S2473" s="9">
        <v>2</v>
      </c>
      <c r="T2473" s="9">
        <v>4</v>
      </c>
    </row>
    <row r="2474" spans="17:20" x14ac:dyDescent="0.25">
      <c r="Q2474" s="9" t="s">
        <v>53</v>
      </c>
      <c r="R2474" s="9">
        <v>139</v>
      </c>
      <c r="S2474" s="9">
        <v>133</v>
      </c>
      <c r="T2474" s="9">
        <v>272</v>
      </c>
    </row>
    <row r="2475" spans="17:20" x14ac:dyDescent="0.25">
      <c r="Q2475" s="9" t="s">
        <v>54</v>
      </c>
      <c r="R2475" s="9">
        <v>69.5</v>
      </c>
      <c r="S2475" s="9">
        <v>66.5</v>
      </c>
      <c r="T2475" s="9">
        <v>68</v>
      </c>
    </row>
    <row r="2476" spans="17:20" x14ac:dyDescent="0.25">
      <c r="Q2476" s="9" t="s">
        <v>55</v>
      </c>
      <c r="R2476" s="9">
        <v>612.5</v>
      </c>
      <c r="S2476" s="9">
        <v>480.5</v>
      </c>
      <c r="T2476" s="9">
        <v>367.33333333333331</v>
      </c>
    </row>
    <row r="2477" spans="17:20" x14ac:dyDescent="0.25">
      <c r="Q2477" s="9"/>
      <c r="R2477" s="9"/>
      <c r="S2477" s="9"/>
      <c r="T2477" s="9"/>
    </row>
    <row r="2478" spans="17:20" x14ac:dyDescent="0.25">
      <c r="Q2478" s="14">
        <v>48</v>
      </c>
      <c r="R2478" s="14"/>
      <c r="S2478" s="14"/>
      <c r="T2478" s="14"/>
    </row>
    <row r="2479" spans="17:20" x14ac:dyDescent="0.25">
      <c r="Q2479" s="9" t="s">
        <v>52</v>
      </c>
      <c r="R2479" s="9">
        <v>2</v>
      </c>
      <c r="S2479" s="9">
        <v>2</v>
      </c>
      <c r="T2479" s="9">
        <v>4</v>
      </c>
    </row>
    <row r="2480" spans="17:20" x14ac:dyDescent="0.25">
      <c r="Q2480" s="9" t="s">
        <v>53</v>
      </c>
      <c r="R2480" s="9">
        <v>125</v>
      </c>
      <c r="S2480" s="9">
        <v>110</v>
      </c>
      <c r="T2480" s="9">
        <v>235</v>
      </c>
    </row>
    <row r="2481" spans="17:20" x14ac:dyDescent="0.25">
      <c r="Q2481" s="9" t="s">
        <v>54</v>
      </c>
      <c r="R2481" s="9">
        <v>62.5</v>
      </c>
      <c r="S2481" s="9">
        <v>55</v>
      </c>
      <c r="T2481" s="9">
        <v>58.75</v>
      </c>
    </row>
    <row r="2482" spans="17:20" x14ac:dyDescent="0.25">
      <c r="Q2482" s="9" t="s">
        <v>55</v>
      </c>
      <c r="R2482" s="9">
        <v>40.5</v>
      </c>
      <c r="S2482" s="9">
        <v>18</v>
      </c>
      <c r="T2482" s="9">
        <v>38.25</v>
      </c>
    </row>
    <row r="2483" spans="17:20" x14ac:dyDescent="0.25">
      <c r="Q2483" s="9"/>
      <c r="R2483" s="9"/>
      <c r="S2483" s="9"/>
      <c r="T2483" s="9"/>
    </row>
    <row r="2484" spans="17:20" x14ac:dyDescent="0.25">
      <c r="Q2484" s="14">
        <v>56</v>
      </c>
      <c r="R2484" s="14"/>
      <c r="S2484" s="14"/>
      <c r="T2484" s="14"/>
    </row>
    <row r="2485" spans="17:20" x14ac:dyDescent="0.25">
      <c r="Q2485" s="9" t="s">
        <v>52</v>
      </c>
      <c r="R2485" s="9">
        <v>2</v>
      </c>
      <c r="S2485" s="9">
        <v>2</v>
      </c>
      <c r="T2485" s="9">
        <v>4</v>
      </c>
    </row>
    <row r="2486" spans="17:20" x14ac:dyDescent="0.25">
      <c r="Q2486" s="9" t="s">
        <v>53</v>
      </c>
      <c r="R2486" s="9">
        <v>137</v>
      </c>
      <c r="S2486" s="9">
        <v>146</v>
      </c>
      <c r="T2486" s="9">
        <v>283</v>
      </c>
    </row>
    <row r="2487" spans="17:20" x14ac:dyDescent="0.25">
      <c r="Q2487" s="9" t="s">
        <v>54</v>
      </c>
      <c r="R2487" s="9">
        <v>68.5</v>
      </c>
      <c r="S2487" s="9">
        <v>73</v>
      </c>
      <c r="T2487" s="9">
        <v>70.75</v>
      </c>
    </row>
    <row r="2488" spans="17:20" x14ac:dyDescent="0.25">
      <c r="Q2488" s="9" t="s">
        <v>55</v>
      </c>
      <c r="R2488" s="9">
        <v>0.5</v>
      </c>
      <c r="S2488" s="9">
        <v>18</v>
      </c>
      <c r="T2488" s="9">
        <v>12.916666666666666</v>
      </c>
    </row>
    <row r="2489" spans="17:20" x14ac:dyDescent="0.25">
      <c r="Q2489" s="9"/>
      <c r="R2489" s="9"/>
      <c r="S2489" s="9"/>
      <c r="T2489" s="9"/>
    </row>
    <row r="2490" spans="17:20" x14ac:dyDescent="0.25">
      <c r="Q2490" s="14">
        <v>69</v>
      </c>
      <c r="R2490" s="14"/>
      <c r="S2490" s="14"/>
      <c r="T2490" s="14"/>
    </row>
    <row r="2491" spans="17:20" x14ac:dyDescent="0.25">
      <c r="Q2491" s="9" t="s">
        <v>52</v>
      </c>
      <c r="R2491" s="9">
        <v>2</v>
      </c>
      <c r="S2491" s="9">
        <v>2</v>
      </c>
      <c r="T2491" s="9">
        <v>4</v>
      </c>
    </row>
    <row r="2492" spans="17:20" x14ac:dyDescent="0.25">
      <c r="Q2492" s="9" t="s">
        <v>53</v>
      </c>
      <c r="R2492" s="9">
        <v>140</v>
      </c>
      <c r="S2492" s="9">
        <v>134</v>
      </c>
      <c r="T2492" s="9">
        <v>274</v>
      </c>
    </row>
    <row r="2493" spans="17:20" x14ac:dyDescent="0.25">
      <c r="Q2493" s="9" t="s">
        <v>54</v>
      </c>
      <c r="R2493" s="9">
        <v>70</v>
      </c>
      <c r="S2493" s="9">
        <v>67</v>
      </c>
      <c r="T2493" s="9">
        <v>68.5</v>
      </c>
    </row>
    <row r="2494" spans="17:20" x14ac:dyDescent="0.25">
      <c r="Q2494" s="9" t="s">
        <v>55</v>
      </c>
      <c r="R2494" s="9">
        <v>512</v>
      </c>
      <c r="S2494" s="9">
        <v>392</v>
      </c>
      <c r="T2494" s="9">
        <v>304.33333333333331</v>
      </c>
    </row>
    <row r="2495" spans="17:20" x14ac:dyDescent="0.25">
      <c r="Q2495" s="9"/>
      <c r="R2495" s="9"/>
      <c r="S2495" s="9"/>
      <c r="T2495" s="9"/>
    </row>
    <row r="2496" spans="17:20" x14ac:dyDescent="0.25">
      <c r="Q2496" s="14">
        <v>61</v>
      </c>
      <c r="R2496" s="14"/>
      <c r="S2496" s="14"/>
      <c r="T2496" s="14"/>
    </row>
    <row r="2497" spans="17:20" x14ac:dyDescent="0.25">
      <c r="Q2497" s="9" t="s">
        <v>52</v>
      </c>
      <c r="R2497" s="9">
        <v>2</v>
      </c>
      <c r="S2497" s="9">
        <v>2</v>
      </c>
      <c r="T2497" s="9">
        <v>4</v>
      </c>
    </row>
    <row r="2498" spans="17:20" x14ac:dyDescent="0.25">
      <c r="Q2498" s="9" t="s">
        <v>53</v>
      </c>
      <c r="R2498" s="9">
        <v>146</v>
      </c>
      <c r="S2498" s="9">
        <v>146</v>
      </c>
      <c r="T2498" s="9">
        <v>292</v>
      </c>
    </row>
    <row r="2499" spans="17:20" x14ac:dyDescent="0.25">
      <c r="Q2499" s="9" t="s">
        <v>54</v>
      </c>
      <c r="R2499" s="9">
        <v>73</v>
      </c>
      <c r="S2499" s="9">
        <v>73</v>
      </c>
      <c r="T2499" s="9">
        <v>73</v>
      </c>
    </row>
    <row r="2500" spans="17:20" x14ac:dyDescent="0.25">
      <c r="Q2500" s="9" t="s">
        <v>55</v>
      </c>
      <c r="R2500" s="9">
        <v>338</v>
      </c>
      <c r="S2500" s="9">
        <v>512</v>
      </c>
      <c r="T2500" s="9">
        <v>283.33333333333331</v>
      </c>
    </row>
    <row r="2501" spans="17:20" x14ac:dyDescent="0.25">
      <c r="Q2501" s="9"/>
      <c r="R2501" s="9"/>
      <c r="S2501" s="9"/>
      <c r="T2501" s="9"/>
    </row>
    <row r="2502" spans="17:20" x14ac:dyDescent="0.25">
      <c r="Q2502" s="14">
        <v>64</v>
      </c>
      <c r="R2502" s="14"/>
      <c r="S2502" s="14"/>
      <c r="T2502" s="14"/>
    </row>
    <row r="2503" spans="17:20" x14ac:dyDescent="0.25">
      <c r="Q2503" s="9" t="s">
        <v>52</v>
      </c>
      <c r="R2503" s="9">
        <v>2</v>
      </c>
      <c r="S2503" s="9">
        <v>2</v>
      </c>
      <c r="T2503" s="9">
        <v>4</v>
      </c>
    </row>
    <row r="2504" spans="17:20" x14ac:dyDescent="0.25">
      <c r="Q2504" s="9" t="s">
        <v>53</v>
      </c>
      <c r="R2504" s="9">
        <v>142</v>
      </c>
      <c r="S2504" s="9">
        <v>147</v>
      </c>
      <c r="T2504" s="9">
        <v>289</v>
      </c>
    </row>
    <row r="2505" spans="17:20" x14ac:dyDescent="0.25">
      <c r="Q2505" s="9" t="s">
        <v>54</v>
      </c>
      <c r="R2505" s="9">
        <v>71</v>
      </c>
      <c r="S2505" s="9">
        <v>73.5</v>
      </c>
      <c r="T2505" s="9">
        <v>72.25</v>
      </c>
    </row>
    <row r="2506" spans="17:20" x14ac:dyDescent="0.25">
      <c r="Q2506" s="9" t="s">
        <v>55</v>
      </c>
      <c r="R2506" s="9">
        <v>242</v>
      </c>
      <c r="S2506" s="9">
        <v>480.5</v>
      </c>
      <c r="T2506" s="9">
        <v>242.91666666666666</v>
      </c>
    </row>
    <row r="2507" spans="17:20" x14ac:dyDescent="0.25">
      <c r="Q2507" s="9"/>
      <c r="R2507" s="9"/>
      <c r="S2507" s="9"/>
      <c r="T2507" s="9"/>
    </row>
    <row r="2508" spans="17:20" x14ac:dyDescent="0.25">
      <c r="Q2508" s="14">
        <v>58</v>
      </c>
      <c r="R2508" s="14"/>
      <c r="S2508" s="14"/>
      <c r="T2508" s="14"/>
    </row>
    <row r="2509" spans="17:20" x14ac:dyDescent="0.25">
      <c r="Q2509" s="9" t="s">
        <v>52</v>
      </c>
      <c r="R2509" s="9">
        <v>2</v>
      </c>
      <c r="S2509" s="9">
        <v>2</v>
      </c>
      <c r="T2509" s="9">
        <v>4</v>
      </c>
    </row>
    <row r="2510" spans="17:20" x14ac:dyDescent="0.25">
      <c r="Q2510" s="9" t="s">
        <v>53</v>
      </c>
      <c r="R2510" s="9">
        <v>114</v>
      </c>
      <c r="S2510" s="9">
        <v>119</v>
      </c>
      <c r="T2510" s="9">
        <v>233</v>
      </c>
    </row>
    <row r="2511" spans="17:20" x14ac:dyDescent="0.25">
      <c r="Q2511" s="9" t="s">
        <v>54</v>
      </c>
      <c r="R2511" s="9">
        <v>57</v>
      </c>
      <c r="S2511" s="9">
        <v>59.5</v>
      </c>
      <c r="T2511" s="9">
        <v>58.25</v>
      </c>
    </row>
    <row r="2512" spans="17:20" x14ac:dyDescent="0.25">
      <c r="Q2512" s="9" t="s">
        <v>55</v>
      </c>
      <c r="R2512" s="9">
        <v>98</v>
      </c>
      <c r="S2512" s="9">
        <v>420.5</v>
      </c>
      <c r="T2512" s="9">
        <v>174.91666666666666</v>
      </c>
    </row>
    <row r="2513" spans="17:20" x14ac:dyDescent="0.25">
      <c r="Q2513" s="9"/>
      <c r="R2513" s="9"/>
      <c r="S2513" s="9"/>
      <c r="T2513" s="9"/>
    </row>
    <row r="2514" spans="17:20" x14ac:dyDescent="0.25">
      <c r="Q2514" s="14">
        <v>73</v>
      </c>
      <c r="R2514" s="14"/>
      <c r="S2514" s="14"/>
      <c r="T2514" s="14"/>
    </row>
    <row r="2515" spans="17:20" x14ac:dyDescent="0.25">
      <c r="Q2515" s="9" t="s">
        <v>52</v>
      </c>
      <c r="R2515" s="9">
        <v>2</v>
      </c>
      <c r="S2515" s="9">
        <v>2</v>
      </c>
      <c r="T2515" s="9">
        <v>4</v>
      </c>
    </row>
    <row r="2516" spans="17:20" x14ac:dyDescent="0.25">
      <c r="Q2516" s="9" t="s">
        <v>53</v>
      </c>
      <c r="R2516" s="9">
        <v>146</v>
      </c>
      <c r="S2516" s="9">
        <v>136</v>
      </c>
      <c r="T2516" s="9">
        <v>282</v>
      </c>
    </row>
    <row r="2517" spans="17:20" x14ac:dyDescent="0.25">
      <c r="Q2517" s="9" t="s">
        <v>54</v>
      </c>
      <c r="R2517" s="9">
        <v>73</v>
      </c>
      <c r="S2517" s="9">
        <v>68</v>
      </c>
      <c r="T2517" s="9">
        <v>70.5</v>
      </c>
    </row>
    <row r="2518" spans="17:20" x14ac:dyDescent="0.25">
      <c r="Q2518" s="9" t="s">
        <v>55</v>
      </c>
      <c r="R2518" s="9">
        <v>162</v>
      </c>
      <c r="S2518" s="9">
        <v>242</v>
      </c>
      <c r="T2518" s="9">
        <v>143</v>
      </c>
    </row>
    <row r="2519" spans="17:20" x14ac:dyDescent="0.25">
      <c r="Q2519" s="9"/>
      <c r="R2519" s="9"/>
      <c r="S2519" s="9"/>
      <c r="T2519" s="9"/>
    </row>
    <row r="2520" spans="17:20" x14ac:dyDescent="0.25">
      <c r="Q2520" s="14">
        <v>58</v>
      </c>
      <c r="R2520" s="14"/>
      <c r="S2520" s="14"/>
      <c r="T2520" s="14"/>
    </row>
    <row r="2521" spans="17:20" x14ac:dyDescent="0.25">
      <c r="Q2521" s="9" t="s">
        <v>52</v>
      </c>
      <c r="R2521" s="9">
        <v>2</v>
      </c>
      <c r="S2521" s="9">
        <v>2</v>
      </c>
      <c r="T2521" s="9">
        <v>4</v>
      </c>
    </row>
    <row r="2522" spans="17:20" x14ac:dyDescent="0.25">
      <c r="Q2522" s="9" t="s">
        <v>53</v>
      </c>
      <c r="R2522" s="9">
        <v>134</v>
      </c>
      <c r="S2522" s="9">
        <v>126</v>
      </c>
      <c r="T2522" s="9">
        <v>260</v>
      </c>
    </row>
    <row r="2523" spans="17:20" x14ac:dyDescent="0.25">
      <c r="Q2523" s="9" t="s">
        <v>54</v>
      </c>
      <c r="R2523" s="9">
        <v>67</v>
      </c>
      <c r="S2523" s="9">
        <v>63</v>
      </c>
      <c r="T2523" s="9">
        <v>65</v>
      </c>
    </row>
    <row r="2524" spans="17:20" x14ac:dyDescent="0.25">
      <c r="Q2524" s="9" t="s">
        <v>55</v>
      </c>
      <c r="R2524" s="9">
        <v>200</v>
      </c>
      <c r="S2524" s="9">
        <v>200</v>
      </c>
      <c r="T2524" s="9">
        <v>138.66666666666666</v>
      </c>
    </row>
    <row r="2525" spans="17:20" x14ac:dyDescent="0.25">
      <c r="Q2525" s="9"/>
      <c r="R2525" s="9"/>
      <c r="S2525" s="9"/>
      <c r="T2525" s="9"/>
    </row>
    <row r="2526" spans="17:20" x14ac:dyDescent="0.25">
      <c r="Q2526" s="14">
        <v>39</v>
      </c>
      <c r="R2526" s="14"/>
      <c r="S2526" s="14"/>
      <c r="T2526" s="14"/>
    </row>
    <row r="2527" spans="17:20" x14ac:dyDescent="0.25">
      <c r="Q2527" s="9" t="s">
        <v>52</v>
      </c>
      <c r="R2527" s="9">
        <v>2</v>
      </c>
      <c r="S2527" s="9">
        <v>2</v>
      </c>
      <c r="T2527" s="9">
        <v>4</v>
      </c>
    </row>
    <row r="2528" spans="17:20" x14ac:dyDescent="0.25">
      <c r="Q2528" s="9" t="s">
        <v>53</v>
      </c>
      <c r="R2528" s="9">
        <v>110</v>
      </c>
      <c r="S2528" s="9">
        <v>97</v>
      </c>
      <c r="T2528" s="9">
        <v>207</v>
      </c>
    </row>
    <row r="2529" spans="17:20" x14ac:dyDescent="0.25">
      <c r="Q2529" s="9" t="s">
        <v>54</v>
      </c>
      <c r="R2529" s="9">
        <v>55</v>
      </c>
      <c r="S2529" s="9">
        <v>48.5</v>
      </c>
      <c r="T2529" s="9">
        <v>51.75</v>
      </c>
    </row>
    <row r="2530" spans="17:20" x14ac:dyDescent="0.25">
      <c r="Q2530" s="9" t="s">
        <v>55</v>
      </c>
      <c r="R2530" s="9">
        <v>18</v>
      </c>
      <c r="S2530" s="9">
        <v>12.5</v>
      </c>
      <c r="T2530" s="9">
        <v>24.25</v>
      </c>
    </row>
    <row r="2531" spans="17:20" x14ac:dyDescent="0.25">
      <c r="Q2531" s="9"/>
      <c r="R2531" s="9"/>
      <c r="S2531" s="9"/>
      <c r="T2531" s="9"/>
    </row>
    <row r="2532" spans="17:20" x14ac:dyDescent="0.25">
      <c r="Q2532" s="14">
        <v>23</v>
      </c>
      <c r="R2532" s="14"/>
      <c r="S2532" s="14"/>
      <c r="T2532" s="14"/>
    </row>
    <row r="2533" spans="17:20" x14ac:dyDescent="0.25">
      <c r="Q2533" s="9" t="s">
        <v>52</v>
      </c>
      <c r="R2533" s="9">
        <v>2</v>
      </c>
      <c r="S2533" s="9">
        <v>2</v>
      </c>
      <c r="T2533" s="9">
        <v>4</v>
      </c>
    </row>
    <row r="2534" spans="17:20" x14ac:dyDescent="0.25">
      <c r="Q2534" s="9" t="s">
        <v>53</v>
      </c>
      <c r="R2534" s="9">
        <v>121</v>
      </c>
      <c r="S2534" s="9">
        <v>112</v>
      </c>
      <c r="T2534" s="9">
        <v>233</v>
      </c>
    </row>
    <row r="2535" spans="17:20" x14ac:dyDescent="0.25">
      <c r="Q2535" s="9" t="s">
        <v>54</v>
      </c>
      <c r="R2535" s="9">
        <v>60.5</v>
      </c>
      <c r="S2535" s="9">
        <v>56</v>
      </c>
      <c r="T2535" s="9">
        <v>58.25</v>
      </c>
    </row>
    <row r="2536" spans="17:20" x14ac:dyDescent="0.25">
      <c r="Q2536" s="9" t="s">
        <v>55</v>
      </c>
      <c r="R2536" s="9">
        <v>544.5</v>
      </c>
      <c r="S2536" s="9">
        <v>800</v>
      </c>
      <c r="T2536" s="9">
        <v>454.91666666666669</v>
      </c>
    </row>
    <row r="2537" spans="17:20" x14ac:dyDescent="0.25">
      <c r="Q2537" s="9"/>
      <c r="R2537" s="9"/>
      <c r="S2537" s="9"/>
      <c r="T2537" s="9"/>
    </row>
    <row r="2538" spans="17:20" x14ac:dyDescent="0.25">
      <c r="Q2538" s="14">
        <v>40</v>
      </c>
      <c r="R2538" s="14"/>
      <c r="S2538" s="14"/>
      <c r="T2538" s="14"/>
    </row>
    <row r="2539" spans="17:20" x14ac:dyDescent="0.25">
      <c r="Q2539" s="9" t="s">
        <v>52</v>
      </c>
      <c r="R2539" s="9">
        <v>2</v>
      </c>
      <c r="S2539" s="9">
        <v>2</v>
      </c>
      <c r="T2539" s="9">
        <v>4</v>
      </c>
    </row>
    <row r="2540" spans="17:20" x14ac:dyDescent="0.25">
      <c r="Q2540" s="9" t="s">
        <v>53</v>
      </c>
      <c r="R2540" s="9">
        <v>150</v>
      </c>
      <c r="S2540" s="9">
        <v>148</v>
      </c>
      <c r="T2540" s="9">
        <v>298</v>
      </c>
    </row>
    <row r="2541" spans="17:20" x14ac:dyDescent="0.25">
      <c r="Q2541" s="9" t="s">
        <v>54</v>
      </c>
      <c r="R2541" s="9">
        <v>75</v>
      </c>
      <c r="S2541" s="9">
        <v>74</v>
      </c>
      <c r="T2541" s="9">
        <v>74.5</v>
      </c>
    </row>
    <row r="2542" spans="17:20" x14ac:dyDescent="0.25">
      <c r="Q2542" s="9" t="s">
        <v>55</v>
      </c>
      <c r="R2542" s="9">
        <v>200</v>
      </c>
      <c r="S2542" s="9">
        <v>200</v>
      </c>
      <c r="T2542" s="9">
        <v>133.66666666666666</v>
      </c>
    </row>
    <row r="2543" spans="17:20" x14ac:dyDescent="0.25">
      <c r="Q2543" s="9"/>
      <c r="R2543" s="9"/>
      <c r="S2543" s="9"/>
      <c r="T2543" s="9"/>
    </row>
    <row r="2544" spans="17:20" x14ac:dyDescent="0.25">
      <c r="Q2544" s="14">
        <v>91</v>
      </c>
      <c r="R2544" s="14"/>
      <c r="S2544" s="14"/>
      <c r="T2544" s="14"/>
    </row>
    <row r="2545" spans="17:20" x14ac:dyDescent="0.25">
      <c r="Q2545" s="9" t="s">
        <v>52</v>
      </c>
      <c r="R2545" s="9">
        <v>2</v>
      </c>
      <c r="S2545" s="9">
        <v>2</v>
      </c>
      <c r="T2545" s="9">
        <v>4</v>
      </c>
    </row>
    <row r="2546" spans="17:20" x14ac:dyDescent="0.25">
      <c r="Q2546" s="9" t="s">
        <v>53</v>
      </c>
      <c r="R2546" s="9">
        <v>139</v>
      </c>
      <c r="S2546" s="9">
        <v>135</v>
      </c>
      <c r="T2546" s="9">
        <v>274</v>
      </c>
    </row>
    <row r="2547" spans="17:20" x14ac:dyDescent="0.25">
      <c r="Q2547" s="9" t="s">
        <v>54</v>
      </c>
      <c r="R2547" s="9">
        <v>69.5</v>
      </c>
      <c r="S2547" s="9">
        <v>67.5</v>
      </c>
      <c r="T2547" s="9">
        <v>68.5</v>
      </c>
    </row>
    <row r="2548" spans="17:20" x14ac:dyDescent="0.25">
      <c r="Q2548" s="9" t="s">
        <v>55</v>
      </c>
      <c r="R2548" s="9">
        <v>480.5</v>
      </c>
      <c r="S2548" s="9">
        <v>612.5</v>
      </c>
      <c r="T2548" s="9">
        <v>365.66666666666669</v>
      </c>
    </row>
    <row r="2549" spans="17:20" x14ac:dyDescent="0.25">
      <c r="Q2549" s="9"/>
      <c r="R2549" s="9"/>
      <c r="S2549" s="9"/>
      <c r="T2549" s="9"/>
    </row>
    <row r="2550" spans="17:20" x14ac:dyDescent="0.25">
      <c r="Q2550" s="14">
        <v>59</v>
      </c>
      <c r="R2550" s="14"/>
      <c r="S2550" s="14"/>
      <c r="T2550" s="14"/>
    </row>
    <row r="2551" spans="17:20" x14ac:dyDescent="0.25">
      <c r="Q2551" s="9" t="s">
        <v>52</v>
      </c>
      <c r="R2551" s="9">
        <v>2</v>
      </c>
      <c r="S2551" s="9">
        <v>2</v>
      </c>
      <c r="T2551" s="9">
        <v>4</v>
      </c>
    </row>
    <row r="2552" spans="17:20" x14ac:dyDescent="0.25">
      <c r="Q2552" s="9" t="s">
        <v>53</v>
      </c>
      <c r="R2552" s="9">
        <v>147</v>
      </c>
      <c r="S2552" s="9">
        <v>137</v>
      </c>
      <c r="T2552" s="9">
        <v>284</v>
      </c>
    </row>
    <row r="2553" spans="17:20" x14ac:dyDescent="0.25">
      <c r="Q2553" s="9" t="s">
        <v>54</v>
      </c>
      <c r="R2553" s="9">
        <v>73.5</v>
      </c>
      <c r="S2553" s="9">
        <v>68.5</v>
      </c>
      <c r="T2553" s="9">
        <v>71</v>
      </c>
    </row>
    <row r="2554" spans="17:20" x14ac:dyDescent="0.25">
      <c r="Q2554" s="9" t="s">
        <v>55</v>
      </c>
      <c r="R2554" s="9">
        <v>4.5</v>
      </c>
      <c r="S2554" s="9">
        <v>0.5</v>
      </c>
      <c r="T2554" s="9">
        <v>10</v>
      </c>
    </row>
    <row r="2555" spans="17:20" x14ac:dyDescent="0.25">
      <c r="Q2555" s="9"/>
      <c r="R2555" s="9"/>
      <c r="S2555" s="9"/>
      <c r="T2555" s="9"/>
    </row>
    <row r="2556" spans="17:20" x14ac:dyDescent="0.25">
      <c r="Q2556" s="14">
        <v>71</v>
      </c>
      <c r="R2556" s="14"/>
      <c r="S2556" s="14"/>
      <c r="T2556" s="14"/>
    </row>
    <row r="2557" spans="17:20" x14ac:dyDescent="0.25">
      <c r="Q2557" s="9" t="s">
        <v>52</v>
      </c>
      <c r="R2557" s="9">
        <v>2</v>
      </c>
      <c r="S2557" s="9">
        <v>2</v>
      </c>
      <c r="T2557" s="9">
        <v>4</v>
      </c>
    </row>
    <row r="2558" spans="17:20" x14ac:dyDescent="0.25">
      <c r="Q2558" s="9" t="s">
        <v>53</v>
      </c>
      <c r="R2558" s="9">
        <v>135</v>
      </c>
      <c r="S2558" s="9">
        <v>130</v>
      </c>
      <c r="T2558" s="9">
        <v>265</v>
      </c>
    </row>
    <row r="2559" spans="17:20" x14ac:dyDescent="0.25">
      <c r="Q2559" s="9" t="s">
        <v>54</v>
      </c>
      <c r="R2559" s="9">
        <v>67.5</v>
      </c>
      <c r="S2559" s="9">
        <v>65</v>
      </c>
      <c r="T2559" s="9">
        <v>66.25</v>
      </c>
    </row>
    <row r="2560" spans="17:20" x14ac:dyDescent="0.25">
      <c r="Q2560" s="9" t="s">
        <v>55</v>
      </c>
      <c r="R2560" s="9">
        <v>0.5</v>
      </c>
      <c r="S2560" s="9">
        <v>8</v>
      </c>
      <c r="T2560" s="9">
        <v>4.916666666666667</v>
      </c>
    </row>
    <row r="2561" spans="17:20" x14ac:dyDescent="0.25">
      <c r="Q2561" s="9"/>
      <c r="R2561" s="9"/>
      <c r="S2561" s="9"/>
      <c r="T2561" s="9"/>
    </row>
    <row r="2562" spans="17:20" x14ac:dyDescent="0.25">
      <c r="Q2562" s="14">
        <v>87</v>
      </c>
      <c r="R2562" s="14"/>
      <c r="S2562" s="14"/>
      <c r="T2562" s="14"/>
    </row>
    <row r="2563" spans="17:20" x14ac:dyDescent="0.25">
      <c r="Q2563" s="9" t="s">
        <v>52</v>
      </c>
      <c r="R2563" s="9">
        <v>2</v>
      </c>
      <c r="S2563" s="9">
        <v>2</v>
      </c>
      <c r="T2563" s="9">
        <v>4</v>
      </c>
    </row>
    <row r="2564" spans="17:20" x14ac:dyDescent="0.25">
      <c r="Q2564" s="9" t="s">
        <v>53</v>
      </c>
      <c r="R2564" s="9">
        <v>152</v>
      </c>
      <c r="S2564" s="9">
        <v>154</v>
      </c>
      <c r="T2564" s="9">
        <v>306</v>
      </c>
    </row>
    <row r="2565" spans="17:20" x14ac:dyDescent="0.25">
      <c r="Q2565" s="9" t="s">
        <v>54</v>
      </c>
      <c r="R2565" s="9">
        <v>76</v>
      </c>
      <c r="S2565" s="9">
        <v>77</v>
      </c>
      <c r="T2565" s="9">
        <v>76.5</v>
      </c>
    </row>
    <row r="2566" spans="17:20" x14ac:dyDescent="0.25">
      <c r="Q2566" s="9" t="s">
        <v>55</v>
      </c>
      <c r="R2566" s="9">
        <v>162</v>
      </c>
      <c r="S2566" s="9">
        <v>512</v>
      </c>
      <c r="T2566" s="9">
        <v>225</v>
      </c>
    </row>
    <row r="2567" spans="17:20" x14ac:dyDescent="0.25">
      <c r="Q2567" s="9"/>
      <c r="R2567" s="9"/>
      <c r="S2567" s="9"/>
      <c r="T2567" s="9"/>
    </row>
    <row r="2568" spans="17:20" x14ac:dyDescent="0.25">
      <c r="Q2568" s="14">
        <v>62</v>
      </c>
      <c r="R2568" s="14"/>
      <c r="S2568" s="14"/>
      <c r="T2568" s="14"/>
    </row>
    <row r="2569" spans="17:20" x14ac:dyDescent="0.25">
      <c r="Q2569" s="9" t="s">
        <v>52</v>
      </c>
      <c r="R2569" s="9">
        <v>2</v>
      </c>
      <c r="S2569" s="9">
        <v>2</v>
      </c>
      <c r="T2569" s="9">
        <v>4</v>
      </c>
    </row>
    <row r="2570" spans="17:20" x14ac:dyDescent="0.25">
      <c r="Q2570" s="9" t="s">
        <v>53</v>
      </c>
      <c r="R2570" s="9">
        <v>161</v>
      </c>
      <c r="S2570" s="9">
        <v>151</v>
      </c>
      <c r="T2570" s="9">
        <v>312</v>
      </c>
    </row>
    <row r="2571" spans="17:20" x14ac:dyDescent="0.25">
      <c r="Q2571" s="9" t="s">
        <v>54</v>
      </c>
      <c r="R2571" s="9">
        <v>80.5</v>
      </c>
      <c r="S2571" s="9">
        <v>75.5</v>
      </c>
      <c r="T2571" s="9">
        <v>78</v>
      </c>
    </row>
    <row r="2572" spans="17:20" x14ac:dyDescent="0.25">
      <c r="Q2572" s="9" t="s">
        <v>55</v>
      </c>
      <c r="R2572" s="9">
        <v>544.5</v>
      </c>
      <c r="S2572" s="9">
        <v>840.5</v>
      </c>
      <c r="T2572" s="9">
        <v>470</v>
      </c>
    </row>
    <row r="2573" spans="17:20" x14ac:dyDescent="0.25">
      <c r="Q2573" s="9"/>
      <c r="R2573" s="9"/>
      <c r="S2573" s="9"/>
      <c r="T2573" s="9"/>
    </row>
    <row r="2574" spans="17:20" x14ac:dyDescent="0.25">
      <c r="Q2574" s="14">
        <v>75</v>
      </c>
      <c r="R2574" s="14"/>
      <c r="S2574" s="14"/>
      <c r="T2574" s="14"/>
    </row>
    <row r="2575" spans="17:20" x14ac:dyDescent="0.25">
      <c r="Q2575" s="9" t="s">
        <v>52</v>
      </c>
      <c r="R2575" s="9">
        <v>2</v>
      </c>
      <c r="S2575" s="9">
        <v>2</v>
      </c>
      <c r="T2575" s="9">
        <v>4</v>
      </c>
    </row>
    <row r="2576" spans="17:20" x14ac:dyDescent="0.25">
      <c r="Q2576" s="9" t="s">
        <v>53</v>
      </c>
      <c r="R2576" s="9">
        <v>147</v>
      </c>
      <c r="S2576" s="9">
        <v>146</v>
      </c>
      <c r="T2576" s="9">
        <v>293</v>
      </c>
    </row>
    <row r="2577" spans="17:20" x14ac:dyDescent="0.25">
      <c r="Q2577" s="9" t="s">
        <v>54</v>
      </c>
      <c r="R2577" s="9">
        <v>73.5</v>
      </c>
      <c r="S2577" s="9">
        <v>73</v>
      </c>
      <c r="T2577" s="9">
        <v>73.25</v>
      </c>
    </row>
    <row r="2578" spans="17:20" x14ac:dyDescent="0.25">
      <c r="Q2578" s="9" t="s">
        <v>55</v>
      </c>
      <c r="R2578" s="9">
        <v>60.5</v>
      </c>
      <c r="S2578" s="9">
        <v>128</v>
      </c>
      <c r="T2578" s="9">
        <v>62.916666666666664</v>
      </c>
    </row>
    <row r="2579" spans="17:20" x14ac:dyDescent="0.25">
      <c r="Q2579" s="9"/>
      <c r="R2579" s="9"/>
      <c r="S2579" s="9"/>
      <c r="T2579" s="9"/>
    </row>
    <row r="2580" spans="17:20" x14ac:dyDescent="0.25">
      <c r="Q2580" s="14">
        <v>52</v>
      </c>
      <c r="R2580" s="14"/>
      <c r="S2580" s="14"/>
      <c r="T2580" s="14"/>
    </row>
    <row r="2581" spans="17:20" x14ac:dyDescent="0.25">
      <c r="Q2581" s="9" t="s">
        <v>52</v>
      </c>
      <c r="R2581" s="9">
        <v>2</v>
      </c>
      <c r="S2581" s="9">
        <v>2</v>
      </c>
      <c r="T2581" s="9">
        <v>4</v>
      </c>
    </row>
    <row r="2582" spans="17:20" x14ac:dyDescent="0.25">
      <c r="Q2582" s="9" t="s">
        <v>53</v>
      </c>
      <c r="R2582" s="9">
        <v>122</v>
      </c>
      <c r="S2582" s="9">
        <v>118</v>
      </c>
      <c r="T2582" s="9">
        <v>240</v>
      </c>
    </row>
    <row r="2583" spans="17:20" x14ac:dyDescent="0.25">
      <c r="Q2583" s="9" t="s">
        <v>54</v>
      </c>
      <c r="R2583" s="9">
        <v>61</v>
      </c>
      <c r="S2583" s="9">
        <v>59</v>
      </c>
      <c r="T2583" s="9">
        <v>60</v>
      </c>
    </row>
    <row r="2584" spans="17:20" x14ac:dyDescent="0.25">
      <c r="Q2584" s="9" t="s">
        <v>55</v>
      </c>
      <c r="R2584" s="9">
        <v>288</v>
      </c>
      <c r="S2584" s="9">
        <v>338</v>
      </c>
      <c r="T2584" s="9">
        <v>210</v>
      </c>
    </row>
    <row r="2585" spans="17:20" x14ac:dyDescent="0.25">
      <c r="Q2585" s="9"/>
      <c r="R2585" s="9"/>
      <c r="S2585" s="9"/>
      <c r="T2585" s="9"/>
    </row>
    <row r="2586" spans="17:20" x14ac:dyDescent="0.25">
      <c r="Q2586" s="14">
        <v>53</v>
      </c>
      <c r="R2586" s="14"/>
      <c r="S2586" s="14"/>
      <c r="T2586" s="14"/>
    </row>
    <row r="2587" spans="17:20" x14ac:dyDescent="0.25">
      <c r="Q2587" s="9" t="s">
        <v>52</v>
      </c>
      <c r="R2587" s="9">
        <v>2</v>
      </c>
      <c r="S2587" s="9">
        <v>2</v>
      </c>
      <c r="T2587" s="9">
        <v>4</v>
      </c>
    </row>
    <row r="2588" spans="17:20" x14ac:dyDescent="0.25">
      <c r="Q2588" s="9" t="s">
        <v>53</v>
      </c>
      <c r="R2588" s="9">
        <v>148</v>
      </c>
      <c r="S2588" s="9">
        <v>140</v>
      </c>
      <c r="T2588" s="9">
        <v>288</v>
      </c>
    </row>
    <row r="2589" spans="17:20" x14ac:dyDescent="0.25">
      <c r="Q2589" s="9" t="s">
        <v>54</v>
      </c>
      <c r="R2589" s="9">
        <v>74</v>
      </c>
      <c r="S2589" s="9">
        <v>70</v>
      </c>
      <c r="T2589" s="9">
        <v>72</v>
      </c>
    </row>
    <row r="2590" spans="17:20" x14ac:dyDescent="0.25">
      <c r="Q2590" s="9" t="s">
        <v>55</v>
      </c>
      <c r="R2590" s="9">
        <v>288</v>
      </c>
      <c r="S2590" s="9">
        <v>578</v>
      </c>
      <c r="T2590" s="9">
        <v>294</v>
      </c>
    </row>
    <row r="2591" spans="17:20" x14ac:dyDescent="0.25">
      <c r="Q2591" s="9"/>
      <c r="R2591" s="9"/>
      <c r="S2591" s="9"/>
      <c r="T2591" s="9"/>
    </row>
    <row r="2592" spans="17:20" x14ac:dyDescent="0.25">
      <c r="Q2592" s="14">
        <v>39</v>
      </c>
      <c r="R2592" s="14"/>
      <c r="S2592" s="14"/>
      <c r="T2592" s="14"/>
    </row>
    <row r="2593" spans="17:20" x14ac:dyDescent="0.25">
      <c r="Q2593" s="9" t="s">
        <v>52</v>
      </c>
      <c r="R2593" s="9">
        <v>2</v>
      </c>
      <c r="S2593" s="9">
        <v>2</v>
      </c>
      <c r="T2593" s="9">
        <v>4</v>
      </c>
    </row>
    <row r="2594" spans="17:20" x14ac:dyDescent="0.25">
      <c r="Q2594" s="9" t="s">
        <v>53</v>
      </c>
      <c r="R2594" s="9">
        <v>113</v>
      </c>
      <c r="S2594" s="9">
        <v>118</v>
      </c>
      <c r="T2594" s="9">
        <v>231</v>
      </c>
    </row>
    <row r="2595" spans="17:20" x14ac:dyDescent="0.25">
      <c r="Q2595" s="9" t="s">
        <v>54</v>
      </c>
      <c r="R2595" s="9">
        <v>56.5</v>
      </c>
      <c r="S2595" s="9">
        <v>59</v>
      </c>
      <c r="T2595" s="9">
        <v>57.75</v>
      </c>
    </row>
    <row r="2596" spans="17:20" x14ac:dyDescent="0.25">
      <c r="Q2596" s="9" t="s">
        <v>55</v>
      </c>
      <c r="R2596" s="9">
        <v>420.5</v>
      </c>
      <c r="S2596" s="9">
        <v>882</v>
      </c>
      <c r="T2596" s="9">
        <v>436.25</v>
      </c>
    </row>
    <row r="2597" spans="17:20" x14ac:dyDescent="0.25">
      <c r="Q2597" s="9"/>
      <c r="R2597" s="9"/>
      <c r="S2597" s="9"/>
      <c r="T2597" s="9"/>
    </row>
    <row r="2598" spans="17:20" x14ac:dyDescent="0.25">
      <c r="Q2598" s="14">
        <v>97</v>
      </c>
      <c r="R2598" s="14"/>
      <c r="S2598" s="14"/>
      <c r="T2598" s="14"/>
    </row>
    <row r="2599" spans="17:20" x14ac:dyDescent="0.25">
      <c r="Q2599" s="9" t="s">
        <v>52</v>
      </c>
      <c r="R2599" s="9">
        <v>2</v>
      </c>
      <c r="S2599" s="9">
        <v>2</v>
      </c>
      <c r="T2599" s="9">
        <v>4</v>
      </c>
    </row>
    <row r="2600" spans="17:20" x14ac:dyDescent="0.25">
      <c r="Q2600" s="9" t="s">
        <v>53</v>
      </c>
      <c r="R2600" s="9">
        <v>175</v>
      </c>
      <c r="S2600" s="9">
        <v>179</v>
      </c>
      <c r="T2600" s="9">
        <v>354</v>
      </c>
    </row>
    <row r="2601" spans="17:20" x14ac:dyDescent="0.25">
      <c r="Q2601" s="9" t="s">
        <v>54</v>
      </c>
      <c r="R2601" s="9">
        <v>87.5</v>
      </c>
      <c r="S2601" s="9">
        <v>89.5</v>
      </c>
      <c r="T2601" s="9">
        <v>88.5</v>
      </c>
    </row>
    <row r="2602" spans="17:20" x14ac:dyDescent="0.25">
      <c r="Q2602" s="9" t="s">
        <v>55</v>
      </c>
      <c r="R2602" s="9">
        <v>60.5</v>
      </c>
      <c r="S2602" s="9">
        <v>4.5</v>
      </c>
      <c r="T2602" s="9">
        <v>23</v>
      </c>
    </row>
    <row r="2603" spans="17:20" x14ac:dyDescent="0.25">
      <c r="Q2603" s="9"/>
      <c r="R2603" s="9"/>
      <c r="S2603" s="9"/>
      <c r="T2603" s="9"/>
    </row>
    <row r="2604" spans="17:20" x14ac:dyDescent="0.25">
      <c r="Q2604" s="14">
        <v>59</v>
      </c>
      <c r="R2604" s="14"/>
      <c r="S2604" s="14"/>
      <c r="T2604" s="14"/>
    </row>
    <row r="2605" spans="17:20" x14ac:dyDescent="0.25">
      <c r="Q2605" s="9" t="s">
        <v>52</v>
      </c>
      <c r="R2605" s="9">
        <v>2</v>
      </c>
      <c r="S2605" s="9">
        <v>2</v>
      </c>
      <c r="T2605" s="9">
        <v>4</v>
      </c>
    </row>
    <row r="2606" spans="17:20" x14ac:dyDescent="0.25">
      <c r="Q2606" s="9" t="s">
        <v>53</v>
      </c>
      <c r="R2606" s="9">
        <v>95</v>
      </c>
      <c r="S2606" s="9">
        <v>93</v>
      </c>
      <c r="T2606" s="9">
        <v>188</v>
      </c>
    </row>
    <row r="2607" spans="17:20" x14ac:dyDescent="0.25">
      <c r="Q2607" s="9" t="s">
        <v>54</v>
      </c>
      <c r="R2607" s="9">
        <v>47.5</v>
      </c>
      <c r="S2607" s="9">
        <v>46.5</v>
      </c>
      <c r="T2607" s="9">
        <v>47</v>
      </c>
    </row>
    <row r="2608" spans="17:20" x14ac:dyDescent="0.25">
      <c r="Q2608" s="9" t="s">
        <v>55</v>
      </c>
      <c r="R2608" s="9">
        <v>60.5</v>
      </c>
      <c r="S2608" s="9">
        <v>60.5</v>
      </c>
      <c r="T2608" s="9">
        <v>40.666666666666664</v>
      </c>
    </row>
    <row r="2609" spans="17:20" x14ac:dyDescent="0.25">
      <c r="Q2609" s="9"/>
      <c r="R2609" s="9"/>
      <c r="S2609" s="9"/>
      <c r="T2609" s="9"/>
    </row>
    <row r="2610" spans="17:20" x14ac:dyDescent="0.25">
      <c r="Q2610" s="14">
        <v>78</v>
      </c>
      <c r="R2610" s="14"/>
      <c r="S2610" s="14"/>
      <c r="T2610" s="14"/>
    </row>
    <row r="2611" spans="17:20" x14ac:dyDescent="0.25">
      <c r="Q2611" s="9" t="s">
        <v>52</v>
      </c>
      <c r="R2611" s="9">
        <v>2</v>
      </c>
      <c r="S2611" s="9">
        <v>2</v>
      </c>
      <c r="T2611" s="9">
        <v>4</v>
      </c>
    </row>
    <row r="2612" spans="17:20" x14ac:dyDescent="0.25">
      <c r="Q2612" s="9" t="s">
        <v>53</v>
      </c>
      <c r="R2612" s="9">
        <v>125</v>
      </c>
      <c r="S2612" s="9">
        <v>123</v>
      </c>
      <c r="T2612" s="9">
        <v>248</v>
      </c>
    </row>
    <row r="2613" spans="17:20" x14ac:dyDescent="0.25">
      <c r="Q2613" s="9" t="s">
        <v>54</v>
      </c>
      <c r="R2613" s="9">
        <v>62.5</v>
      </c>
      <c r="S2613" s="9">
        <v>61.5</v>
      </c>
      <c r="T2613" s="9">
        <v>62</v>
      </c>
    </row>
    <row r="2614" spans="17:20" x14ac:dyDescent="0.25">
      <c r="Q2614" s="9" t="s">
        <v>55</v>
      </c>
      <c r="R2614" s="9">
        <v>264.5</v>
      </c>
      <c r="S2614" s="9">
        <v>220.5</v>
      </c>
      <c r="T2614" s="9">
        <v>162</v>
      </c>
    </row>
    <row r="2615" spans="17:20" x14ac:dyDescent="0.25">
      <c r="Q2615" s="9"/>
      <c r="R2615" s="9"/>
      <c r="S2615" s="9"/>
      <c r="T2615" s="9"/>
    </row>
    <row r="2616" spans="17:20" x14ac:dyDescent="0.25">
      <c r="Q2616" s="14">
        <v>59</v>
      </c>
      <c r="R2616" s="14"/>
      <c r="S2616" s="14"/>
      <c r="T2616" s="14"/>
    </row>
    <row r="2617" spans="17:20" x14ac:dyDescent="0.25">
      <c r="Q2617" s="9" t="s">
        <v>52</v>
      </c>
      <c r="R2617" s="9">
        <v>2</v>
      </c>
      <c r="S2617" s="9">
        <v>2</v>
      </c>
      <c r="T2617" s="9">
        <v>4</v>
      </c>
    </row>
    <row r="2618" spans="17:20" x14ac:dyDescent="0.25">
      <c r="Q2618" s="9" t="s">
        <v>53</v>
      </c>
      <c r="R2618" s="9">
        <v>130</v>
      </c>
      <c r="S2618" s="9">
        <v>123</v>
      </c>
      <c r="T2618" s="9">
        <v>253</v>
      </c>
    </row>
    <row r="2619" spans="17:20" x14ac:dyDescent="0.25">
      <c r="Q2619" s="9" t="s">
        <v>54</v>
      </c>
      <c r="R2619" s="9">
        <v>65</v>
      </c>
      <c r="S2619" s="9">
        <v>61.5</v>
      </c>
      <c r="T2619" s="9">
        <v>63.25</v>
      </c>
    </row>
    <row r="2620" spans="17:20" x14ac:dyDescent="0.25">
      <c r="Q2620" s="9" t="s">
        <v>55</v>
      </c>
      <c r="R2620" s="9">
        <v>98</v>
      </c>
      <c r="S2620" s="9">
        <v>420.5</v>
      </c>
      <c r="T2620" s="9">
        <v>176.91666666666666</v>
      </c>
    </row>
    <row r="2621" spans="17:20" x14ac:dyDescent="0.25">
      <c r="Q2621" s="9"/>
      <c r="R2621" s="9"/>
      <c r="S2621" s="9"/>
      <c r="T2621" s="9"/>
    </row>
    <row r="2622" spans="17:20" x14ac:dyDescent="0.25">
      <c r="Q2622" s="14">
        <v>82</v>
      </c>
      <c r="R2622" s="14"/>
      <c r="S2622" s="14"/>
      <c r="T2622" s="14"/>
    </row>
    <row r="2623" spans="17:20" x14ac:dyDescent="0.25">
      <c r="Q2623" s="9" t="s">
        <v>52</v>
      </c>
      <c r="R2623" s="9">
        <v>2</v>
      </c>
      <c r="S2623" s="9">
        <v>2</v>
      </c>
      <c r="T2623" s="9">
        <v>4</v>
      </c>
    </row>
    <row r="2624" spans="17:20" x14ac:dyDescent="0.25">
      <c r="Q2624" s="9" t="s">
        <v>53</v>
      </c>
      <c r="R2624" s="9">
        <v>174</v>
      </c>
      <c r="S2624" s="9">
        <v>160</v>
      </c>
      <c r="T2624" s="9">
        <v>334</v>
      </c>
    </row>
    <row r="2625" spans="17:20" x14ac:dyDescent="0.25">
      <c r="Q2625" s="9" t="s">
        <v>54</v>
      </c>
      <c r="R2625" s="9">
        <v>87</v>
      </c>
      <c r="S2625" s="9">
        <v>80</v>
      </c>
      <c r="T2625" s="9">
        <v>83.5</v>
      </c>
    </row>
    <row r="2626" spans="17:20" x14ac:dyDescent="0.25">
      <c r="Q2626" s="9" t="s">
        <v>55</v>
      </c>
      <c r="R2626" s="9">
        <v>18</v>
      </c>
      <c r="S2626" s="9">
        <v>8</v>
      </c>
      <c r="T2626" s="9">
        <v>25</v>
      </c>
    </row>
    <row r="2627" spans="17:20" x14ac:dyDescent="0.25">
      <c r="Q2627" s="9"/>
      <c r="R2627" s="9"/>
      <c r="S2627" s="9"/>
      <c r="T2627" s="9"/>
    </row>
    <row r="2628" spans="17:20" x14ac:dyDescent="0.25">
      <c r="Q2628" s="14">
        <v>43</v>
      </c>
      <c r="R2628" s="14"/>
      <c r="S2628" s="14"/>
      <c r="T2628" s="14"/>
    </row>
    <row r="2629" spans="17:20" x14ac:dyDescent="0.25">
      <c r="Q2629" s="9" t="s">
        <v>52</v>
      </c>
      <c r="R2629" s="9">
        <v>2</v>
      </c>
      <c r="S2629" s="9">
        <v>2</v>
      </c>
      <c r="T2629" s="9">
        <v>4</v>
      </c>
    </row>
    <row r="2630" spans="17:20" x14ac:dyDescent="0.25">
      <c r="Q2630" s="9" t="s">
        <v>53</v>
      </c>
      <c r="R2630" s="9">
        <v>126</v>
      </c>
      <c r="S2630" s="9">
        <v>127</v>
      </c>
      <c r="T2630" s="9">
        <v>253</v>
      </c>
    </row>
    <row r="2631" spans="17:20" x14ac:dyDescent="0.25">
      <c r="Q2631" s="9" t="s">
        <v>54</v>
      </c>
      <c r="R2631" s="9">
        <v>63</v>
      </c>
      <c r="S2631" s="9">
        <v>63.5</v>
      </c>
      <c r="T2631" s="9">
        <v>63.25</v>
      </c>
    </row>
    <row r="2632" spans="17:20" x14ac:dyDescent="0.25">
      <c r="Q2632" s="9" t="s">
        <v>55</v>
      </c>
      <c r="R2632" s="9">
        <v>2</v>
      </c>
      <c r="S2632" s="9">
        <v>12.5</v>
      </c>
      <c r="T2632" s="9">
        <v>4.916666666666667</v>
      </c>
    </row>
    <row r="2633" spans="17:20" x14ac:dyDescent="0.25">
      <c r="Q2633" s="9"/>
      <c r="R2633" s="9"/>
      <c r="S2633" s="9"/>
      <c r="T2633" s="9"/>
    </row>
    <row r="2634" spans="17:20" x14ac:dyDescent="0.25">
      <c r="Q2634" s="14">
        <v>81</v>
      </c>
      <c r="R2634" s="14"/>
      <c r="S2634" s="14"/>
      <c r="T2634" s="14"/>
    </row>
    <row r="2635" spans="17:20" x14ac:dyDescent="0.25">
      <c r="Q2635" s="9" t="s">
        <v>52</v>
      </c>
      <c r="R2635" s="9">
        <v>2</v>
      </c>
      <c r="S2635" s="9">
        <v>2</v>
      </c>
      <c r="T2635" s="9">
        <v>4</v>
      </c>
    </row>
    <row r="2636" spans="17:20" x14ac:dyDescent="0.25">
      <c r="Q2636" s="9" t="s">
        <v>53</v>
      </c>
      <c r="R2636" s="9">
        <v>143</v>
      </c>
      <c r="S2636" s="9">
        <v>138</v>
      </c>
      <c r="T2636" s="9">
        <v>281</v>
      </c>
    </row>
    <row r="2637" spans="17:20" x14ac:dyDescent="0.25">
      <c r="Q2637" s="9" t="s">
        <v>54</v>
      </c>
      <c r="R2637" s="9">
        <v>71.5</v>
      </c>
      <c r="S2637" s="9">
        <v>69</v>
      </c>
      <c r="T2637" s="9">
        <v>70.25</v>
      </c>
    </row>
    <row r="2638" spans="17:20" x14ac:dyDescent="0.25">
      <c r="Q2638" s="9" t="s">
        <v>55</v>
      </c>
      <c r="R2638" s="9">
        <v>220.5</v>
      </c>
      <c r="S2638" s="9">
        <v>450</v>
      </c>
      <c r="T2638" s="9">
        <v>225.58333333333334</v>
      </c>
    </row>
    <row r="2639" spans="17:20" x14ac:dyDescent="0.25">
      <c r="Q2639" s="9"/>
      <c r="R2639" s="9"/>
      <c r="S2639" s="9"/>
      <c r="T2639" s="9"/>
    </row>
    <row r="2640" spans="17:20" x14ac:dyDescent="0.25">
      <c r="Q2640" s="14">
        <v>59</v>
      </c>
      <c r="R2640" s="14"/>
      <c r="S2640" s="14"/>
      <c r="T2640" s="14"/>
    </row>
    <row r="2641" spans="17:20" x14ac:dyDescent="0.25">
      <c r="Q2641" s="9" t="s">
        <v>52</v>
      </c>
      <c r="R2641" s="9">
        <v>2</v>
      </c>
      <c r="S2641" s="9">
        <v>2</v>
      </c>
      <c r="T2641" s="9">
        <v>4</v>
      </c>
    </row>
    <row r="2642" spans="17:20" x14ac:dyDescent="0.25">
      <c r="Q2642" s="9" t="s">
        <v>53</v>
      </c>
      <c r="R2642" s="9">
        <v>148</v>
      </c>
      <c r="S2642" s="9">
        <v>154</v>
      </c>
      <c r="T2642" s="9">
        <v>302</v>
      </c>
    </row>
    <row r="2643" spans="17:20" x14ac:dyDescent="0.25">
      <c r="Q2643" s="9" t="s">
        <v>54</v>
      </c>
      <c r="R2643" s="9">
        <v>74</v>
      </c>
      <c r="S2643" s="9">
        <v>77</v>
      </c>
      <c r="T2643" s="9">
        <v>75.5</v>
      </c>
    </row>
    <row r="2644" spans="17:20" x14ac:dyDescent="0.25">
      <c r="Q2644" s="9" t="s">
        <v>55</v>
      </c>
      <c r="R2644" s="9">
        <v>8</v>
      </c>
      <c r="S2644" s="9">
        <v>18</v>
      </c>
      <c r="T2644" s="9">
        <v>11.666666666666666</v>
      </c>
    </row>
    <row r="2645" spans="17:20" x14ac:dyDescent="0.25">
      <c r="Q2645" s="9"/>
      <c r="R2645" s="9"/>
      <c r="S2645" s="9"/>
      <c r="T2645" s="9"/>
    </row>
    <row r="2646" spans="17:20" x14ac:dyDescent="0.25">
      <c r="Q2646" s="14">
        <v>63</v>
      </c>
      <c r="R2646" s="14"/>
      <c r="S2646" s="14"/>
      <c r="T2646" s="14"/>
    </row>
    <row r="2647" spans="17:20" x14ac:dyDescent="0.25">
      <c r="Q2647" s="9" t="s">
        <v>52</v>
      </c>
      <c r="R2647" s="9">
        <v>2</v>
      </c>
      <c r="S2647" s="9">
        <v>2</v>
      </c>
      <c r="T2647" s="9">
        <v>4</v>
      </c>
    </row>
    <row r="2648" spans="17:20" x14ac:dyDescent="0.25">
      <c r="Q2648" s="9" t="s">
        <v>53</v>
      </c>
      <c r="R2648" s="9">
        <v>134</v>
      </c>
      <c r="S2648" s="9">
        <v>136</v>
      </c>
      <c r="T2648" s="9">
        <v>270</v>
      </c>
    </row>
    <row r="2649" spans="17:20" x14ac:dyDescent="0.25">
      <c r="Q2649" s="9" t="s">
        <v>54</v>
      </c>
      <c r="R2649" s="9">
        <v>67</v>
      </c>
      <c r="S2649" s="9">
        <v>68</v>
      </c>
      <c r="T2649" s="9">
        <v>67.5</v>
      </c>
    </row>
    <row r="2650" spans="17:20" x14ac:dyDescent="0.25">
      <c r="Q2650" s="9" t="s">
        <v>55</v>
      </c>
      <c r="R2650" s="9">
        <v>18</v>
      </c>
      <c r="S2650" s="9">
        <v>8</v>
      </c>
      <c r="T2650" s="9">
        <v>9</v>
      </c>
    </row>
    <row r="2651" spans="17:20" x14ac:dyDescent="0.25">
      <c r="Q2651" s="9"/>
      <c r="R2651" s="9"/>
      <c r="S2651" s="9"/>
      <c r="T2651" s="9"/>
    </row>
    <row r="2652" spans="17:20" x14ac:dyDescent="0.25">
      <c r="Q2652" s="14">
        <v>64</v>
      </c>
      <c r="R2652" s="14"/>
      <c r="S2652" s="14"/>
      <c r="T2652" s="14"/>
    </row>
    <row r="2653" spans="17:20" x14ac:dyDescent="0.25">
      <c r="Q2653" s="9" t="s">
        <v>52</v>
      </c>
      <c r="R2653" s="9">
        <v>2</v>
      </c>
      <c r="S2653" s="9">
        <v>2</v>
      </c>
      <c r="T2653" s="9">
        <v>4</v>
      </c>
    </row>
    <row r="2654" spans="17:20" x14ac:dyDescent="0.25">
      <c r="Q2654" s="9" t="s">
        <v>53</v>
      </c>
      <c r="R2654" s="9">
        <v>119</v>
      </c>
      <c r="S2654" s="9">
        <v>115</v>
      </c>
      <c r="T2654" s="9">
        <v>234</v>
      </c>
    </row>
    <row r="2655" spans="17:20" x14ac:dyDescent="0.25">
      <c r="Q2655" s="9" t="s">
        <v>54</v>
      </c>
      <c r="R2655" s="9">
        <v>59.5</v>
      </c>
      <c r="S2655" s="9">
        <v>57.5</v>
      </c>
      <c r="T2655" s="9">
        <v>58.5</v>
      </c>
    </row>
    <row r="2656" spans="17:20" x14ac:dyDescent="0.25">
      <c r="Q2656" s="9" t="s">
        <v>55</v>
      </c>
      <c r="R2656" s="9">
        <v>364.5</v>
      </c>
      <c r="S2656" s="9">
        <v>364.5</v>
      </c>
      <c r="T2656" s="9">
        <v>244.33333333333334</v>
      </c>
    </row>
    <row r="2657" spans="17:20" x14ac:dyDescent="0.25">
      <c r="Q2657" s="9"/>
      <c r="R2657" s="9"/>
      <c r="S2657" s="9"/>
      <c r="T2657" s="9"/>
    </row>
    <row r="2658" spans="17:20" x14ac:dyDescent="0.25">
      <c r="Q2658" s="14">
        <v>51</v>
      </c>
      <c r="R2658" s="14"/>
      <c r="S2658" s="14"/>
      <c r="T2658" s="14"/>
    </row>
    <row r="2659" spans="17:20" x14ac:dyDescent="0.25">
      <c r="Q2659" s="9" t="s">
        <v>52</v>
      </c>
      <c r="R2659" s="9">
        <v>2</v>
      </c>
      <c r="S2659" s="9">
        <v>2</v>
      </c>
      <c r="T2659" s="9">
        <v>4</v>
      </c>
    </row>
    <row r="2660" spans="17:20" x14ac:dyDescent="0.25">
      <c r="Q2660" s="9" t="s">
        <v>53</v>
      </c>
      <c r="R2660" s="9">
        <v>127</v>
      </c>
      <c r="S2660" s="9">
        <v>134</v>
      </c>
      <c r="T2660" s="9">
        <v>261</v>
      </c>
    </row>
    <row r="2661" spans="17:20" x14ac:dyDescent="0.25">
      <c r="Q2661" s="9" t="s">
        <v>54</v>
      </c>
      <c r="R2661" s="9">
        <v>63.5</v>
      </c>
      <c r="S2661" s="9">
        <v>67</v>
      </c>
      <c r="T2661" s="9">
        <v>65.25</v>
      </c>
    </row>
    <row r="2662" spans="17:20" x14ac:dyDescent="0.25">
      <c r="Q2662" s="9" t="s">
        <v>55</v>
      </c>
      <c r="R2662" s="9">
        <v>312.5</v>
      </c>
      <c r="S2662" s="9">
        <v>338</v>
      </c>
      <c r="T2662" s="9">
        <v>220.91666666666666</v>
      </c>
    </row>
    <row r="2663" spans="17:20" x14ac:dyDescent="0.25">
      <c r="Q2663" s="9"/>
      <c r="R2663" s="9"/>
      <c r="S2663" s="9"/>
      <c r="T2663" s="9"/>
    </row>
    <row r="2664" spans="17:20" x14ac:dyDescent="0.25">
      <c r="Q2664" s="14">
        <v>93</v>
      </c>
      <c r="R2664" s="14"/>
      <c r="S2664" s="14"/>
      <c r="T2664" s="14"/>
    </row>
    <row r="2665" spans="17:20" x14ac:dyDescent="0.25">
      <c r="Q2665" s="9" t="s">
        <v>52</v>
      </c>
      <c r="R2665" s="9">
        <v>2</v>
      </c>
      <c r="S2665" s="9">
        <v>2</v>
      </c>
      <c r="T2665" s="9">
        <v>4</v>
      </c>
    </row>
    <row r="2666" spans="17:20" x14ac:dyDescent="0.25">
      <c r="Q2666" s="9" t="s">
        <v>53</v>
      </c>
      <c r="R2666" s="9">
        <v>172</v>
      </c>
      <c r="S2666" s="9">
        <v>154</v>
      </c>
      <c r="T2666" s="9">
        <v>326</v>
      </c>
    </row>
    <row r="2667" spans="17:20" x14ac:dyDescent="0.25">
      <c r="Q2667" s="9" t="s">
        <v>54</v>
      </c>
      <c r="R2667" s="9">
        <v>86</v>
      </c>
      <c r="S2667" s="9">
        <v>77</v>
      </c>
      <c r="T2667" s="9">
        <v>81.5</v>
      </c>
    </row>
    <row r="2668" spans="17:20" x14ac:dyDescent="0.25">
      <c r="Q2668" s="9" t="s">
        <v>55</v>
      </c>
      <c r="R2668" s="9">
        <v>392</v>
      </c>
      <c r="S2668" s="9">
        <v>648</v>
      </c>
      <c r="T2668" s="9">
        <v>373.66666666666669</v>
      </c>
    </row>
    <row r="2669" spans="17:20" x14ac:dyDescent="0.25">
      <c r="Q2669" s="9"/>
      <c r="R2669" s="9"/>
      <c r="S2669" s="9"/>
      <c r="T2669" s="9"/>
    </row>
    <row r="2670" spans="17:20" x14ac:dyDescent="0.25">
      <c r="Q2670" s="14">
        <v>69</v>
      </c>
      <c r="R2670" s="14"/>
      <c r="S2670" s="14"/>
      <c r="T2670" s="14"/>
    </row>
    <row r="2671" spans="17:20" x14ac:dyDescent="0.25">
      <c r="Q2671" s="9" t="s">
        <v>52</v>
      </c>
      <c r="R2671" s="9">
        <v>2</v>
      </c>
      <c r="S2671" s="9">
        <v>2</v>
      </c>
      <c r="T2671" s="9">
        <v>4</v>
      </c>
    </row>
    <row r="2672" spans="17:20" x14ac:dyDescent="0.25">
      <c r="Q2672" s="9" t="s">
        <v>53</v>
      </c>
      <c r="R2672" s="9">
        <v>116</v>
      </c>
      <c r="S2672" s="9">
        <v>122</v>
      </c>
      <c r="T2672" s="9">
        <v>238</v>
      </c>
    </row>
    <row r="2673" spans="17:20" x14ac:dyDescent="0.25">
      <c r="Q2673" s="9" t="s">
        <v>54</v>
      </c>
      <c r="R2673" s="9">
        <v>58</v>
      </c>
      <c r="S2673" s="9">
        <v>61</v>
      </c>
      <c r="T2673" s="9">
        <v>59.5</v>
      </c>
    </row>
    <row r="2674" spans="17:20" x14ac:dyDescent="0.25">
      <c r="Q2674" s="9" t="s">
        <v>55</v>
      </c>
      <c r="R2674" s="9">
        <v>98</v>
      </c>
      <c r="S2674" s="9">
        <v>338</v>
      </c>
      <c r="T2674" s="9">
        <v>148.33333333333334</v>
      </c>
    </row>
    <row r="2675" spans="17:20" x14ac:dyDescent="0.25">
      <c r="Q2675" s="9"/>
      <c r="R2675" s="9"/>
      <c r="S2675" s="9"/>
      <c r="T2675" s="9"/>
    </row>
    <row r="2676" spans="17:20" x14ac:dyDescent="0.25">
      <c r="Q2676" s="14">
        <v>86</v>
      </c>
      <c r="R2676" s="14"/>
      <c r="S2676" s="14"/>
      <c r="T2676" s="14"/>
    </row>
    <row r="2677" spans="17:20" x14ac:dyDescent="0.25">
      <c r="Q2677" s="9" t="s">
        <v>52</v>
      </c>
      <c r="R2677" s="9">
        <v>2</v>
      </c>
      <c r="S2677" s="9">
        <v>2</v>
      </c>
      <c r="T2677" s="9">
        <v>4</v>
      </c>
    </row>
    <row r="2678" spans="17:20" x14ac:dyDescent="0.25">
      <c r="Q2678" s="9" t="s">
        <v>53</v>
      </c>
      <c r="R2678" s="9">
        <v>177</v>
      </c>
      <c r="S2678" s="9">
        <v>176</v>
      </c>
      <c r="T2678" s="9">
        <v>353</v>
      </c>
    </row>
    <row r="2679" spans="17:20" x14ac:dyDescent="0.25">
      <c r="Q2679" s="9" t="s">
        <v>54</v>
      </c>
      <c r="R2679" s="9">
        <v>88.5</v>
      </c>
      <c r="S2679" s="9">
        <v>88</v>
      </c>
      <c r="T2679" s="9">
        <v>88.25</v>
      </c>
    </row>
    <row r="2680" spans="17:20" x14ac:dyDescent="0.25">
      <c r="Q2680" s="9" t="s">
        <v>55</v>
      </c>
      <c r="R2680" s="9">
        <v>24.5</v>
      </c>
      <c r="S2680" s="9">
        <v>18</v>
      </c>
      <c r="T2680" s="9">
        <v>14.25</v>
      </c>
    </row>
    <row r="2681" spans="17:20" x14ac:dyDescent="0.25">
      <c r="Q2681" s="9"/>
      <c r="R2681" s="9"/>
      <c r="S2681" s="9"/>
      <c r="T2681" s="9"/>
    </row>
    <row r="2682" spans="17:20" x14ac:dyDescent="0.25">
      <c r="Q2682" s="14">
        <v>50</v>
      </c>
      <c r="R2682" s="14"/>
      <c r="S2682" s="14"/>
      <c r="T2682" s="14"/>
    </row>
    <row r="2683" spans="17:20" x14ac:dyDescent="0.25">
      <c r="Q2683" s="9" t="s">
        <v>52</v>
      </c>
      <c r="R2683" s="9">
        <v>2</v>
      </c>
      <c r="S2683" s="9">
        <v>2</v>
      </c>
      <c r="T2683" s="9">
        <v>4</v>
      </c>
    </row>
    <row r="2684" spans="17:20" x14ac:dyDescent="0.25">
      <c r="Q2684" s="9" t="s">
        <v>53</v>
      </c>
      <c r="R2684" s="9">
        <v>141</v>
      </c>
      <c r="S2684" s="9">
        <v>148</v>
      </c>
      <c r="T2684" s="9">
        <v>289</v>
      </c>
    </row>
    <row r="2685" spans="17:20" x14ac:dyDescent="0.25">
      <c r="Q2685" s="9" t="s">
        <v>54</v>
      </c>
      <c r="R2685" s="9">
        <v>70.5</v>
      </c>
      <c r="S2685" s="9">
        <v>74</v>
      </c>
      <c r="T2685" s="9">
        <v>72.25</v>
      </c>
    </row>
    <row r="2686" spans="17:20" x14ac:dyDescent="0.25">
      <c r="Q2686" s="9" t="s">
        <v>55</v>
      </c>
      <c r="R2686" s="9">
        <v>24.5</v>
      </c>
      <c r="S2686" s="9">
        <v>2</v>
      </c>
      <c r="T2686" s="9">
        <v>12.916666666666666</v>
      </c>
    </row>
    <row r="2687" spans="17:20" x14ac:dyDescent="0.25">
      <c r="Q2687" s="9"/>
      <c r="R2687" s="9"/>
      <c r="S2687" s="9"/>
      <c r="T2687" s="9"/>
    </row>
    <row r="2688" spans="17:20" x14ac:dyDescent="0.25">
      <c r="Q2688" s="14">
        <v>59</v>
      </c>
      <c r="R2688" s="14"/>
      <c r="S2688" s="14"/>
      <c r="T2688" s="14"/>
    </row>
    <row r="2689" spans="17:20" x14ac:dyDescent="0.25">
      <c r="Q2689" s="9" t="s">
        <v>52</v>
      </c>
      <c r="R2689" s="9">
        <v>2</v>
      </c>
      <c r="S2689" s="9">
        <v>2</v>
      </c>
      <c r="T2689" s="9">
        <v>4</v>
      </c>
    </row>
    <row r="2690" spans="17:20" x14ac:dyDescent="0.25">
      <c r="Q2690" s="9" t="s">
        <v>53</v>
      </c>
      <c r="R2690" s="9">
        <v>96</v>
      </c>
      <c r="S2690" s="9">
        <v>107</v>
      </c>
      <c r="T2690" s="9">
        <v>203</v>
      </c>
    </row>
    <row r="2691" spans="17:20" x14ac:dyDescent="0.25">
      <c r="Q2691" s="9" t="s">
        <v>54</v>
      </c>
      <c r="R2691" s="9">
        <v>48</v>
      </c>
      <c r="S2691" s="9">
        <v>53.5</v>
      </c>
      <c r="T2691" s="9">
        <v>50.75</v>
      </c>
    </row>
    <row r="2692" spans="17:20" x14ac:dyDescent="0.25">
      <c r="Q2692" s="9" t="s">
        <v>55</v>
      </c>
      <c r="R2692" s="9">
        <v>392</v>
      </c>
      <c r="S2692" s="9">
        <v>480.5</v>
      </c>
      <c r="T2692" s="9">
        <v>300.91666666666669</v>
      </c>
    </row>
    <row r="2693" spans="17:20" x14ac:dyDescent="0.25">
      <c r="Q2693" s="9"/>
      <c r="R2693" s="9"/>
      <c r="S2693" s="9"/>
      <c r="T2693" s="9"/>
    </row>
    <row r="2694" spans="17:20" x14ac:dyDescent="0.25">
      <c r="Q2694" s="14">
        <v>36</v>
      </c>
      <c r="R2694" s="14"/>
      <c r="S2694" s="14"/>
      <c r="T2694" s="14"/>
    </row>
    <row r="2695" spans="17:20" x14ac:dyDescent="0.25">
      <c r="Q2695" s="9" t="s">
        <v>52</v>
      </c>
      <c r="R2695" s="9">
        <v>2</v>
      </c>
      <c r="S2695" s="9">
        <v>2</v>
      </c>
      <c r="T2695" s="9">
        <v>4</v>
      </c>
    </row>
    <row r="2696" spans="17:20" x14ac:dyDescent="0.25">
      <c r="Q2696" s="9" t="s">
        <v>53</v>
      </c>
      <c r="R2696" s="9">
        <v>107</v>
      </c>
      <c r="S2696" s="9">
        <v>106</v>
      </c>
      <c r="T2696" s="9">
        <v>213</v>
      </c>
    </row>
    <row r="2697" spans="17:20" x14ac:dyDescent="0.25">
      <c r="Q2697" s="9" t="s">
        <v>54</v>
      </c>
      <c r="R2697" s="9">
        <v>53.5</v>
      </c>
      <c r="S2697" s="9">
        <v>53</v>
      </c>
      <c r="T2697" s="9">
        <v>53.25</v>
      </c>
    </row>
    <row r="2698" spans="17:20" x14ac:dyDescent="0.25">
      <c r="Q2698" s="9" t="s">
        <v>55</v>
      </c>
      <c r="R2698" s="9">
        <v>1200.5</v>
      </c>
      <c r="S2698" s="9">
        <v>1352</v>
      </c>
      <c r="T2698" s="9">
        <v>850.91666666666663</v>
      </c>
    </row>
    <row r="2699" spans="17:20" x14ac:dyDescent="0.25">
      <c r="Q2699" s="9"/>
      <c r="R2699" s="9"/>
      <c r="S2699" s="9"/>
      <c r="T2699" s="9"/>
    </row>
    <row r="2700" spans="17:20" x14ac:dyDescent="0.25">
      <c r="Q2700" s="14">
        <v>67</v>
      </c>
      <c r="R2700" s="14"/>
      <c r="S2700" s="14"/>
      <c r="T2700" s="14"/>
    </row>
    <row r="2701" spans="17:20" x14ac:dyDescent="0.25">
      <c r="Q2701" s="9" t="s">
        <v>52</v>
      </c>
      <c r="R2701" s="9">
        <v>2</v>
      </c>
      <c r="S2701" s="9">
        <v>2</v>
      </c>
      <c r="T2701" s="9">
        <v>4</v>
      </c>
    </row>
    <row r="2702" spans="17:20" x14ac:dyDescent="0.25">
      <c r="Q2702" s="9" t="s">
        <v>53</v>
      </c>
      <c r="R2702" s="9">
        <v>132</v>
      </c>
      <c r="S2702" s="9">
        <v>145</v>
      </c>
      <c r="T2702" s="9">
        <v>277</v>
      </c>
    </row>
    <row r="2703" spans="17:20" x14ac:dyDescent="0.25">
      <c r="Q2703" s="9" t="s">
        <v>54</v>
      </c>
      <c r="R2703" s="9">
        <v>66</v>
      </c>
      <c r="S2703" s="9">
        <v>72.5</v>
      </c>
      <c r="T2703" s="9">
        <v>69.25</v>
      </c>
    </row>
    <row r="2704" spans="17:20" x14ac:dyDescent="0.25">
      <c r="Q2704" s="9" t="s">
        <v>55</v>
      </c>
      <c r="R2704" s="9">
        <v>288</v>
      </c>
      <c r="S2704" s="9">
        <v>180.5</v>
      </c>
      <c r="T2704" s="9">
        <v>170.25</v>
      </c>
    </row>
    <row r="2705" spans="17:20" x14ac:dyDescent="0.25">
      <c r="Q2705" s="9"/>
      <c r="R2705" s="9"/>
      <c r="S2705" s="9"/>
      <c r="T2705" s="9"/>
    </row>
    <row r="2706" spans="17:20" x14ac:dyDescent="0.25">
      <c r="Q2706" s="14">
        <v>85</v>
      </c>
      <c r="R2706" s="14"/>
      <c r="S2706" s="14"/>
      <c r="T2706" s="14"/>
    </row>
    <row r="2707" spans="17:20" x14ac:dyDescent="0.25">
      <c r="Q2707" s="9" t="s">
        <v>52</v>
      </c>
      <c r="R2707" s="9">
        <v>2</v>
      </c>
      <c r="S2707" s="9">
        <v>2</v>
      </c>
      <c r="T2707" s="9">
        <v>4</v>
      </c>
    </row>
    <row r="2708" spans="17:20" x14ac:dyDescent="0.25">
      <c r="Q2708" s="9" t="s">
        <v>53</v>
      </c>
      <c r="R2708" s="9">
        <v>162</v>
      </c>
      <c r="S2708" s="9">
        <v>163</v>
      </c>
      <c r="T2708" s="9">
        <v>325</v>
      </c>
    </row>
    <row r="2709" spans="17:20" x14ac:dyDescent="0.25">
      <c r="Q2709" s="9" t="s">
        <v>54</v>
      </c>
      <c r="R2709" s="9">
        <v>81</v>
      </c>
      <c r="S2709" s="9">
        <v>81.5</v>
      </c>
      <c r="T2709" s="9">
        <v>81.25</v>
      </c>
    </row>
    <row r="2710" spans="17:20" x14ac:dyDescent="0.25">
      <c r="Q2710" s="9" t="s">
        <v>55</v>
      </c>
      <c r="R2710" s="9">
        <v>18</v>
      </c>
      <c r="S2710" s="9">
        <v>112.5</v>
      </c>
      <c r="T2710" s="9">
        <v>43.583333333333336</v>
      </c>
    </row>
    <row r="2711" spans="17:20" x14ac:dyDescent="0.25">
      <c r="Q2711" s="9"/>
      <c r="R2711" s="9"/>
      <c r="S2711" s="9"/>
      <c r="T2711" s="9"/>
    </row>
    <row r="2712" spans="17:20" x14ac:dyDescent="0.25">
      <c r="Q2712" s="14">
        <v>34</v>
      </c>
      <c r="R2712" s="14"/>
      <c r="S2712" s="14"/>
      <c r="T2712" s="14"/>
    </row>
    <row r="2713" spans="17:20" x14ac:dyDescent="0.25">
      <c r="Q2713" s="9" t="s">
        <v>52</v>
      </c>
      <c r="R2713" s="9">
        <v>2</v>
      </c>
      <c r="S2713" s="9">
        <v>2</v>
      </c>
      <c r="T2713" s="9">
        <v>4</v>
      </c>
    </row>
    <row r="2714" spans="17:20" x14ac:dyDescent="0.25">
      <c r="Q2714" s="9" t="s">
        <v>53</v>
      </c>
      <c r="R2714" s="9">
        <v>148</v>
      </c>
      <c r="S2714" s="9">
        <v>141</v>
      </c>
      <c r="T2714" s="9">
        <v>289</v>
      </c>
    </row>
    <row r="2715" spans="17:20" x14ac:dyDescent="0.25">
      <c r="Q2715" s="9" t="s">
        <v>54</v>
      </c>
      <c r="R2715" s="9">
        <v>74</v>
      </c>
      <c r="S2715" s="9">
        <v>70.5</v>
      </c>
      <c r="T2715" s="9">
        <v>72.25</v>
      </c>
    </row>
    <row r="2716" spans="17:20" x14ac:dyDescent="0.25">
      <c r="Q2716" s="9" t="s">
        <v>55</v>
      </c>
      <c r="R2716" s="9">
        <v>1352</v>
      </c>
      <c r="S2716" s="9">
        <v>1740.5</v>
      </c>
      <c r="T2716" s="9">
        <v>1034.9166666666667</v>
      </c>
    </row>
    <row r="2717" spans="17:20" x14ac:dyDescent="0.25">
      <c r="Q2717" s="9"/>
      <c r="R2717" s="9"/>
      <c r="S2717" s="9"/>
      <c r="T2717" s="9"/>
    </row>
    <row r="2718" spans="17:20" x14ac:dyDescent="0.25">
      <c r="Q2718" s="14">
        <v>67</v>
      </c>
      <c r="R2718" s="14"/>
      <c r="S2718" s="14"/>
      <c r="T2718" s="14"/>
    </row>
    <row r="2719" spans="17:20" x14ac:dyDescent="0.25">
      <c r="Q2719" s="9" t="s">
        <v>52</v>
      </c>
      <c r="R2719" s="9">
        <v>2</v>
      </c>
      <c r="S2719" s="9">
        <v>2</v>
      </c>
      <c r="T2719" s="9">
        <v>4</v>
      </c>
    </row>
    <row r="2720" spans="17:20" x14ac:dyDescent="0.25">
      <c r="Q2720" s="9" t="s">
        <v>53</v>
      </c>
      <c r="R2720" s="9">
        <v>161</v>
      </c>
      <c r="S2720" s="9">
        <v>161</v>
      </c>
      <c r="T2720" s="9">
        <v>322</v>
      </c>
    </row>
    <row r="2721" spans="17:20" x14ac:dyDescent="0.25">
      <c r="Q2721" s="9" t="s">
        <v>54</v>
      </c>
      <c r="R2721" s="9">
        <v>80.5</v>
      </c>
      <c r="S2721" s="9">
        <v>80.5</v>
      </c>
      <c r="T2721" s="9">
        <v>80.5</v>
      </c>
    </row>
    <row r="2722" spans="17:20" x14ac:dyDescent="0.25">
      <c r="Q2722" s="9" t="s">
        <v>55</v>
      </c>
      <c r="R2722" s="9">
        <v>24.5</v>
      </c>
      <c r="S2722" s="9">
        <v>24.5</v>
      </c>
      <c r="T2722" s="9">
        <v>16.333333333333332</v>
      </c>
    </row>
    <row r="2723" spans="17:20" x14ac:dyDescent="0.25">
      <c r="Q2723" s="9"/>
      <c r="R2723" s="9"/>
      <c r="S2723" s="9"/>
      <c r="T2723" s="9"/>
    </row>
    <row r="2724" spans="17:20" x14ac:dyDescent="0.25">
      <c r="Q2724" s="14">
        <v>57</v>
      </c>
      <c r="R2724" s="14"/>
      <c r="S2724" s="14"/>
      <c r="T2724" s="14"/>
    </row>
    <row r="2725" spans="17:20" x14ac:dyDescent="0.25">
      <c r="Q2725" s="9" t="s">
        <v>52</v>
      </c>
      <c r="R2725" s="9">
        <v>2</v>
      </c>
      <c r="S2725" s="9">
        <v>2</v>
      </c>
      <c r="T2725" s="9">
        <v>4</v>
      </c>
    </row>
    <row r="2726" spans="17:20" x14ac:dyDescent="0.25">
      <c r="Q2726" s="9" t="s">
        <v>53</v>
      </c>
      <c r="R2726" s="9">
        <v>132</v>
      </c>
      <c r="S2726" s="9">
        <v>142</v>
      </c>
      <c r="T2726" s="9">
        <v>274</v>
      </c>
    </row>
    <row r="2727" spans="17:20" x14ac:dyDescent="0.25">
      <c r="Q2727" s="9" t="s">
        <v>54</v>
      </c>
      <c r="R2727" s="9">
        <v>66</v>
      </c>
      <c r="S2727" s="9">
        <v>71</v>
      </c>
      <c r="T2727" s="9">
        <v>68.5</v>
      </c>
    </row>
    <row r="2728" spans="17:20" x14ac:dyDescent="0.25">
      <c r="Q2728" s="9" t="s">
        <v>55</v>
      </c>
      <c r="R2728" s="9">
        <v>648</v>
      </c>
      <c r="S2728" s="9">
        <v>800</v>
      </c>
      <c r="T2728" s="9">
        <v>491</v>
      </c>
    </row>
    <row r="2729" spans="17:20" x14ac:dyDescent="0.25">
      <c r="Q2729" s="9"/>
      <c r="R2729" s="9"/>
      <c r="S2729" s="9"/>
      <c r="T2729" s="9"/>
    </row>
    <row r="2730" spans="17:20" x14ac:dyDescent="0.25">
      <c r="Q2730" s="14">
        <v>67</v>
      </c>
      <c r="R2730" s="14"/>
      <c r="S2730" s="14"/>
      <c r="T2730" s="14"/>
    </row>
    <row r="2731" spans="17:20" x14ac:dyDescent="0.25">
      <c r="Q2731" s="9" t="s">
        <v>52</v>
      </c>
      <c r="R2731" s="9">
        <v>2</v>
      </c>
      <c r="S2731" s="9">
        <v>2</v>
      </c>
      <c r="T2731" s="9">
        <v>4</v>
      </c>
    </row>
    <row r="2732" spans="17:20" x14ac:dyDescent="0.25">
      <c r="Q2732" s="9" t="s">
        <v>53</v>
      </c>
      <c r="R2732" s="9">
        <v>139</v>
      </c>
      <c r="S2732" s="9">
        <v>142</v>
      </c>
      <c r="T2732" s="9">
        <v>281</v>
      </c>
    </row>
    <row r="2733" spans="17:20" x14ac:dyDescent="0.25">
      <c r="Q2733" s="9" t="s">
        <v>54</v>
      </c>
      <c r="R2733" s="9">
        <v>69.5</v>
      </c>
      <c r="S2733" s="9">
        <v>71</v>
      </c>
      <c r="T2733" s="9">
        <v>70.25</v>
      </c>
    </row>
    <row r="2734" spans="17:20" x14ac:dyDescent="0.25">
      <c r="Q2734" s="9" t="s">
        <v>55</v>
      </c>
      <c r="R2734" s="9">
        <v>60.5</v>
      </c>
      <c r="S2734" s="9">
        <v>2</v>
      </c>
      <c r="T2734" s="9">
        <v>21.583333333333332</v>
      </c>
    </row>
    <row r="2735" spans="17:20" x14ac:dyDescent="0.25">
      <c r="Q2735" s="9"/>
      <c r="R2735" s="9"/>
      <c r="S2735" s="9"/>
      <c r="T2735" s="9"/>
    </row>
    <row r="2736" spans="17:20" x14ac:dyDescent="0.25">
      <c r="Q2736" s="14">
        <v>50</v>
      </c>
      <c r="R2736" s="14"/>
      <c r="S2736" s="14"/>
      <c r="T2736" s="14"/>
    </row>
    <row r="2737" spans="17:20" x14ac:dyDescent="0.25">
      <c r="Q2737" s="9" t="s">
        <v>52</v>
      </c>
      <c r="R2737" s="9">
        <v>2</v>
      </c>
      <c r="S2737" s="9">
        <v>2</v>
      </c>
      <c r="T2737" s="9">
        <v>4</v>
      </c>
    </row>
    <row r="2738" spans="17:20" x14ac:dyDescent="0.25">
      <c r="Q2738" s="9" t="s">
        <v>53</v>
      </c>
      <c r="R2738" s="9">
        <v>126</v>
      </c>
      <c r="S2738" s="9">
        <v>130</v>
      </c>
      <c r="T2738" s="9">
        <v>256</v>
      </c>
    </row>
    <row r="2739" spans="17:20" x14ac:dyDescent="0.25">
      <c r="Q2739" s="9" t="s">
        <v>54</v>
      </c>
      <c r="R2739" s="9">
        <v>63</v>
      </c>
      <c r="S2739" s="9">
        <v>65</v>
      </c>
      <c r="T2739" s="9">
        <v>64</v>
      </c>
    </row>
    <row r="2740" spans="17:20" x14ac:dyDescent="0.25">
      <c r="Q2740" s="9" t="s">
        <v>55</v>
      </c>
      <c r="R2740" s="9">
        <v>882</v>
      </c>
      <c r="S2740" s="9">
        <v>578</v>
      </c>
      <c r="T2740" s="9">
        <v>488</v>
      </c>
    </row>
    <row r="2741" spans="17:20" x14ac:dyDescent="0.25">
      <c r="Q2741" s="9"/>
      <c r="R2741" s="9"/>
      <c r="S2741" s="9"/>
      <c r="T2741" s="9"/>
    </row>
    <row r="2742" spans="17:20" x14ac:dyDescent="0.25">
      <c r="Q2742" s="14">
        <v>52</v>
      </c>
      <c r="R2742" s="14"/>
      <c r="S2742" s="14"/>
      <c r="T2742" s="14"/>
    </row>
    <row r="2743" spans="17:20" x14ac:dyDescent="0.25">
      <c r="Q2743" s="9" t="s">
        <v>52</v>
      </c>
      <c r="R2743" s="9">
        <v>2</v>
      </c>
      <c r="S2743" s="9">
        <v>2</v>
      </c>
      <c r="T2743" s="9">
        <v>4</v>
      </c>
    </row>
    <row r="2744" spans="17:20" x14ac:dyDescent="0.25">
      <c r="Q2744" s="9" t="s">
        <v>53</v>
      </c>
      <c r="R2744" s="9">
        <v>123</v>
      </c>
      <c r="S2744" s="9">
        <v>132</v>
      </c>
      <c r="T2744" s="9">
        <v>255</v>
      </c>
    </row>
    <row r="2745" spans="17:20" x14ac:dyDescent="0.25">
      <c r="Q2745" s="9" t="s">
        <v>54</v>
      </c>
      <c r="R2745" s="9">
        <v>61.5</v>
      </c>
      <c r="S2745" s="9">
        <v>66</v>
      </c>
      <c r="T2745" s="9">
        <v>63.75</v>
      </c>
    </row>
    <row r="2746" spans="17:20" x14ac:dyDescent="0.25">
      <c r="Q2746" s="9" t="s">
        <v>55</v>
      </c>
      <c r="R2746" s="9">
        <v>0.5</v>
      </c>
      <c r="S2746" s="9">
        <v>0</v>
      </c>
      <c r="T2746" s="9">
        <v>6.916666666666667</v>
      </c>
    </row>
    <row r="2747" spans="17:20" x14ac:dyDescent="0.25">
      <c r="Q2747" s="9"/>
      <c r="R2747" s="9"/>
      <c r="S2747" s="9"/>
      <c r="T2747" s="9"/>
    </row>
    <row r="2748" spans="17:20" x14ac:dyDescent="0.25">
      <c r="Q2748" s="14">
        <v>46</v>
      </c>
      <c r="R2748" s="14"/>
      <c r="S2748" s="14"/>
      <c r="T2748" s="14"/>
    </row>
    <row r="2749" spans="17:20" x14ac:dyDescent="0.25">
      <c r="Q2749" s="9" t="s">
        <v>52</v>
      </c>
      <c r="R2749" s="9">
        <v>2</v>
      </c>
      <c r="S2749" s="9">
        <v>2</v>
      </c>
      <c r="T2749" s="9">
        <v>4</v>
      </c>
    </row>
    <row r="2750" spans="17:20" x14ac:dyDescent="0.25">
      <c r="Q2750" s="9" t="s">
        <v>53</v>
      </c>
      <c r="R2750" s="9">
        <v>131</v>
      </c>
      <c r="S2750" s="9">
        <v>121</v>
      </c>
      <c r="T2750" s="9">
        <v>252</v>
      </c>
    </row>
    <row r="2751" spans="17:20" x14ac:dyDescent="0.25">
      <c r="Q2751" s="9" t="s">
        <v>54</v>
      </c>
      <c r="R2751" s="9">
        <v>65.5</v>
      </c>
      <c r="S2751" s="9">
        <v>60.5</v>
      </c>
      <c r="T2751" s="9">
        <v>63</v>
      </c>
    </row>
    <row r="2752" spans="17:20" x14ac:dyDescent="0.25">
      <c r="Q2752" s="9" t="s">
        <v>55</v>
      </c>
      <c r="R2752" s="9">
        <v>40.5</v>
      </c>
      <c r="S2752" s="9">
        <v>60.5</v>
      </c>
      <c r="T2752" s="9">
        <v>42</v>
      </c>
    </row>
    <row r="2753" spans="17:20" x14ac:dyDescent="0.25">
      <c r="Q2753" s="9"/>
      <c r="R2753" s="9"/>
      <c r="S2753" s="9"/>
      <c r="T2753" s="9"/>
    </row>
    <row r="2754" spans="17:20" x14ac:dyDescent="0.25">
      <c r="Q2754" s="14">
        <v>100</v>
      </c>
      <c r="R2754" s="14"/>
      <c r="S2754" s="14"/>
      <c r="T2754" s="14"/>
    </row>
    <row r="2755" spans="17:20" x14ac:dyDescent="0.25">
      <c r="Q2755" s="9" t="s">
        <v>52</v>
      </c>
      <c r="R2755" s="9">
        <v>2</v>
      </c>
      <c r="S2755" s="9">
        <v>2</v>
      </c>
      <c r="T2755" s="9">
        <v>4</v>
      </c>
    </row>
    <row r="2756" spans="17:20" x14ac:dyDescent="0.25">
      <c r="Q2756" s="9" t="s">
        <v>53</v>
      </c>
      <c r="R2756" s="9">
        <v>161</v>
      </c>
      <c r="S2756" s="9">
        <v>152</v>
      </c>
      <c r="T2756" s="9">
        <v>313</v>
      </c>
    </row>
    <row r="2757" spans="17:20" x14ac:dyDescent="0.25">
      <c r="Q2757" s="9" t="s">
        <v>54</v>
      </c>
      <c r="R2757" s="9">
        <v>80.5</v>
      </c>
      <c r="S2757" s="9">
        <v>76</v>
      </c>
      <c r="T2757" s="9">
        <v>78.25</v>
      </c>
    </row>
    <row r="2758" spans="17:20" x14ac:dyDescent="0.25">
      <c r="Q2758" s="9" t="s">
        <v>55</v>
      </c>
      <c r="R2758" s="9">
        <v>760.5</v>
      </c>
      <c r="S2758" s="9">
        <v>1152</v>
      </c>
      <c r="T2758" s="9">
        <v>644.25</v>
      </c>
    </row>
    <row r="2759" spans="17:20" x14ac:dyDescent="0.25">
      <c r="Q2759" s="9"/>
      <c r="R2759" s="9"/>
      <c r="S2759" s="9"/>
      <c r="T2759" s="9"/>
    </row>
    <row r="2760" spans="17:20" x14ac:dyDescent="0.25">
      <c r="Q2760" s="14">
        <v>57</v>
      </c>
      <c r="R2760" s="14"/>
      <c r="S2760" s="14"/>
      <c r="T2760" s="14"/>
    </row>
    <row r="2761" spans="17:20" x14ac:dyDescent="0.25">
      <c r="Q2761" s="9" t="s">
        <v>52</v>
      </c>
      <c r="R2761" s="9">
        <v>2</v>
      </c>
      <c r="S2761" s="9">
        <v>2</v>
      </c>
      <c r="T2761" s="9">
        <v>4</v>
      </c>
    </row>
    <row r="2762" spans="17:20" x14ac:dyDescent="0.25">
      <c r="Q2762" s="9" t="s">
        <v>53</v>
      </c>
      <c r="R2762" s="9">
        <v>173</v>
      </c>
      <c r="S2762" s="9">
        <v>171</v>
      </c>
      <c r="T2762" s="9">
        <v>344</v>
      </c>
    </row>
    <row r="2763" spans="17:20" x14ac:dyDescent="0.25">
      <c r="Q2763" s="9" t="s">
        <v>54</v>
      </c>
      <c r="R2763" s="9">
        <v>86.5</v>
      </c>
      <c r="S2763" s="9">
        <v>85.5</v>
      </c>
      <c r="T2763" s="9">
        <v>86</v>
      </c>
    </row>
    <row r="2764" spans="17:20" x14ac:dyDescent="0.25">
      <c r="Q2764" s="9" t="s">
        <v>55</v>
      </c>
      <c r="R2764" s="9">
        <v>180.5</v>
      </c>
      <c r="S2764" s="9">
        <v>60.5</v>
      </c>
      <c r="T2764" s="9">
        <v>80.666666666666671</v>
      </c>
    </row>
    <row r="2765" spans="17:20" x14ac:dyDescent="0.25">
      <c r="Q2765" s="9"/>
      <c r="R2765" s="9"/>
      <c r="S2765" s="9"/>
      <c r="T2765" s="9"/>
    </row>
    <row r="2766" spans="17:20" x14ac:dyDescent="0.25">
      <c r="Q2766" s="14">
        <v>69</v>
      </c>
      <c r="R2766" s="14"/>
      <c r="S2766" s="14"/>
      <c r="T2766" s="14"/>
    </row>
    <row r="2767" spans="17:20" x14ac:dyDescent="0.25">
      <c r="Q2767" s="9" t="s">
        <v>52</v>
      </c>
      <c r="R2767" s="9">
        <v>2</v>
      </c>
      <c r="S2767" s="9">
        <v>2</v>
      </c>
      <c r="T2767" s="9">
        <v>4</v>
      </c>
    </row>
    <row r="2768" spans="17:20" x14ac:dyDescent="0.25">
      <c r="Q2768" s="9" t="s">
        <v>53</v>
      </c>
      <c r="R2768" s="9">
        <v>123</v>
      </c>
      <c r="S2768" s="9">
        <v>113</v>
      </c>
      <c r="T2768" s="9">
        <v>236</v>
      </c>
    </row>
    <row r="2769" spans="17:20" x14ac:dyDescent="0.25">
      <c r="Q2769" s="9" t="s">
        <v>54</v>
      </c>
      <c r="R2769" s="9">
        <v>61.5</v>
      </c>
      <c r="S2769" s="9">
        <v>56.5</v>
      </c>
      <c r="T2769" s="9">
        <v>59</v>
      </c>
    </row>
    <row r="2770" spans="17:20" x14ac:dyDescent="0.25">
      <c r="Q2770" s="9" t="s">
        <v>55</v>
      </c>
      <c r="R2770" s="9">
        <v>144.5</v>
      </c>
      <c r="S2770" s="9">
        <v>220.5</v>
      </c>
      <c r="T2770" s="9">
        <v>130</v>
      </c>
    </row>
    <row r="2771" spans="17:20" x14ac:dyDescent="0.25">
      <c r="Q2771" s="9"/>
      <c r="R2771" s="9"/>
      <c r="S2771" s="9"/>
      <c r="T2771" s="9"/>
    </row>
    <row r="2772" spans="17:20" x14ac:dyDescent="0.25">
      <c r="Q2772" s="14">
        <v>72</v>
      </c>
      <c r="R2772" s="14"/>
      <c r="S2772" s="14"/>
      <c r="T2772" s="14"/>
    </row>
    <row r="2773" spans="17:20" x14ac:dyDescent="0.25">
      <c r="Q2773" s="9" t="s">
        <v>52</v>
      </c>
      <c r="R2773" s="9">
        <v>2</v>
      </c>
      <c r="S2773" s="9">
        <v>2</v>
      </c>
      <c r="T2773" s="9">
        <v>4</v>
      </c>
    </row>
    <row r="2774" spans="17:20" x14ac:dyDescent="0.25">
      <c r="Q2774" s="9" t="s">
        <v>53</v>
      </c>
      <c r="R2774" s="9">
        <v>131</v>
      </c>
      <c r="S2774" s="9">
        <v>131</v>
      </c>
      <c r="T2774" s="9">
        <v>262</v>
      </c>
    </row>
    <row r="2775" spans="17:20" x14ac:dyDescent="0.25">
      <c r="Q2775" s="9" t="s">
        <v>54</v>
      </c>
      <c r="R2775" s="9">
        <v>65.5</v>
      </c>
      <c r="S2775" s="9">
        <v>65.5</v>
      </c>
      <c r="T2775" s="9">
        <v>65.5</v>
      </c>
    </row>
    <row r="2776" spans="17:20" x14ac:dyDescent="0.25">
      <c r="Q2776" s="9" t="s">
        <v>55</v>
      </c>
      <c r="R2776" s="9">
        <v>0.5</v>
      </c>
      <c r="S2776" s="9">
        <v>0.5</v>
      </c>
      <c r="T2776" s="9">
        <v>0.33333333333333331</v>
      </c>
    </row>
    <row r="2777" spans="17:20" x14ac:dyDescent="0.25">
      <c r="Q2777" s="9"/>
      <c r="R2777" s="9"/>
      <c r="S2777" s="9"/>
      <c r="T2777" s="9"/>
    </row>
    <row r="2778" spans="17:20" x14ac:dyDescent="0.25">
      <c r="Q2778" s="14">
        <v>74</v>
      </c>
      <c r="R2778" s="14"/>
      <c r="S2778" s="14"/>
      <c r="T2778" s="14"/>
    </row>
    <row r="2779" spans="17:20" x14ac:dyDescent="0.25">
      <c r="Q2779" s="9" t="s">
        <v>52</v>
      </c>
      <c r="R2779" s="9">
        <v>2</v>
      </c>
      <c r="S2779" s="9">
        <v>2</v>
      </c>
      <c r="T2779" s="9">
        <v>4</v>
      </c>
    </row>
    <row r="2780" spans="17:20" x14ac:dyDescent="0.25">
      <c r="Q2780" s="9" t="s">
        <v>53</v>
      </c>
      <c r="R2780" s="9">
        <v>134</v>
      </c>
      <c r="S2780" s="9">
        <v>129</v>
      </c>
      <c r="T2780" s="9">
        <v>263</v>
      </c>
    </row>
    <row r="2781" spans="17:20" x14ac:dyDescent="0.25">
      <c r="Q2781" s="9" t="s">
        <v>54</v>
      </c>
      <c r="R2781" s="9">
        <v>67</v>
      </c>
      <c r="S2781" s="9">
        <v>64.5</v>
      </c>
      <c r="T2781" s="9">
        <v>65.75</v>
      </c>
    </row>
    <row r="2782" spans="17:20" x14ac:dyDescent="0.25">
      <c r="Q2782" s="9" t="s">
        <v>55</v>
      </c>
      <c r="R2782" s="9">
        <v>18</v>
      </c>
      <c r="S2782" s="9">
        <v>40.5</v>
      </c>
      <c r="T2782" s="9">
        <v>21.583333333333332</v>
      </c>
    </row>
    <row r="2783" spans="17:20" x14ac:dyDescent="0.25">
      <c r="Q2783" s="9"/>
      <c r="R2783" s="9"/>
      <c r="S2783" s="9"/>
      <c r="T2783" s="9"/>
    </row>
    <row r="2784" spans="17:20" x14ac:dyDescent="0.25">
      <c r="Q2784" s="14">
        <v>64</v>
      </c>
      <c r="R2784" s="14"/>
      <c r="S2784" s="14"/>
      <c r="T2784" s="14"/>
    </row>
    <row r="2785" spans="17:20" x14ac:dyDescent="0.25">
      <c r="Q2785" s="9" t="s">
        <v>52</v>
      </c>
      <c r="R2785" s="9">
        <v>2</v>
      </c>
      <c r="S2785" s="9">
        <v>2</v>
      </c>
      <c r="T2785" s="9">
        <v>4</v>
      </c>
    </row>
    <row r="2786" spans="17:20" x14ac:dyDescent="0.25">
      <c r="Q2786" s="9" t="s">
        <v>53</v>
      </c>
      <c r="R2786" s="9">
        <v>117</v>
      </c>
      <c r="S2786" s="9">
        <v>123</v>
      </c>
      <c r="T2786" s="9">
        <v>240</v>
      </c>
    </row>
    <row r="2787" spans="17:20" x14ac:dyDescent="0.25">
      <c r="Q2787" s="9" t="s">
        <v>54</v>
      </c>
      <c r="R2787" s="9">
        <v>58.5</v>
      </c>
      <c r="S2787" s="9">
        <v>61.5</v>
      </c>
      <c r="T2787" s="9">
        <v>60</v>
      </c>
    </row>
    <row r="2788" spans="17:20" x14ac:dyDescent="0.25">
      <c r="Q2788" s="9" t="s">
        <v>55</v>
      </c>
      <c r="R2788" s="9">
        <v>12.5</v>
      </c>
      <c r="S2788" s="9">
        <v>180.5</v>
      </c>
      <c r="T2788" s="9">
        <v>67.333333333333329</v>
      </c>
    </row>
    <row r="2789" spans="17:20" x14ac:dyDescent="0.25">
      <c r="Q2789" s="9"/>
      <c r="R2789" s="9"/>
      <c r="S2789" s="9"/>
      <c r="T2789" s="9"/>
    </row>
    <row r="2790" spans="17:20" x14ac:dyDescent="0.25">
      <c r="Q2790" s="14">
        <v>46</v>
      </c>
      <c r="R2790" s="14"/>
      <c r="S2790" s="14"/>
      <c r="T2790" s="14"/>
    </row>
    <row r="2791" spans="17:20" x14ac:dyDescent="0.25">
      <c r="Q2791" s="9" t="s">
        <v>52</v>
      </c>
      <c r="R2791" s="9">
        <v>2</v>
      </c>
      <c r="S2791" s="9">
        <v>2</v>
      </c>
      <c r="T2791" s="9">
        <v>4</v>
      </c>
    </row>
    <row r="2792" spans="17:20" x14ac:dyDescent="0.25">
      <c r="Q2792" s="9" t="s">
        <v>53</v>
      </c>
      <c r="R2792" s="9">
        <v>99</v>
      </c>
      <c r="S2792" s="9">
        <v>95</v>
      </c>
      <c r="T2792" s="9">
        <v>194</v>
      </c>
    </row>
    <row r="2793" spans="17:20" x14ac:dyDescent="0.25">
      <c r="Q2793" s="9" t="s">
        <v>54</v>
      </c>
      <c r="R2793" s="9">
        <v>49.5</v>
      </c>
      <c r="S2793" s="9">
        <v>47.5</v>
      </c>
      <c r="T2793" s="9">
        <v>48.5</v>
      </c>
    </row>
    <row r="2794" spans="17:20" x14ac:dyDescent="0.25">
      <c r="Q2794" s="9" t="s">
        <v>55</v>
      </c>
      <c r="R2794" s="9">
        <v>84.5</v>
      </c>
      <c r="S2794" s="9">
        <v>24.5</v>
      </c>
      <c r="T2794" s="9">
        <v>37.666666666666664</v>
      </c>
    </row>
    <row r="2795" spans="17:20" x14ac:dyDescent="0.25">
      <c r="Q2795" s="9"/>
      <c r="R2795" s="9"/>
      <c r="S2795" s="9"/>
      <c r="T2795" s="9"/>
    </row>
    <row r="2796" spans="17:20" x14ac:dyDescent="0.25">
      <c r="Q2796" s="14">
        <v>67</v>
      </c>
      <c r="R2796" s="14"/>
      <c r="S2796" s="14"/>
      <c r="T2796" s="14"/>
    </row>
    <row r="2797" spans="17:20" x14ac:dyDescent="0.25">
      <c r="Q2797" s="9" t="s">
        <v>52</v>
      </c>
      <c r="R2797" s="9">
        <v>2</v>
      </c>
      <c r="S2797" s="9">
        <v>2</v>
      </c>
      <c r="T2797" s="9">
        <v>4</v>
      </c>
    </row>
    <row r="2798" spans="17:20" x14ac:dyDescent="0.25">
      <c r="Q2798" s="9" t="s">
        <v>53</v>
      </c>
      <c r="R2798" s="9">
        <v>131</v>
      </c>
      <c r="S2798" s="9">
        <v>132</v>
      </c>
      <c r="T2798" s="9">
        <v>263</v>
      </c>
    </row>
    <row r="2799" spans="17:20" x14ac:dyDescent="0.25">
      <c r="Q2799" s="9" t="s">
        <v>54</v>
      </c>
      <c r="R2799" s="9">
        <v>65.5</v>
      </c>
      <c r="S2799" s="9">
        <v>66</v>
      </c>
      <c r="T2799" s="9">
        <v>65.75</v>
      </c>
    </row>
    <row r="2800" spans="17:20" x14ac:dyDescent="0.25">
      <c r="Q2800" s="9" t="s">
        <v>55</v>
      </c>
      <c r="R2800" s="9">
        <v>144.5</v>
      </c>
      <c r="S2800" s="9">
        <v>32</v>
      </c>
      <c r="T2800" s="9">
        <v>58.916666666666664</v>
      </c>
    </row>
    <row r="2801" spans="17:20" x14ac:dyDescent="0.25">
      <c r="Q2801" s="9"/>
      <c r="R2801" s="9"/>
      <c r="S2801" s="9"/>
      <c r="T2801" s="9"/>
    </row>
    <row r="2802" spans="17:20" x14ac:dyDescent="0.25">
      <c r="Q2802" s="14">
        <v>61</v>
      </c>
      <c r="R2802" s="14"/>
      <c r="S2802" s="14"/>
      <c r="T2802" s="14"/>
    </row>
    <row r="2803" spans="17:20" x14ac:dyDescent="0.25">
      <c r="Q2803" s="9" t="s">
        <v>52</v>
      </c>
      <c r="R2803" s="9">
        <v>2</v>
      </c>
      <c r="S2803" s="9">
        <v>2</v>
      </c>
      <c r="T2803" s="9">
        <v>4</v>
      </c>
    </row>
    <row r="2804" spans="17:20" x14ac:dyDescent="0.25">
      <c r="Q2804" s="9" t="s">
        <v>53</v>
      </c>
      <c r="R2804" s="9">
        <v>146</v>
      </c>
      <c r="S2804" s="9">
        <v>147</v>
      </c>
      <c r="T2804" s="9">
        <v>293</v>
      </c>
    </row>
    <row r="2805" spans="17:20" x14ac:dyDescent="0.25">
      <c r="Q2805" s="9" t="s">
        <v>54</v>
      </c>
      <c r="R2805" s="9">
        <v>73</v>
      </c>
      <c r="S2805" s="9">
        <v>73.5</v>
      </c>
      <c r="T2805" s="9">
        <v>73.25</v>
      </c>
    </row>
    <row r="2806" spans="17:20" x14ac:dyDescent="0.25">
      <c r="Q2806" s="9" t="s">
        <v>55</v>
      </c>
      <c r="R2806" s="9">
        <v>8</v>
      </c>
      <c r="S2806" s="9">
        <v>0.5</v>
      </c>
      <c r="T2806" s="9">
        <v>2.9166666666666665</v>
      </c>
    </row>
    <row r="2807" spans="17:20" x14ac:dyDescent="0.25">
      <c r="Q2807" s="9"/>
      <c r="R2807" s="9"/>
      <c r="S2807" s="9"/>
      <c r="T2807" s="9"/>
    </row>
    <row r="2808" spans="17:20" x14ac:dyDescent="0.25">
      <c r="Q2808" s="14">
        <v>98</v>
      </c>
      <c r="R2808" s="14"/>
      <c r="S2808" s="14"/>
      <c r="T2808" s="14"/>
    </row>
    <row r="2809" spans="17:20" x14ac:dyDescent="0.25">
      <c r="Q2809" s="9" t="s">
        <v>52</v>
      </c>
      <c r="R2809" s="9">
        <v>2</v>
      </c>
      <c r="S2809" s="9">
        <v>2</v>
      </c>
      <c r="T2809" s="9">
        <v>4</v>
      </c>
    </row>
    <row r="2810" spans="17:20" x14ac:dyDescent="0.25">
      <c r="Q2810" s="9" t="s">
        <v>53</v>
      </c>
      <c r="R2810" s="9">
        <v>150</v>
      </c>
      <c r="S2810" s="9">
        <v>148</v>
      </c>
      <c r="T2810" s="9">
        <v>298</v>
      </c>
    </row>
    <row r="2811" spans="17:20" x14ac:dyDescent="0.25">
      <c r="Q2811" s="9" t="s">
        <v>54</v>
      </c>
      <c r="R2811" s="9">
        <v>75</v>
      </c>
      <c r="S2811" s="9">
        <v>74</v>
      </c>
      <c r="T2811" s="9">
        <v>74.5</v>
      </c>
    </row>
    <row r="2812" spans="17:20" x14ac:dyDescent="0.25">
      <c r="Q2812" s="9" t="s">
        <v>55</v>
      </c>
      <c r="R2812" s="9">
        <v>288</v>
      </c>
      <c r="S2812" s="9">
        <v>512</v>
      </c>
      <c r="T2812" s="9">
        <v>267</v>
      </c>
    </row>
    <row r="2813" spans="17:20" x14ac:dyDescent="0.25">
      <c r="Q2813" s="9"/>
      <c r="R2813" s="9"/>
      <c r="S2813" s="9"/>
      <c r="T2813" s="9"/>
    </row>
    <row r="2814" spans="17:20" x14ac:dyDescent="0.25">
      <c r="Q2814" s="14">
        <v>67</v>
      </c>
      <c r="R2814" s="14"/>
      <c r="S2814" s="14"/>
      <c r="T2814" s="14"/>
    </row>
    <row r="2815" spans="17:20" x14ac:dyDescent="0.25">
      <c r="Q2815" s="9" t="s">
        <v>52</v>
      </c>
      <c r="R2815" s="9">
        <v>2</v>
      </c>
      <c r="S2815" s="9">
        <v>2</v>
      </c>
      <c r="T2815" s="9">
        <v>4</v>
      </c>
    </row>
    <row r="2816" spans="17:20" x14ac:dyDescent="0.25">
      <c r="Q2816" s="9" t="s">
        <v>53</v>
      </c>
      <c r="R2816" s="9">
        <v>115</v>
      </c>
      <c r="S2816" s="9">
        <v>110</v>
      </c>
      <c r="T2816" s="9">
        <v>225</v>
      </c>
    </row>
    <row r="2817" spans="17:20" x14ac:dyDescent="0.25">
      <c r="Q2817" s="9" t="s">
        <v>54</v>
      </c>
      <c r="R2817" s="9">
        <v>57.5</v>
      </c>
      <c r="S2817" s="9">
        <v>55</v>
      </c>
      <c r="T2817" s="9">
        <v>56.25</v>
      </c>
    </row>
    <row r="2818" spans="17:20" x14ac:dyDescent="0.25">
      <c r="Q2818" s="9" t="s">
        <v>55</v>
      </c>
      <c r="R2818" s="9">
        <v>0.5</v>
      </c>
      <c r="S2818" s="9">
        <v>8</v>
      </c>
      <c r="T2818" s="9">
        <v>4.916666666666667</v>
      </c>
    </row>
    <row r="2819" spans="17:20" x14ac:dyDescent="0.25">
      <c r="Q2819" s="9"/>
      <c r="R2819" s="9"/>
      <c r="S2819" s="9"/>
      <c r="T2819" s="9"/>
    </row>
    <row r="2820" spans="17:20" x14ac:dyDescent="0.25">
      <c r="Q2820" s="14">
        <v>85</v>
      </c>
      <c r="R2820" s="14"/>
      <c r="S2820" s="14"/>
      <c r="T2820" s="14"/>
    </row>
    <row r="2821" spans="17:20" x14ac:dyDescent="0.25">
      <c r="Q2821" s="9" t="s">
        <v>52</v>
      </c>
      <c r="R2821" s="9">
        <v>2</v>
      </c>
      <c r="S2821" s="9">
        <v>2</v>
      </c>
      <c r="T2821" s="9">
        <v>4</v>
      </c>
    </row>
    <row r="2822" spans="17:20" x14ac:dyDescent="0.25">
      <c r="Q2822" s="9" t="s">
        <v>53</v>
      </c>
      <c r="R2822" s="9">
        <v>149</v>
      </c>
      <c r="S2822" s="9">
        <v>154</v>
      </c>
      <c r="T2822" s="9">
        <v>303</v>
      </c>
    </row>
    <row r="2823" spans="17:20" x14ac:dyDescent="0.25">
      <c r="Q2823" s="9" t="s">
        <v>54</v>
      </c>
      <c r="R2823" s="9">
        <v>74.5</v>
      </c>
      <c r="S2823" s="9">
        <v>77</v>
      </c>
      <c r="T2823" s="9">
        <v>75.75</v>
      </c>
    </row>
    <row r="2824" spans="17:20" x14ac:dyDescent="0.25">
      <c r="Q2824" s="9" t="s">
        <v>55</v>
      </c>
      <c r="R2824" s="9">
        <v>84.5</v>
      </c>
      <c r="S2824" s="9">
        <v>128</v>
      </c>
      <c r="T2824" s="9">
        <v>72.916666666666671</v>
      </c>
    </row>
    <row r="2825" spans="17:20" x14ac:dyDescent="0.25">
      <c r="Q2825" s="9"/>
      <c r="R2825" s="9"/>
      <c r="S2825" s="9"/>
      <c r="T2825" s="9"/>
    </row>
    <row r="2826" spans="17:20" x14ac:dyDescent="0.25">
      <c r="Q2826" s="14">
        <v>72</v>
      </c>
      <c r="R2826" s="14"/>
      <c r="S2826" s="14"/>
      <c r="T2826" s="14"/>
    </row>
    <row r="2827" spans="17:20" x14ac:dyDescent="0.25">
      <c r="Q2827" s="9" t="s">
        <v>52</v>
      </c>
      <c r="R2827" s="9">
        <v>2</v>
      </c>
      <c r="S2827" s="9">
        <v>2</v>
      </c>
      <c r="T2827" s="9">
        <v>4</v>
      </c>
    </row>
    <row r="2828" spans="17:20" x14ac:dyDescent="0.25">
      <c r="Q2828" s="9" t="s">
        <v>53</v>
      </c>
      <c r="R2828" s="9">
        <v>157</v>
      </c>
      <c r="S2828" s="9">
        <v>168</v>
      </c>
      <c r="T2828" s="9">
        <v>325</v>
      </c>
    </row>
    <row r="2829" spans="17:20" x14ac:dyDescent="0.25">
      <c r="Q2829" s="9" t="s">
        <v>54</v>
      </c>
      <c r="R2829" s="9">
        <v>78.5</v>
      </c>
      <c r="S2829" s="9">
        <v>84</v>
      </c>
      <c r="T2829" s="9">
        <v>81.25</v>
      </c>
    </row>
    <row r="2830" spans="17:20" x14ac:dyDescent="0.25">
      <c r="Q2830" s="9" t="s">
        <v>55</v>
      </c>
      <c r="R2830" s="9">
        <v>312.5</v>
      </c>
      <c r="S2830" s="9">
        <v>288</v>
      </c>
      <c r="T2830" s="9">
        <v>210.25</v>
      </c>
    </row>
    <row r="2831" spans="17:20" x14ac:dyDescent="0.25">
      <c r="Q2831" s="9"/>
      <c r="R2831" s="9"/>
      <c r="S2831" s="9"/>
      <c r="T2831" s="9"/>
    </row>
    <row r="2832" spans="17:20" x14ac:dyDescent="0.25">
      <c r="Q2832" s="14">
        <v>81</v>
      </c>
      <c r="R2832" s="14"/>
      <c r="S2832" s="14"/>
      <c r="T2832" s="14"/>
    </row>
    <row r="2833" spans="17:20" x14ac:dyDescent="0.25">
      <c r="Q2833" s="9" t="s">
        <v>52</v>
      </c>
      <c r="R2833" s="9">
        <v>2</v>
      </c>
      <c r="S2833" s="9">
        <v>2</v>
      </c>
      <c r="T2833" s="9">
        <v>4</v>
      </c>
    </row>
    <row r="2834" spans="17:20" x14ac:dyDescent="0.25">
      <c r="Q2834" s="9" t="s">
        <v>53</v>
      </c>
      <c r="R2834" s="9">
        <v>128</v>
      </c>
      <c r="S2834" s="9">
        <v>125</v>
      </c>
      <c r="T2834" s="9">
        <v>253</v>
      </c>
    </row>
    <row r="2835" spans="17:20" x14ac:dyDescent="0.25">
      <c r="Q2835" s="9" t="s">
        <v>54</v>
      </c>
      <c r="R2835" s="9">
        <v>64</v>
      </c>
      <c r="S2835" s="9">
        <v>62.5</v>
      </c>
      <c r="T2835" s="9">
        <v>63.25</v>
      </c>
    </row>
    <row r="2836" spans="17:20" x14ac:dyDescent="0.25">
      <c r="Q2836" s="9" t="s">
        <v>55</v>
      </c>
      <c r="R2836" s="9">
        <v>8</v>
      </c>
      <c r="S2836" s="9">
        <v>4.5</v>
      </c>
      <c r="T2836" s="9">
        <v>4.916666666666667</v>
      </c>
    </row>
    <row r="2837" spans="17:20" x14ac:dyDescent="0.25">
      <c r="Q2837" s="9"/>
      <c r="R2837" s="9"/>
      <c r="S2837" s="9"/>
      <c r="T2837" s="9"/>
    </row>
    <row r="2838" spans="17:20" x14ac:dyDescent="0.25">
      <c r="Q2838" s="14">
        <v>58</v>
      </c>
      <c r="R2838" s="14"/>
      <c r="S2838" s="14"/>
      <c r="T2838" s="14"/>
    </row>
    <row r="2839" spans="17:20" x14ac:dyDescent="0.25">
      <c r="Q2839" s="9" t="s">
        <v>52</v>
      </c>
      <c r="R2839" s="9">
        <v>2</v>
      </c>
      <c r="S2839" s="9">
        <v>2</v>
      </c>
      <c r="T2839" s="9">
        <v>4</v>
      </c>
    </row>
    <row r="2840" spans="17:20" x14ac:dyDescent="0.25">
      <c r="Q2840" s="9" t="s">
        <v>53</v>
      </c>
      <c r="R2840" s="9">
        <v>129</v>
      </c>
      <c r="S2840" s="9">
        <v>119</v>
      </c>
      <c r="T2840" s="9">
        <v>248</v>
      </c>
    </row>
    <row r="2841" spans="17:20" x14ac:dyDescent="0.25">
      <c r="Q2841" s="9" t="s">
        <v>54</v>
      </c>
      <c r="R2841" s="9">
        <v>64.5</v>
      </c>
      <c r="S2841" s="9">
        <v>59.5</v>
      </c>
      <c r="T2841" s="9">
        <v>62</v>
      </c>
    </row>
    <row r="2842" spans="17:20" x14ac:dyDescent="0.25">
      <c r="Q2842" s="9" t="s">
        <v>55</v>
      </c>
      <c r="R2842" s="9">
        <v>24.5</v>
      </c>
      <c r="S2842" s="9">
        <v>4.5</v>
      </c>
      <c r="T2842" s="9">
        <v>18</v>
      </c>
    </row>
    <row r="2843" spans="17:20" x14ac:dyDescent="0.25">
      <c r="Q2843" s="9"/>
      <c r="R2843" s="9"/>
      <c r="S2843" s="9"/>
      <c r="T2843" s="9"/>
    </row>
    <row r="2844" spans="17:20" x14ac:dyDescent="0.25">
      <c r="Q2844" s="14">
        <v>82</v>
      </c>
      <c r="R2844" s="14"/>
      <c r="S2844" s="14"/>
      <c r="T2844" s="14"/>
    </row>
    <row r="2845" spans="17:20" x14ac:dyDescent="0.25">
      <c r="Q2845" s="9" t="s">
        <v>52</v>
      </c>
      <c r="R2845" s="9">
        <v>2</v>
      </c>
      <c r="S2845" s="9">
        <v>2</v>
      </c>
      <c r="T2845" s="9">
        <v>4</v>
      </c>
    </row>
    <row r="2846" spans="17:20" x14ac:dyDescent="0.25">
      <c r="Q2846" s="9" t="s">
        <v>53</v>
      </c>
      <c r="R2846" s="9">
        <v>140</v>
      </c>
      <c r="S2846" s="9">
        <v>140</v>
      </c>
      <c r="T2846" s="9">
        <v>280</v>
      </c>
    </row>
    <row r="2847" spans="17:20" x14ac:dyDescent="0.25">
      <c r="Q2847" s="9" t="s">
        <v>54</v>
      </c>
      <c r="R2847" s="9">
        <v>70</v>
      </c>
      <c r="S2847" s="9">
        <v>70</v>
      </c>
      <c r="T2847" s="9">
        <v>70</v>
      </c>
    </row>
    <row r="2848" spans="17:20" x14ac:dyDescent="0.25">
      <c r="Q2848" s="9" t="s">
        <v>55</v>
      </c>
      <c r="R2848" s="9">
        <v>288</v>
      </c>
      <c r="S2848" s="9">
        <v>200</v>
      </c>
      <c r="T2848" s="9">
        <v>162.66666666666666</v>
      </c>
    </row>
    <row r="2849" spans="17:20" x14ac:dyDescent="0.25">
      <c r="Q2849" s="9"/>
      <c r="R2849" s="9"/>
      <c r="S2849" s="9"/>
      <c r="T2849" s="9"/>
    </row>
    <row r="2850" spans="17:20" x14ac:dyDescent="0.25">
      <c r="Q2850" s="14">
        <v>49</v>
      </c>
      <c r="R2850" s="14"/>
      <c r="S2850" s="14"/>
      <c r="T2850" s="14"/>
    </row>
    <row r="2851" spans="17:20" x14ac:dyDescent="0.25">
      <c r="Q2851" s="9" t="s">
        <v>52</v>
      </c>
      <c r="R2851" s="9">
        <v>2</v>
      </c>
      <c r="S2851" s="9">
        <v>2</v>
      </c>
      <c r="T2851" s="9">
        <v>4</v>
      </c>
    </row>
    <row r="2852" spans="17:20" x14ac:dyDescent="0.25">
      <c r="Q2852" s="9" t="s">
        <v>53</v>
      </c>
      <c r="R2852" s="9">
        <v>125</v>
      </c>
      <c r="S2852" s="9">
        <v>125</v>
      </c>
      <c r="T2852" s="9">
        <v>250</v>
      </c>
    </row>
    <row r="2853" spans="17:20" x14ac:dyDescent="0.25">
      <c r="Q2853" s="9" t="s">
        <v>54</v>
      </c>
      <c r="R2853" s="9">
        <v>62.5</v>
      </c>
      <c r="S2853" s="9">
        <v>62.5</v>
      </c>
      <c r="T2853" s="9">
        <v>62.5</v>
      </c>
    </row>
    <row r="2854" spans="17:20" x14ac:dyDescent="0.25">
      <c r="Q2854" s="9" t="s">
        <v>55</v>
      </c>
      <c r="R2854" s="9">
        <v>312.5</v>
      </c>
      <c r="S2854" s="9">
        <v>220.5</v>
      </c>
      <c r="T2854" s="9">
        <v>177.66666666666666</v>
      </c>
    </row>
    <row r="2855" spans="17:20" x14ac:dyDescent="0.25">
      <c r="Q2855" s="9"/>
      <c r="R2855" s="9"/>
      <c r="S2855" s="9"/>
      <c r="T2855" s="9"/>
    </row>
    <row r="2856" spans="17:20" x14ac:dyDescent="0.25">
      <c r="Q2856" s="14">
        <v>94</v>
      </c>
      <c r="R2856" s="14"/>
      <c r="S2856" s="14"/>
      <c r="T2856" s="14"/>
    </row>
    <row r="2857" spans="17:20" x14ac:dyDescent="0.25">
      <c r="Q2857" s="9" t="s">
        <v>52</v>
      </c>
      <c r="R2857" s="9">
        <v>2</v>
      </c>
      <c r="S2857" s="9">
        <v>2</v>
      </c>
      <c r="T2857" s="9">
        <v>4</v>
      </c>
    </row>
    <row r="2858" spans="17:20" x14ac:dyDescent="0.25">
      <c r="Q2858" s="9" t="s">
        <v>53</v>
      </c>
      <c r="R2858" s="9">
        <v>150</v>
      </c>
      <c r="S2858" s="9">
        <v>154</v>
      </c>
      <c r="T2858" s="9">
        <v>304</v>
      </c>
    </row>
    <row r="2859" spans="17:20" x14ac:dyDescent="0.25">
      <c r="Q2859" s="9" t="s">
        <v>54</v>
      </c>
      <c r="R2859" s="9">
        <v>75</v>
      </c>
      <c r="S2859" s="9">
        <v>77</v>
      </c>
      <c r="T2859" s="9">
        <v>76</v>
      </c>
    </row>
    <row r="2860" spans="17:20" x14ac:dyDescent="0.25">
      <c r="Q2860" s="9" t="s">
        <v>55</v>
      </c>
      <c r="R2860" s="9">
        <v>8</v>
      </c>
      <c r="S2860" s="9">
        <v>72</v>
      </c>
      <c r="T2860" s="9">
        <v>28</v>
      </c>
    </row>
    <row r="2861" spans="17:20" x14ac:dyDescent="0.25">
      <c r="Q2861" s="9"/>
      <c r="R2861" s="9"/>
      <c r="S2861" s="9"/>
      <c r="T2861" s="9"/>
    </row>
    <row r="2862" spans="17:20" x14ac:dyDescent="0.25">
      <c r="Q2862" s="14">
        <v>74</v>
      </c>
      <c r="R2862" s="14"/>
      <c r="S2862" s="14"/>
      <c r="T2862" s="14"/>
    </row>
    <row r="2863" spans="17:20" x14ac:dyDescent="0.25">
      <c r="Q2863" s="9" t="s">
        <v>52</v>
      </c>
      <c r="R2863" s="9">
        <v>2</v>
      </c>
      <c r="S2863" s="9">
        <v>2</v>
      </c>
      <c r="T2863" s="9">
        <v>4</v>
      </c>
    </row>
    <row r="2864" spans="17:20" x14ac:dyDescent="0.25">
      <c r="Q2864" s="9" t="s">
        <v>53</v>
      </c>
      <c r="R2864" s="9">
        <v>126</v>
      </c>
      <c r="S2864" s="9">
        <v>126</v>
      </c>
      <c r="T2864" s="9">
        <v>252</v>
      </c>
    </row>
    <row r="2865" spans="17:20" x14ac:dyDescent="0.25">
      <c r="Q2865" s="9" t="s">
        <v>54</v>
      </c>
      <c r="R2865" s="9">
        <v>63</v>
      </c>
      <c r="S2865" s="9">
        <v>63</v>
      </c>
      <c r="T2865" s="9">
        <v>63</v>
      </c>
    </row>
    <row r="2866" spans="17:20" x14ac:dyDescent="0.25">
      <c r="Q2866" s="9" t="s">
        <v>55</v>
      </c>
      <c r="R2866" s="9">
        <v>242</v>
      </c>
      <c r="S2866" s="9">
        <v>162</v>
      </c>
      <c r="T2866" s="9">
        <v>134.66666666666666</v>
      </c>
    </row>
    <row r="2867" spans="17:20" x14ac:dyDescent="0.25">
      <c r="Q2867" s="9"/>
      <c r="R2867" s="9"/>
      <c r="S2867" s="9"/>
      <c r="T2867" s="9"/>
    </row>
    <row r="2868" spans="17:20" x14ac:dyDescent="0.25">
      <c r="Q2868" s="14">
        <v>62</v>
      </c>
      <c r="R2868" s="14"/>
      <c r="S2868" s="14"/>
      <c r="T2868" s="14"/>
    </row>
    <row r="2869" spans="17:20" x14ac:dyDescent="0.25">
      <c r="Q2869" s="9" t="s">
        <v>52</v>
      </c>
      <c r="R2869" s="9">
        <v>2</v>
      </c>
      <c r="S2869" s="9">
        <v>2</v>
      </c>
      <c r="T2869" s="9">
        <v>4</v>
      </c>
    </row>
    <row r="2870" spans="17:20" x14ac:dyDescent="0.25">
      <c r="Q2870" s="9" t="s">
        <v>53</v>
      </c>
      <c r="R2870" s="9">
        <v>126</v>
      </c>
      <c r="S2870" s="9">
        <v>131</v>
      </c>
      <c r="T2870" s="9">
        <v>257</v>
      </c>
    </row>
    <row r="2871" spans="17:20" x14ac:dyDescent="0.25">
      <c r="Q2871" s="9" t="s">
        <v>54</v>
      </c>
      <c r="R2871" s="9">
        <v>63</v>
      </c>
      <c r="S2871" s="9">
        <v>65.5</v>
      </c>
      <c r="T2871" s="9">
        <v>64.25</v>
      </c>
    </row>
    <row r="2872" spans="17:20" x14ac:dyDescent="0.25">
      <c r="Q2872" s="9" t="s">
        <v>55</v>
      </c>
      <c r="R2872" s="9">
        <v>72</v>
      </c>
      <c r="S2872" s="9">
        <v>24.5</v>
      </c>
      <c r="T2872" s="9">
        <v>34.25</v>
      </c>
    </row>
    <row r="2873" spans="17:20" x14ac:dyDescent="0.25">
      <c r="Q2873" s="9"/>
      <c r="R2873" s="9"/>
      <c r="S2873" s="9"/>
      <c r="T2873" s="9"/>
    </row>
    <row r="2874" spans="17:20" x14ac:dyDescent="0.25">
      <c r="Q2874" s="14">
        <v>84</v>
      </c>
      <c r="R2874" s="14"/>
      <c r="S2874" s="14"/>
      <c r="T2874" s="14"/>
    </row>
    <row r="2875" spans="17:20" x14ac:dyDescent="0.25">
      <c r="Q2875" s="9" t="s">
        <v>52</v>
      </c>
      <c r="R2875" s="9">
        <v>2</v>
      </c>
      <c r="S2875" s="9">
        <v>2</v>
      </c>
      <c r="T2875" s="9">
        <v>4</v>
      </c>
    </row>
    <row r="2876" spans="17:20" x14ac:dyDescent="0.25">
      <c r="Q2876" s="9" t="s">
        <v>53</v>
      </c>
      <c r="R2876" s="9">
        <v>187</v>
      </c>
      <c r="S2876" s="9">
        <v>181</v>
      </c>
      <c r="T2876" s="9">
        <v>368</v>
      </c>
    </row>
    <row r="2877" spans="17:20" x14ac:dyDescent="0.25">
      <c r="Q2877" s="9" t="s">
        <v>54</v>
      </c>
      <c r="R2877" s="9">
        <v>93.5</v>
      </c>
      <c r="S2877" s="9">
        <v>90.5</v>
      </c>
      <c r="T2877" s="9">
        <v>92</v>
      </c>
    </row>
    <row r="2878" spans="17:20" x14ac:dyDescent="0.25">
      <c r="Q2878" s="9" t="s">
        <v>55</v>
      </c>
      <c r="R2878" s="9">
        <v>84.5</v>
      </c>
      <c r="S2878" s="9">
        <v>180.5</v>
      </c>
      <c r="T2878" s="9">
        <v>91.333333333333329</v>
      </c>
    </row>
    <row r="2879" spans="17:20" x14ac:dyDescent="0.25">
      <c r="Q2879" s="9"/>
      <c r="R2879" s="9"/>
      <c r="S2879" s="9"/>
      <c r="T2879" s="9"/>
    </row>
    <row r="2880" spans="17:20" x14ac:dyDescent="0.25">
      <c r="Q2880" s="14">
        <v>45</v>
      </c>
      <c r="R2880" s="14"/>
      <c r="S2880" s="14"/>
      <c r="T2880" s="14"/>
    </row>
    <row r="2881" spans="17:20" x14ac:dyDescent="0.25">
      <c r="Q2881" s="9" t="s">
        <v>52</v>
      </c>
      <c r="R2881" s="9">
        <v>2</v>
      </c>
      <c r="S2881" s="9">
        <v>2</v>
      </c>
      <c r="T2881" s="9">
        <v>4</v>
      </c>
    </row>
    <row r="2882" spans="17:20" x14ac:dyDescent="0.25">
      <c r="Q2882" s="9" t="s">
        <v>53</v>
      </c>
      <c r="R2882" s="9">
        <v>144</v>
      </c>
      <c r="S2882" s="9">
        <v>130</v>
      </c>
      <c r="T2882" s="9">
        <v>274</v>
      </c>
    </row>
    <row r="2883" spans="17:20" x14ac:dyDescent="0.25">
      <c r="Q2883" s="9" t="s">
        <v>54</v>
      </c>
      <c r="R2883" s="9">
        <v>72</v>
      </c>
      <c r="S2883" s="9">
        <v>65</v>
      </c>
      <c r="T2883" s="9">
        <v>68.5</v>
      </c>
    </row>
    <row r="2884" spans="17:20" x14ac:dyDescent="0.25">
      <c r="Q2884" s="9" t="s">
        <v>55</v>
      </c>
      <c r="R2884" s="9">
        <v>162</v>
      </c>
      <c r="S2884" s="9">
        <v>72</v>
      </c>
      <c r="T2884" s="9">
        <v>94.333333333333329</v>
      </c>
    </row>
    <row r="2885" spans="17:20" x14ac:dyDescent="0.25">
      <c r="Q2885" s="9"/>
      <c r="R2885" s="9"/>
      <c r="S2885" s="9"/>
      <c r="T2885" s="9"/>
    </row>
    <row r="2886" spans="17:20" x14ac:dyDescent="0.25">
      <c r="Q2886" s="14">
        <v>56</v>
      </c>
      <c r="R2886" s="14"/>
      <c r="S2886" s="14"/>
      <c r="T2886" s="14"/>
    </row>
    <row r="2887" spans="17:20" x14ac:dyDescent="0.25">
      <c r="Q2887" s="9" t="s">
        <v>52</v>
      </c>
      <c r="R2887" s="9">
        <v>2</v>
      </c>
      <c r="S2887" s="9">
        <v>2</v>
      </c>
      <c r="T2887" s="9">
        <v>4</v>
      </c>
    </row>
    <row r="2888" spans="17:20" x14ac:dyDescent="0.25">
      <c r="Q2888" s="9" t="s">
        <v>53</v>
      </c>
      <c r="R2888" s="9">
        <v>112</v>
      </c>
      <c r="S2888" s="9">
        <v>117</v>
      </c>
      <c r="T2888" s="9">
        <v>229</v>
      </c>
    </row>
    <row r="2889" spans="17:20" x14ac:dyDescent="0.25">
      <c r="Q2889" s="9" t="s">
        <v>54</v>
      </c>
      <c r="R2889" s="9">
        <v>56</v>
      </c>
      <c r="S2889" s="9">
        <v>58.5</v>
      </c>
      <c r="T2889" s="9">
        <v>57.25</v>
      </c>
    </row>
    <row r="2890" spans="17:20" x14ac:dyDescent="0.25">
      <c r="Q2890" s="9" t="s">
        <v>55</v>
      </c>
      <c r="R2890" s="9">
        <v>8</v>
      </c>
      <c r="S2890" s="9">
        <v>60.5</v>
      </c>
      <c r="T2890" s="9">
        <v>24.916666666666668</v>
      </c>
    </row>
    <row r="2891" spans="17:20" x14ac:dyDescent="0.25">
      <c r="Q2891" s="9"/>
      <c r="R2891" s="9"/>
      <c r="S2891" s="9"/>
      <c r="T2891" s="9"/>
    </row>
    <row r="2892" spans="17:20" x14ac:dyDescent="0.25">
      <c r="Q2892" s="14">
        <v>100</v>
      </c>
      <c r="R2892" s="14"/>
      <c r="S2892" s="14"/>
      <c r="T2892" s="14"/>
    </row>
    <row r="2893" spans="17:20" x14ac:dyDescent="0.25">
      <c r="Q2893" s="9" t="s">
        <v>52</v>
      </c>
      <c r="R2893" s="9">
        <v>2</v>
      </c>
      <c r="S2893" s="9">
        <v>2</v>
      </c>
      <c r="T2893" s="9">
        <v>4</v>
      </c>
    </row>
    <row r="2894" spans="17:20" x14ac:dyDescent="0.25">
      <c r="Q2894" s="9" t="s">
        <v>53</v>
      </c>
      <c r="R2894" s="9">
        <v>176</v>
      </c>
      <c r="S2894" s="9">
        <v>175</v>
      </c>
      <c r="T2894" s="9">
        <v>351</v>
      </c>
    </row>
    <row r="2895" spans="17:20" x14ac:dyDescent="0.25">
      <c r="Q2895" s="9" t="s">
        <v>54</v>
      </c>
      <c r="R2895" s="9">
        <v>88</v>
      </c>
      <c r="S2895" s="9">
        <v>87.5</v>
      </c>
      <c r="T2895" s="9">
        <v>87.75</v>
      </c>
    </row>
    <row r="2896" spans="17:20" x14ac:dyDescent="0.25">
      <c r="Q2896" s="9" t="s">
        <v>55</v>
      </c>
      <c r="R2896" s="9">
        <v>288</v>
      </c>
      <c r="S2896" s="9">
        <v>312.5</v>
      </c>
      <c r="T2896" s="9">
        <v>200.25</v>
      </c>
    </row>
    <row r="2897" spans="17:20" x14ac:dyDescent="0.25">
      <c r="Q2897" s="9"/>
      <c r="R2897" s="9"/>
      <c r="S2897" s="9"/>
      <c r="T2897" s="9"/>
    </row>
    <row r="2898" spans="17:20" x14ac:dyDescent="0.25">
      <c r="Q2898" s="14">
        <v>72</v>
      </c>
      <c r="R2898" s="14"/>
      <c r="S2898" s="14"/>
      <c r="T2898" s="14"/>
    </row>
    <row r="2899" spans="17:20" x14ac:dyDescent="0.25">
      <c r="Q2899" s="9" t="s">
        <v>52</v>
      </c>
      <c r="R2899" s="9">
        <v>2</v>
      </c>
      <c r="S2899" s="9">
        <v>2</v>
      </c>
      <c r="T2899" s="9">
        <v>4</v>
      </c>
    </row>
    <row r="2900" spans="17:20" x14ac:dyDescent="0.25">
      <c r="Q2900" s="9" t="s">
        <v>53</v>
      </c>
      <c r="R2900" s="9">
        <v>127</v>
      </c>
      <c r="S2900" s="9">
        <v>130</v>
      </c>
      <c r="T2900" s="9">
        <v>257</v>
      </c>
    </row>
    <row r="2901" spans="17:20" x14ac:dyDescent="0.25">
      <c r="Q2901" s="9" t="s">
        <v>54</v>
      </c>
      <c r="R2901" s="9">
        <v>63.5</v>
      </c>
      <c r="S2901" s="9">
        <v>65</v>
      </c>
      <c r="T2901" s="9">
        <v>64.25</v>
      </c>
    </row>
    <row r="2902" spans="17:20" x14ac:dyDescent="0.25">
      <c r="Q2902" s="9" t="s">
        <v>55</v>
      </c>
      <c r="R2902" s="9">
        <v>84.5</v>
      </c>
      <c r="S2902" s="9">
        <v>98</v>
      </c>
      <c r="T2902" s="9">
        <v>61.583333333333336</v>
      </c>
    </row>
    <row r="2903" spans="17:20" x14ac:dyDescent="0.25">
      <c r="Q2903" s="9"/>
      <c r="R2903" s="9"/>
      <c r="S2903" s="9"/>
      <c r="T2903" s="9"/>
    </row>
    <row r="2904" spans="17:20" x14ac:dyDescent="0.25">
      <c r="Q2904" s="14">
        <v>66</v>
      </c>
      <c r="R2904" s="14"/>
      <c r="S2904" s="14"/>
      <c r="T2904" s="14"/>
    </row>
    <row r="2905" spans="17:20" x14ac:dyDescent="0.25">
      <c r="Q2905" s="9" t="s">
        <v>52</v>
      </c>
      <c r="R2905" s="9">
        <v>2</v>
      </c>
      <c r="S2905" s="9">
        <v>2</v>
      </c>
      <c r="T2905" s="9">
        <v>4</v>
      </c>
    </row>
    <row r="2906" spans="17:20" x14ac:dyDescent="0.25">
      <c r="Q2906" s="9" t="s">
        <v>53</v>
      </c>
      <c r="R2906" s="9">
        <v>131</v>
      </c>
      <c r="S2906" s="9">
        <v>124</v>
      </c>
      <c r="T2906" s="9">
        <v>255</v>
      </c>
    </row>
    <row r="2907" spans="17:20" x14ac:dyDescent="0.25">
      <c r="Q2907" s="9" t="s">
        <v>54</v>
      </c>
      <c r="R2907" s="9">
        <v>65.5</v>
      </c>
      <c r="S2907" s="9">
        <v>62</v>
      </c>
      <c r="T2907" s="9">
        <v>63.75</v>
      </c>
    </row>
    <row r="2908" spans="17:20" x14ac:dyDescent="0.25">
      <c r="Q2908" s="9" t="s">
        <v>55</v>
      </c>
      <c r="R2908" s="9">
        <v>12.5</v>
      </c>
      <c r="S2908" s="9">
        <v>8</v>
      </c>
      <c r="T2908" s="9">
        <v>10.916666666666666</v>
      </c>
    </row>
    <row r="2909" spans="17:20" x14ac:dyDescent="0.25">
      <c r="Q2909" s="9"/>
      <c r="R2909" s="9"/>
      <c r="S2909" s="9"/>
      <c r="T2909" s="9"/>
    </row>
    <row r="2910" spans="17:20" x14ac:dyDescent="0.25">
      <c r="Q2910" s="14">
        <v>68</v>
      </c>
      <c r="R2910" s="14"/>
      <c r="S2910" s="14"/>
      <c r="T2910" s="14"/>
    </row>
    <row r="2911" spans="17:20" x14ac:dyDescent="0.25">
      <c r="Q2911" s="9" t="s">
        <v>52</v>
      </c>
      <c r="R2911" s="9">
        <v>2</v>
      </c>
      <c r="S2911" s="9">
        <v>2</v>
      </c>
      <c r="T2911" s="9">
        <v>4</v>
      </c>
    </row>
    <row r="2912" spans="17:20" x14ac:dyDescent="0.25">
      <c r="Q2912" s="9" t="s">
        <v>53</v>
      </c>
      <c r="R2912" s="9">
        <v>160</v>
      </c>
      <c r="S2912" s="9">
        <v>147</v>
      </c>
      <c r="T2912" s="9">
        <v>307</v>
      </c>
    </row>
    <row r="2913" spans="17:20" x14ac:dyDescent="0.25">
      <c r="Q2913" s="9" t="s">
        <v>54</v>
      </c>
      <c r="R2913" s="9">
        <v>80</v>
      </c>
      <c r="S2913" s="9">
        <v>73.5</v>
      </c>
      <c r="T2913" s="9">
        <v>76.75</v>
      </c>
    </row>
    <row r="2914" spans="17:20" x14ac:dyDescent="0.25">
      <c r="Q2914" s="9" t="s">
        <v>55</v>
      </c>
      <c r="R2914" s="9">
        <v>32</v>
      </c>
      <c r="S2914" s="9">
        <v>84.5</v>
      </c>
      <c r="T2914" s="9">
        <v>52.916666666666664</v>
      </c>
    </row>
    <row r="2915" spans="17:20" x14ac:dyDescent="0.25">
      <c r="Q2915" s="9"/>
      <c r="R2915" s="9"/>
      <c r="S2915" s="9"/>
      <c r="T2915" s="9"/>
    </row>
    <row r="2916" spans="17:20" x14ac:dyDescent="0.25">
      <c r="Q2916" s="14">
        <v>89</v>
      </c>
      <c r="R2916" s="14"/>
      <c r="S2916" s="14"/>
      <c r="T2916" s="14"/>
    </row>
    <row r="2917" spans="17:20" x14ac:dyDescent="0.25">
      <c r="Q2917" s="9" t="s">
        <v>52</v>
      </c>
      <c r="R2917" s="9">
        <v>2</v>
      </c>
      <c r="S2917" s="9">
        <v>2</v>
      </c>
      <c r="T2917" s="9">
        <v>4</v>
      </c>
    </row>
    <row r="2918" spans="17:20" x14ac:dyDescent="0.25">
      <c r="Q2918" s="9" t="s">
        <v>53</v>
      </c>
      <c r="R2918" s="9">
        <v>172</v>
      </c>
      <c r="S2918" s="9">
        <v>169</v>
      </c>
      <c r="T2918" s="9">
        <v>341</v>
      </c>
    </row>
    <row r="2919" spans="17:20" x14ac:dyDescent="0.25">
      <c r="Q2919" s="9" t="s">
        <v>54</v>
      </c>
      <c r="R2919" s="9">
        <v>86</v>
      </c>
      <c r="S2919" s="9">
        <v>84.5</v>
      </c>
      <c r="T2919" s="9">
        <v>85.25</v>
      </c>
    </row>
    <row r="2920" spans="17:20" x14ac:dyDescent="0.25">
      <c r="Q2920" s="9" t="s">
        <v>55</v>
      </c>
      <c r="R2920" s="9">
        <v>392</v>
      </c>
      <c r="S2920" s="9">
        <v>480.5</v>
      </c>
      <c r="T2920" s="9">
        <v>291.58333333333331</v>
      </c>
    </row>
    <row r="2921" spans="17:20" x14ac:dyDescent="0.25">
      <c r="Q2921" s="9"/>
      <c r="R2921" s="9"/>
      <c r="S2921" s="9"/>
      <c r="T2921" s="9"/>
    </row>
    <row r="2922" spans="17:20" x14ac:dyDescent="0.25">
      <c r="Q2922" s="14">
        <v>53</v>
      </c>
      <c r="R2922" s="14"/>
      <c r="S2922" s="14"/>
      <c r="T2922" s="14"/>
    </row>
    <row r="2923" spans="17:20" x14ac:dyDescent="0.25">
      <c r="Q2923" s="9" t="s">
        <v>52</v>
      </c>
      <c r="R2923" s="9">
        <v>2</v>
      </c>
      <c r="S2923" s="9">
        <v>2</v>
      </c>
      <c r="T2923" s="9">
        <v>4</v>
      </c>
    </row>
    <row r="2924" spans="17:20" x14ac:dyDescent="0.25">
      <c r="Q2924" s="9" t="s">
        <v>53</v>
      </c>
      <c r="R2924" s="9">
        <v>115</v>
      </c>
      <c r="S2924" s="9">
        <v>121</v>
      </c>
      <c r="T2924" s="9">
        <v>236</v>
      </c>
    </row>
    <row r="2925" spans="17:20" x14ac:dyDescent="0.25">
      <c r="Q2925" s="9" t="s">
        <v>54</v>
      </c>
      <c r="R2925" s="9">
        <v>57.5</v>
      </c>
      <c r="S2925" s="9">
        <v>60.5</v>
      </c>
      <c r="T2925" s="9">
        <v>59</v>
      </c>
    </row>
    <row r="2926" spans="17:20" x14ac:dyDescent="0.25">
      <c r="Q2926" s="9" t="s">
        <v>55</v>
      </c>
      <c r="R2926" s="9">
        <v>112.5</v>
      </c>
      <c r="S2926" s="9">
        <v>0.5</v>
      </c>
      <c r="T2926" s="9">
        <v>40.666666666666664</v>
      </c>
    </row>
    <row r="2927" spans="17:20" x14ac:dyDescent="0.25">
      <c r="Q2927" s="9"/>
      <c r="R2927" s="9"/>
      <c r="S2927" s="9"/>
      <c r="T2927" s="9"/>
    </row>
    <row r="2928" spans="17:20" x14ac:dyDescent="0.25">
      <c r="Q2928" s="14">
        <v>54</v>
      </c>
      <c r="R2928" s="14"/>
      <c r="S2928" s="14"/>
      <c r="T2928" s="14"/>
    </row>
    <row r="2929" spans="17:20" x14ac:dyDescent="0.25">
      <c r="Q2929" s="9" t="s">
        <v>52</v>
      </c>
      <c r="R2929" s="9">
        <v>2</v>
      </c>
      <c r="S2929" s="9">
        <v>2</v>
      </c>
      <c r="T2929" s="9">
        <v>4</v>
      </c>
    </row>
    <row r="2930" spans="17:20" x14ac:dyDescent="0.25">
      <c r="Q2930" s="9" t="s">
        <v>53</v>
      </c>
      <c r="R2930" s="9">
        <v>145</v>
      </c>
      <c r="S2930" s="9">
        <v>144</v>
      </c>
      <c r="T2930" s="9">
        <v>289</v>
      </c>
    </row>
    <row r="2931" spans="17:20" x14ac:dyDescent="0.25">
      <c r="Q2931" s="9" t="s">
        <v>54</v>
      </c>
      <c r="R2931" s="9">
        <v>72.5</v>
      </c>
      <c r="S2931" s="9">
        <v>72</v>
      </c>
      <c r="T2931" s="9">
        <v>72.25</v>
      </c>
    </row>
    <row r="2932" spans="17:20" x14ac:dyDescent="0.25">
      <c r="Q2932" s="9" t="s">
        <v>55</v>
      </c>
      <c r="R2932" s="9">
        <v>180.5</v>
      </c>
      <c r="S2932" s="9">
        <v>50</v>
      </c>
      <c r="T2932" s="9">
        <v>76.916666666666671</v>
      </c>
    </row>
    <row r="2933" spans="17:20" x14ac:dyDescent="0.25">
      <c r="Q2933" s="9"/>
      <c r="R2933" s="9"/>
      <c r="S2933" s="9"/>
      <c r="T2933" s="9"/>
    </row>
    <row r="2934" spans="17:20" x14ac:dyDescent="0.25">
      <c r="Q2934" s="14">
        <v>60</v>
      </c>
      <c r="R2934" s="14"/>
      <c r="S2934" s="14"/>
      <c r="T2934" s="14"/>
    </row>
    <row r="2935" spans="17:20" x14ac:dyDescent="0.25">
      <c r="Q2935" s="9" t="s">
        <v>52</v>
      </c>
      <c r="R2935" s="9">
        <v>2</v>
      </c>
      <c r="S2935" s="9">
        <v>2</v>
      </c>
      <c r="T2935" s="9">
        <v>4</v>
      </c>
    </row>
    <row r="2936" spans="17:20" x14ac:dyDescent="0.25">
      <c r="Q2936" s="9" t="s">
        <v>53</v>
      </c>
      <c r="R2936" s="9">
        <v>127</v>
      </c>
      <c r="S2936" s="9">
        <v>118</v>
      </c>
      <c r="T2936" s="9">
        <v>245</v>
      </c>
    </row>
    <row r="2937" spans="17:20" x14ac:dyDescent="0.25">
      <c r="Q2937" s="9" t="s">
        <v>54</v>
      </c>
      <c r="R2937" s="9">
        <v>63.5</v>
      </c>
      <c r="S2937" s="9">
        <v>59</v>
      </c>
      <c r="T2937" s="9">
        <v>61.25</v>
      </c>
    </row>
    <row r="2938" spans="17:20" x14ac:dyDescent="0.25">
      <c r="Q2938" s="9" t="s">
        <v>55</v>
      </c>
      <c r="R2938" s="9">
        <v>4.5</v>
      </c>
      <c r="S2938" s="9">
        <v>2</v>
      </c>
      <c r="T2938" s="9">
        <v>8.9166666666666661</v>
      </c>
    </row>
    <row r="2939" spans="17:20" x14ac:dyDescent="0.25">
      <c r="Q2939" s="9"/>
      <c r="R2939" s="9"/>
      <c r="S2939" s="9"/>
      <c r="T2939" s="9"/>
    </row>
    <row r="2940" spans="17:20" x14ac:dyDescent="0.25">
      <c r="Q2940" s="14">
        <v>55</v>
      </c>
      <c r="R2940" s="14"/>
      <c r="S2940" s="14"/>
      <c r="T2940" s="14"/>
    </row>
    <row r="2941" spans="17:20" x14ac:dyDescent="0.25">
      <c r="Q2941" s="9" t="s">
        <v>52</v>
      </c>
      <c r="R2941" s="9">
        <v>2</v>
      </c>
      <c r="S2941" s="9">
        <v>2</v>
      </c>
      <c r="T2941" s="9">
        <v>4</v>
      </c>
    </row>
    <row r="2942" spans="17:20" x14ac:dyDescent="0.25">
      <c r="Q2942" s="9" t="s">
        <v>53</v>
      </c>
      <c r="R2942" s="9">
        <v>136</v>
      </c>
      <c r="S2942" s="9">
        <v>142</v>
      </c>
      <c r="T2942" s="9">
        <v>278</v>
      </c>
    </row>
    <row r="2943" spans="17:20" x14ac:dyDescent="0.25">
      <c r="Q2943" s="9" t="s">
        <v>54</v>
      </c>
      <c r="R2943" s="9">
        <v>68</v>
      </c>
      <c r="S2943" s="9">
        <v>71</v>
      </c>
      <c r="T2943" s="9">
        <v>69.5</v>
      </c>
    </row>
    <row r="2944" spans="17:20" x14ac:dyDescent="0.25">
      <c r="Q2944" s="9" t="s">
        <v>55</v>
      </c>
      <c r="R2944" s="9">
        <v>1458</v>
      </c>
      <c r="S2944" s="9">
        <v>1058</v>
      </c>
      <c r="T2944" s="9">
        <v>841.66666666666663</v>
      </c>
    </row>
    <row r="2945" spans="17:20" x14ac:dyDescent="0.25">
      <c r="Q2945" s="9"/>
      <c r="R2945" s="9"/>
      <c r="S2945" s="9"/>
      <c r="T2945" s="9"/>
    </row>
    <row r="2946" spans="17:20" x14ac:dyDescent="0.25">
      <c r="Q2946" s="14">
        <v>8</v>
      </c>
      <c r="R2946" s="14"/>
      <c r="S2946" s="14"/>
      <c r="T2946" s="14"/>
    </row>
    <row r="2947" spans="17:20" x14ac:dyDescent="0.25">
      <c r="Q2947" s="9" t="s">
        <v>52</v>
      </c>
      <c r="R2947" s="9">
        <v>2</v>
      </c>
      <c r="S2947" s="9">
        <v>2</v>
      </c>
      <c r="T2947" s="9">
        <v>4</v>
      </c>
    </row>
    <row r="2948" spans="17:20" x14ac:dyDescent="0.25">
      <c r="Q2948" s="9" t="s">
        <v>53</v>
      </c>
      <c r="R2948" s="9">
        <v>102</v>
      </c>
      <c r="S2948" s="9">
        <v>101</v>
      </c>
      <c r="T2948" s="9">
        <v>203</v>
      </c>
    </row>
    <row r="2949" spans="17:20" x14ac:dyDescent="0.25">
      <c r="Q2949" s="9" t="s">
        <v>54</v>
      </c>
      <c r="R2949" s="9">
        <v>51</v>
      </c>
      <c r="S2949" s="9">
        <v>50.5</v>
      </c>
      <c r="T2949" s="9">
        <v>50.75</v>
      </c>
    </row>
    <row r="2950" spans="17:20" x14ac:dyDescent="0.25">
      <c r="Q2950" s="9" t="s">
        <v>55</v>
      </c>
      <c r="R2950" s="9">
        <v>1458</v>
      </c>
      <c r="S2950" s="9">
        <v>1512.5</v>
      </c>
      <c r="T2950" s="9">
        <v>990.25</v>
      </c>
    </row>
    <row r="2951" spans="17:20" x14ac:dyDescent="0.25">
      <c r="Q2951" s="9"/>
      <c r="R2951" s="9"/>
      <c r="S2951" s="9"/>
      <c r="T2951" s="9"/>
    </row>
    <row r="2952" spans="17:20" x14ac:dyDescent="0.25">
      <c r="Q2952" s="14">
        <v>79</v>
      </c>
      <c r="R2952" s="14"/>
      <c r="S2952" s="14"/>
      <c r="T2952" s="14"/>
    </row>
    <row r="2953" spans="17:20" x14ac:dyDescent="0.25">
      <c r="Q2953" s="9" t="s">
        <v>52</v>
      </c>
      <c r="R2953" s="9">
        <v>2</v>
      </c>
      <c r="S2953" s="9">
        <v>2</v>
      </c>
      <c r="T2953" s="9">
        <v>4</v>
      </c>
    </row>
    <row r="2954" spans="17:20" x14ac:dyDescent="0.25">
      <c r="Q2954" s="9" t="s">
        <v>53</v>
      </c>
      <c r="R2954" s="9">
        <v>172</v>
      </c>
      <c r="S2954" s="9">
        <v>177</v>
      </c>
      <c r="T2954" s="9">
        <v>349</v>
      </c>
    </row>
    <row r="2955" spans="17:20" x14ac:dyDescent="0.25">
      <c r="Q2955" s="9" t="s">
        <v>54</v>
      </c>
      <c r="R2955" s="9">
        <v>86</v>
      </c>
      <c r="S2955" s="9">
        <v>88.5</v>
      </c>
      <c r="T2955" s="9">
        <v>87.25</v>
      </c>
    </row>
    <row r="2956" spans="17:20" x14ac:dyDescent="0.25">
      <c r="Q2956" s="9" t="s">
        <v>55</v>
      </c>
      <c r="R2956" s="9">
        <v>2</v>
      </c>
      <c r="S2956" s="9">
        <v>12.5</v>
      </c>
      <c r="T2956" s="9">
        <v>6.916666666666667</v>
      </c>
    </row>
    <row r="2957" spans="17:20" x14ac:dyDescent="0.25">
      <c r="Q2957" s="9"/>
      <c r="R2957" s="9"/>
      <c r="S2957" s="9"/>
      <c r="T2957" s="9"/>
    </row>
    <row r="2958" spans="17:20" x14ac:dyDescent="0.25">
      <c r="Q2958" s="14">
        <v>74</v>
      </c>
      <c r="R2958" s="14"/>
      <c r="S2958" s="14"/>
      <c r="T2958" s="14"/>
    </row>
    <row r="2959" spans="17:20" x14ac:dyDescent="0.25">
      <c r="Q2959" s="9" t="s">
        <v>52</v>
      </c>
      <c r="R2959" s="9">
        <v>2</v>
      </c>
      <c r="S2959" s="9">
        <v>2</v>
      </c>
      <c r="T2959" s="9">
        <v>4</v>
      </c>
    </row>
    <row r="2960" spans="17:20" x14ac:dyDescent="0.25">
      <c r="Q2960" s="9" t="s">
        <v>53</v>
      </c>
      <c r="R2960" s="9">
        <v>126</v>
      </c>
      <c r="S2960" s="9">
        <v>136</v>
      </c>
      <c r="T2960" s="9">
        <v>262</v>
      </c>
    </row>
    <row r="2961" spans="17:20" x14ac:dyDescent="0.25">
      <c r="Q2961" s="9" t="s">
        <v>54</v>
      </c>
      <c r="R2961" s="9">
        <v>63</v>
      </c>
      <c r="S2961" s="9">
        <v>68</v>
      </c>
      <c r="T2961" s="9">
        <v>65.5</v>
      </c>
    </row>
    <row r="2962" spans="17:20" x14ac:dyDescent="0.25">
      <c r="Q2962" s="9" t="s">
        <v>55</v>
      </c>
      <c r="R2962" s="9">
        <v>288</v>
      </c>
      <c r="S2962" s="9">
        <v>392</v>
      </c>
      <c r="T2962" s="9">
        <v>235</v>
      </c>
    </row>
    <row r="2963" spans="17:20" x14ac:dyDescent="0.25">
      <c r="Q2963" s="9"/>
      <c r="R2963" s="9"/>
      <c r="S2963" s="9"/>
      <c r="T2963" s="9"/>
    </row>
    <row r="2964" spans="17:20" x14ac:dyDescent="0.25">
      <c r="Q2964" s="14">
        <v>40</v>
      </c>
      <c r="R2964" s="14"/>
      <c r="S2964" s="14"/>
      <c r="T2964" s="14"/>
    </row>
    <row r="2965" spans="17:20" x14ac:dyDescent="0.25">
      <c r="Q2965" s="9" t="s">
        <v>52</v>
      </c>
      <c r="R2965" s="9">
        <v>2</v>
      </c>
      <c r="S2965" s="9">
        <v>2</v>
      </c>
      <c r="T2965" s="9">
        <v>4</v>
      </c>
    </row>
    <row r="2966" spans="17:20" x14ac:dyDescent="0.25">
      <c r="Q2966" s="9" t="s">
        <v>53</v>
      </c>
      <c r="R2966" s="9">
        <v>134</v>
      </c>
      <c r="S2966" s="9">
        <v>127</v>
      </c>
      <c r="T2966" s="9">
        <v>261</v>
      </c>
    </row>
    <row r="2967" spans="17:20" x14ac:dyDescent="0.25">
      <c r="Q2967" s="9" t="s">
        <v>54</v>
      </c>
      <c r="R2967" s="9">
        <v>67</v>
      </c>
      <c r="S2967" s="9">
        <v>63.5</v>
      </c>
      <c r="T2967" s="9">
        <v>65.25</v>
      </c>
    </row>
    <row r="2968" spans="17:20" x14ac:dyDescent="0.25">
      <c r="Q2968" s="9" t="s">
        <v>55</v>
      </c>
      <c r="R2968" s="9">
        <v>128</v>
      </c>
      <c r="S2968" s="9">
        <v>312.5</v>
      </c>
      <c r="T2968" s="9">
        <v>150.91666666666666</v>
      </c>
    </row>
    <row r="2969" spans="17:20" x14ac:dyDescent="0.25">
      <c r="Q2969" s="9"/>
      <c r="R2969" s="9"/>
      <c r="S2969" s="9"/>
      <c r="T2969" s="9"/>
    </row>
    <row r="2970" spans="17:20" x14ac:dyDescent="0.25">
      <c r="Q2970" s="14">
        <v>44</v>
      </c>
      <c r="R2970" s="14"/>
      <c r="S2970" s="14"/>
      <c r="T2970" s="14"/>
    </row>
    <row r="2971" spans="17:20" x14ac:dyDescent="0.25">
      <c r="Q2971" s="9" t="s">
        <v>52</v>
      </c>
      <c r="R2971" s="9">
        <v>2</v>
      </c>
      <c r="S2971" s="9">
        <v>2</v>
      </c>
      <c r="T2971" s="9">
        <v>4</v>
      </c>
    </row>
    <row r="2972" spans="17:20" x14ac:dyDescent="0.25">
      <c r="Q2972" s="9" t="s">
        <v>53</v>
      </c>
      <c r="R2972" s="9">
        <v>131</v>
      </c>
      <c r="S2972" s="9">
        <v>128</v>
      </c>
      <c r="T2972" s="9">
        <v>259</v>
      </c>
    </row>
    <row r="2973" spans="17:20" x14ac:dyDescent="0.25">
      <c r="Q2973" s="9" t="s">
        <v>54</v>
      </c>
      <c r="R2973" s="9">
        <v>65.5</v>
      </c>
      <c r="S2973" s="9">
        <v>64</v>
      </c>
      <c r="T2973" s="9">
        <v>64.75</v>
      </c>
    </row>
    <row r="2974" spans="17:20" x14ac:dyDescent="0.25">
      <c r="Q2974" s="9" t="s">
        <v>55</v>
      </c>
      <c r="R2974" s="9">
        <v>840.5</v>
      </c>
      <c r="S2974" s="9">
        <v>722</v>
      </c>
      <c r="T2974" s="9">
        <v>521.58333333333337</v>
      </c>
    </row>
    <row r="2975" spans="17:20" x14ac:dyDescent="0.25">
      <c r="Q2975" s="9"/>
      <c r="R2975" s="9"/>
      <c r="S2975" s="9"/>
      <c r="T2975" s="9"/>
    </row>
    <row r="2976" spans="17:20" x14ac:dyDescent="0.25">
      <c r="Q2976" s="14">
        <v>86</v>
      </c>
      <c r="R2976" s="14"/>
      <c r="S2976" s="14"/>
      <c r="T2976" s="14"/>
    </row>
    <row r="2977" spans="17:20" x14ac:dyDescent="0.25">
      <c r="Q2977" s="9" t="s">
        <v>52</v>
      </c>
      <c r="R2977" s="9">
        <v>2</v>
      </c>
      <c r="S2977" s="9">
        <v>2</v>
      </c>
      <c r="T2977" s="9">
        <v>4</v>
      </c>
    </row>
    <row r="2978" spans="17:20" x14ac:dyDescent="0.25">
      <c r="Q2978" s="9" t="s">
        <v>53</v>
      </c>
      <c r="R2978" s="9">
        <v>163</v>
      </c>
      <c r="S2978" s="9">
        <v>153</v>
      </c>
      <c r="T2978" s="9">
        <v>316</v>
      </c>
    </row>
    <row r="2979" spans="17:20" x14ac:dyDescent="0.25">
      <c r="Q2979" s="9" t="s">
        <v>54</v>
      </c>
      <c r="R2979" s="9">
        <v>81.5</v>
      </c>
      <c r="S2979" s="9">
        <v>76.5</v>
      </c>
      <c r="T2979" s="9">
        <v>79</v>
      </c>
    </row>
    <row r="2980" spans="17:20" x14ac:dyDescent="0.25">
      <c r="Q2980" s="9" t="s">
        <v>55</v>
      </c>
      <c r="R2980" s="9">
        <v>0.5</v>
      </c>
      <c r="S2980" s="9">
        <v>4.5</v>
      </c>
      <c r="T2980" s="9">
        <v>10</v>
      </c>
    </row>
    <row r="2981" spans="17:20" x14ac:dyDescent="0.25">
      <c r="Q2981" s="9"/>
      <c r="R2981" s="9"/>
      <c r="S2981" s="9"/>
      <c r="T2981" s="9"/>
    </row>
    <row r="2982" spans="17:20" x14ac:dyDescent="0.25">
      <c r="Q2982" s="14">
        <v>55</v>
      </c>
      <c r="R2982" s="14"/>
      <c r="S2982" s="14"/>
      <c r="T2982" s="14"/>
    </row>
    <row r="2983" spans="17:20" x14ac:dyDescent="0.25">
      <c r="Q2983" s="9" t="s">
        <v>52</v>
      </c>
      <c r="R2983" s="9">
        <v>2</v>
      </c>
      <c r="S2983" s="9">
        <v>2</v>
      </c>
      <c r="T2983" s="9">
        <v>4</v>
      </c>
    </row>
    <row r="2984" spans="17:20" x14ac:dyDescent="0.25">
      <c r="Q2984" s="9" t="s">
        <v>53</v>
      </c>
      <c r="R2984" s="9">
        <v>148</v>
      </c>
      <c r="S2984" s="9">
        <v>150</v>
      </c>
      <c r="T2984" s="9">
        <v>298</v>
      </c>
    </row>
    <row r="2985" spans="17:20" x14ac:dyDescent="0.25">
      <c r="Q2985" s="9" t="s">
        <v>54</v>
      </c>
      <c r="R2985" s="9">
        <v>74</v>
      </c>
      <c r="S2985" s="9">
        <v>75</v>
      </c>
      <c r="T2985" s="9">
        <v>74.5</v>
      </c>
    </row>
    <row r="2986" spans="17:20" x14ac:dyDescent="0.25">
      <c r="Q2986" s="9" t="s">
        <v>55</v>
      </c>
      <c r="R2986" s="9">
        <v>8</v>
      </c>
      <c r="S2986" s="9">
        <v>2</v>
      </c>
      <c r="T2986" s="9">
        <v>3.6666666666666665</v>
      </c>
    </row>
    <row r="2987" spans="17:20" x14ac:dyDescent="0.25">
      <c r="Q2987" s="9"/>
      <c r="R2987" s="9"/>
      <c r="S2987" s="9"/>
      <c r="T2987" s="9"/>
    </row>
    <row r="2988" spans="17:20" x14ac:dyDescent="0.25">
      <c r="Q2988" s="14">
        <v>63</v>
      </c>
      <c r="R2988" s="14"/>
      <c r="S2988" s="14"/>
      <c r="T2988" s="14"/>
    </row>
    <row r="2989" spans="17:20" x14ac:dyDescent="0.25">
      <c r="Q2989" s="9" t="s">
        <v>52</v>
      </c>
      <c r="R2989" s="9">
        <v>2</v>
      </c>
      <c r="S2989" s="9">
        <v>2</v>
      </c>
      <c r="T2989" s="9">
        <v>4</v>
      </c>
    </row>
    <row r="2990" spans="17:20" x14ac:dyDescent="0.25">
      <c r="Q2990" s="9" t="s">
        <v>53</v>
      </c>
      <c r="R2990" s="9">
        <v>162</v>
      </c>
      <c r="S2990" s="9">
        <v>157</v>
      </c>
      <c r="T2990" s="9">
        <v>319</v>
      </c>
    </row>
    <row r="2991" spans="17:20" x14ac:dyDescent="0.25">
      <c r="Q2991" s="9" t="s">
        <v>54</v>
      </c>
      <c r="R2991" s="9">
        <v>81</v>
      </c>
      <c r="S2991" s="9">
        <v>78.5</v>
      </c>
      <c r="T2991" s="9">
        <v>79.75</v>
      </c>
    </row>
    <row r="2992" spans="17:20" x14ac:dyDescent="0.25">
      <c r="Q2992" s="9" t="s">
        <v>55</v>
      </c>
      <c r="R2992" s="9">
        <v>648</v>
      </c>
      <c r="S2992" s="9">
        <v>544.5</v>
      </c>
      <c r="T2992" s="9">
        <v>399.58333333333331</v>
      </c>
    </row>
    <row r="2993" spans="17:23" x14ac:dyDescent="0.25">
      <c r="Q2993" s="9"/>
      <c r="R2993" s="9"/>
      <c r="S2993" s="9"/>
      <c r="T2993" s="9"/>
    </row>
    <row r="2994" spans="17:23" x14ac:dyDescent="0.25">
      <c r="Q2994" s="14">
        <v>62</v>
      </c>
      <c r="R2994" s="14"/>
      <c r="S2994" s="14"/>
      <c r="T2994" s="14"/>
    </row>
    <row r="2995" spans="17:23" x14ac:dyDescent="0.25">
      <c r="Q2995" s="9" t="s">
        <v>52</v>
      </c>
      <c r="R2995" s="9">
        <v>2</v>
      </c>
      <c r="S2995" s="9">
        <v>2</v>
      </c>
      <c r="T2995" s="9">
        <v>4</v>
      </c>
    </row>
    <row r="2996" spans="17:23" x14ac:dyDescent="0.25">
      <c r="Q2996" s="9" t="s">
        <v>53</v>
      </c>
      <c r="R2996" s="9">
        <v>126</v>
      </c>
      <c r="S2996" s="9">
        <v>120</v>
      </c>
      <c r="T2996" s="9">
        <v>246</v>
      </c>
    </row>
    <row r="2997" spans="17:23" x14ac:dyDescent="0.25">
      <c r="Q2997" s="9" t="s">
        <v>54</v>
      </c>
      <c r="R2997" s="9">
        <v>63</v>
      </c>
      <c r="S2997" s="9">
        <v>60</v>
      </c>
      <c r="T2997" s="9">
        <v>61.5</v>
      </c>
    </row>
    <row r="2998" spans="17:23" x14ac:dyDescent="0.25">
      <c r="Q2998" s="9" t="s">
        <v>55</v>
      </c>
      <c r="R2998" s="9">
        <v>128</v>
      </c>
      <c r="S2998" s="9">
        <v>50</v>
      </c>
      <c r="T2998" s="9">
        <v>62.333333333333336</v>
      </c>
    </row>
    <row r="2999" spans="17:23" x14ac:dyDescent="0.25">
      <c r="Q2999" s="9"/>
      <c r="R2999" s="9"/>
      <c r="S2999" s="9"/>
      <c r="T2999" s="9"/>
    </row>
    <row r="3000" spans="17:23" x14ac:dyDescent="0.25">
      <c r="Q3000" s="14">
        <v>68</v>
      </c>
      <c r="R3000" s="14"/>
      <c r="S3000" s="14"/>
      <c r="T3000" s="14"/>
    </row>
    <row r="3001" spans="17:23" x14ac:dyDescent="0.25">
      <c r="Q3001" s="9" t="s">
        <v>52</v>
      </c>
      <c r="R3001" s="9">
        <v>2</v>
      </c>
      <c r="S3001" s="9">
        <v>2</v>
      </c>
      <c r="T3001" s="9">
        <v>4</v>
      </c>
    </row>
    <row r="3002" spans="17:23" x14ac:dyDescent="0.25">
      <c r="Q3002" s="9" t="s">
        <v>53</v>
      </c>
      <c r="R3002" s="9">
        <v>164</v>
      </c>
      <c r="S3002" s="9">
        <v>163</v>
      </c>
      <c r="T3002" s="9">
        <v>327</v>
      </c>
    </row>
    <row r="3003" spans="17:23" x14ac:dyDescent="0.25">
      <c r="Q3003" s="9" t="s">
        <v>54</v>
      </c>
      <c r="R3003" s="9">
        <v>82</v>
      </c>
      <c r="S3003" s="9">
        <v>81.5</v>
      </c>
      <c r="T3003" s="9">
        <v>81.75</v>
      </c>
    </row>
    <row r="3004" spans="17:23" x14ac:dyDescent="0.25">
      <c r="Q3004" s="9" t="s">
        <v>55</v>
      </c>
      <c r="R3004" s="9">
        <v>32</v>
      </c>
      <c r="S3004" s="9">
        <v>40.5</v>
      </c>
      <c r="T3004" s="9">
        <v>24.25</v>
      </c>
    </row>
    <row r="3005" spans="17:23" x14ac:dyDescent="0.25">
      <c r="Q3005" s="9"/>
      <c r="R3005" s="9"/>
      <c r="S3005" s="9"/>
      <c r="T3005" s="9"/>
    </row>
    <row r="3006" spans="17:23" ht="15.75" thickBot="1" x14ac:dyDescent="0.3">
      <c r="Q3006" s="14" t="s">
        <v>49</v>
      </c>
      <c r="R3006" s="14"/>
      <c r="S3006" s="14"/>
      <c r="T3006" s="14"/>
      <c r="U3006" s="1"/>
      <c r="V3006" s="1"/>
      <c r="W3006" s="1"/>
    </row>
    <row r="3007" spans="17:23" x14ac:dyDescent="0.25">
      <c r="Q3007" s="9" t="s">
        <v>52</v>
      </c>
      <c r="R3007" s="9">
        <v>1000</v>
      </c>
      <c r="S3007" s="9">
        <v>1000</v>
      </c>
      <c r="T3007" s="9"/>
    </row>
    <row r="3008" spans="17:23" x14ac:dyDescent="0.25">
      <c r="Q3008" s="9" t="s">
        <v>53</v>
      </c>
      <c r="R3008" s="9">
        <v>69169</v>
      </c>
      <c r="S3008" s="9">
        <v>68054</v>
      </c>
      <c r="T3008" s="9"/>
    </row>
    <row r="3009" spans="17:23" x14ac:dyDescent="0.25">
      <c r="Q3009" s="9" t="s">
        <v>54</v>
      </c>
      <c r="R3009" s="9">
        <v>69.168999999999997</v>
      </c>
      <c r="S3009" s="9">
        <v>68.054000000000002</v>
      </c>
      <c r="T3009" s="9"/>
    </row>
    <row r="3010" spans="17:23" x14ac:dyDescent="0.25">
      <c r="Q3010" s="9" t="s">
        <v>55</v>
      </c>
      <c r="R3010" s="9">
        <v>213.16560460460485</v>
      </c>
      <c r="S3010" s="9">
        <v>230.90799199199179</v>
      </c>
      <c r="T3010" s="9"/>
    </row>
    <row r="3013" spans="17:23" ht="15.75" thickBot="1" x14ac:dyDescent="0.3">
      <c r="Q3013" s="6" t="s">
        <v>62</v>
      </c>
    </row>
    <row r="3014" spans="17:23" ht="15.75" thickBot="1" x14ac:dyDescent="0.3">
      <c r="Q3014" s="7" t="s">
        <v>64</v>
      </c>
      <c r="R3014" s="7" t="s">
        <v>65</v>
      </c>
      <c r="S3014" s="7" t="s">
        <v>66</v>
      </c>
      <c r="T3014" s="7" t="s">
        <v>67</v>
      </c>
      <c r="U3014" s="7" t="s">
        <v>68</v>
      </c>
      <c r="V3014" s="7" t="s">
        <v>69</v>
      </c>
      <c r="W3014" s="7" t="s">
        <v>70</v>
      </c>
    </row>
    <row r="3015" spans="17:23" x14ac:dyDescent="0.25">
      <c r="Q3015" s="23" t="s">
        <v>82</v>
      </c>
      <c r="R3015" s="25">
        <v>213358.88549999916</v>
      </c>
      <c r="S3015" s="23">
        <v>499</v>
      </c>
      <c r="T3015" s="26">
        <v>427.57291683366566</v>
      </c>
      <c r="U3015" s="23">
        <v>1.9017651902159889</v>
      </c>
      <c r="V3015" s="23">
        <v>7.0034745741099621E-18</v>
      </c>
      <c r="W3015" s="23">
        <v>1.134301857932515</v>
      </c>
    </row>
    <row r="3016" spans="17:23" x14ac:dyDescent="0.25">
      <c r="Q3016" s="23" t="s">
        <v>80</v>
      </c>
      <c r="R3016" s="25">
        <v>621.61249999934807</v>
      </c>
      <c r="S3016" s="23">
        <v>1</v>
      </c>
      <c r="T3016" s="26">
        <v>621.61249999934807</v>
      </c>
      <c r="U3016" s="23">
        <v>2.7648173393587054</v>
      </c>
      <c r="V3016" s="23">
        <v>9.6671050674026884E-2</v>
      </c>
      <c r="W3016" s="23">
        <v>3.8507746681385955</v>
      </c>
    </row>
    <row r="3017" spans="17:23" x14ac:dyDescent="0.25">
      <c r="Q3017" s="23" t="s">
        <v>83</v>
      </c>
      <c r="R3017" s="25">
        <v>5441.1375000006519</v>
      </c>
      <c r="S3017" s="23">
        <v>499</v>
      </c>
      <c r="T3017" s="26">
        <v>10.904083166333972</v>
      </c>
      <c r="U3017" s="23">
        <v>4.8499343575171286E-2</v>
      </c>
      <c r="V3017" s="23">
        <v>1</v>
      </c>
      <c r="W3017" s="23">
        <v>1.134301857932515</v>
      </c>
    </row>
    <row r="3018" spans="17:23" x14ac:dyDescent="0.25">
      <c r="Q3018" s="23" t="s">
        <v>84</v>
      </c>
      <c r="R3018" s="25">
        <v>224829.5</v>
      </c>
      <c r="S3018" s="23">
        <v>1000</v>
      </c>
      <c r="T3018" s="26">
        <v>224.8295</v>
      </c>
      <c r="U3018" s="23"/>
      <c r="V3018" s="23"/>
      <c r="W3018" s="23"/>
    </row>
    <row r="3019" spans="17:23" x14ac:dyDescent="0.25">
      <c r="Q3019" s="23"/>
      <c r="R3019" s="23"/>
      <c r="S3019" s="23"/>
      <c r="T3019" s="23"/>
      <c r="U3019" s="23"/>
      <c r="V3019" s="23"/>
      <c r="W3019" s="23"/>
    </row>
    <row r="3020" spans="17:23" ht="15.75" thickBot="1" x14ac:dyDescent="0.3">
      <c r="Q3020" s="24" t="s">
        <v>49</v>
      </c>
      <c r="R3020" s="24">
        <v>444251.13549999916</v>
      </c>
      <c r="S3020" s="24">
        <v>1999</v>
      </c>
      <c r="T3020" s="24"/>
      <c r="U3020" s="24"/>
      <c r="V3020" s="24"/>
      <c r="W3020" s="24"/>
    </row>
    <row r="6022" spans="30:1024" ht="15.75" thickBot="1" x14ac:dyDescent="0.3">
      <c r="AD6022" s="1"/>
      <c r="AE6022" s="1"/>
      <c r="AF6022" s="1"/>
      <c r="AG6022" s="1"/>
      <c r="AH6022" s="1"/>
      <c r="AI6022" s="1"/>
      <c r="AJ6022" s="1"/>
      <c r="AK6022" s="1"/>
      <c r="AL6022" s="1"/>
      <c r="AM6022" s="1"/>
      <c r="AN6022" s="1"/>
      <c r="AO6022" s="1"/>
      <c r="AP6022" s="1"/>
      <c r="AQ6022" s="1"/>
      <c r="AR6022" s="1"/>
      <c r="AS6022" s="1"/>
      <c r="AT6022" s="1"/>
      <c r="AU6022" s="1"/>
      <c r="AV6022" s="1"/>
      <c r="AW6022" s="1"/>
      <c r="AX6022" s="1"/>
      <c r="AY6022" s="1"/>
      <c r="AZ6022" s="1"/>
      <c r="BA6022" s="1"/>
      <c r="BB6022" s="1"/>
      <c r="BC6022" s="1"/>
      <c r="BD6022" s="1"/>
      <c r="BE6022" s="1"/>
      <c r="BF6022" s="1"/>
      <c r="BG6022" s="1"/>
      <c r="BH6022" s="1"/>
      <c r="BI6022" s="1"/>
      <c r="BJ6022" s="1"/>
      <c r="BK6022" s="1"/>
      <c r="BL6022" s="1"/>
      <c r="BM6022" s="1"/>
      <c r="BN6022" s="1"/>
      <c r="BO6022" s="1"/>
      <c r="BP6022" s="1"/>
      <c r="BQ6022" s="1"/>
      <c r="BR6022" s="1"/>
      <c r="BS6022" s="1"/>
      <c r="BT6022" s="1"/>
      <c r="BU6022" s="1"/>
      <c r="BV6022" s="1"/>
      <c r="BW6022" s="1"/>
      <c r="BX6022" s="1"/>
      <c r="BY6022" s="1"/>
      <c r="BZ6022" s="1"/>
      <c r="CA6022" s="1"/>
      <c r="CB6022" s="1"/>
      <c r="CC6022" s="1"/>
      <c r="CD6022" s="1"/>
      <c r="CE6022" s="1"/>
      <c r="CF6022" s="1"/>
      <c r="CG6022" s="1"/>
      <c r="CH6022" s="1"/>
      <c r="CI6022" s="1"/>
      <c r="CJ6022" s="1"/>
      <c r="CK6022" s="1"/>
      <c r="CL6022" s="1"/>
      <c r="CM6022" s="1"/>
      <c r="CN6022" s="1"/>
      <c r="CO6022" s="1"/>
      <c r="CP6022" s="1"/>
      <c r="CQ6022" s="1"/>
      <c r="CR6022" s="1"/>
      <c r="CS6022" s="1"/>
      <c r="CT6022" s="1"/>
      <c r="CU6022" s="1"/>
      <c r="CV6022" s="1"/>
      <c r="CW6022" s="1"/>
      <c r="CX6022" s="1"/>
      <c r="CY6022" s="1"/>
      <c r="CZ6022" s="1"/>
      <c r="DA6022" s="1"/>
      <c r="DB6022" s="1"/>
      <c r="DC6022" s="1"/>
      <c r="DD6022" s="1"/>
      <c r="DE6022" s="1"/>
      <c r="DF6022" s="1"/>
      <c r="DG6022" s="1"/>
      <c r="DH6022" s="1"/>
      <c r="DI6022" s="1"/>
      <c r="DJ6022" s="1"/>
      <c r="DK6022" s="1"/>
      <c r="DL6022" s="1"/>
      <c r="DM6022" s="1"/>
      <c r="DN6022" s="1"/>
      <c r="DO6022" s="1"/>
      <c r="DP6022" s="1"/>
      <c r="DQ6022" s="1"/>
      <c r="DR6022" s="1"/>
      <c r="DS6022" s="1"/>
      <c r="DT6022" s="1"/>
      <c r="DU6022" s="1"/>
      <c r="DV6022" s="1"/>
      <c r="DW6022" s="1"/>
      <c r="DX6022" s="1"/>
      <c r="DY6022" s="1"/>
      <c r="DZ6022" s="1"/>
      <c r="EA6022" s="1"/>
      <c r="EB6022" s="1"/>
      <c r="EC6022" s="1"/>
      <c r="ED6022" s="1"/>
      <c r="EE6022" s="1"/>
      <c r="EF6022" s="1"/>
      <c r="EG6022" s="1"/>
      <c r="EH6022" s="1"/>
      <c r="EI6022" s="1"/>
      <c r="EJ6022" s="1"/>
      <c r="EK6022" s="1"/>
      <c r="EL6022" s="1"/>
      <c r="EM6022" s="1"/>
      <c r="EN6022" s="1"/>
      <c r="EO6022" s="1"/>
      <c r="EP6022" s="1"/>
      <c r="EQ6022" s="1"/>
      <c r="ER6022" s="1"/>
      <c r="ES6022" s="1"/>
      <c r="ET6022" s="1"/>
      <c r="EU6022" s="1"/>
      <c r="EV6022" s="1"/>
      <c r="EW6022" s="1"/>
      <c r="EX6022" s="1"/>
      <c r="EY6022" s="1"/>
      <c r="EZ6022" s="1"/>
      <c r="FA6022" s="1"/>
      <c r="FB6022" s="1"/>
      <c r="FC6022" s="1"/>
      <c r="FD6022" s="1"/>
      <c r="FE6022" s="1"/>
      <c r="FF6022" s="1"/>
      <c r="FG6022" s="1"/>
      <c r="FH6022" s="1"/>
      <c r="FI6022" s="1"/>
      <c r="FJ6022" s="1"/>
      <c r="FK6022" s="1"/>
      <c r="FL6022" s="1"/>
      <c r="FM6022" s="1"/>
      <c r="FN6022" s="1"/>
      <c r="FO6022" s="1"/>
      <c r="FP6022" s="1"/>
      <c r="FQ6022" s="1"/>
      <c r="FR6022" s="1"/>
      <c r="FS6022" s="1"/>
      <c r="FT6022" s="1"/>
      <c r="FU6022" s="1"/>
      <c r="FV6022" s="1"/>
      <c r="FW6022" s="1"/>
      <c r="FX6022" s="1"/>
      <c r="FY6022" s="1"/>
      <c r="FZ6022" s="1"/>
      <c r="GA6022" s="1"/>
      <c r="GB6022" s="1"/>
      <c r="GC6022" s="1"/>
      <c r="GD6022" s="1"/>
      <c r="GE6022" s="1"/>
      <c r="GF6022" s="1"/>
      <c r="GG6022" s="1"/>
      <c r="GH6022" s="1"/>
      <c r="GI6022" s="1"/>
      <c r="GJ6022" s="1"/>
      <c r="GK6022" s="1"/>
      <c r="GL6022" s="1"/>
      <c r="GM6022" s="1"/>
      <c r="GN6022" s="1"/>
      <c r="GO6022" s="1"/>
      <c r="GP6022" s="1"/>
      <c r="GQ6022" s="1"/>
      <c r="GR6022" s="1"/>
      <c r="GS6022" s="1"/>
      <c r="GT6022" s="1"/>
      <c r="GU6022" s="1"/>
      <c r="GV6022" s="1"/>
      <c r="GW6022" s="1"/>
      <c r="GX6022" s="1"/>
      <c r="GY6022" s="1"/>
      <c r="GZ6022" s="1"/>
      <c r="HA6022" s="1"/>
      <c r="HB6022" s="1"/>
      <c r="HC6022" s="1"/>
      <c r="HD6022" s="1"/>
      <c r="HE6022" s="1"/>
      <c r="HF6022" s="1"/>
      <c r="HG6022" s="1"/>
      <c r="HH6022" s="1"/>
      <c r="HI6022" s="1"/>
      <c r="HJ6022" s="1"/>
      <c r="HK6022" s="1"/>
      <c r="HL6022" s="1"/>
      <c r="HM6022" s="1"/>
      <c r="HN6022" s="1"/>
      <c r="HO6022" s="1"/>
      <c r="HP6022" s="1"/>
      <c r="HQ6022" s="1"/>
      <c r="HR6022" s="1"/>
      <c r="HS6022" s="1"/>
      <c r="HT6022" s="1"/>
      <c r="HU6022" s="1"/>
      <c r="HV6022" s="1"/>
      <c r="HW6022" s="1"/>
      <c r="HX6022" s="1"/>
      <c r="HY6022" s="1"/>
      <c r="HZ6022" s="1"/>
      <c r="IA6022" s="1"/>
      <c r="IB6022" s="1"/>
      <c r="IC6022" s="1"/>
      <c r="ID6022" s="1"/>
      <c r="IE6022" s="1"/>
      <c r="IF6022" s="1"/>
      <c r="IG6022" s="1"/>
      <c r="IH6022" s="1"/>
      <c r="II6022" s="1"/>
      <c r="IJ6022" s="1"/>
      <c r="IK6022" s="1"/>
      <c r="IL6022" s="1"/>
      <c r="IM6022" s="1"/>
      <c r="IN6022" s="1"/>
      <c r="IO6022" s="1"/>
      <c r="IP6022" s="1"/>
      <c r="IQ6022" s="1"/>
      <c r="IR6022" s="1"/>
      <c r="IS6022" s="1"/>
      <c r="IT6022" s="1"/>
      <c r="IU6022" s="1"/>
      <c r="IV6022" s="1"/>
      <c r="IW6022" s="1"/>
      <c r="IX6022" s="1"/>
      <c r="IY6022" s="1"/>
      <c r="IZ6022" s="1"/>
      <c r="JA6022" s="1"/>
      <c r="JB6022" s="1"/>
      <c r="JC6022" s="1"/>
      <c r="JD6022" s="1"/>
      <c r="JE6022" s="1"/>
      <c r="JF6022" s="1"/>
      <c r="JG6022" s="1"/>
      <c r="JH6022" s="1"/>
      <c r="JI6022" s="1"/>
      <c r="JJ6022" s="1"/>
      <c r="JK6022" s="1"/>
      <c r="JL6022" s="1"/>
      <c r="JM6022" s="1"/>
      <c r="JN6022" s="1"/>
      <c r="JO6022" s="1"/>
      <c r="JP6022" s="1"/>
      <c r="JQ6022" s="1"/>
      <c r="JR6022" s="1"/>
      <c r="JS6022" s="1"/>
      <c r="JT6022" s="1"/>
      <c r="JU6022" s="1"/>
      <c r="JV6022" s="1"/>
      <c r="JW6022" s="1"/>
      <c r="JX6022" s="1"/>
      <c r="JY6022" s="1"/>
      <c r="JZ6022" s="1"/>
      <c r="KA6022" s="1"/>
      <c r="KB6022" s="1"/>
      <c r="KC6022" s="1"/>
      <c r="KD6022" s="1"/>
      <c r="KE6022" s="1"/>
      <c r="KF6022" s="1"/>
      <c r="KG6022" s="1"/>
      <c r="KH6022" s="1"/>
      <c r="KI6022" s="1"/>
      <c r="KJ6022" s="1"/>
      <c r="KK6022" s="1"/>
      <c r="KL6022" s="1"/>
      <c r="KM6022" s="1"/>
      <c r="KN6022" s="1"/>
      <c r="KO6022" s="1"/>
      <c r="KP6022" s="1"/>
      <c r="KQ6022" s="1"/>
      <c r="KR6022" s="1"/>
      <c r="KS6022" s="1"/>
      <c r="KT6022" s="1"/>
      <c r="KU6022" s="1"/>
      <c r="KV6022" s="1"/>
      <c r="KW6022" s="1"/>
      <c r="KX6022" s="1"/>
      <c r="KY6022" s="1"/>
      <c r="KZ6022" s="1"/>
      <c r="LA6022" s="1"/>
      <c r="LB6022" s="1"/>
      <c r="LC6022" s="1"/>
      <c r="LD6022" s="1"/>
      <c r="LE6022" s="1"/>
      <c r="LF6022" s="1"/>
      <c r="LG6022" s="1"/>
      <c r="LH6022" s="1"/>
      <c r="LI6022" s="1"/>
      <c r="LJ6022" s="1"/>
      <c r="LK6022" s="1"/>
      <c r="LL6022" s="1"/>
      <c r="LM6022" s="1"/>
      <c r="LN6022" s="1"/>
      <c r="LO6022" s="1"/>
      <c r="LP6022" s="1"/>
      <c r="LQ6022" s="1"/>
      <c r="LR6022" s="1"/>
      <c r="LS6022" s="1"/>
      <c r="LT6022" s="1"/>
      <c r="LU6022" s="1"/>
      <c r="LV6022" s="1"/>
      <c r="LW6022" s="1"/>
      <c r="LX6022" s="1"/>
      <c r="LY6022" s="1"/>
      <c r="LZ6022" s="1"/>
      <c r="MA6022" s="1"/>
      <c r="MB6022" s="1"/>
      <c r="MC6022" s="1"/>
      <c r="MD6022" s="1"/>
      <c r="ME6022" s="1"/>
      <c r="MF6022" s="1"/>
      <c r="MG6022" s="1"/>
      <c r="MH6022" s="1"/>
      <c r="MI6022" s="1"/>
      <c r="MJ6022" s="1"/>
      <c r="MK6022" s="1"/>
      <c r="ML6022" s="1"/>
      <c r="MM6022" s="1"/>
      <c r="MN6022" s="1"/>
      <c r="MO6022" s="1"/>
      <c r="MP6022" s="1"/>
      <c r="MQ6022" s="1"/>
      <c r="MR6022" s="1"/>
      <c r="MS6022" s="1"/>
      <c r="MT6022" s="1"/>
      <c r="MU6022" s="1"/>
      <c r="MV6022" s="1"/>
      <c r="MW6022" s="1"/>
      <c r="MX6022" s="1"/>
      <c r="MY6022" s="1"/>
      <c r="MZ6022" s="1"/>
      <c r="NA6022" s="1"/>
      <c r="NB6022" s="1"/>
      <c r="NC6022" s="1"/>
      <c r="ND6022" s="1"/>
      <c r="NE6022" s="1"/>
      <c r="NF6022" s="1"/>
      <c r="NG6022" s="1"/>
      <c r="NH6022" s="1"/>
      <c r="NI6022" s="1"/>
      <c r="NJ6022" s="1"/>
      <c r="NK6022" s="1"/>
      <c r="NL6022" s="1"/>
      <c r="NM6022" s="1"/>
      <c r="NN6022" s="1"/>
      <c r="NO6022" s="1"/>
      <c r="NP6022" s="1"/>
      <c r="NQ6022" s="1"/>
      <c r="NR6022" s="1"/>
      <c r="NS6022" s="1"/>
      <c r="NT6022" s="1"/>
      <c r="NU6022" s="1"/>
      <c r="NV6022" s="1"/>
      <c r="NW6022" s="1"/>
      <c r="NX6022" s="1"/>
      <c r="NY6022" s="1"/>
      <c r="NZ6022" s="1"/>
      <c r="OA6022" s="1"/>
      <c r="OB6022" s="1"/>
      <c r="OC6022" s="1"/>
      <c r="OD6022" s="1"/>
      <c r="OE6022" s="1"/>
      <c r="OF6022" s="1"/>
      <c r="OG6022" s="1"/>
      <c r="OH6022" s="1"/>
      <c r="OI6022" s="1"/>
      <c r="OJ6022" s="1"/>
      <c r="OK6022" s="1"/>
      <c r="OL6022" s="1"/>
      <c r="OM6022" s="1"/>
      <c r="ON6022" s="1"/>
      <c r="OO6022" s="1"/>
      <c r="OP6022" s="1"/>
      <c r="OQ6022" s="1"/>
      <c r="OR6022" s="1"/>
      <c r="OS6022" s="1"/>
      <c r="OT6022" s="1"/>
      <c r="OU6022" s="1"/>
      <c r="OV6022" s="1"/>
      <c r="OW6022" s="1"/>
      <c r="OX6022" s="1"/>
      <c r="OY6022" s="1"/>
      <c r="OZ6022" s="1"/>
      <c r="PA6022" s="1"/>
      <c r="PB6022" s="1"/>
      <c r="PC6022" s="1"/>
      <c r="PD6022" s="1"/>
      <c r="PE6022" s="1"/>
      <c r="PF6022" s="1"/>
      <c r="PG6022" s="1"/>
      <c r="PH6022" s="1"/>
      <c r="PI6022" s="1"/>
      <c r="PJ6022" s="1"/>
      <c r="PK6022" s="1"/>
      <c r="PL6022" s="1"/>
      <c r="PM6022" s="1"/>
      <c r="PN6022" s="1"/>
      <c r="PO6022" s="1"/>
      <c r="PP6022" s="1"/>
      <c r="PQ6022" s="1"/>
      <c r="PR6022" s="1"/>
      <c r="PS6022" s="1"/>
      <c r="PT6022" s="1"/>
      <c r="PU6022" s="1"/>
      <c r="PV6022" s="1"/>
      <c r="PW6022" s="1"/>
      <c r="PX6022" s="1"/>
      <c r="PY6022" s="1"/>
      <c r="PZ6022" s="1"/>
      <c r="QA6022" s="1"/>
      <c r="QB6022" s="1"/>
      <c r="QC6022" s="1"/>
      <c r="QD6022" s="1"/>
      <c r="QE6022" s="1"/>
      <c r="QF6022" s="1"/>
      <c r="QG6022" s="1"/>
      <c r="QH6022" s="1"/>
      <c r="QI6022" s="1"/>
      <c r="QJ6022" s="1"/>
      <c r="QK6022" s="1"/>
      <c r="QL6022" s="1"/>
      <c r="QM6022" s="1"/>
      <c r="QN6022" s="1"/>
      <c r="QO6022" s="1"/>
      <c r="QP6022" s="1"/>
      <c r="QQ6022" s="1"/>
      <c r="QR6022" s="1"/>
      <c r="QS6022" s="1"/>
      <c r="QT6022" s="1"/>
      <c r="QU6022" s="1"/>
      <c r="QV6022" s="1"/>
      <c r="QW6022" s="1"/>
      <c r="QX6022" s="1"/>
      <c r="QY6022" s="1"/>
      <c r="QZ6022" s="1"/>
      <c r="RA6022" s="1"/>
      <c r="RB6022" s="1"/>
      <c r="RC6022" s="1"/>
      <c r="RD6022" s="1"/>
      <c r="RE6022" s="1"/>
      <c r="RF6022" s="1"/>
      <c r="RG6022" s="1"/>
      <c r="RH6022" s="1"/>
      <c r="RI6022" s="1"/>
      <c r="RJ6022" s="1"/>
      <c r="RK6022" s="1"/>
      <c r="RL6022" s="1"/>
      <c r="RM6022" s="1"/>
      <c r="RN6022" s="1"/>
      <c r="RO6022" s="1"/>
      <c r="RP6022" s="1"/>
      <c r="RQ6022" s="1"/>
      <c r="RR6022" s="1"/>
      <c r="RS6022" s="1"/>
      <c r="RT6022" s="1"/>
      <c r="RU6022" s="1"/>
      <c r="RV6022" s="1"/>
      <c r="RW6022" s="1"/>
      <c r="RX6022" s="1"/>
      <c r="RY6022" s="1"/>
      <c r="RZ6022" s="1"/>
      <c r="SA6022" s="1"/>
      <c r="SB6022" s="1"/>
      <c r="SC6022" s="1"/>
      <c r="SD6022" s="1"/>
      <c r="SE6022" s="1"/>
      <c r="SF6022" s="1"/>
      <c r="SG6022" s="1"/>
      <c r="SH6022" s="1"/>
      <c r="SI6022" s="1"/>
      <c r="SJ6022" s="1"/>
      <c r="SK6022" s="1"/>
      <c r="SL6022" s="1"/>
      <c r="SM6022" s="1"/>
      <c r="SN6022" s="1"/>
      <c r="SO6022" s="1"/>
      <c r="SP6022" s="1"/>
      <c r="SQ6022" s="1"/>
      <c r="SR6022" s="1"/>
      <c r="SS6022" s="1"/>
      <c r="ST6022" s="1"/>
      <c r="SU6022" s="1"/>
      <c r="SV6022" s="1"/>
      <c r="SW6022" s="1"/>
      <c r="SX6022" s="1"/>
      <c r="SY6022" s="1"/>
      <c r="SZ6022" s="1"/>
      <c r="TA6022" s="1"/>
      <c r="TB6022" s="1"/>
      <c r="TC6022" s="1"/>
      <c r="TD6022" s="1"/>
      <c r="TE6022" s="1"/>
      <c r="TF6022" s="1"/>
      <c r="TG6022" s="1"/>
      <c r="TH6022" s="1"/>
      <c r="TI6022" s="1"/>
      <c r="TJ6022" s="1"/>
      <c r="TK6022" s="1"/>
      <c r="TL6022" s="1"/>
      <c r="TM6022" s="1"/>
      <c r="TN6022" s="1"/>
      <c r="TO6022" s="1"/>
      <c r="TP6022" s="1"/>
      <c r="TQ6022" s="1"/>
      <c r="TR6022" s="1"/>
      <c r="TS6022" s="1"/>
      <c r="TT6022" s="1"/>
      <c r="TU6022" s="1"/>
      <c r="TV6022" s="1"/>
      <c r="TW6022" s="1"/>
      <c r="TX6022" s="1"/>
      <c r="TY6022" s="1"/>
      <c r="TZ6022" s="1"/>
      <c r="UA6022" s="1"/>
      <c r="UB6022" s="1"/>
      <c r="UC6022" s="1"/>
      <c r="UD6022" s="1"/>
      <c r="UE6022" s="1"/>
      <c r="UF6022" s="1"/>
      <c r="UG6022" s="1"/>
      <c r="UH6022" s="1"/>
      <c r="UI6022" s="1"/>
      <c r="UJ6022" s="1"/>
      <c r="UK6022" s="1"/>
      <c r="UL6022" s="1"/>
      <c r="UM6022" s="1"/>
      <c r="UN6022" s="1"/>
      <c r="UO6022" s="1"/>
      <c r="UP6022" s="1"/>
      <c r="UQ6022" s="1"/>
      <c r="UR6022" s="1"/>
      <c r="US6022" s="1"/>
      <c r="UT6022" s="1"/>
      <c r="UU6022" s="1"/>
      <c r="UV6022" s="1"/>
      <c r="UW6022" s="1"/>
      <c r="UX6022" s="1"/>
      <c r="UY6022" s="1"/>
      <c r="UZ6022" s="1"/>
      <c r="VA6022" s="1"/>
      <c r="VB6022" s="1"/>
      <c r="VC6022" s="1"/>
      <c r="VD6022" s="1"/>
      <c r="VE6022" s="1"/>
      <c r="VF6022" s="1"/>
      <c r="VG6022" s="1"/>
      <c r="VH6022" s="1"/>
      <c r="VI6022" s="1"/>
      <c r="VJ6022" s="1"/>
      <c r="VK6022" s="1"/>
      <c r="VL6022" s="1"/>
      <c r="VM6022" s="1"/>
      <c r="VN6022" s="1"/>
      <c r="VO6022" s="1"/>
      <c r="VP6022" s="1"/>
      <c r="VQ6022" s="1"/>
      <c r="VR6022" s="1"/>
      <c r="VS6022" s="1"/>
      <c r="VT6022" s="1"/>
      <c r="VU6022" s="1"/>
      <c r="VV6022" s="1"/>
      <c r="VW6022" s="1"/>
      <c r="VX6022" s="1"/>
      <c r="VY6022" s="1"/>
      <c r="VZ6022" s="1"/>
      <c r="WA6022" s="1"/>
      <c r="WB6022" s="1"/>
      <c r="WC6022" s="1"/>
      <c r="WD6022" s="1"/>
      <c r="WE6022" s="1"/>
      <c r="WF6022" s="1"/>
      <c r="WG6022" s="1"/>
      <c r="WH6022" s="1"/>
      <c r="WI6022" s="1"/>
      <c r="WJ6022" s="1"/>
      <c r="WK6022" s="1"/>
      <c r="WL6022" s="1"/>
      <c r="WM6022" s="1"/>
      <c r="WN6022" s="1"/>
      <c r="WO6022" s="1"/>
      <c r="WP6022" s="1"/>
      <c r="WQ6022" s="1"/>
      <c r="WR6022" s="1"/>
      <c r="WS6022" s="1"/>
      <c r="WT6022" s="1"/>
      <c r="WU6022" s="1"/>
      <c r="WV6022" s="1"/>
      <c r="WW6022" s="1"/>
      <c r="WX6022" s="1"/>
      <c r="WY6022" s="1"/>
      <c r="WZ6022" s="1"/>
      <c r="XA6022" s="1"/>
      <c r="XB6022" s="1"/>
      <c r="XC6022" s="1"/>
      <c r="XD6022" s="1"/>
      <c r="XE6022" s="1"/>
      <c r="XF6022" s="1"/>
      <c r="XG6022" s="1"/>
      <c r="XH6022" s="1"/>
      <c r="XI6022" s="1"/>
      <c r="XJ6022" s="1"/>
      <c r="XK6022" s="1"/>
      <c r="XL6022" s="1"/>
      <c r="XM6022" s="1"/>
      <c r="XN6022" s="1"/>
      <c r="XO6022" s="1"/>
      <c r="XP6022" s="1"/>
      <c r="XQ6022" s="1"/>
      <c r="XR6022" s="1"/>
      <c r="XS6022" s="1"/>
      <c r="XT6022" s="1"/>
      <c r="XU6022" s="1"/>
      <c r="XV6022" s="1"/>
      <c r="XW6022" s="1"/>
      <c r="XX6022" s="1"/>
      <c r="XY6022" s="1"/>
      <c r="XZ6022" s="1"/>
      <c r="YA6022" s="1"/>
      <c r="YB6022" s="1"/>
      <c r="YC6022" s="1"/>
      <c r="YD6022" s="1"/>
      <c r="YE6022" s="1"/>
      <c r="YF6022" s="1"/>
      <c r="YG6022" s="1"/>
      <c r="YH6022" s="1"/>
      <c r="YI6022" s="1"/>
      <c r="YJ6022" s="1"/>
      <c r="YK6022" s="1"/>
      <c r="YL6022" s="1"/>
      <c r="YM6022" s="1"/>
      <c r="YN6022" s="1"/>
      <c r="YO6022" s="1"/>
      <c r="YP6022" s="1"/>
      <c r="YQ6022" s="1"/>
      <c r="YR6022" s="1"/>
      <c r="YS6022" s="1"/>
      <c r="YT6022" s="1"/>
      <c r="YU6022" s="1"/>
      <c r="YV6022" s="1"/>
      <c r="YW6022" s="1"/>
      <c r="YX6022" s="1"/>
      <c r="YY6022" s="1"/>
      <c r="YZ6022" s="1"/>
      <c r="ZA6022" s="1"/>
      <c r="ZB6022" s="1"/>
      <c r="ZC6022" s="1"/>
      <c r="ZD6022" s="1"/>
      <c r="ZE6022" s="1"/>
      <c r="ZF6022" s="1"/>
      <c r="ZG6022" s="1"/>
      <c r="ZH6022" s="1"/>
      <c r="ZI6022" s="1"/>
      <c r="ZJ6022" s="1"/>
      <c r="ZK6022" s="1"/>
      <c r="ZL6022" s="1"/>
      <c r="ZM6022" s="1"/>
      <c r="ZN6022" s="1"/>
      <c r="ZO6022" s="1"/>
      <c r="ZP6022" s="1"/>
      <c r="ZQ6022" s="1"/>
      <c r="ZR6022" s="1"/>
      <c r="ZS6022" s="1"/>
      <c r="ZT6022" s="1"/>
      <c r="ZU6022" s="1"/>
      <c r="ZV6022" s="1"/>
      <c r="ZW6022" s="1"/>
      <c r="ZX6022" s="1"/>
      <c r="ZY6022" s="1"/>
      <c r="ZZ6022" s="1"/>
      <c r="AAA6022" s="1"/>
      <c r="AAB6022" s="1"/>
      <c r="AAC6022" s="1"/>
      <c r="AAD6022" s="1"/>
      <c r="AAE6022" s="1"/>
      <c r="AAF6022" s="1"/>
      <c r="AAG6022" s="1"/>
      <c r="AAH6022" s="1"/>
      <c r="AAI6022" s="1"/>
      <c r="AAJ6022" s="1"/>
      <c r="AAK6022" s="1"/>
      <c r="AAL6022" s="1"/>
      <c r="AAM6022" s="1"/>
      <c r="AAN6022" s="1"/>
      <c r="AAO6022" s="1"/>
      <c r="AAP6022" s="1"/>
      <c r="AAQ6022" s="1"/>
      <c r="AAR6022" s="1"/>
      <c r="AAS6022" s="1"/>
      <c r="AAT6022" s="1"/>
      <c r="AAU6022" s="1"/>
      <c r="AAV6022" s="1"/>
      <c r="AAW6022" s="1"/>
      <c r="AAX6022" s="1"/>
      <c r="AAY6022" s="1"/>
      <c r="AAZ6022" s="1"/>
      <c r="ABA6022" s="1"/>
      <c r="ABB6022" s="1"/>
      <c r="ABC6022" s="1"/>
      <c r="ABD6022" s="1"/>
      <c r="ABE6022" s="1"/>
      <c r="ABF6022" s="1"/>
      <c r="ABG6022" s="1"/>
      <c r="ABH6022" s="1"/>
      <c r="ABI6022" s="1"/>
      <c r="ABJ6022" s="1"/>
      <c r="ABK6022" s="1"/>
      <c r="ABL6022" s="1"/>
      <c r="ABM6022" s="1"/>
      <c r="ABN6022" s="1"/>
      <c r="ABO6022" s="1"/>
      <c r="ABP6022" s="1"/>
      <c r="ABQ6022" s="1"/>
      <c r="ABR6022" s="1"/>
      <c r="ABS6022" s="1"/>
      <c r="ABT6022" s="1"/>
      <c r="ABU6022" s="1"/>
      <c r="ABV6022" s="1"/>
      <c r="ABW6022" s="1"/>
      <c r="ABX6022" s="1"/>
      <c r="ABY6022" s="1"/>
      <c r="ABZ6022" s="1"/>
      <c r="ACA6022" s="1"/>
      <c r="ACB6022" s="1"/>
      <c r="ACC6022" s="1"/>
      <c r="ACD6022" s="1"/>
      <c r="ACE6022" s="1"/>
      <c r="ACF6022" s="1"/>
      <c r="ACG6022" s="1"/>
      <c r="ACH6022" s="1"/>
      <c r="ACI6022" s="1"/>
      <c r="ACJ6022" s="1"/>
      <c r="ACK6022" s="1"/>
      <c r="ACL6022" s="1"/>
      <c r="ACM6022" s="1"/>
      <c r="ACN6022" s="1"/>
      <c r="ACO6022" s="1"/>
      <c r="ACP6022" s="1"/>
      <c r="ACQ6022" s="1"/>
      <c r="ACR6022" s="1"/>
      <c r="ACS6022" s="1"/>
      <c r="ACT6022" s="1"/>
      <c r="ACU6022" s="1"/>
      <c r="ACV6022" s="1"/>
      <c r="ACW6022" s="1"/>
      <c r="ACX6022" s="1"/>
      <c r="ACY6022" s="1"/>
      <c r="ACZ6022" s="1"/>
      <c r="ADA6022" s="1"/>
      <c r="ADB6022" s="1"/>
      <c r="ADC6022" s="1"/>
      <c r="ADD6022" s="1"/>
      <c r="ADE6022" s="1"/>
      <c r="ADF6022" s="1"/>
      <c r="ADG6022" s="1"/>
      <c r="ADH6022" s="1"/>
      <c r="ADI6022" s="1"/>
      <c r="ADJ6022" s="1"/>
      <c r="ADK6022" s="1"/>
      <c r="ADL6022" s="1"/>
      <c r="ADM6022" s="1"/>
      <c r="ADN6022" s="1"/>
      <c r="ADO6022" s="1"/>
      <c r="ADP6022" s="1"/>
      <c r="ADQ6022" s="1"/>
      <c r="ADR6022" s="1"/>
      <c r="ADS6022" s="1"/>
      <c r="ADT6022" s="1"/>
      <c r="ADU6022" s="1"/>
      <c r="ADV6022" s="1"/>
      <c r="ADW6022" s="1"/>
      <c r="ADX6022" s="1"/>
      <c r="ADY6022" s="1"/>
      <c r="ADZ6022" s="1"/>
      <c r="AEA6022" s="1"/>
      <c r="AEB6022" s="1"/>
      <c r="AEC6022" s="1"/>
      <c r="AED6022" s="1"/>
      <c r="AEE6022" s="1"/>
      <c r="AEF6022" s="1"/>
      <c r="AEG6022" s="1"/>
      <c r="AEH6022" s="1"/>
      <c r="AEI6022" s="1"/>
      <c r="AEJ6022" s="1"/>
      <c r="AEK6022" s="1"/>
      <c r="AEL6022" s="1"/>
      <c r="AEM6022" s="1"/>
      <c r="AEN6022" s="1"/>
      <c r="AEO6022" s="1"/>
      <c r="AEP6022" s="1"/>
      <c r="AEQ6022" s="1"/>
      <c r="AER6022" s="1"/>
      <c r="AES6022" s="1"/>
      <c r="AET6022" s="1"/>
      <c r="AEU6022" s="1"/>
      <c r="AEV6022" s="1"/>
      <c r="AEW6022" s="1"/>
      <c r="AEX6022" s="1"/>
      <c r="AEY6022" s="1"/>
      <c r="AEZ6022" s="1"/>
      <c r="AFA6022" s="1"/>
      <c r="AFB6022" s="1"/>
      <c r="AFC6022" s="1"/>
      <c r="AFD6022" s="1"/>
      <c r="AFE6022" s="1"/>
      <c r="AFF6022" s="1"/>
      <c r="AFG6022" s="1"/>
      <c r="AFH6022" s="1"/>
      <c r="AFI6022" s="1"/>
      <c r="AFJ6022" s="1"/>
      <c r="AFK6022" s="1"/>
      <c r="AFL6022" s="1"/>
      <c r="AFM6022" s="1"/>
      <c r="AFN6022" s="1"/>
      <c r="AFO6022" s="1"/>
      <c r="AFP6022" s="1"/>
      <c r="AFQ6022" s="1"/>
      <c r="AFR6022" s="1"/>
      <c r="AFS6022" s="1"/>
      <c r="AFT6022" s="1"/>
      <c r="AFU6022" s="1"/>
      <c r="AFV6022" s="1"/>
      <c r="AFW6022" s="1"/>
      <c r="AFX6022" s="1"/>
      <c r="AFY6022" s="1"/>
      <c r="AFZ6022" s="1"/>
      <c r="AGA6022" s="1"/>
      <c r="AGB6022" s="1"/>
      <c r="AGC6022" s="1"/>
      <c r="AGD6022" s="1"/>
      <c r="AGE6022" s="1"/>
      <c r="AGF6022" s="1"/>
      <c r="AGG6022" s="1"/>
      <c r="AGH6022" s="1"/>
      <c r="AGI6022" s="1"/>
      <c r="AGJ6022" s="1"/>
      <c r="AGK6022" s="1"/>
      <c r="AGL6022" s="1"/>
      <c r="AGM6022" s="1"/>
      <c r="AGN6022" s="1"/>
      <c r="AGO6022" s="1"/>
      <c r="AGP6022" s="1"/>
      <c r="AGQ6022" s="1"/>
      <c r="AGR6022" s="1"/>
      <c r="AGS6022" s="1"/>
      <c r="AGT6022" s="1"/>
      <c r="AGU6022" s="1"/>
      <c r="AGV6022" s="1"/>
      <c r="AGW6022" s="1"/>
      <c r="AGX6022" s="1"/>
      <c r="AGY6022" s="1"/>
      <c r="AGZ6022" s="1"/>
      <c r="AHA6022" s="1"/>
      <c r="AHB6022" s="1"/>
      <c r="AHC6022" s="1"/>
      <c r="AHD6022" s="1"/>
      <c r="AHE6022" s="1"/>
      <c r="AHF6022" s="1"/>
      <c r="AHG6022" s="1"/>
      <c r="AHH6022" s="1"/>
      <c r="AHI6022" s="1"/>
      <c r="AHJ6022" s="1"/>
      <c r="AHK6022" s="1"/>
      <c r="AHL6022" s="1"/>
      <c r="AHM6022" s="1"/>
      <c r="AHN6022" s="1"/>
      <c r="AHO6022" s="1"/>
      <c r="AHP6022" s="1"/>
      <c r="AHQ6022" s="1"/>
      <c r="AHR6022" s="1"/>
      <c r="AHS6022" s="1"/>
      <c r="AHT6022" s="1"/>
      <c r="AHU6022" s="1"/>
      <c r="AHV6022" s="1"/>
      <c r="AHW6022" s="1"/>
      <c r="AHX6022" s="1"/>
      <c r="AHY6022" s="1"/>
      <c r="AHZ6022" s="1"/>
      <c r="AIA6022" s="1"/>
      <c r="AIB6022" s="1"/>
      <c r="AIC6022" s="1"/>
      <c r="AID6022" s="1"/>
      <c r="AIE6022" s="1"/>
      <c r="AIF6022" s="1"/>
      <c r="AIG6022" s="1"/>
      <c r="AIH6022" s="1"/>
      <c r="AII6022" s="1"/>
      <c r="AIJ6022" s="1"/>
      <c r="AIK6022" s="1"/>
      <c r="AIL6022" s="1"/>
      <c r="AIM6022" s="1"/>
      <c r="AIN6022" s="1"/>
      <c r="AIO6022" s="1"/>
      <c r="AIP6022" s="1"/>
      <c r="AIQ6022" s="1"/>
      <c r="AIR6022" s="1"/>
      <c r="AIS6022" s="1"/>
      <c r="AIT6022" s="1"/>
      <c r="AIU6022" s="1"/>
      <c r="AIV6022" s="1"/>
      <c r="AIW6022" s="1"/>
      <c r="AIX6022" s="1"/>
      <c r="AIY6022" s="1"/>
      <c r="AIZ6022" s="1"/>
      <c r="AJA6022" s="1"/>
      <c r="AJB6022" s="1"/>
      <c r="AJC6022" s="1"/>
      <c r="AJD6022" s="1"/>
      <c r="AJE6022" s="1"/>
      <c r="AJF6022" s="1"/>
      <c r="AJG6022" s="1"/>
      <c r="AJH6022" s="1"/>
      <c r="AJI6022" s="1"/>
      <c r="AJJ6022" s="1"/>
      <c r="AJK6022" s="1"/>
      <c r="AJL6022" s="1"/>
      <c r="AJM6022" s="1"/>
      <c r="AJN6022" s="1"/>
      <c r="AJO6022" s="1"/>
      <c r="AJP6022" s="1"/>
      <c r="AJQ6022" s="1"/>
      <c r="AJR6022" s="1"/>
      <c r="AJS6022" s="1"/>
      <c r="AJT6022" s="1"/>
      <c r="AJU6022" s="1"/>
      <c r="AJV6022" s="1"/>
      <c r="AJW6022" s="1"/>
      <c r="AJX6022" s="1"/>
      <c r="AJY6022" s="1"/>
      <c r="AJZ6022" s="1"/>
      <c r="AKA6022" s="1"/>
      <c r="AKB6022" s="1"/>
      <c r="AKC6022" s="1"/>
      <c r="AKD6022" s="1"/>
      <c r="AKE6022" s="1"/>
      <c r="AKF6022" s="1"/>
      <c r="AKG6022" s="1"/>
      <c r="AKH6022" s="1"/>
      <c r="AKI6022" s="1"/>
      <c r="AKJ6022" s="1"/>
      <c r="AKK6022" s="1"/>
      <c r="AKL6022" s="1"/>
      <c r="AKM6022" s="1"/>
      <c r="AKN6022" s="1"/>
      <c r="AKO6022" s="1"/>
      <c r="AKP6022" s="1"/>
      <c r="AKQ6022" s="1"/>
      <c r="AKR6022" s="1"/>
      <c r="AKS6022" s="1"/>
      <c r="AKT6022" s="1"/>
      <c r="AKU6022" s="1"/>
      <c r="AKV6022" s="1"/>
      <c r="AKW6022" s="1"/>
      <c r="AKX6022" s="1"/>
      <c r="AKY6022" s="1"/>
      <c r="AKZ6022" s="1"/>
      <c r="ALA6022" s="1"/>
      <c r="ALB6022" s="1"/>
      <c r="ALC6022" s="1"/>
      <c r="ALD6022" s="1"/>
      <c r="ALE6022" s="1"/>
      <c r="ALF6022" s="1"/>
      <c r="ALG6022" s="1"/>
      <c r="ALH6022" s="1"/>
      <c r="ALI6022" s="1"/>
      <c r="ALJ6022" s="1"/>
      <c r="ALK6022" s="1"/>
      <c r="ALL6022" s="1"/>
      <c r="ALM6022" s="1"/>
      <c r="ALN6022" s="1"/>
      <c r="ALO6022" s="1"/>
      <c r="ALP6022" s="1"/>
      <c r="ALQ6022" s="1"/>
      <c r="ALR6022" s="1"/>
      <c r="ALS6022" s="1"/>
      <c r="ALT6022" s="1"/>
      <c r="ALU6022" s="1"/>
      <c r="ALV6022" s="1"/>
      <c r="ALW6022" s="1"/>
      <c r="ALX6022" s="1"/>
      <c r="ALY6022" s="1"/>
      <c r="ALZ6022" s="1"/>
      <c r="AMA6022" s="1"/>
      <c r="AMB6022" s="1"/>
      <c r="AMC6022" s="1"/>
      <c r="AMD6022" s="1"/>
      <c r="AME6022" s="1"/>
      <c r="AMF6022" s="1"/>
      <c r="AMG6022" s="1"/>
      <c r="AMH6022" s="1"/>
      <c r="AMI6022" s="1"/>
      <c r="AMJ6022"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7c97cfc-7407-48dc-ae10-5bdef32fd558"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CCF2F6472FC5A4A9A05D787EA6D2D78" ma:contentTypeVersion="5" ma:contentTypeDescription="Create a new document." ma:contentTypeScope="" ma:versionID="1fb46ed0efcf2ce057a415e9258c35cd">
  <xsd:schema xmlns:xsd="http://www.w3.org/2001/XMLSchema" xmlns:xs="http://www.w3.org/2001/XMLSchema" xmlns:p="http://schemas.microsoft.com/office/2006/metadata/properties" xmlns:ns3="f7c97cfc-7407-48dc-ae10-5bdef32fd558" targetNamespace="http://schemas.microsoft.com/office/2006/metadata/properties" ma:root="true" ma:fieldsID="c45d1230af08ae8e3df15138100bf808" ns3:_="">
    <xsd:import namespace="f7c97cfc-7407-48dc-ae10-5bdef32fd55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c97cfc-7407-48dc-ae10-5bdef32fd5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Props1.xml><?xml version="1.0" encoding="utf-8"?>
<ds:datastoreItem xmlns:ds="http://schemas.openxmlformats.org/officeDocument/2006/customXml" ds:itemID="{E8079EFC-81A5-497E-98CF-BA8C046F43F0}">
  <ds:schemaRefs>
    <ds:schemaRef ds:uri="http://schemas.microsoft.com/sharepoint/v3/contenttype/forms"/>
  </ds:schemaRefs>
</ds:datastoreItem>
</file>

<file path=customXml/itemProps2.xml><?xml version="1.0" encoding="utf-8"?>
<ds:datastoreItem xmlns:ds="http://schemas.openxmlformats.org/officeDocument/2006/customXml" ds:itemID="{A0267E46-5534-43A7-80CA-888218882755}">
  <ds:schemaRefs>
    <ds:schemaRef ds:uri="http://schemas.microsoft.com/office/2006/metadata/properties"/>
    <ds:schemaRef ds:uri="http://schemas.microsoft.com/office/infopath/2007/PartnerControls"/>
    <ds:schemaRef ds:uri="f7c97cfc-7407-48dc-ae10-5bdef32fd558"/>
  </ds:schemaRefs>
</ds:datastoreItem>
</file>

<file path=customXml/itemProps3.xml><?xml version="1.0" encoding="utf-8"?>
<ds:datastoreItem xmlns:ds="http://schemas.openxmlformats.org/officeDocument/2006/customXml" ds:itemID="{E1B3E520-0E98-43CE-A1E9-24B49E6A208B}">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009E3793-9B02-4090-B653-4B8297D4AB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c97cfc-7407-48dc-ae10-5bdef32fd5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6E9E692-60B0-455D-83F0-D3B30EF7FC84}">
  <ds:schemaRefs>
    <ds:schemaRef ds:uri="http://schemas.microsoft.com/DataMashup"/>
  </ds:schemaRefs>
</ds:datastoreItem>
</file>

<file path=customXml/itemProps6.xml><?xml version="1.0" encoding="utf-8"?>
<ds:datastoreItem xmlns:ds="http://schemas.openxmlformats.org/officeDocument/2006/customXml" ds:itemID="{DF127B30-0452-4D2B-A5DB-379D6B87A567}">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Sheet7</vt:lpstr>
      <vt:lpstr>Sheet2</vt:lpstr>
      <vt:lpstr>Sheet3</vt:lpstr>
      <vt:lpstr>Sheet4</vt:lpstr>
      <vt:lpstr>Sheet5</vt:lpstr>
      <vt:lpstr>StudentsPerformance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MITS</cp:lastModifiedBy>
  <cp:revision/>
  <dcterms:created xsi:type="dcterms:W3CDTF">2026-06-05T07:22:18Z</dcterms:created>
  <dcterms:modified xsi:type="dcterms:W3CDTF">2026-06-08T04:40:45Z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0x010100ACCF2F6472FC5A4A9A05D787EA6D2D78</vt:lpwstr>
  </property>
</Properties>
</file>