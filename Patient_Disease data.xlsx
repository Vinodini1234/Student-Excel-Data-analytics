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0899C744-34D5-4286-8CCA-B9FEAF06903E}" xr6:coauthVersionLast="47" xr6:coauthVersionMax="47" xr10:uidLastSave="{00000000-0000-0000-0000-000000000000}"/>
  <bookViews>
    <workbookView xWindow="-120" yWindow="-120" windowWidth="29040" windowHeight="15720" xr2:uid="{B1B1BEAB-B4EC-4CAA-A634-911CB12125C5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  <definedName name="_xlchart.v1.3" hidden="1">Sheet1!$A$2:$A$6</definedName>
    <definedName name="_xlchart.v1.4" hidden="1">Sheet1!$B$1</definedName>
    <definedName name="_xlchart.v1.5" hidden="1">Sheet1!$B$2:$B$6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F5" i="1"/>
  <c r="E5" i="1"/>
  <c r="D5" i="1"/>
</calcChain>
</file>

<file path=xl/sharedStrings.xml><?xml version="1.0" encoding="utf-8"?>
<sst xmlns="http://schemas.openxmlformats.org/spreadsheetml/2006/main" count="25" uniqueCount="20">
  <si>
    <t>Disease</t>
  </si>
  <si>
    <t>Patient_Count</t>
  </si>
  <si>
    <t>flu</t>
  </si>
  <si>
    <t>cold</t>
  </si>
  <si>
    <t>malaria</t>
  </si>
  <si>
    <t>Mean</t>
  </si>
  <si>
    <t>Median</t>
  </si>
  <si>
    <t>Mode</t>
  </si>
  <si>
    <t>Range</t>
  </si>
  <si>
    <t>Standard Deviation</t>
  </si>
  <si>
    <t>dengue</t>
  </si>
  <si>
    <t>tuberculosis</t>
  </si>
  <si>
    <t>Standard Error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</si>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</sst>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Patient_Count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flu</c:v>
                </c:pt>
                <c:pt idx="1">
                  <c:v>cold</c:v>
                </c:pt>
                <c:pt idx="2">
                  <c:v>malaria</c:v>
                </c:pt>
                <c:pt idx="3">
                  <c:v>dengue</c:v>
                </c:pt>
                <c:pt idx="4">
                  <c:v>tuberculosis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500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7-492E-81B6-9CDD3C826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8110224"/>
        <c:axId val="1038102544"/>
        <c:axId val="0"/>
      </c:bar3DChart>
      <c:catAx>
        <c:axId val="103811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02544"/>
        <c:crosses val="autoZero"/>
        <c:auto val="1"/>
        <c:lblAlgn val="ctr"/>
        <c:lblOffset val="100"/>
        <c:noMultiLvlLbl val="0"/>
      </c:catAx>
      <c:valAx>
        <c:axId val="10381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1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Patient_Count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4E-4C36-A3B0-796831FC2FC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E-4C36-A3B0-796831FC2FC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4E-4C36-A3B0-796831FC2FC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4E-4C36-A3B0-796831FC2FC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4E-4C36-A3B0-796831FC2FC2}"/>
              </c:ext>
            </c:extLst>
          </c:dPt>
          <c:cat>
            <c:strRef>
              <c:f>Sheet1!$A$2:$A$6</c:f>
              <c:strCache>
                <c:ptCount val="5"/>
                <c:pt idx="0">
                  <c:v>flu</c:v>
                </c:pt>
                <c:pt idx="1">
                  <c:v>cold</c:v>
                </c:pt>
                <c:pt idx="2">
                  <c:v>malaria</c:v>
                </c:pt>
                <c:pt idx="3">
                  <c:v>dengue</c:v>
                </c:pt>
                <c:pt idx="4">
                  <c:v>tuberculosis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500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2-450D-A401-C2D16ECA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Disease Range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Disease Range</a:t>
          </a:r>
        </a:p>
      </cx:txPr>
    </cx:title>
    <cx:plotArea>
      <cx:plotAreaRegion>
        <cx:series layoutId="treemap" uniqueId="{7EA91347-6092-4BF0-809E-3B85929AE8AE}">
          <cx:tx>
            <cx:txData>
              <cx:f>_xlchart.v1.1</cx:f>
              <cx:v>Patient_Count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489585</xdr:colOff>
      <xdr:row>17</xdr:row>
      <xdr:rowOff>51435</xdr:rowOff>
    </xdr:from>
    <xdr:to>
      <xdr:col>16</xdr:col>
      <xdr:colOff>148590</xdr:colOff>
      <xdr:row>32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68C0A7-15B4-6CF8-9AF2-7DB3AB04E6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3185" y="3299460"/>
              <a:ext cx="4535805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68580</xdr:colOff>
      <xdr:row>7</xdr:row>
      <xdr:rowOff>49530</xdr:rowOff>
    </xdr:from>
    <xdr:to>
      <xdr:col>6</xdr:col>
      <xdr:colOff>449580</xdr:colOff>
      <xdr:row>22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DBFC94-4DFD-243A-A64D-01F9680BC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198120</xdr:colOff>
      <xdr:row>22</xdr:row>
      <xdr:rowOff>125730</xdr:rowOff>
    </xdr:from>
    <xdr:to>
      <xdr:col>8</xdr:col>
      <xdr:colOff>495300</xdr:colOff>
      <xdr:row>37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30BA24-0537-3285-3ABC-05FD02ECE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D1015-836F-4CB9-8FC3-CA74073874CC}" name="Table1" displayName="Table1" ref="A1:B6" totalsRowShown="0">
  <autoFilter ref="A1:B6" xr:uid="{C47D1015-836F-4CB9-8FC3-CA74073874CC}"/>
  <tableColumns count="2">
    <tableColumn id="1" xr3:uid="{A592F3D0-A4AC-43EE-9E32-9A7353D92E56}" name="Disease"/>
    <tableColumn id="2" xr3:uid="{4D4F648B-5A93-4FDD-A572-6959F72E5F81}" name="Patient_Count" dataDxfId="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5291D8-2C98-4B67-8293-B94E32E4E542}" name="Table2" displayName="Table2" ref="D4:H5" totalsRowShown="0" dataDxfId="5">
  <autoFilter ref="D4:H5" xr:uid="{8D5291D8-2C98-4B67-8293-B94E32E4E542}"/>
  <tableColumns count="5">
    <tableColumn id="1" xr3:uid="{681F8841-45E5-482D-B69C-DC0B5898604F}" name="Mean" dataDxfId="4">
      <calculatedColumnFormula>AVERAGE(B2:B6)</calculatedColumnFormula>
    </tableColumn>
    <tableColumn id="2" xr3:uid="{95368D18-B6E1-468D-B367-B1B43C1E7343}" name="Median" dataDxfId="3">
      <calculatedColumnFormula>MEDIAN(B2:B6)</calculatedColumnFormula>
    </tableColumn>
    <tableColumn id="3" xr3:uid="{EF02BD2D-3D3C-4551-BE84-E05D1227D498}" name="Mode" dataDxfId="2">
      <calculatedColumnFormula>_xlfn.MODE.SNGL(B2:B6)</calculatedColumnFormula>
    </tableColumn>
    <tableColumn id="4" xr3:uid="{9A0312DB-4563-4E90-9BD5-F6BEFB096770}" name="Range" dataDxfId="1">
      <calculatedColumnFormula>MAX(B2:B6)-MIN(B2:B6)</calculatedColumnFormula>
    </tableColumn>
    <tableColumn id="5" xr3:uid="{BC62B76B-37E1-40F4-A2BF-339998756A65}" name="Standard Deviation" dataDxfId="0">
      <calculatedColumnFormula>_xlfn.STDEV.P(B2:B6)</calculatedColumnFormula>
    </tableColumn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8281-4A33-4BDC-BD10-D836F08BCC1F}">
  <dimension ref="A1:N15"/>
  <sheetViews>
    <sheetView tabSelected="1" workbookViewId="0">
      <selection activeCell="M1" sqref="M1:N15"/>
    </sheetView>
  </sheetViews>
  <sheetFormatPr defaultRowHeight="15" x14ac:dyDescent="0.25"/>
  <cols>
    <col min="1" max="1" width="11.42578125" customWidth="1"/>
    <col min="2" max="2" width="14.140625" customWidth="1"/>
    <col min="8" max="8" width="17.85546875" customWidth="1"/>
  </cols>
  <sheetData>
    <row r="1" spans="1:14" x14ac:dyDescent="0.25">
      <c r="A1" t="s">
        <v>0</v>
      </c>
      <c r="B1" t="s">
        <v>1</v>
      </c>
      <c r="M1" s="4">
        <v>100</v>
      </c>
      <c r="N1" s="4"/>
    </row>
    <row r="2" spans="1:14" x14ac:dyDescent="0.25">
      <c r="A2" t="s">
        <v>2</v>
      </c>
      <c r="B2" s="1">
        <v>100</v>
      </c>
      <c r="M2" s="2"/>
      <c r="N2" s="2"/>
    </row>
    <row r="3" spans="1:14" x14ac:dyDescent="0.25">
      <c r="A3" t="s">
        <v>3</v>
      </c>
      <c r="B3" s="1">
        <v>150</v>
      </c>
      <c r="M3" s="2" t="s">
        <v>5</v>
      </c>
      <c r="N3" s="2">
        <v>175</v>
      </c>
    </row>
    <row r="4" spans="1:14" x14ac:dyDescent="0.25">
      <c r="A4" t="s">
        <v>4</v>
      </c>
      <c r="B4" s="1">
        <v>500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M4" s="2" t="s">
        <v>12</v>
      </c>
      <c r="N4" s="2">
        <v>112.28683508467648</v>
      </c>
    </row>
    <row r="5" spans="1:14" x14ac:dyDescent="0.25">
      <c r="A5" t="s">
        <v>10</v>
      </c>
      <c r="B5" s="1">
        <v>30</v>
      </c>
      <c r="D5" s="1">
        <f>AVERAGE(B2:B6)</f>
        <v>160</v>
      </c>
      <c r="E5" s="1">
        <f>MEDIAN(B2:B6)</f>
        <v>100</v>
      </c>
      <c r="F5" s="1" t="e">
        <f>_xlfn.MODE.SNGL(B2:B6)</f>
        <v>#N/A</v>
      </c>
      <c r="G5" s="1">
        <f>MAX(B2:B6)-MIN(B2:B6)</f>
        <v>480</v>
      </c>
      <c r="H5" s="1">
        <f>_xlfn.STDEV.P(B2:B6)</f>
        <v>176.52195330892982</v>
      </c>
      <c r="M5" s="2" t="s">
        <v>6</v>
      </c>
      <c r="N5" s="2">
        <v>90</v>
      </c>
    </row>
    <row r="6" spans="1:14" x14ac:dyDescent="0.25">
      <c r="A6" t="s">
        <v>11</v>
      </c>
      <c r="B6" s="1">
        <v>20</v>
      </c>
      <c r="M6" s="2" t="s">
        <v>7</v>
      </c>
      <c r="N6" s="2" t="e">
        <v>#N/A</v>
      </c>
    </row>
    <row r="7" spans="1:14" x14ac:dyDescent="0.25">
      <c r="M7" s="2" t="s">
        <v>9</v>
      </c>
      <c r="N7" s="2">
        <v>224.57367016935297</v>
      </c>
    </row>
    <row r="8" spans="1:14" x14ac:dyDescent="0.25">
      <c r="M8" s="2" t="s">
        <v>13</v>
      </c>
      <c r="N8" s="2">
        <v>50433.333333333336</v>
      </c>
    </row>
    <row r="9" spans="1:14" x14ac:dyDescent="0.25">
      <c r="M9" s="2" t="s">
        <v>14</v>
      </c>
      <c r="N9" s="2">
        <v>2.4572523915883924</v>
      </c>
    </row>
    <row r="10" spans="1:14" x14ac:dyDescent="0.25">
      <c r="M10" s="2" t="s">
        <v>15</v>
      </c>
      <c r="N10" s="2">
        <v>1.62104909068679</v>
      </c>
    </row>
    <row r="11" spans="1:14" x14ac:dyDescent="0.25">
      <c r="M11" s="2" t="s">
        <v>8</v>
      </c>
      <c r="N11" s="2">
        <v>480</v>
      </c>
    </row>
    <row r="12" spans="1:14" x14ac:dyDescent="0.25">
      <c r="M12" s="2" t="s">
        <v>16</v>
      </c>
      <c r="N12" s="2">
        <v>20</v>
      </c>
    </row>
    <row r="13" spans="1:14" x14ac:dyDescent="0.25">
      <c r="M13" s="2" t="s">
        <v>17</v>
      </c>
      <c r="N13" s="2">
        <v>500</v>
      </c>
    </row>
    <row r="14" spans="1:14" x14ac:dyDescent="0.25">
      <c r="M14" s="2" t="s">
        <v>18</v>
      </c>
      <c r="N14" s="2">
        <v>700</v>
      </c>
    </row>
    <row r="15" spans="1:14" ht="15.75" thickBot="1" x14ac:dyDescent="0.3">
      <c r="M15" s="3" t="s">
        <v>19</v>
      </c>
      <c r="N15" s="3">
        <v>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c97cfc-7407-48dc-ae10-5bdef32fd5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2F6472FC5A4A9A05D787EA6D2D78" ma:contentTypeVersion="5" ma:contentTypeDescription="Create a new document." ma:contentTypeScope="" ma:versionID="1fb46ed0efcf2ce057a415e9258c35cd">
  <xsd:schema xmlns:xsd="http://www.w3.org/2001/XMLSchema" xmlns:xs="http://www.w3.org/2001/XMLSchema" xmlns:p="http://schemas.microsoft.com/office/2006/metadata/properties" xmlns:ns3="f7c97cfc-7407-48dc-ae10-5bdef32fd558" targetNamespace="http://schemas.microsoft.com/office/2006/metadata/properties" ma:root="true" ma:fieldsID="c45d1230af08ae8e3df15138100bf808" ns3:_="">
    <xsd:import namespace="f7c97cfc-7407-48dc-ae10-5bdef32fd5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97cfc-7407-48dc-ae10-5bdef32fd5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B69F8-3A07-4082-89FD-52AC31CD0D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CD62DA-61E1-4DC8-BF0D-800A24FE6FEE}">
  <ds:schemaRefs>
    <ds:schemaRef ds:uri="http://schemas.microsoft.com/office/2006/metadata/properties"/>
    <ds:schemaRef ds:uri="http://schemas.microsoft.com/office/infopath/2007/PartnerControls"/>
    <ds:schemaRef ds:uri="f7c97cfc-7407-48dc-ae10-5bdef32fd558"/>
  </ds:schemaRefs>
</ds:datastoreItem>
</file>

<file path=customXml/itemProps3.xml><?xml version="1.0" encoding="utf-8"?>
<ds:datastoreItem xmlns:ds="http://schemas.openxmlformats.org/officeDocument/2006/customXml" ds:itemID="{9D3D04A2-E8EF-497C-955C-1404965D0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97cfc-7407-48dc-ae10-5bdef32fd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 Vinodini</dc:creator>
  <cp:keywords/>
  <dc:description/>
  <cp:lastModifiedBy>MITS</cp:lastModifiedBy>
  <cp:revision/>
  <dcterms:created xsi:type="dcterms:W3CDTF">2026-05-27T01:12:38Z</dcterms:created>
  <dcterms:modified xsi:type="dcterms:W3CDTF">2026-05-27T04:09:47Z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0x010100ACCF2F6472FC5A4A9A05D787EA6D2D78</vt:lpwstr>
  </property>
</Properties>
</file>