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sacin-my.sharepoint.com/personal/24695a4005_mits_ac_in/Documents/Attachments/"/>
    </mc:Choice>
  </mc:AlternateContent>
  <xr:revisionPtr revIDLastSave="0" documentId="8_{A81549AE-EF36-4391-8DE4-42308308D92F}" xr6:coauthVersionLast="47" xr6:coauthVersionMax="47" xr10:uidLastSave="{00000000-0000-0000-0000-000000000000}"/>
  <bookViews>
    <workbookView xWindow="-108" yWindow="-108" windowWidth="23256" windowHeight="12456" firstSheet="1" activeTab="1" xr2:uid="{F86F6E3D-8CC1-452C-AF1A-70F197E5116D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L9" i="1"/>
  <c r="K9" i="1"/>
  <c r="J9" i="1"/>
  <c r="I9" i="1"/>
  <c r="H9" i="1"/>
  <c r="G9" i="1"/>
</calcChain>
</file>

<file path=xl/sharedStrings.xml><?xml version="1.0" encoding="utf-8"?>
<sst xmlns="http://schemas.openxmlformats.org/spreadsheetml/2006/main" count="68" uniqueCount="65">
  <si>
    <t>Student Name</t>
  </si>
  <si>
    <t>Marks</t>
  </si>
  <si>
    <t>Study Hours</t>
  </si>
  <si>
    <t>95</t>
  </si>
  <si>
    <t>96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</si>
  <si>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</si>
  <si>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</si>
  <si>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</si>
  <si>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</si>
  <si>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</si>
  <si>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</si>
  <si>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</si>
  <si>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</si>
  <si>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</si>
  <si>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Anitha</t>
  </si>
  <si>
    <t>SUMMARY OUTPUT</t>
  </si>
  <si>
    <t>Bhanu</t>
  </si>
  <si>
    <t>Mean</t>
  </si>
  <si>
    <t>Bupal</t>
  </si>
  <si>
    <t>Standard Error</t>
  </si>
  <si>
    <t>Regression Statistics</t>
  </si>
  <si>
    <t>Hari</t>
  </si>
  <si>
    <t>Median</t>
  </si>
  <si>
    <t>Multiple R</t>
  </si>
  <si>
    <t>Karthik</t>
  </si>
  <si>
    <t>Mode</t>
  </si>
  <si>
    <t>R Square</t>
  </si>
  <si>
    <t>Lucky</t>
  </si>
  <si>
    <t>Standard Deviation</t>
  </si>
  <si>
    <t>Adjusted R Square</t>
  </si>
  <si>
    <t>Vinod</t>
  </si>
  <si>
    <t>Sample Variance</t>
  </si>
  <si>
    <t>mean</t>
  </si>
  <si>
    <t>median</t>
  </si>
  <si>
    <t>mode</t>
  </si>
  <si>
    <t>range</t>
  </si>
  <si>
    <t>variance</t>
  </si>
  <si>
    <t>std</t>
  </si>
  <si>
    <t>correlation</t>
  </si>
  <si>
    <t>Vamshi</t>
  </si>
  <si>
    <t>Kurtosis</t>
  </si>
  <si>
    <t>Observations</t>
  </si>
  <si>
    <t>Skewness</t>
  </si>
  <si>
    <t>Range</t>
  </si>
  <si>
    <t>ANOVA</t>
  </si>
  <si>
    <t>Minimum</t>
  </si>
  <si>
    <t>df</t>
  </si>
  <si>
    <t>SS</t>
  </si>
  <si>
    <t>MS</t>
  </si>
  <si>
    <t>F</t>
  </si>
  <si>
    <t>Significance F</t>
  </si>
  <si>
    <t>Maximum</t>
  </si>
  <si>
    <t>Regression</t>
  </si>
  <si>
    <t>Sum</t>
  </si>
  <si>
    <t>Residual</t>
  </si>
  <si>
    <t>Count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</si>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</sst>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3">
    <dxf>
      <border outline="0"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Sheet1!$A$2:$A$15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95</c:v>
                </c:pt>
                <c:pt idx="1">
                  <c:v>65</c:v>
                </c:pt>
                <c:pt idx="2">
                  <c:v>83</c:v>
                </c:pt>
                <c:pt idx="3">
                  <c:v>76</c:v>
                </c:pt>
                <c:pt idx="4">
                  <c:v>95</c:v>
                </c:pt>
                <c:pt idx="5">
                  <c:v>60</c:v>
                </c:pt>
                <c:pt idx="6">
                  <c:v>30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6-4660-B836-B34D7FD47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414377551"/>
        <c:axId val="684112911"/>
        <c:axId val="0"/>
      </c:bar3DChart>
      <c:catAx>
        <c:axId val="41437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12911"/>
        <c:crosses val="autoZero"/>
        <c:auto val="1"/>
        <c:lblAlgn val="ctr"/>
        <c:lblOffset val="100"/>
        <c:noMultiLvlLbl val="0"/>
      </c:catAx>
      <c:valAx>
        <c:axId val="6841129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1437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93F-4CE6-828E-BD8C38ADA0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93F-4CE6-828E-BD8C38ADA0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93F-4CE6-828E-BD8C38ADA0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93F-4CE6-828E-BD8C38ADA0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93F-4CE6-828E-BD8C38ADA03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93F-4CE6-828E-BD8C38ADA03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93F-4CE6-828E-BD8C38ADA03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93F-4CE6-828E-BD8C38ADA03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493F-4CE6-828E-BD8C38ADA03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493F-4CE6-828E-BD8C38ADA03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493F-4CE6-828E-BD8C38ADA03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493F-4CE6-828E-BD8C38ADA03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493F-4CE6-828E-BD8C38ADA03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493F-4CE6-828E-BD8C38ADA039}"/>
              </c:ext>
            </c:extLst>
          </c:dPt>
          <c:cat>
            <c:strRef>
              <c:f>Sheet1!$A$2:$A$15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95</c:v>
                </c:pt>
                <c:pt idx="1">
                  <c:v>65</c:v>
                </c:pt>
                <c:pt idx="2">
                  <c:v>83</c:v>
                </c:pt>
                <c:pt idx="3">
                  <c:v>76</c:v>
                </c:pt>
                <c:pt idx="4">
                  <c:v>95</c:v>
                </c:pt>
                <c:pt idx="5">
                  <c:v>60</c:v>
                </c:pt>
                <c:pt idx="6">
                  <c:v>30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0-4D08-88B4-DDC71CC3879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493F-4CE6-828E-BD8C38ADA0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493F-4CE6-828E-BD8C38ADA0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493F-4CE6-828E-BD8C38ADA0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493F-4CE6-828E-BD8C38ADA0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493F-4CE6-828E-BD8C38ADA03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493F-4CE6-828E-BD8C38ADA03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493F-4CE6-828E-BD8C38ADA03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493F-4CE6-828E-BD8C38ADA03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493F-4CE6-828E-BD8C38ADA03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493F-4CE6-828E-BD8C38ADA03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493F-4CE6-828E-BD8C38ADA03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493F-4CE6-828E-BD8C38ADA03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493F-4CE6-828E-BD8C38ADA03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493F-4CE6-828E-BD8C38ADA039}"/>
              </c:ext>
            </c:extLst>
          </c:dPt>
          <c:cat>
            <c:strRef>
              <c:f>Sheet1!$A$2:$A$15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11.3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8</c:v>
                </c:pt>
                <c:pt idx="6">
                  <c:v>2.2999999999999998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0-4D08-88B4-DDC71CC3879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95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493F-4CE6-828E-BD8C38ADA0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493F-4CE6-828E-BD8C38ADA0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493F-4CE6-828E-BD8C38ADA0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493F-4CE6-828E-BD8C38ADA0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493F-4CE6-828E-BD8C38ADA03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493F-4CE6-828E-BD8C38ADA03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493F-4CE6-828E-BD8C38ADA03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493F-4CE6-828E-BD8C38ADA03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493F-4CE6-828E-BD8C38ADA03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493F-4CE6-828E-BD8C38ADA03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493F-4CE6-828E-BD8C38ADA03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493F-4CE6-828E-BD8C38ADA03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493F-4CE6-828E-BD8C38ADA03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493F-4CE6-828E-BD8C38ADA039}"/>
              </c:ext>
            </c:extLst>
          </c:dPt>
          <c:cat>
            <c:strRef>
              <c:f>Sheet1!$A$2:$A$15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50-4D08-88B4-DDC71CC3879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96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493F-4CE6-828E-BD8C38ADA03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493F-4CE6-828E-BD8C38ADA03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493F-4CE6-828E-BD8C38ADA03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493F-4CE6-828E-BD8C38ADA03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493F-4CE6-828E-BD8C38ADA03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493F-4CE6-828E-BD8C38ADA03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493F-4CE6-828E-BD8C38ADA03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493F-4CE6-828E-BD8C38ADA03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493F-4CE6-828E-BD8C38ADA03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493F-4CE6-828E-BD8C38ADA03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493F-4CE6-828E-BD8C38ADA03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493F-4CE6-828E-BD8C38ADA03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493F-4CE6-828E-BD8C38ADA03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493F-4CE6-828E-BD8C38ADA039}"/>
              </c:ext>
            </c:extLst>
          </c:dPt>
          <c:cat>
            <c:strRef>
              <c:f>Sheet1!$A$2:$A$15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Sheet1!$E$2:$E$15</c:f>
              <c:numCache>
                <c:formatCode>General</c:formatCode>
                <c:ptCount val="14"/>
                <c:pt idx="1">
                  <c:v>69.857142857142861</c:v>
                </c:pt>
                <c:pt idx="2">
                  <c:v>7.9505273003582309</c:v>
                </c:pt>
                <c:pt idx="3">
                  <c:v>76</c:v>
                </c:pt>
                <c:pt idx="4">
                  <c:v>#N/A</c:v>
                </c:pt>
                <c:pt idx="5">
                  <c:v>21.03511802857761</c:v>
                </c:pt>
                <c:pt idx="6">
                  <c:v>442.47619047619082</c:v>
                </c:pt>
                <c:pt idx="7">
                  <c:v>1.6913357673336833</c:v>
                </c:pt>
                <c:pt idx="8">
                  <c:v>-1.1268438391075355</c:v>
                </c:pt>
                <c:pt idx="9">
                  <c:v>65</c:v>
                </c:pt>
                <c:pt idx="10">
                  <c:v>30</c:v>
                </c:pt>
                <c:pt idx="11">
                  <c:v>95</c:v>
                </c:pt>
                <c:pt idx="12">
                  <c:v>489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50-4D08-88B4-DDC71CC38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Sheet1!$A$2:$A$9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95</c:v>
                </c:pt>
                <c:pt idx="1">
                  <c:v>65</c:v>
                </c:pt>
                <c:pt idx="2">
                  <c:v>83</c:v>
                </c:pt>
                <c:pt idx="3">
                  <c:v>76</c:v>
                </c:pt>
                <c:pt idx="4">
                  <c:v>95</c:v>
                </c:pt>
                <c:pt idx="5">
                  <c:v>60</c:v>
                </c:pt>
                <c:pt idx="6">
                  <c:v>30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8-4E76-A022-C5F39F6C367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Sheet1!$A$2:$A$9</c:f>
              <c:strCache>
                <c:ptCount val="8"/>
                <c:pt idx="0">
                  <c:v>Anitha</c:v>
                </c:pt>
                <c:pt idx="1">
                  <c:v>Bhanu</c:v>
                </c:pt>
                <c:pt idx="2">
                  <c:v>Bupal</c:v>
                </c:pt>
                <c:pt idx="3">
                  <c:v>Hari</c:v>
                </c:pt>
                <c:pt idx="4">
                  <c:v>Karthik</c:v>
                </c:pt>
                <c:pt idx="5">
                  <c:v>Lucky</c:v>
                </c:pt>
                <c:pt idx="6">
                  <c:v>Vinod</c:v>
                </c:pt>
                <c:pt idx="7">
                  <c:v>Vamshi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11.3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8</c:v>
                </c:pt>
                <c:pt idx="6">
                  <c:v>2.2999999999999998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8-4E76-A022-C5F39F6C367B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717333599"/>
        <c:axId val="717347039"/>
        <c:axId val="236455135"/>
      </c:surface3DChart>
      <c:catAx>
        <c:axId val="71733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47039"/>
        <c:crosses val="autoZero"/>
        <c:auto val="1"/>
        <c:lblAlgn val="ctr"/>
        <c:lblOffset val="100"/>
        <c:noMultiLvlLbl val="0"/>
      </c:catAx>
      <c:valAx>
        <c:axId val="7173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33599"/>
        <c:crosses val="autoZero"/>
        <c:crossBetween val="midCat"/>
      </c:valAx>
      <c:serAx>
        <c:axId val="236455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4703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15</xdr:row>
      <xdr:rowOff>42862</xdr:rowOff>
    </xdr:from>
    <xdr:to>
      <xdr:col>11</xdr:col>
      <xdr:colOff>419100</xdr:colOff>
      <xdr:row>29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36C5C-337D-011D-BE89-4BDF66A81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15</xdr:row>
      <xdr:rowOff>166687</xdr:rowOff>
    </xdr:from>
    <xdr:to>
      <xdr:col>4</xdr:col>
      <xdr:colOff>600075</xdr:colOff>
      <xdr:row>30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C4342-FBAA-EB13-B813-8FDAE2074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104775</xdr:colOff>
      <xdr:row>19</xdr:row>
      <xdr:rowOff>4762</xdr:rowOff>
    </xdr:from>
    <xdr:to>
      <xdr:col>18</xdr:col>
      <xdr:colOff>333375</xdr:colOff>
      <xdr:row>33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22F653-13E6-02CE-9FAD-BBD008823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7AE1E-F847-4AC9-973A-8C5C3CCD6889}" name="Table1" displayName="Table1" ref="A1:E15" totalsRowShown="0">
  <autoFilter ref="A1:E15" xr:uid="{BC47AE1E-F847-4AC9-973A-8C5C3CCD6889}"/>
  <tableColumns count="5">
    <tableColumn id="1" xr3:uid="{7C04EDC8-DC6C-42B2-9926-890F964D3C8F}" name="Student Name"/>
    <tableColumn id="2" xr3:uid="{E70046C5-7BCF-4EFF-9100-1BA2EFD30405}" name="Marks" dataDxfId="2"/>
    <tableColumn id="3" xr3:uid="{17B8BB1A-8420-4DEC-BBC4-DC81B0B11EA6}" name="Study Hours" dataDxfId="1"/>
    <tableColumn id="4" xr3:uid="{799C94C2-826C-4529-B023-792D80D50FC5}" name="95"/>
    <tableColumn id="5" xr3:uid="{3F06669D-41FD-4DC0-B05F-09D886B87E81}" name="9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F1F7A-7775-46C7-9318-FE0B90156780}" name="Table2" displayName="Table2" ref="G8:M9" totalsRowShown="0">
  <autoFilter ref="G8:M9" xr:uid="{CD9F1F7A-7775-46C7-9318-FE0B90156780}"/>
  <tableColumns count="7">
    <tableColumn id="1" xr3:uid="{F0CD7EC5-9179-4775-8F98-E17C71965C62}" name="mean">
      <calculatedColumnFormula>AVERAGE(B2:B15)</calculatedColumnFormula>
    </tableColumn>
    <tableColumn id="2" xr3:uid="{E554A33C-6A27-4B8C-B2FA-7E64D911A353}" name="median">
      <calculatedColumnFormula>MEDIAN(B2:B15)</calculatedColumnFormula>
    </tableColumn>
    <tableColumn id="3" xr3:uid="{D367DAEB-2F61-49B4-A1BC-C3C2E9C22C71}" name="mode">
      <calculatedColumnFormula>MODE(B2:B15)</calculatedColumnFormula>
    </tableColumn>
    <tableColumn id="4" xr3:uid="{5FDD7605-1042-4FAE-9B46-5D1F0BFDD0DB}" name="range">
      <calculatedColumnFormula>MAX(B2:B15)-MIN(B2:B15)</calculatedColumnFormula>
    </tableColumn>
    <tableColumn id="5" xr3:uid="{48BC813F-A083-42AD-BFF1-4D8ED9EB2D78}" name="variance">
      <calculatedColumnFormula>_xlfn.VAR.S(B2:B15)</calculatedColumnFormula>
    </tableColumn>
    <tableColumn id="6" xr3:uid="{C8F3AB64-E9F5-40AA-9615-847411A92FBA}" name="std">
      <calculatedColumnFormula>_xlfn.STDEV.S(B2:B15)</calculatedColumnFormula>
    </tableColumn>
    <tableColumn id="7" xr3:uid="{B034475D-2479-4363-B4A0-A4458F225EDC}" name="correlation">
      <calculatedColumnFormula>CORREL(B2:B15,C2:C15)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1C981-8EC4-4ED3-B440-6AAD0C6BB490}" name="Table3" displayName="Table3" ref="P1:X19" totalsRowShown="0" tableBorderDxfId="0">
  <autoFilter ref="P1:X19" xr:uid="{A701C981-8EC4-4ED3-B440-6AAD0C6BB490}"/>
  <tableColumns count="9">
    <tableColumn id="1" xr3:uid="{CF728AEB-D459-45F3-82CE-19421F17EA37}" name="Column1"/>
    <tableColumn id="2" xr3:uid="{8A2FB447-8442-49D2-9DB1-A82548D1FE3B}" name="Column2"/>
    <tableColumn id="3" xr3:uid="{5F6188EC-7AFB-47E6-A195-BCE896E788C2}" name="Column3"/>
    <tableColumn id="4" xr3:uid="{3A94778A-063C-4CDC-A151-4622D37728F7}" name="Column4"/>
    <tableColumn id="5" xr3:uid="{F74AAA29-1441-4505-A1D6-EE11C4C7B4A6}" name="Column5"/>
    <tableColumn id="6" xr3:uid="{FBAAE35B-9CD0-4FC3-8F2F-365552B4EDA4}" name="Column6"/>
    <tableColumn id="7" xr3:uid="{8D02BD97-5FA8-4278-BCB3-C65BBE11275F}" name="Column7"/>
    <tableColumn id="8" xr3:uid="{27B9FC98-6601-4B8F-96D1-FE9A7A64D81F}" name="Column8"/>
    <tableColumn id="9" xr3:uid="{B2147C4E-7B4D-4D57-AD3C-64F3A2CCAE30}" name="Column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A0E9-BDB2-40EB-94F6-BFFC0A14A477}">
  <dimension ref="A1"/>
  <sheetViews>
    <sheetView workbookViewId="0">
      <selection activeCell="O14" sqref="O14"/>
    </sheetView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D683-2BAC-4E62-83CA-9D363D934258}">
  <dimension ref="A1:X19"/>
  <sheetViews>
    <sheetView tabSelected="1" topLeftCell="A8" workbookViewId="0">
      <selection activeCell="H33" sqref="H33"/>
    </sheetView>
  </sheetViews>
  <sheetFormatPr defaultRowHeight="14.45"/>
  <cols>
    <col min="1" max="1" width="15.85546875" customWidth="1"/>
    <col min="3" max="3" width="13.7109375" customWidth="1"/>
    <col min="4" max="4" width="19.85546875" customWidth="1"/>
    <col min="11" max="11" width="9.7109375" customWidth="1"/>
    <col min="13" max="13" width="11.85546875" customWidth="1"/>
    <col min="16" max="16" width="10.140625" customWidth="1"/>
    <col min="17" max="17" width="11.42578125" customWidth="1"/>
    <col min="18" max="18" width="17.140625" customWidth="1"/>
    <col min="19" max="19" width="12.5703125" customWidth="1"/>
    <col min="20" max="20" width="10.140625" customWidth="1"/>
    <col min="21" max="21" width="15.85546875" customWidth="1"/>
    <col min="22" max="22" width="10.85546875" customWidth="1"/>
    <col min="23" max="23" width="13.28515625" customWidth="1"/>
    <col min="24" max="24" width="13.7109375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</row>
    <row r="2" spans="1:24">
      <c r="A2" t="s">
        <v>14</v>
      </c>
      <c r="B2">
        <v>95</v>
      </c>
      <c r="C2">
        <v>11.3</v>
      </c>
      <c r="P2" t="s">
        <v>15</v>
      </c>
    </row>
    <row r="3" spans="1:24" ht="15" thickBot="1">
      <c r="A3" t="s">
        <v>16</v>
      </c>
      <c r="B3">
        <v>65</v>
      </c>
      <c r="C3">
        <v>8</v>
      </c>
      <c r="D3" t="s">
        <v>17</v>
      </c>
      <c r="E3">
        <v>69.857142857142861</v>
      </c>
    </row>
    <row r="4" spans="1:24">
      <c r="A4" t="s">
        <v>18</v>
      </c>
      <c r="B4">
        <v>83</v>
      </c>
      <c r="C4">
        <v>11</v>
      </c>
      <c r="D4" t="s">
        <v>19</v>
      </c>
      <c r="E4">
        <v>7.9505273003582309</v>
      </c>
      <c r="P4" s="3" t="s">
        <v>20</v>
      </c>
      <c r="Q4" s="3"/>
    </row>
    <row r="5" spans="1:24">
      <c r="A5" t="s">
        <v>21</v>
      </c>
      <c r="B5">
        <v>76</v>
      </c>
      <c r="C5">
        <v>11</v>
      </c>
      <c r="D5" t="s">
        <v>22</v>
      </c>
      <c r="E5">
        <v>76</v>
      </c>
      <c r="P5" t="s">
        <v>23</v>
      </c>
      <c r="Q5">
        <v>0.9689408584169672</v>
      </c>
    </row>
    <row r="6" spans="1:24">
      <c r="A6" t="s">
        <v>24</v>
      </c>
      <c r="B6">
        <v>95</v>
      </c>
      <c r="C6">
        <v>12</v>
      </c>
      <c r="D6" t="s">
        <v>25</v>
      </c>
      <c r="E6" t="e">
        <v>#N/A</v>
      </c>
      <c r="P6" t="s">
        <v>26</v>
      </c>
      <c r="Q6">
        <v>0.93884638710980928</v>
      </c>
    </row>
    <row r="7" spans="1:24">
      <c r="A7" t="s">
        <v>27</v>
      </c>
      <c r="B7">
        <v>60</v>
      </c>
      <c r="C7">
        <v>8</v>
      </c>
      <c r="D7" t="s">
        <v>28</v>
      </c>
      <c r="E7">
        <v>21.03511802857761</v>
      </c>
      <c r="P7" t="s">
        <v>29</v>
      </c>
      <c r="Q7">
        <v>0.92865411829477751</v>
      </c>
    </row>
    <row r="8" spans="1:24">
      <c r="A8" t="s">
        <v>30</v>
      </c>
      <c r="B8">
        <v>30</v>
      </c>
      <c r="C8">
        <v>2.2999999999999998</v>
      </c>
      <c r="D8" t="s">
        <v>31</v>
      </c>
      <c r="E8">
        <v>442.47619047619082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P8" t="s">
        <v>19</v>
      </c>
      <c r="Q8">
        <v>5.7181114328615523</v>
      </c>
    </row>
    <row r="9" spans="1:24" ht="15" thickBot="1">
      <c r="A9" t="s">
        <v>39</v>
      </c>
      <c r="B9">
        <v>80</v>
      </c>
      <c r="C9">
        <v>10</v>
      </c>
      <c r="D9" t="s">
        <v>40</v>
      </c>
      <c r="E9">
        <v>1.6913357673336833</v>
      </c>
      <c r="G9">
        <f>AVERAGE(B2:B15)</f>
        <v>73</v>
      </c>
      <c r="H9">
        <f>MEDIAN(B2:B15)</f>
        <v>78</v>
      </c>
      <c r="I9">
        <f>MODE(B2:B15)</f>
        <v>95</v>
      </c>
      <c r="J9">
        <f>MAX(B2:B15)-MIN(B2:B15)</f>
        <v>65</v>
      </c>
      <c r="K9">
        <f>_xlfn.VAR.S(B2:B15)</f>
        <v>458.28571428571428</v>
      </c>
      <c r="L9">
        <f>_xlfn.STDEV.S(B2:B15)</f>
        <v>21.407608794204791</v>
      </c>
      <c r="M9">
        <f>CORREL(B2:B15,C2:C15)</f>
        <v>0.96894085841696731</v>
      </c>
      <c r="P9" s="1" t="s">
        <v>41</v>
      </c>
      <c r="Q9" s="1">
        <v>8</v>
      </c>
    </row>
    <row r="10" spans="1:24">
      <c r="D10" t="s">
        <v>42</v>
      </c>
      <c r="E10">
        <v>-1.1268438391075355</v>
      </c>
    </row>
    <row r="11" spans="1:24" ht="15" thickBot="1">
      <c r="D11" t="s">
        <v>43</v>
      </c>
      <c r="E11">
        <v>65</v>
      </c>
      <c r="P11" t="s">
        <v>44</v>
      </c>
    </row>
    <row r="12" spans="1:24">
      <c r="D12" t="s">
        <v>45</v>
      </c>
      <c r="E12">
        <v>30</v>
      </c>
      <c r="P12" s="2"/>
      <c r="Q12" s="2" t="s">
        <v>46</v>
      </c>
      <c r="R12" s="2" t="s">
        <v>47</v>
      </c>
      <c r="S12" s="2" t="s">
        <v>48</v>
      </c>
      <c r="T12" s="2" t="s">
        <v>49</v>
      </c>
      <c r="U12" s="2" t="s">
        <v>50</v>
      </c>
    </row>
    <row r="13" spans="1:24">
      <c r="D13" t="s">
        <v>51</v>
      </c>
      <c r="E13">
        <v>95</v>
      </c>
      <c r="P13" t="s">
        <v>52</v>
      </c>
      <c r="Q13">
        <v>1</v>
      </c>
      <c r="R13">
        <v>3011.8192098482682</v>
      </c>
      <c r="S13">
        <v>3011.8192098482682</v>
      </c>
      <c r="T13">
        <v>92.113581789088684</v>
      </c>
      <c r="U13">
        <v>7.3170561541484745E-5</v>
      </c>
    </row>
    <row r="14" spans="1:24">
      <c r="D14" t="s">
        <v>53</v>
      </c>
      <c r="E14">
        <v>489</v>
      </c>
      <c r="P14" t="s">
        <v>54</v>
      </c>
      <c r="Q14">
        <v>6</v>
      </c>
      <c r="R14">
        <v>196.180790151732</v>
      </c>
      <c r="S14">
        <v>32.696798358621997</v>
      </c>
    </row>
    <row r="15" spans="1:24" ht="15" thickBot="1">
      <c r="A15" s="1"/>
      <c r="B15" s="1"/>
      <c r="C15" s="1"/>
      <c r="D15" s="1" t="s">
        <v>55</v>
      </c>
      <c r="E15" s="1">
        <v>7</v>
      </c>
      <c r="P15" s="1" t="s">
        <v>56</v>
      </c>
      <c r="Q15" s="1">
        <v>7</v>
      </c>
      <c r="R15" s="1">
        <v>3208</v>
      </c>
      <c r="S15" s="1"/>
      <c r="T15" s="1"/>
      <c r="U15" s="1"/>
    </row>
    <row r="16" spans="1:24" ht="15" thickBot="1"/>
    <row r="17" spans="16:24">
      <c r="P17" s="2"/>
      <c r="Q17" s="2" t="s">
        <v>57</v>
      </c>
      <c r="R17" s="2" t="s">
        <v>19</v>
      </c>
      <c r="S17" s="2" t="s">
        <v>58</v>
      </c>
      <c r="T17" s="2" t="s">
        <v>59</v>
      </c>
      <c r="U17" s="2" t="s">
        <v>60</v>
      </c>
      <c r="V17" s="2" t="s">
        <v>61</v>
      </c>
      <c r="W17" s="2" t="s">
        <v>62</v>
      </c>
      <c r="X17" s="2" t="s">
        <v>63</v>
      </c>
    </row>
    <row r="18" spans="16:24">
      <c r="P18" t="s">
        <v>64</v>
      </c>
      <c r="Q18">
        <v>12.59290008588605</v>
      </c>
      <c r="R18">
        <v>6.6107056082754703</v>
      </c>
      <c r="S18">
        <v>1.9049252579213176</v>
      </c>
      <c r="T18">
        <v>0.1054472690492622</v>
      </c>
      <c r="U18">
        <v>-3.5829138114337127</v>
      </c>
      <c r="V18">
        <v>28.768713983205814</v>
      </c>
      <c r="W18">
        <v>-3.5829138114337127</v>
      </c>
      <c r="X18">
        <v>28.768713983205814</v>
      </c>
    </row>
    <row r="19" spans="16:24">
      <c r="P19" t="s">
        <v>2</v>
      </c>
      <c r="Q19">
        <v>6.5659891210993431</v>
      </c>
      <c r="R19">
        <v>0.68412950950857732</v>
      </c>
      <c r="S19">
        <v>9.5975820803517351</v>
      </c>
      <c r="T19">
        <v>7.3170561541484609E-5</v>
      </c>
      <c r="U19">
        <v>4.8919845165648095</v>
      </c>
      <c r="V19">
        <v>8.2399937256338767</v>
      </c>
      <c r="W19">
        <v>4.8919845165648095</v>
      </c>
      <c r="X19">
        <v>8.2399937256338767</v>
      </c>
    </row>
  </sheetData>
  <phoneticPr fontId="1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F2F6472FC5A4A9A05D787EA6D2D78" ma:contentTypeVersion="4" ma:contentTypeDescription="Create a new document." ma:contentTypeScope="" ma:versionID="33a61397474c9a821a37039ff07104dd">
  <xsd:schema xmlns:xsd="http://www.w3.org/2001/XMLSchema" xmlns:xs="http://www.w3.org/2001/XMLSchema" xmlns:p="http://schemas.microsoft.com/office/2006/metadata/properties" xmlns:ns3="f7c97cfc-7407-48dc-ae10-5bdef32fd558" targetNamespace="http://schemas.microsoft.com/office/2006/metadata/properties" ma:root="true" ma:fieldsID="022f57b251c2e59d9dae5d8f0a756213" ns3:_="">
    <xsd:import namespace="f7c97cfc-7407-48dc-ae10-5bdef32fd5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97cfc-7407-48dc-ae10-5bdef32fd5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CE5A78-08BF-45C0-B03D-3574F15C90A3}"/>
</file>

<file path=customXml/itemProps2.xml><?xml version="1.0" encoding="utf-8"?>
<ds:datastoreItem xmlns:ds="http://schemas.openxmlformats.org/officeDocument/2006/customXml" ds:itemID="{006D5AC1-6490-4615-8250-821D9DC600EA}"/>
</file>

<file path=customXml/itemProps3.xml><?xml version="1.0" encoding="utf-8"?>
<ds:datastoreItem xmlns:ds="http://schemas.openxmlformats.org/officeDocument/2006/customXml" ds:itemID="{46C26E4C-7C2F-4D87-9653-0B7B19295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MITS</dc:creator>
  <cp:keywords/>
  <dc:description/>
  <cp:lastModifiedBy/>
  <cp:revision/>
  <dcterms:created xsi:type="dcterms:W3CDTF">2026-05-26T09:41:32Z</dcterms:created>
  <dcterms:modified xsi:type="dcterms:W3CDTF">2026-05-26T16:41:38Z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0x010100ACCF2F6472FC5A4A9A05D787EA6D2D78</vt:lpwstr>
  </property>
</Properties>
</file>