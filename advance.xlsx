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wnloads\"/>
    </mc:Choice>
  </mc:AlternateContent>
  <xr:revisionPtr revIDLastSave="0" documentId="13_ncr:1_{51061EF9-C950-4292-9EDC-EECAD120C4A3}" xr6:coauthVersionLast="47" xr6:coauthVersionMax="47" xr10:uidLastSave="{00000000-0000-0000-0000-000000000000}"/>
  <bookViews>
    <workbookView xWindow="-120" yWindow="-120" windowWidth="29040" windowHeight="15720" xr2:uid="{2DD1F5FB-37A4-4B33-8FBC-C2D8146E9AD8}"/>
  </bookViews>
  <sheets>
    <sheet name="ai_student_impact_dataset (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8" i="1" l="1" a="1"/>
  <c r="M58" i="1" s="1"/>
  <c r="P60" i="1"/>
  <c r="P58" i="1"/>
  <c r="N58" i="1"/>
  <c r="N59" i="1"/>
  <c r="N57" i="1"/>
  <c r="V6" i="1" a="1"/>
  <c r="V6" i="1"/>
  <c r="S51" i="1"/>
  <c r="D59" i="1"/>
  <c r="D61" i="1"/>
  <c r="D60" i="1"/>
  <c r="R51" i="1"/>
  <c r="Q51" i="1"/>
  <c r="P51" i="1"/>
  <c r="O51" i="1"/>
  <c r="N51" i="1"/>
  <c r="M51" i="1"/>
  <c r="L51" i="1"/>
  <c r="K51" i="1"/>
  <c r="J51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" i="1"/>
  <c r="T8" i="1"/>
  <c r="T9" i="1"/>
  <c r="T13" i="1"/>
  <c r="T15" i="1"/>
  <c r="T38" i="1"/>
  <c r="T39" i="1"/>
  <c r="S10" i="1"/>
  <c r="R15" i="1"/>
  <c r="R6" i="1"/>
  <c r="T6" i="1" s="1"/>
  <c r="R5" i="1"/>
  <c r="T5" i="1" s="1"/>
  <c r="Q39" i="1"/>
  <c r="S39" i="1" s="1"/>
  <c r="Q23" i="1"/>
  <c r="S23" i="1" s="1"/>
  <c r="Q12" i="1"/>
  <c r="S12" i="1" s="1"/>
  <c r="Q4" i="1"/>
  <c r="S4" i="1" s="1"/>
  <c r="AG21" i="1"/>
  <c r="G61" i="1"/>
  <c r="G60" i="1"/>
  <c r="G59" i="1"/>
  <c r="D65" i="1"/>
  <c r="F54" i="1"/>
  <c r="F53" i="1"/>
  <c r="F52" i="1"/>
  <c r="F51" i="1"/>
  <c r="D54" i="1"/>
  <c r="D53" i="1"/>
  <c r="D52" i="1"/>
  <c r="D51" i="1"/>
  <c r="R7" i="1"/>
  <c r="T7" i="1" s="1"/>
  <c r="R8" i="1"/>
  <c r="R9" i="1"/>
  <c r="R10" i="1"/>
  <c r="T10" i="1" s="1"/>
  <c r="R11" i="1"/>
  <c r="T11" i="1" s="1"/>
  <c r="R12" i="1"/>
  <c r="T12" i="1" s="1"/>
  <c r="R13" i="1"/>
  <c r="R14" i="1"/>
  <c r="T14" i="1" s="1"/>
  <c r="R16" i="1"/>
  <c r="T16" i="1" s="1"/>
  <c r="R17" i="1"/>
  <c r="T17" i="1" s="1"/>
  <c r="R18" i="1"/>
  <c r="T18" i="1" s="1"/>
  <c r="R19" i="1"/>
  <c r="T19" i="1" s="1"/>
  <c r="R20" i="1"/>
  <c r="T20" i="1" s="1"/>
  <c r="R21" i="1"/>
  <c r="T21" i="1" s="1"/>
  <c r="R22" i="1"/>
  <c r="T22" i="1" s="1"/>
  <c r="R23" i="1"/>
  <c r="T23" i="1" s="1"/>
  <c r="R24" i="1"/>
  <c r="T24" i="1" s="1"/>
  <c r="R25" i="1"/>
  <c r="T25" i="1" s="1"/>
  <c r="R26" i="1"/>
  <c r="T26" i="1" s="1"/>
  <c r="R27" i="1"/>
  <c r="T27" i="1" s="1"/>
  <c r="R28" i="1"/>
  <c r="T28" i="1" s="1"/>
  <c r="R29" i="1"/>
  <c r="T29" i="1" s="1"/>
  <c r="R30" i="1"/>
  <c r="T30" i="1" s="1"/>
  <c r="R31" i="1"/>
  <c r="T31" i="1" s="1"/>
  <c r="R32" i="1"/>
  <c r="T32" i="1" s="1"/>
  <c r="R33" i="1"/>
  <c r="T33" i="1" s="1"/>
  <c r="R34" i="1"/>
  <c r="T34" i="1" s="1"/>
  <c r="R35" i="1"/>
  <c r="T35" i="1" s="1"/>
  <c r="R36" i="1"/>
  <c r="T36" i="1" s="1"/>
  <c r="R37" i="1"/>
  <c r="T37" i="1" s="1"/>
  <c r="R38" i="1"/>
  <c r="R39" i="1"/>
  <c r="R40" i="1"/>
  <c r="T40" i="1" s="1"/>
  <c r="R41" i="1"/>
  <c r="T41" i="1" s="1"/>
  <c r="R42" i="1"/>
  <c r="T42" i="1" s="1"/>
  <c r="R43" i="1"/>
  <c r="T43" i="1" s="1"/>
  <c r="R4" i="1"/>
  <c r="T4" i="1" s="1"/>
  <c r="Q5" i="1"/>
  <c r="S5" i="1" s="1"/>
  <c r="Q6" i="1"/>
  <c r="S6" i="1" s="1"/>
  <c r="Q7" i="1"/>
  <c r="S7" i="1" s="1"/>
  <c r="Q8" i="1"/>
  <c r="S8" i="1" s="1"/>
  <c r="Q9" i="1"/>
  <c r="S9" i="1" s="1"/>
  <c r="Q10" i="1"/>
  <c r="Q11" i="1"/>
  <c r="S11" i="1" s="1"/>
  <c r="Q13" i="1"/>
  <c r="S13" i="1" s="1"/>
  <c r="Q14" i="1"/>
  <c r="S14" i="1" s="1"/>
  <c r="Q15" i="1"/>
  <c r="S15" i="1" s="1"/>
  <c r="Q16" i="1"/>
  <c r="S16" i="1" s="1"/>
  <c r="Q17" i="1"/>
  <c r="S17" i="1" s="1"/>
  <c r="Q18" i="1"/>
  <c r="S18" i="1" s="1"/>
  <c r="Q19" i="1"/>
  <c r="S19" i="1" s="1"/>
  <c r="Q20" i="1"/>
  <c r="S20" i="1" s="1"/>
  <c r="Q21" i="1"/>
  <c r="S21" i="1" s="1"/>
  <c r="Q22" i="1"/>
  <c r="S22" i="1" s="1"/>
  <c r="Q24" i="1"/>
  <c r="S24" i="1" s="1"/>
  <c r="Q25" i="1"/>
  <c r="S25" i="1" s="1"/>
  <c r="Q26" i="1"/>
  <c r="S26" i="1" s="1"/>
  <c r="Q27" i="1"/>
  <c r="S27" i="1" s="1"/>
  <c r="Q28" i="1"/>
  <c r="S28" i="1" s="1"/>
  <c r="Q29" i="1"/>
  <c r="S29" i="1" s="1"/>
  <c r="Q30" i="1"/>
  <c r="S30" i="1" s="1"/>
  <c r="Q31" i="1"/>
  <c r="S31" i="1" s="1"/>
  <c r="Q32" i="1"/>
  <c r="S32" i="1" s="1"/>
  <c r="Q33" i="1"/>
  <c r="S33" i="1" s="1"/>
  <c r="Q34" i="1"/>
  <c r="S34" i="1" s="1"/>
  <c r="Q35" i="1"/>
  <c r="S35" i="1" s="1"/>
  <c r="Q36" i="1"/>
  <c r="S36" i="1" s="1"/>
  <c r="Q37" i="1"/>
  <c r="S37" i="1" s="1"/>
  <c r="Q38" i="1"/>
  <c r="S38" i="1" s="1"/>
  <c r="Q40" i="1"/>
  <c r="S40" i="1" s="1"/>
  <c r="Q41" i="1"/>
  <c r="S41" i="1" s="1"/>
  <c r="Q42" i="1"/>
  <c r="S42" i="1" s="1"/>
  <c r="Q43" i="1"/>
  <c r="S43" i="1" s="1"/>
  <c r="P5" i="1" a="1"/>
  <c r="P5" i="1" s="1"/>
  <c r="P6" i="1" a="1"/>
  <c r="P6" i="1"/>
  <c r="P7" i="1" a="1"/>
  <c r="P7" i="1"/>
  <c r="P8" i="1" a="1"/>
  <c r="P8" i="1" s="1"/>
  <c r="P9" i="1" a="1"/>
  <c r="P9" i="1" s="1"/>
  <c r="P10" i="1" a="1"/>
  <c r="P10" i="1" s="1"/>
  <c r="P11" i="1" a="1"/>
  <c r="P11" i="1" s="1"/>
  <c r="P12" i="1" a="1"/>
  <c r="P12" i="1" s="1"/>
  <c r="P13" i="1" a="1"/>
  <c r="P13" i="1" s="1"/>
  <c r="P14" i="1" a="1"/>
  <c r="P14" i="1" s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/>
  <c r="P25" i="1" a="1"/>
  <c r="P25" i="1" s="1"/>
  <c r="P26" i="1" a="1"/>
  <c r="P26" i="1" s="1"/>
  <c r="P27" i="1" a="1"/>
  <c r="P27" i="1" s="1"/>
  <c r="P28" i="1" a="1"/>
  <c r="P28" i="1" s="1"/>
  <c r="P29" i="1" a="1"/>
  <c r="P29" i="1" s="1"/>
  <c r="P30" i="1" a="1"/>
  <c r="P30" i="1"/>
  <c r="P31" i="1" a="1"/>
  <c r="P31" i="1"/>
  <c r="P32" i="1" a="1"/>
  <c r="P32" i="1" s="1"/>
  <c r="P33" i="1" a="1"/>
  <c r="P33" i="1" s="1"/>
  <c r="P34" i="1" a="1"/>
  <c r="P34" i="1" s="1"/>
  <c r="P35" i="1" a="1"/>
  <c r="P35" i="1" s="1"/>
  <c r="P36" i="1" a="1"/>
  <c r="P36" i="1" s="1"/>
  <c r="P37" i="1" a="1"/>
  <c r="P37" i="1" s="1"/>
  <c r="P38" i="1" a="1"/>
  <c r="P38" i="1"/>
  <c r="P39" i="1" a="1"/>
  <c r="P39" i="1"/>
  <c r="P40" i="1" a="1"/>
  <c r="P40" i="1" s="1"/>
  <c r="P41" i="1" a="1"/>
  <c r="P41" i="1" s="1"/>
  <c r="P42" i="1" a="1"/>
  <c r="P42" i="1"/>
  <c r="P43" i="1" a="1"/>
  <c r="P43" i="1"/>
  <c r="P4" i="1" a="1"/>
  <c r="P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" i="1"/>
  <c r="AG22" i="1"/>
  <c r="AB22" i="1"/>
  <c r="AA22" i="1"/>
  <c r="Z22" i="1"/>
  <c r="AB21" i="1"/>
  <c r="AA21" i="1"/>
  <c r="Z21" i="1"/>
  <c r="Q5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<sst xmlns="http://schemas.openxmlformats.org/spreadsheetml/2006/main" count="511" uniqueCount="111">
  <si>
    <t>Student_ID</t>
  </si>
  <si>
    <t>Major_Category</t>
  </si>
  <si>
    <t>Year_of_Study</t>
  </si>
  <si>
    <t>Pre_Semester_GPA</t>
  </si>
  <si>
    <t>Weekly_GenAI_Hours</t>
  </si>
  <si>
    <t>Primary_Use_Case</t>
  </si>
  <si>
    <t>Prompt_Engineering_Skill</t>
  </si>
  <si>
    <t>Tool_Diversity</t>
  </si>
  <si>
    <t>Paid_Subscription</t>
  </si>
  <si>
    <t>Traditional_Study_Hours</t>
  </si>
  <si>
    <t>Perceived_AI_Dependency</t>
  </si>
  <si>
    <t>Institutional_Policy</t>
  </si>
  <si>
    <t>Anxiety_Level_During_Exams</t>
  </si>
  <si>
    <t>Post_Semester_GPA</t>
  </si>
  <si>
    <t>Skill_Retention_Score</t>
  </si>
  <si>
    <t>Burnout_Risk_Level</t>
  </si>
  <si>
    <t>Humanities</t>
  </si>
  <si>
    <t>Senior</t>
  </si>
  <si>
    <t>Copywriting/Drafting</t>
  </si>
  <si>
    <t>Beginner</t>
  </si>
  <si>
    <t>Allowed_With_Citation</t>
  </si>
  <si>
    <t>High</t>
  </si>
  <si>
    <t>Medical</t>
  </si>
  <si>
    <t>Junior</t>
  </si>
  <si>
    <t>Ideation</t>
  </si>
  <si>
    <t>Advanced</t>
  </si>
  <si>
    <t>Low</t>
  </si>
  <si>
    <t>Business</t>
  </si>
  <si>
    <t>Freshman</t>
  </si>
  <si>
    <t>Summarizing_Reading</t>
  </si>
  <si>
    <t>Strict_Ban</t>
  </si>
  <si>
    <t>Medium</t>
  </si>
  <si>
    <t>Intermediate</t>
  </si>
  <si>
    <t>STEM</t>
  </si>
  <si>
    <t>Sophomore</t>
  </si>
  <si>
    <t>Debugging/Troubleshooting</t>
  </si>
  <si>
    <t>Arts</t>
  </si>
  <si>
    <t>Actively_Encouraged</t>
  </si>
  <si>
    <t>Graduate</t>
  </si>
  <si>
    <t>Direct_Answer_Generation</t>
  </si>
  <si>
    <t>VLOOKUP</t>
  </si>
  <si>
    <t>Skill_retention_score</t>
  </si>
  <si>
    <t>Category</t>
  </si>
  <si>
    <t>Hlookup</t>
  </si>
  <si>
    <t>year_of_study</t>
  </si>
  <si>
    <t>weekly_genAi</t>
  </si>
  <si>
    <t>Burnout_risk_level</t>
  </si>
  <si>
    <t>match</t>
  </si>
  <si>
    <t>index</t>
  </si>
  <si>
    <t>xlookup</t>
  </si>
  <si>
    <t>treditional_study_hours</t>
  </si>
  <si>
    <t>traditional_study_hours</t>
  </si>
  <si>
    <t>prompt_engg_skills</t>
  </si>
  <si>
    <t>result</t>
  </si>
  <si>
    <t>Study_analysis</t>
  </si>
  <si>
    <t>or analysis</t>
  </si>
  <si>
    <t>And Analysis</t>
  </si>
  <si>
    <t>or result</t>
  </si>
  <si>
    <t>and result</t>
  </si>
  <si>
    <t>not analysis</t>
  </si>
  <si>
    <t>Logical analysis</t>
  </si>
  <si>
    <t>Statistical fuctions</t>
  </si>
  <si>
    <t>count</t>
  </si>
  <si>
    <t>counta</t>
  </si>
  <si>
    <t>count blank</t>
  </si>
  <si>
    <t>count if</t>
  </si>
  <si>
    <t>countifs</t>
  </si>
  <si>
    <t>mean</t>
  </si>
  <si>
    <t>median</t>
  </si>
  <si>
    <t>mode</t>
  </si>
  <si>
    <t>stdev</t>
  </si>
  <si>
    <t>Column1</t>
  </si>
  <si>
    <t>Column2</t>
  </si>
  <si>
    <t>Column3</t>
  </si>
  <si>
    <t>Column4</t>
  </si>
  <si>
    <t>Column5</t>
  </si>
  <si>
    <t>Column6</t>
  </si>
  <si>
    <t>variance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</si>
  <si>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</si>
  <si>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</si>
  <si>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</si>
  <si>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</si>
  <si>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</si>
  <si>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</si>
  <si>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</si>
  <si>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</si>
  <si>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</si>
  <si>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</si>
  <si>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</si>
  <si>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</si>
  <si>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</si>
  <si>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</si>
  <si>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</si>
  <si>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</si>
  <si>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</si>
  <si>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</si>
  <si>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</si>
  <si>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</si>
  <si>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</si>
  <si>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</si>
  <si>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</si>
  <si>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</si>
  <si>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</si>
  <si>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</si>
  <si>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</si>
  <si>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</si>
  <si>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</si>
  <si>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promt_level</t>
  </si>
  <si>
    <t>beginners</t>
  </si>
  <si>
    <t>intermediate</t>
  </si>
  <si>
    <t>advance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</si>
</sst>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6"/>
      <color theme="4" tint="-0.249977111117893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6" fillId="2" borderId="0" xfId="6"/>
    <xf numFmtId="0" fontId="8" fillId="4" borderId="0" xfId="8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8" fillId="0" borderId="0" xfId="0" applyFont="1" applyAlignment="1">
      <alignment horizontal="center"/>
    </xf>
    <xf numFmtId="0" fontId="8" fillId="4" borderId="0" xfId="8" applyAlignment="1">
      <alignment horizontal="center"/>
    </xf>
    <xf numFmtId="0" fontId="6" fillId="2" borderId="0" xfId="6" applyAlignment="1">
      <alignment horizontal="center"/>
    </xf>
    <xf numFmtId="0" fontId="1" fillId="23" borderId="0" xfId="32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146508-5414-417C-96A9-B819C2CD3A42}" name="Table1" displayName="Table1" ref="J50:S52" totalsRowCount="1" headerRowDxfId="51" dataDxfId="49" totalsRowDxfId="50">
  <autoFilter ref="J50:S51" xr:uid="{80146508-5414-417C-96A9-B819C2CD3A42}"/>
  <tableColumns count="10">
    <tableColumn id="1" xr3:uid="{D7EE7E86-D5E7-458C-BDF2-51FA04C1DB04}" name="count" dataDxfId="71" totalsRowDxfId="70">
      <calculatedColumnFormula>COUNT(H:H)</calculatedColumnFormula>
    </tableColumn>
    <tableColumn id="2" xr3:uid="{0DD7E1E5-2E52-4B1F-AEFD-31A7FDB0022C}" name="counta" dataDxfId="69" totalsRowDxfId="68">
      <calculatedColumnFormula>COUNTA(H:H)</calculatedColumnFormula>
    </tableColumn>
    <tableColumn id="3" xr3:uid="{5A41D854-7DF6-4CCD-859C-91C8E265DC86}" name="count blank" dataDxfId="67" totalsRowDxfId="66">
      <calculatedColumnFormula>COUNTBLANK(H1:H49)</calculatedColumnFormula>
    </tableColumn>
    <tableColumn id="4" xr3:uid="{2F6F708C-D819-4F52-921E-4C84242FF16E}" name="count if" dataDxfId="65" totalsRowDxfId="64">
      <calculatedColumnFormula>COUNTIF(H:H,"&gt;2")</calculatedColumnFormula>
    </tableColumn>
    <tableColumn id="5" xr3:uid="{65408AD1-6B0F-4293-B5FC-76F277E32064}" name="countifs" dataDxfId="63" totalsRowDxfId="62">
      <calculatedColumnFormula>COUNTIFS(E:E,"&lt;10",H:H,"&gt;3",D:D,"&lt;3")</calculatedColumnFormula>
    </tableColumn>
    <tableColumn id="6" xr3:uid="{508AE665-43B2-4FBD-AD70-605776069862}" name="mean" dataDxfId="61" totalsRowDxfId="60">
      <calculatedColumnFormula>AVERAGE(M2:M41)</calculatedColumnFormula>
    </tableColumn>
    <tableColumn id="7" xr3:uid="{5D0FE15C-B062-4D74-B065-5CAA9B6CA685}" name="median" dataDxfId="59" totalsRowDxfId="58">
      <calculatedColumnFormula>MEDIAN(J2:J41)</calculatedColumnFormula>
    </tableColumn>
    <tableColumn id="8" xr3:uid="{10DE87D4-0F3D-4B28-8992-4C3A0271CC02}" name="mode" totalsRowFunction="custom" dataDxfId="57" totalsRowDxfId="56">
      <calculatedColumnFormula>MODE(H:H)</calculatedColumnFormula>
      <totalsRowFormula>MODE(W3:W42)</totalsRowFormula>
    </tableColumn>
    <tableColumn id="9" xr3:uid="{DB8F3A0A-E4FA-4473-865A-4CE207574CFD}" name="stdev" dataDxfId="55" totalsRowDxfId="54">
      <calculatedColumnFormula>STDEV(M2:M41)</calculatedColumnFormula>
    </tableColumn>
    <tableColumn id="10" xr3:uid="{F2EDE973-FE11-4649-B6C2-9DC620157BDF}" name="variance" dataDxfId="53" totalsRowDxfId="52">
      <calculatedColumnFormula>_xlfn.VAR.S(H:H)</calculatedColumnFormula>
    </tableColumn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24D668-9371-4C38-B950-862E07893439}" name="Table2" displayName="Table2" ref="C49:H65" headerRowCount="0" totalsRowShown="0">
  <tableColumns count="6">
    <tableColumn id="1" xr3:uid="{A2EC28ED-F6BD-4F08-BE8E-0EF5356D1B0D}" name="Column1" headerRowDxfId="0"/>
    <tableColumn id="2" xr3:uid="{42E07368-AAB0-4F85-AC52-82E7ED720D12}" name="Column2" headerRowDxfId="1"/>
    <tableColumn id="3" xr3:uid="{CF832737-5DC1-4D60-BD14-D1B162638376}" name="Column3" headerRowDxfId="2"/>
    <tableColumn id="4" xr3:uid="{92E0EFC1-C35C-489C-A96C-AFE1661B3A9E}" name="Column4" headerRowDxfId="3"/>
    <tableColumn id="5" xr3:uid="{1BA93568-9716-4405-9611-EA1E84477BA2}" name="Column5" headerRowDxfId="4"/>
    <tableColumn id="6" xr3:uid="{382C3CFB-092F-43C6-A69C-FD07CDDBC8F5}" name="Column6" headerRow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E0E070-B685-4E56-9048-79429E8C3827}" name="Table3" displayName="Table3" ref="Y19:AB22" totalsRowShown="0" headerRowDxfId="44" dataDxfId="43">
  <autoFilter ref="Y19:AB22" xr:uid="{24E0E070-B685-4E56-9048-79429E8C3827}"/>
  <tableColumns count="4">
    <tableColumn id="1" xr3:uid="{D12F0A1A-73F4-4A55-BDAF-DA32D9F5C87B}" name="Hlookup" dataDxfId="48"/>
    <tableColumn id="2" xr3:uid="{8C81F74C-D3D2-4443-B8BB-5A1A74E1C7AD}" name="Column1" dataDxfId="47"/>
    <tableColumn id="3" xr3:uid="{6889F757-50C1-4201-B71A-782FE1C5C53E}" name="Column2" dataDxfId="46"/>
    <tableColumn id="4" xr3:uid="{F3DF8637-EE8F-4B11-BF22-068B3F69D159}" name="Column3" dataDxfId="4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B4ECFA-BA0C-40C8-8481-E40D6FC4401A}" name="Table4" displayName="Table4" ref="AF20:AG22" totalsRowShown="0" headerRowDxfId="40" dataDxfId="39">
  <autoFilter ref="AF20:AG22" xr:uid="{6AB4ECFA-BA0C-40C8-8481-E40D6FC4401A}"/>
  <tableColumns count="2">
    <tableColumn id="1" xr3:uid="{CBCA94D1-FF4F-41A0-B604-D162C00E4D8D}" name="xlookup" dataDxfId="42"/>
    <tableColumn id="2" xr3:uid="{2F4C347D-6F65-4807-B033-3A3DA86E0179}" name="treditional_study_hours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EB8314-A8A1-4E11-8BFE-8C64902B6825}" name="Table5" displayName="Table5" ref="A1:M41" totalsRowShown="0" headerRowDxfId="25" dataDxfId="24">
  <autoFilter ref="A1:M41" xr:uid="{71EB8314-A8A1-4E11-8BFE-8C64902B6825}"/>
  <tableColumns count="13">
    <tableColumn id="1" xr3:uid="{7336A84A-B391-4A9E-B162-FDC45393B09F}" name="Student_ID" dataDxfId="38"/>
    <tableColumn id="2" xr3:uid="{6D067268-E749-4A0D-AF8E-0BF91C137BE4}" name="Major_Category" dataDxfId="37"/>
    <tableColumn id="3" xr3:uid="{D3CA80CD-7352-4749-AE35-0F67080B0207}" name="Year_of_Study" dataDxfId="36"/>
    <tableColumn id="4" xr3:uid="{181B7D58-D10B-461B-B7BA-16EC60249086}" name="Pre_Semester_GPA" dataDxfId="35"/>
    <tableColumn id="5" xr3:uid="{B0EB1F73-8CE4-45FA-81CF-12688FB4ADD2}" name="Weekly_GenAI_Hours" dataDxfId="34"/>
    <tableColumn id="6" xr3:uid="{76BD62F7-0AE7-4A32-833B-E4839E658D16}" name="Primary_Use_Case" dataDxfId="33"/>
    <tableColumn id="7" xr3:uid="{45057986-C11F-45F0-A46F-7367F10B70E9}" name="Prompt_Engineering_Skill" dataDxfId="32"/>
    <tableColumn id="8" xr3:uid="{FFDE4A8E-B86E-483F-BCBC-A12551FB2467}" name="Tool_Diversity" dataDxfId="31"/>
    <tableColumn id="9" xr3:uid="{3F6B8B5B-08E0-46E8-9884-25CB53B85EF3}" name="Paid_Subscription" dataDxfId="30"/>
    <tableColumn id="10" xr3:uid="{E21DFDE7-21F7-49EA-B2CE-6DD6FABAF17D}" name="Traditional_Study_Hours" dataDxfId="29"/>
    <tableColumn id="11" xr3:uid="{EF52753D-6349-4978-A61F-461ACCE235ED}" name="Perceived_AI_Dependency" dataDxfId="28"/>
    <tableColumn id="12" xr3:uid="{E05D2346-6B32-46AD-BC80-653249A5F721}" name="Institutional_Policy" dataDxfId="27"/>
    <tableColumn id="13" xr3:uid="{71C93B32-6435-4EA6-985B-3C48EC21FDB1}" name="Skill_Retention_Score" dataDxfId="2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C5A945-4C9F-42FB-A032-FD6EAA33B3C4}" name="Table7" displayName="Table7" ref="O3:V43" totalsRowShown="0" headerRowDxfId="15" dataDxfId="16" headerRowCellStyle="Neutral">
  <autoFilter ref="O3:V43" xr:uid="{BEC5A945-4C9F-42FB-A032-FD6EAA33B3C4}"/>
  <tableColumns count="8">
    <tableColumn id="1" xr3:uid="{B8C4284D-AC6D-42C7-B7EB-EE735FC4C3F1}" name="result" dataDxfId="23">
      <calculatedColumnFormula>IF(M2&gt;35,"selected","not selected")</calculatedColumnFormula>
    </tableColumn>
    <tableColumn id="2" xr3:uid="{9FEA8C66-F712-4937-BAF8-0416C474A2EC}" name="Study_analysis" dataDxfId="22">
      <calculatedColumnFormula array="1">_xlfn.IFS(J2&gt;=10,"very good",J2&gt;=5,"good",J2&gt;=1,"not enough")</calculatedColumnFormula>
    </tableColumn>
    <tableColumn id="3" xr3:uid="{42753765-7957-4CF0-8E2E-2AADAED1C26C}" name="or analysis" dataDxfId="21">
      <calculatedColumnFormula>OR(J2&gt;5,E2&gt;5)</calculatedColumnFormula>
    </tableColumn>
    <tableColumn id="4" xr3:uid="{4576FC75-C90B-4CC5-8202-7ACA1AF69C7A}" name="And Analysis" dataDxfId="20">
      <calculatedColumnFormula>AND(J2&gt;5,E2&gt;5)</calculatedColumnFormula>
    </tableColumn>
    <tableColumn id="5" xr3:uid="{1C589223-A79E-4830-A4A8-344110F13E54}" name="or result" dataDxfId="19">
      <calculatedColumnFormula>IF(Q4,"pass","fail")</calculatedColumnFormula>
    </tableColumn>
    <tableColumn id="6" xr3:uid="{60C1A1CA-D076-463B-A209-0E893257EAE8}" name="and result" dataDxfId="18">
      <calculatedColumnFormula>IF(R4,"pass","fail")</calculatedColumnFormula>
    </tableColumn>
    <tableColumn id="7" xr3:uid="{429E11CE-AFBE-43E9-833B-E7F590D6CDA3}" name="not analysis" dataDxfId="17">
      <calculatedColumnFormula>NOT(D2&lt;=3)</calculatedColumnFormula>
    </tableColumn>
    <tableColumn id="8" xr3:uid="{4EFB5C2F-2667-467B-8198-E70596A8DA2E}" name="Column1" dataCellStyle="Norma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A4201E0-C726-4D89-9A2D-0616B4C7E429}" name="Table10" displayName="Table10" ref="Y1:BG17" totalsRowShown="0">
  <autoFilter ref="Y1:BG17" xr:uid="{8A4201E0-C726-4D89-9A2D-0616B4C7E429}"/>
  <tableColumns count="35">
    <tableColumn id="1" xr3:uid="{EF1F41DB-1259-4F16-BB01-3ADB500BCDB4}" name="Column1" dataDxfId="14" dataCellStyle="40% - Accent4"/>
    <tableColumn id="2" xr3:uid="{E034FED7-39B5-4C0E-B3B7-527DBC9BDFE7}" name="Column2" dataDxfId="13"/>
    <tableColumn id="3" xr3:uid="{F702320E-2715-43F8-88AA-F18AD0EB5C6D}" name="Column3" dataDxfId="12"/>
    <tableColumn id="4" xr3:uid="{2AD7319E-30B4-4355-876A-ED73BED25C09}" name="Column4" dataDxfId="11"/>
    <tableColumn id="5" xr3:uid="{467CF112-B9FD-4023-AD85-3A5A09BFC8D7}" name="Column5" dataDxfId="10"/>
    <tableColumn id="6" xr3:uid="{84745E35-A198-418A-A58D-07314F755EB2}" name="Column6" dataDxfId="9"/>
    <tableColumn id="7" xr3:uid="{73761970-23D9-4A41-8BF3-BAD36311167E}" name="Column7" dataDxfId="8"/>
    <tableColumn id="8" xr3:uid="{168D082C-8573-410C-B9C3-0D3615185FD0}" name="Column8" dataDxfId="7"/>
    <tableColumn id="9" xr3:uid="{86FAE1AE-E776-4A25-ABE0-5A28F64813AD}" name="Column9" dataDxfId="6"/>
    <tableColumn id="10" xr3:uid="{A483010C-2FEA-404D-B352-59B8467CEB71}" name="Column10"/>
    <tableColumn id="11" xr3:uid="{F0DAD15C-E950-4616-8D5F-2228A3C3F2DB}" name="Column11"/>
    <tableColumn id="12" xr3:uid="{7A4672C5-0AC8-4ABA-90E0-3D98CB7975C6}" name="Column12"/>
    <tableColumn id="13" xr3:uid="{CE452498-4AFD-4F49-B895-4F49DC83BAB0}" name="Column13"/>
    <tableColumn id="14" xr3:uid="{A2012446-8A7F-444A-828A-E110D3E083BF}" name="Column14"/>
    <tableColumn id="15" xr3:uid="{E1D9A34D-7A97-4760-8F9C-D0A258AB8952}" name="Column15"/>
    <tableColumn id="16" xr3:uid="{5ECB9144-E79B-40C2-A35F-8446252C5DE5}" name="Column16"/>
    <tableColumn id="17" xr3:uid="{245463AD-0B05-4421-A1DE-7ADAA5A4B210}" name="Column17"/>
    <tableColumn id="18" xr3:uid="{DF77F474-41EA-4C36-8B1A-53F9B5AD67EE}" name="Column18"/>
    <tableColumn id="19" xr3:uid="{4904C902-80DF-472A-B6BD-D4894D188529}" name="Column19"/>
    <tableColumn id="20" xr3:uid="{5F758C39-37A5-46A6-8E68-A205E31C4F05}" name="Column20"/>
    <tableColumn id="21" xr3:uid="{97C4E169-1723-409D-96DA-8B0B7E87C487}" name="Column21"/>
    <tableColumn id="22" xr3:uid="{C04AC4BD-7338-403B-9BD0-7C0245379484}" name="Column22"/>
    <tableColumn id="23" xr3:uid="{3EC019A1-520A-4E70-9C65-CD6C05E5BE24}" name="Column23"/>
    <tableColumn id="24" xr3:uid="{5323378C-2CB1-44BA-BE48-85E3952AF5E9}" name="Column24"/>
    <tableColumn id="25" xr3:uid="{98D6EEC1-ED8F-416D-A980-8BE63C3C64EB}" name="Column25"/>
    <tableColumn id="26" xr3:uid="{A8A81706-03E1-4F5C-8DB2-385877626D72}" name="Column26"/>
    <tableColumn id="27" xr3:uid="{1B92D34E-C2D1-4DB8-828C-E2DE84B846B6}" name="Column27"/>
    <tableColumn id="28" xr3:uid="{76C491D2-2801-4C97-9B5E-063F1CA9FEDA}" name="Column28"/>
    <tableColumn id="29" xr3:uid="{C5F765ED-5D81-424F-A756-D7CDF37828AE}" name="Column29"/>
    <tableColumn id="30" xr3:uid="{2DE4B84E-E82F-4789-A7F4-961BAEE93FD6}" name="Column30"/>
    <tableColumn id="31" xr3:uid="{08F298D0-98B0-4C55-B027-A796021EF21F}" name="Column31"/>
    <tableColumn id="32" xr3:uid="{B88EE72A-03F9-4E5D-AC47-C6A765E6DCD7}" name="Column32"/>
    <tableColumn id="33" xr3:uid="{72CDCD6A-CBB3-4226-85A8-C0D6FD29E27E}" name="Column33"/>
    <tableColumn id="34" xr3:uid="{350C933C-CCA6-46FC-8DE2-8C1054B0687A}" name="Column34"/>
    <tableColumn id="35" xr3:uid="{07117136-DC7C-4CFC-B3F6-9A12AC24A1CC}" name="Column3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9F22-7B8C-44A6-B61D-40FB3FB9A794}">
  <dimension ref="A1:BG65"/>
  <sheetViews>
    <sheetView tabSelected="1" topLeftCell="D16" zoomScale="70" zoomScaleNormal="70" workbookViewId="0">
      <selection activeCell="M59" sqref="M59"/>
    </sheetView>
  </sheetViews>
  <sheetFormatPr defaultRowHeight="15" x14ac:dyDescent="0.25"/>
  <cols>
    <col min="1" max="1" width="13.85546875" customWidth="1"/>
    <col min="2" max="2" width="18.140625" customWidth="1"/>
    <col min="3" max="3" width="17.5703125" customWidth="1"/>
    <col min="4" max="4" width="22.42578125" customWidth="1"/>
    <col min="5" max="5" width="23.85546875" customWidth="1"/>
    <col min="6" max="6" width="21.28515625" customWidth="1"/>
    <col min="7" max="7" width="27.28515625" customWidth="1"/>
    <col min="8" max="8" width="16.28515625" customWidth="1"/>
    <col min="9" max="9" width="20.5703125" customWidth="1"/>
    <col min="10" max="10" width="26.5703125" style="3" customWidth="1"/>
    <col min="11" max="11" width="29.42578125" customWidth="1"/>
    <col min="12" max="12" width="20.85546875" customWidth="1"/>
    <col min="13" max="13" width="24.28515625" customWidth="1"/>
    <col min="14" max="14" width="10.85546875" customWidth="1"/>
    <col min="15" max="15" width="12.5703125" customWidth="1"/>
    <col min="16" max="16" width="17.5703125" customWidth="1"/>
    <col min="17" max="17" width="13" customWidth="1"/>
    <col min="18" max="18" width="15.28515625" customWidth="1"/>
    <col min="19" max="19" width="10.5703125" customWidth="1"/>
    <col min="20" max="20" width="12.42578125" customWidth="1"/>
    <col min="21" max="21" width="14.28515625" customWidth="1"/>
    <col min="23" max="23" width="18.7109375" customWidth="1"/>
    <col min="25" max="25" width="21.85546875" customWidth="1"/>
    <col min="26" max="26" width="14.42578125" customWidth="1"/>
    <col min="27" max="27" width="14.5703125" customWidth="1"/>
    <col min="28" max="28" width="17.5703125" customWidth="1"/>
    <col min="29" max="32" width="11.5703125" customWidth="1"/>
    <col min="33" max="33" width="25.28515625" customWidth="1"/>
    <col min="34" max="34" width="12.42578125" customWidth="1"/>
    <col min="35" max="35" width="12" customWidth="1"/>
    <col min="36" max="43" width="12.42578125" customWidth="1"/>
    <col min="44" max="44" width="12.85546875" customWidth="1"/>
    <col min="45" max="45" width="12.42578125" customWidth="1"/>
    <col min="46" max="54" width="12.85546875" customWidth="1"/>
    <col min="55" max="55" width="12.42578125" customWidth="1"/>
    <col min="56" max="59" width="12.85546875" customWidth="1"/>
  </cols>
  <sheetData>
    <row r="1" spans="1:59" ht="33.75" x14ac:dyDescent="0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14</v>
      </c>
      <c r="N1" s="3"/>
      <c r="O1" s="4"/>
      <c r="P1" s="5" t="s">
        <v>60</v>
      </c>
      <c r="Q1" s="3"/>
      <c r="R1" s="3"/>
      <c r="S1" s="3"/>
      <c r="T1" s="3"/>
      <c r="U1" s="3"/>
      <c r="V1" s="3"/>
      <c r="X1" s="3"/>
      <c r="Y1" s="3" t="s">
        <v>71</v>
      </c>
      <c r="Z1" s="3" t="s">
        <v>72</v>
      </c>
      <c r="AA1" s="3" t="s">
        <v>73</v>
      </c>
      <c r="AB1" s="3" t="s">
        <v>74</v>
      </c>
      <c r="AC1" s="3" t="s">
        <v>75</v>
      </c>
      <c r="AD1" s="3" t="s">
        <v>76</v>
      </c>
      <c r="AE1" s="3" t="s">
        <v>78</v>
      </c>
      <c r="AF1" s="3" t="s">
        <v>79</v>
      </c>
      <c r="AG1" s="3" t="s">
        <v>80</v>
      </c>
      <c r="AH1" t="s">
        <v>81</v>
      </c>
      <c r="AI1" t="s">
        <v>82</v>
      </c>
      <c r="AJ1" t="s">
        <v>83</v>
      </c>
      <c r="AK1" t="s">
        <v>84</v>
      </c>
      <c r="AL1" t="s">
        <v>85</v>
      </c>
      <c r="AM1" t="s">
        <v>86</v>
      </c>
      <c r="AN1" t="s">
        <v>87</v>
      </c>
      <c r="AO1" t="s">
        <v>88</v>
      </c>
      <c r="AP1" t="s">
        <v>89</v>
      </c>
      <c r="AQ1" t="s">
        <v>90</v>
      </c>
      <c r="AR1" t="s">
        <v>91</v>
      </c>
      <c r="AS1" t="s">
        <v>92</v>
      </c>
      <c r="AT1" t="s">
        <v>93</v>
      </c>
      <c r="AU1" t="s">
        <v>94</v>
      </c>
      <c r="AV1" t="s">
        <v>95</v>
      </c>
      <c r="AW1" t="s">
        <v>96</v>
      </c>
      <c r="AX1" t="s">
        <v>97</v>
      </c>
      <c r="AY1" t="s">
        <v>98</v>
      </c>
      <c r="AZ1" t="s">
        <v>99</v>
      </c>
      <c r="BA1" t="s">
        <v>100</v>
      </c>
      <c r="BB1" t="s">
        <v>101</v>
      </c>
      <c r="BC1" t="s">
        <v>102</v>
      </c>
      <c r="BD1" t="s">
        <v>103</v>
      </c>
      <c r="BE1" t="s">
        <v>104</v>
      </c>
      <c r="BF1" t="s">
        <v>105</v>
      </c>
      <c r="BG1" t="s">
        <v>106</v>
      </c>
    </row>
    <row r="2" spans="1:59" x14ac:dyDescent="0.25">
      <c r="A2" s="3">
        <v>100001</v>
      </c>
      <c r="B2" s="3" t="s">
        <v>16</v>
      </c>
      <c r="C2" s="3" t="s">
        <v>17</v>
      </c>
      <c r="D2" s="3">
        <v>2.4180000000000001</v>
      </c>
      <c r="E2" s="3">
        <v>23.31</v>
      </c>
      <c r="F2" s="3" t="s">
        <v>18</v>
      </c>
      <c r="G2" s="3" t="s">
        <v>19</v>
      </c>
      <c r="H2" s="3">
        <v>1</v>
      </c>
      <c r="I2" s="3" t="b">
        <v>1</v>
      </c>
      <c r="J2" s="3">
        <v>8.1300000000000008</v>
      </c>
      <c r="K2" s="3">
        <v>5</v>
      </c>
      <c r="L2" s="3" t="s">
        <v>20</v>
      </c>
      <c r="M2" s="3">
        <v>86.44</v>
      </c>
      <c r="N2" s="3"/>
      <c r="O2" s="3"/>
      <c r="P2" s="3"/>
      <c r="Q2" s="3"/>
      <c r="R2" s="3"/>
      <c r="S2" s="3"/>
      <c r="T2" s="3"/>
      <c r="U2" s="3"/>
      <c r="V2" s="3"/>
      <c r="X2" s="3"/>
      <c r="Y2" s="8" t="s">
        <v>0</v>
      </c>
      <c r="Z2" s="3">
        <v>100001</v>
      </c>
      <c r="AA2" s="3">
        <v>100002</v>
      </c>
      <c r="AB2" s="3">
        <v>100003</v>
      </c>
      <c r="AC2" s="3">
        <v>100004</v>
      </c>
      <c r="AD2" s="3">
        <v>100005</v>
      </c>
      <c r="AE2" s="3">
        <v>100006</v>
      </c>
      <c r="AF2" s="3">
        <v>100007</v>
      </c>
      <c r="AG2" s="3">
        <v>100008</v>
      </c>
      <c r="AH2">
        <v>100009</v>
      </c>
      <c r="AI2">
        <v>100010</v>
      </c>
      <c r="AJ2">
        <v>100011</v>
      </c>
      <c r="AK2">
        <v>100012</v>
      </c>
      <c r="AL2">
        <v>100013</v>
      </c>
      <c r="AM2">
        <v>100014</v>
      </c>
      <c r="AN2">
        <v>100015</v>
      </c>
      <c r="AO2">
        <v>100016</v>
      </c>
      <c r="AP2">
        <v>100017</v>
      </c>
      <c r="AQ2">
        <v>100018</v>
      </c>
      <c r="AR2">
        <v>100019</v>
      </c>
      <c r="AS2">
        <v>100020</v>
      </c>
      <c r="AT2">
        <v>100021</v>
      </c>
      <c r="AU2">
        <v>100022</v>
      </c>
      <c r="AV2">
        <v>100023</v>
      </c>
      <c r="AW2">
        <v>100024</v>
      </c>
      <c r="AX2">
        <v>100025</v>
      </c>
      <c r="AY2">
        <v>100026</v>
      </c>
      <c r="AZ2">
        <v>100027</v>
      </c>
      <c r="BA2">
        <v>100028</v>
      </c>
      <c r="BB2">
        <v>100029</v>
      </c>
      <c r="BC2">
        <v>100030</v>
      </c>
      <c r="BD2">
        <v>100031</v>
      </c>
      <c r="BE2">
        <v>100032</v>
      </c>
      <c r="BF2">
        <v>100033</v>
      </c>
      <c r="BG2">
        <v>100034</v>
      </c>
    </row>
    <row r="3" spans="1:59" x14ac:dyDescent="0.25">
      <c r="A3" s="3">
        <v>100002</v>
      </c>
      <c r="B3" s="3" t="s">
        <v>22</v>
      </c>
      <c r="C3" s="3" t="s">
        <v>23</v>
      </c>
      <c r="D3" s="3">
        <v>3.8210000000000002</v>
      </c>
      <c r="E3" s="3">
        <v>1.1200000000000001</v>
      </c>
      <c r="F3" s="3" t="s">
        <v>24</v>
      </c>
      <c r="G3" s="3" t="s">
        <v>25</v>
      </c>
      <c r="H3" s="3">
        <v>5</v>
      </c>
      <c r="I3" s="3" t="b">
        <v>0</v>
      </c>
      <c r="J3" s="3">
        <v>16.649999999999999</v>
      </c>
      <c r="K3" s="3">
        <v>3</v>
      </c>
      <c r="L3" s="3" t="s">
        <v>20</v>
      </c>
      <c r="M3" s="3">
        <v>69.39</v>
      </c>
      <c r="N3" s="3"/>
      <c r="O3" s="6" t="s">
        <v>53</v>
      </c>
      <c r="P3" s="6" t="s">
        <v>54</v>
      </c>
      <c r="Q3" s="6" t="s">
        <v>55</v>
      </c>
      <c r="R3" s="6" t="s">
        <v>56</v>
      </c>
      <c r="S3" s="6" t="s">
        <v>57</v>
      </c>
      <c r="T3" s="6" t="s">
        <v>58</v>
      </c>
      <c r="U3" s="6" t="s">
        <v>59</v>
      </c>
      <c r="V3" t="s">
        <v>71</v>
      </c>
      <c r="X3" s="3"/>
      <c r="Y3" s="8" t="s">
        <v>1</v>
      </c>
      <c r="Z3" s="3" t="s">
        <v>16</v>
      </c>
      <c r="AA3" s="3" t="s">
        <v>22</v>
      </c>
      <c r="AB3" s="3" t="s">
        <v>27</v>
      </c>
      <c r="AC3" s="3" t="s">
        <v>27</v>
      </c>
      <c r="AD3" s="3" t="s">
        <v>33</v>
      </c>
      <c r="AE3" s="3" t="s">
        <v>33</v>
      </c>
      <c r="AF3" s="3" t="s">
        <v>33</v>
      </c>
      <c r="AG3" s="3" t="s">
        <v>36</v>
      </c>
      <c r="AH3" t="s">
        <v>27</v>
      </c>
      <c r="AI3" t="s">
        <v>27</v>
      </c>
      <c r="AJ3" t="s">
        <v>33</v>
      </c>
      <c r="AK3" t="s">
        <v>22</v>
      </c>
      <c r="AL3" t="s">
        <v>36</v>
      </c>
      <c r="AM3" t="s">
        <v>33</v>
      </c>
      <c r="AN3" t="s">
        <v>33</v>
      </c>
      <c r="AO3" t="s">
        <v>33</v>
      </c>
      <c r="AP3" t="s">
        <v>16</v>
      </c>
      <c r="AQ3" t="s">
        <v>27</v>
      </c>
      <c r="AR3" t="s">
        <v>16</v>
      </c>
      <c r="AS3" t="s">
        <v>33</v>
      </c>
      <c r="AT3" t="s">
        <v>27</v>
      </c>
      <c r="AU3" t="s">
        <v>33</v>
      </c>
      <c r="AV3" t="s">
        <v>33</v>
      </c>
      <c r="AW3" t="s">
        <v>16</v>
      </c>
      <c r="AX3" t="s">
        <v>16</v>
      </c>
      <c r="AY3" t="s">
        <v>36</v>
      </c>
      <c r="AZ3" t="s">
        <v>33</v>
      </c>
      <c r="BA3" t="s">
        <v>27</v>
      </c>
      <c r="BB3" t="s">
        <v>27</v>
      </c>
      <c r="BC3" t="s">
        <v>33</v>
      </c>
      <c r="BD3" t="s">
        <v>27</v>
      </c>
      <c r="BE3" t="s">
        <v>33</v>
      </c>
      <c r="BF3" t="s">
        <v>33</v>
      </c>
      <c r="BG3" t="s">
        <v>22</v>
      </c>
    </row>
    <row r="4" spans="1:59" x14ac:dyDescent="0.25">
      <c r="A4" s="3">
        <v>100003</v>
      </c>
      <c r="B4" s="3" t="s">
        <v>27</v>
      </c>
      <c r="C4" s="3" t="s">
        <v>28</v>
      </c>
      <c r="D4" s="3">
        <v>3.3980000000000001</v>
      </c>
      <c r="E4" s="3">
        <v>21.26</v>
      </c>
      <c r="F4" s="3" t="s">
        <v>29</v>
      </c>
      <c r="G4" s="3" t="s">
        <v>19</v>
      </c>
      <c r="H4" s="3">
        <v>2</v>
      </c>
      <c r="I4" s="3" t="b">
        <v>0</v>
      </c>
      <c r="J4" s="3">
        <v>10.35</v>
      </c>
      <c r="K4" s="3">
        <v>5</v>
      </c>
      <c r="L4" s="3" t="s">
        <v>30</v>
      </c>
      <c r="M4" s="3">
        <v>73.930000000000007</v>
      </c>
      <c r="N4" s="3"/>
      <c r="O4" s="3" t="str">
        <f>IF(M2&gt;35,"selected","not selected")</f>
        <v>selected</v>
      </c>
      <c r="P4" s="3" t="str" cm="1">
        <f t="array" ref="P4">_xlfn.IFS(J2&gt;=10,"very good",J2&gt;=5,"good",J2&gt;=1,"not enough")</f>
        <v>good</v>
      </c>
      <c r="Q4" s="3" t="b">
        <f>OR(J2&gt;5,E2&gt;5)</f>
        <v>1</v>
      </c>
      <c r="R4" s="3" t="b">
        <f>AND(J2&gt;5,E2&gt;5)</f>
        <v>1</v>
      </c>
      <c r="S4" s="3" t="str">
        <f>IF(Q4,"pass","fail")</f>
        <v>pass</v>
      </c>
      <c r="T4" s="3" t="str">
        <f>IF(R4,"pass","fail")</f>
        <v>pass</v>
      </c>
      <c r="U4" s="3" t="b">
        <f>NOT(D2&lt;=3)</f>
        <v>0</v>
      </c>
      <c r="X4" s="3"/>
      <c r="Y4" s="8" t="s">
        <v>2</v>
      </c>
      <c r="Z4" s="3" t="s">
        <v>17</v>
      </c>
      <c r="AA4" s="3" t="s">
        <v>23</v>
      </c>
      <c r="AB4" s="3" t="s">
        <v>28</v>
      </c>
      <c r="AC4" s="3" t="s">
        <v>17</v>
      </c>
      <c r="AD4" s="3" t="s">
        <v>34</v>
      </c>
      <c r="AE4" s="3" t="s">
        <v>23</v>
      </c>
      <c r="AF4" s="3" t="s">
        <v>28</v>
      </c>
      <c r="AG4" s="3" t="s">
        <v>23</v>
      </c>
      <c r="AH4" t="s">
        <v>34</v>
      </c>
      <c r="AI4" t="s">
        <v>34</v>
      </c>
      <c r="AJ4" t="s">
        <v>38</v>
      </c>
      <c r="AK4" t="s">
        <v>23</v>
      </c>
      <c r="AL4" t="s">
        <v>17</v>
      </c>
      <c r="AM4" t="s">
        <v>23</v>
      </c>
      <c r="AN4" t="s">
        <v>28</v>
      </c>
      <c r="AO4" t="s">
        <v>17</v>
      </c>
      <c r="AP4" t="s">
        <v>34</v>
      </c>
      <c r="AQ4" t="s">
        <v>17</v>
      </c>
      <c r="AR4" t="s">
        <v>23</v>
      </c>
      <c r="AS4" t="s">
        <v>34</v>
      </c>
      <c r="AT4" t="s">
        <v>34</v>
      </c>
      <c r="AU4" t="s">
        <v>17</v>
      </c>
      <c r="AV4" t="s">
        <v>23</v>
      </c>
      <c r="AW4" t="s">
        <v>17</v>
      </c>
      <c r="AX4" t="s">
        <v>28</v>
      </c>
      <c r="AY4" t="s">
        <v>17</v>
      </c>
      <c r="AZ4" t="s">
        <v>34</v>
      </c>
      <c r="BA4" t="s">
        <v>23</v>
      </c>
      <c r="BB4" t="s">
        <v>28</v>
      </c>
      <c r="BC4" t="s">
        <v>34</v>
      </c>
      <c r="BD4" t="s">
        <v>17</v>
      </c>
      <c r="BE4" t="s">
        <v>34</v>
      </c>
      <c r="BF4" t="s">
        <v>38</v>
      </c>
      <c r="BG4" t="s">
        <v>17</v>
      </c>
    </row>
    <row r="5" spans="1:59" x14ac:dyDescent="0.25">
      <c r="A5" s="3">
        <v>100004</v>
      </c>
      <c r="B5" s="3" t="s">
        <v>27</v>
      </c>
      <c r="C5" s="3" t="s">
        <v>17</v>
      </c>
      <c r="D5" s="3">
        <v>3.7890000000000001</v>
      </c>
      <c r="E5" s="3">
        <v>1.82</v>
      </c>
      <c r="F5" s="3" t="s">
        <v>18</v>
      </c>
      <c r="G5" s="3" t="s">
        <v>32</v>
      </c>
      <c r="H5" s="3">
        <v>4</v>
      </c>
      <c r="I5" s="3" t="b">
        <v>0</v>
      </c>
      <c r="J5" s="3">
        <v>15.23</v>
      </c>
      <c r="K5" s="3">
        <v>2</v>
      </c>
      <c r="L5" s="3" t="s">
        <v>20</v>
      </c>
      <c r="M5" s="3">
        <v>34.58</v>
      </c>
      <c r="N5" s="3"/>
      <c r="O5" s="3" t="str">
        <f>IF(M3&gt;35,"selected","not selected")</f>
        <v>selected</v>
      </c>
      <c r="P5" s="3" t="str" cm="1">
        <f t="array" ref="P5">_xlfn.IFS(J3&gt;=10,"very good",J3&gt;=5,"good",J3&gt;=1,"not enough")</f>
        <v>very good</v>
      </c>
      <c r="Q5" s="3" t="b">
        <f>OR(J3&gt;5,E3&gt;5)</f>
        <v>1</v>
      </c>
      <c r="R5" s="3" t="b">
        <f>AND(J3&gt;5,E3&gt;5)</f>
        <v>0</v>
      </c>
      <c r="S5" s="3" t="str">
        <f t="shared" ref="S5:S43" si="0">IF(Q5,"pass","fail")</f>
        <v>pass</v>
      </c>
      <c r="T5" s="3" t="str">
        <f t="shared" ref="T5:T43" si="1">IF(R5,"pass","fail")</f>
        <v>fail</v>
      </c>
      <c r="U5" s="3" t="b">
        <f>NOT(D3&lt;=3)</f>
        <v>1</v>
      </c>
      <c r="X5" s="3"/>
      <c r="Y5" s="8" t="s">
        <v>3</v>
      </c>
      <c r="Z5" s="3">
        <v>2.4180000000000001</v>
      </c>
      <c r="AA5" s="3">
        <v>3.8210000000000002</v>
      </c>
      <c r="AB5" s="3">
        <v>3.3980000000000001</v>
      </c>
      <c r="AC5" s="3">
        <v>3.7890000000000001</v>
      </c>
      <c r="AD5" s="3">
        <v>3.6349999999999998</v>
      </c>
      <c r="AE5" s="3">
        <v>3.4489999999999998</v>
      </c>
      <c r="AF5" s="3">
        <v>3.6219999999999999</v>
      </c>
      <c r="AG5" s="3">
        <v>2.746</v>
      </c>
      <c r="AH5">
        <v>3.42</v>
      </c>
      <c r="AI5">
        <v>3.0459999999999998</v>
      </c>
      <c r="AJ5">
        <v>3.407</v>
      </c>
      <c r="AK5">
        <v>2.6269999999999998</v>
      </c>
      <c r="AL5">
        <v>3.4790000000000001</v>
      </c>
      <c r="AM5">
        <v>3.2250000000000001</v>
      </c>
      <c r="AN5">
        <v>3.202</v>
      </c>
      <c r="AO5">
        <v>2.0760000000000001</v>
      </c>
      <c r="AP5">
        <v>2.931</v>
      </c>
      <c r="AQ5">
        <v>3.1560000000000001</v>
      </c>
      <c r="AR5">
        <v>2.9750000000000001</v>
      </c>
      <c r="AS5">
        <v>3.3050000000000002</v>
      </c>
      <c r="AT5">
        <v>2.6360000000000001</v>
      </c>
      <c r="AU5">
        <v>3.5289999999999999</v>
      </c>
      <c r="AV5">
        <v>3.5510000000000002</v>
      </c>
      <c r="AW5">
        <v>3.5790000000000002</v>
      </c>
      <c r="AX5">
        <v>2.3639999999999999</v>
      </c>
      <c r="AY5">
        <v>3.3079999999999998</v>
      </c>
      <c r="AZ5">
        <v>3.3380000000000001</v>
      </c>
      <c r="BA5">
        <v>3.302</v>
      </c>
      <c r="BB5">
        <v>3.282</v>
      </c>
      <c r="BC5">
        <v>3.6379999999999999</v>
      </c>
      <c r="BD5">
        <v>3.7309999999999999</v>
      </c>
      <c r="BE5">
        <v>1.4490000000000001</v>
      </c>
      <c r="BF5">
        <v>2.8559999999999999</v>
      </c>
      <c r="BG5">
        <v>3.1480000000000001</v>
      </c>
    </row>
    <row r="6" spans="1:59" x14ac:dyDescent="0.25">
      <c r="A6" s="3">
        <v>100005</v>
      </c>
      <c r="B6" s="3" t="s">
        <v>33</v>
      </c>
      <c r="C6" s="3" t="s">
        <v>34</v>
      </c>
      <c r="D6" s="3">
        <v>3.6349999999999998</v>
      </c>
      <c r="E6" s="3">
        <v>9.2899999999999991</v>
      </c>
      <c r="F6" s="3" t="s">
        <v>35</v>
      </c>
      <c r="G6" s="3" t="s">
        <v>25</v>
      </c>
      <c r="H6" s="3">
        <v>4</v>
      </c>
      <c r="I6" s="3" t="b">
        <v>0</v>
      </c>
      <c r="J6" s="3">
        <v>12.55</v>
      </c>
      <c r="K6" s="3">
        <v>4</v>
      </c>
      <c r="L6" s="3" t="s">
        <v>20</v>
      </c>
      <c r="M6" s="3">
        <v>100</v>
      </c>
      <c r="N6" s="3"/>
      <c r="O6" s="3" t="str">
        <f>IF(M4&gt;35,"selected","not selected")</f>
        <v>selected</v>
      </c>
      <c r="P6" s="3" t="str" cm="1">
        <f t="array" ref="P6">_xlfn.IFS(J4&gt;=10,"very good",J4&gt;=5,"good",J4&gt;=1,"not enough")</f>
        <v>very good</v>
      </c>
      <c r="Q6" s="3" t="b">
        <f>OR(J4&gt;5,E4&gt;5)</f>
        <v>1</v>
      </c>
      <c r="R6" s="3" t="b">
        <f>AND(J4&gt;5,E4&gt;5)</f>
        <v>1</v>
      </c>
      <c r="S6" s="3" t="str">
        <f t="shared" si="0"/>
        <v>pass</v>
      </c>
      <c r="T6" s="3" t="str">
        <f t="shared" si="1"/>
        <v>pass</v>
      </c>
      <c r="U6" s="3" t="b">
        <f>NOT(D4&lt;=3)</f>
        <v>1</v>
      </c>
      <c r="V6" t="e" cm="1">
        <f t="array" ref="V6">index</f>
        <v>#NAME?</v>
      </c>
      <c r="X6" s="3"/>
      <c r="Y6" s="8" t="s">
        <v>4</v>
      </c>
      <c r="Z6" s="3">
        <v>23.31</v>
      </c>
      <c r="AA6" s="3">
        <v>1.1200000000000001</v>
      </c>
      <c r="AB6" s="3">
        <v>21.26</v>
      </c>
      <c r="AC6" s="3">
        <v>1.82</v>
      </c>
      <c r="AD6" s="3">
        <v>9.2899999999999991</v>
      </c>
      <c r="AE6" s="3">
        <v>6.5</v>
      </c>
      <c r="AF6" s="3">
        <v>31.41</v>
      </c>
      <c r="AG6" s="3">
        <v>5.33</v>
      </c>
      <c r="AH6">
        <v>2</v>
      </c>
      <c r="AI6">
        <v>19.989999999999998</v>
      </c>
      <c r="AJ6">
        <v>5.16</v>
      </c>
      <c r="AK6">
        <v>3.62</v>
      </c>
      <c r="AL6">
        <v>2.86</v>
      </c>
      <c r="AM6">
        <v>8.9499999999999993</v>
      </c>
      <c r="AN6">
        <v>1.22</v>
      </c>
      <c r="AO6">
        <v>14.74</v>
      </c>
      <c r="AP6">
        <v>2.08</v>
      </c>
      <c r="AQ6">
        <v>8.0299999999999994</v>
      </c>
      <c r="AR6">
        <v>0.51</v>
      </c>
      <c r="AS6">
        <v>0.2</v>
      </c>
      <c r="AT6">
        <v>1.63</v>
      </c>
      <c r="AU6">
        <v>4.91</v>
      </c>
      <c r="AV6">
        <v>10.48</v>
      </c>
      <c r="AW6">
        <v>0.45</v>
      </c>
      <c r="AX6">
        <v>28.72</v>
      </c>
      <c r="AY6">
        <v>2.38</v>
      </c>
      <c r="AZ6">
        <v>18.62</v>
      </c>
      <c r="BA6">
        <v>23.96</v>
      </c>
      <c r="BB6">
        <v>0.68</v>
      </c>
      <c r="BC6">
        <v>12.83</v>
      </c>
      <c r="BD6">
        <v>1.26</v>
      </c>
      <c r="BE6">
        <v>0.72</v>
      </c>
      <c r="BF6">
        <v>1.27</v>
      </c>
      <c r="BG6">
        <v>5.56</v>
      </c>
    </row>
    <row r="7" spans="1:59" x14ac:dyDescent="0.25">
      <c r="A7" s="3">
        <v>100006</v>
      </c>
      <c r="B7" s="3" t="s">
        <v>33</v>
      </c>
      <c r="C7" s="3" t="s">
        <v>23</v>
      </c>
      <c r="D7" s="3">
        <v>3.4489999999999998</v>
      </c>
      <c r="E7" s="3">
        <v>6.5</v>
      </c>
      <c r="F7" s="3" t="s">
        <v>35</v>
      </c>
      <c r="G7" s="3" t="s">
        <v>19</v>
      </c>
      <c r="H7" s="3">
        <v>1</v>
      </c>
      <c r="I7" s="3" t="b">
        <v>0</v>
      </c>
      <c r="J7" s="3">
        <v>14.19</v>
      </c>
      <c r="K7" s="3">
        <v>4</v>
      </c>
      <c r="L7" s="3" t="s">
        <v>20</v>
      </c>
      <c r="M7" s="3">
        <v>65.92</v>
      </c>
      <c r="N7" s="3"/>
      <c r="O7" s="3" t="str">
        <f>IF(M5&gt;35,"selected","not selected")</f>
        <v>not selected</v>
      </c>
      <c r="P7" s="3" t="str" cm="1">
        <f t="array" ref="P7">_xlfn.IFS(J5&gt;=10,"very good",J5&gt;=5,"good",J5&gt;=1,"not enough")</f>
        <v>very good</v>
      </c>
      <c r="Q7" s="3" t="b">
        <f>OR(J5&gt;5,E5&gt;5)</f>
        <v>1</v>
      </c>
      <c r="R7" s="3" t="b">
        <f>AND(J5&gt;5,E5&gt;5)</f>
        <v>0</v>
      </c>
      <c r="S7" s="3" t="str">
        <f t="shared" si="0"/>
        <v>pass</v>
      </c>
      <c r="T7" s="3" t="str">
        <f t="shared" si="1"/>
        <v>fail</v>
      </c>
      <c r="U7" s="3" t="b">
        <f>NOT(D5&lt;=3)</f>
        <v>1</v>
      </c>
      <c r="X7" s="3"/>
      <c r="Y7" s="8" t="s">
        <v>5</v>
      </c>
      <c r="Z7" s="3" t="s">
        <v>18</v>
      </c>
      <c r="AA7" s="3" t="s">
        <v>24</v>
      </c>
      <c r="AB7" s="3" t="s">
        <v>29</v>
      </c>
      <c r="AC7" s="3" t="s">
        <v>18</v>
      </c>
      <c r="AD7" s="3" t="s">
        <v>35</v>
      </c>
      <c r="AE7" s="3" t="s">
        <v>35</v>
      </c>
      <c r="AF7" s="3" t="s">
        <v>29</v>
      </c>
      <c r="AG7" s="3" t="s">
        <v>18</v>
      </c>
      <c r="AH7" t="s">
        <v>35</v>
      </c>
      <c r="AI7" t="s">
        <v>35</v>
      </c>
      <c r="AJ7" t="s">
        <v>29</v>
      </c>
      <c r="AK7" t="s">
        <v>39</v>
      </c>
      <c r="AL7" t="s">
        <v>18</v>
      </c>
      <c r="AM7" t="s">
        <v>39</v>
      </c>
      <c r="AN7" t="s">
        <v>18</v>
      </c>
      <c r="AO7" t="s">
        <v>35</v>
      </c>
      <c r="AP7" t="s">
        <v>39</v>
      </c>
      <c r="AQ7" t="s">
        <v>39</v>
      </c>
      <c r="AR7" t="s">
        <v>29</v>
      </c>
      <c r="AS7" t="s">
        <v>35</v>
      </c>
      <c r="AT7" t="s">
        <v>18</v>
      </c>
      <c r="AU7" t="s">
        <v>35</v>
      </c>
      <c r="AV7" t="s">
        <v>18</v>
      </c>
      <c r="AW7" t="s">
        <v>24</v>
      </c>
      <c r="AX7" t="s">
        <v>18</v>
      </c>
      <c r="AY7" t="s">
        <v>24</v>
      </c>
      <c r="AZ7" t="s">
        <v>35</v>
      </c>
      <c r="BA7" t="s">
        <v>24</v>
      </c>
      <c r="BB7" t="s">
        <v>24</v>
      </c>
      <c r="BC7" t="s">
        <v>35</v>
      </c>
      <c r="BD7" t="s">
        <v>39</v>
      </c>
      <c r="BE7" t="s">
        <v>35</v>
      </c>
      <c r="BF7" t="s">
        <v>39</v>
      </c>
      <c r="BG7" t="s">
        <v>29</v>
      </c>
    </row>
    <row r="8" spans="1:59" x14ac:dyDescent="0.25">
      <c r="A8" s="3">
        <v>100007</v>
      </c>
      <c r="B8" s="3" t="s">
        <v>33</v>
      </c>
      <c r="C8" s="3" t="s">
        <v>28</v>
      </c>
      <c r="D8" s="3">
        <v>3.6219999999999999</v>
      </c>
      <c r="E8" s="3">
        <v>31.41</v>
      </c>
      <c r="F8" s="3" t="s">
        <v>29</v>
      </c>
      <c r="G8" s="3" t="s">
        <v>25</v>
      </c>
      <c r="H8" s="3">
        <v>5</v>
      </c>
      <c r="I8" s="3" t="b">
        <v>1</v>
      </c>
      <c r="J8" s="3">
        <v>13.11</v>
      </c>
      <c r="K8" s="3">
        <v>8</v>
      </c>
      <c r="L8" s="3" t="s">
        <v>20</v>
      </c>
      <c r="M8" s="3">
        <v>67.97</v>
      </c>
      <c r="N8" s="3"/>
      <c r="O8" s="3" t="str">
        <f>IF(M6&gt;35,"selected","not selected")</f>
        <v>selected</v>
      </c>
      <c r="P8" s="3" t="str" cm="1">
        <f t="array" ref="P8">_xlfn.IFS(J6&gt;=10,"very good",J6&gt;=5,"good",J6&gt;=1,"not enough")</f>
        <v>very good</v>
      </c>
      <c r="Q8" s="3" t="b">
        <f>OR(J6&gt;5,E6&gt;5)</f>
        <v>1</v>
      </c>
      <c r="R8" s="3" t="b">
        <f>AND(J6&gt;5,E6&gt;5)</f>
        <v>1</v>
      </c>
      <c r="S8" s="3" t="str">
        <f t="shared" si="0"/>
        <v>pass</v>
      </c>
      <c r="T8" s="3" t="str">
        <f t="shared" si="1"/>
        <v>pass</v>
      </c>
      <c r="U8" s="3" t="b">
        <f>NOT(D6&lt;=3)</f>
        <v>1</v>
      </c>
      <c r="X8" s="3"/>
      <c r="Y8" s="8" t="s">
        <v>6</v>
      </c>
      <c r="Z8" s="3" t="s">
        <v>19</v>
      </c>
      <c r="AA8" s="3" t="s">
        <v>25</v>
      </c>
      <c r="AB8" s="3" t="s">
        <v>19</v>
      </c>
      <c r="AC8" s="3" t="s">
        <v>32</v>
      </c>
      <c r="AD8" s="3" t="s">
        <v>25</v>
      </c>
      <c r="AE8" s="3" t="s">
        <v>19</v>
      </c>
      <c r="AF8" s="3" t="s">
        <v>25</v>
      </c>
      <c r="AG8" s="3" t="s">
        <v>32</v>
      </c>
      <c r="AH8" t="s">
        <v>19</v>
      </c>
      <c r="AI8" t="s">
        <v>32</v>
      </c>
      <c r="AJ8" t="s">
        <v>25</v>
      </c>
      <c r="AK8" t="s">
        <v>32</v>
      </c>
      <c r="AL8" t="s">
        <v>19</v>
      </c>
      <c r="AM8" t="s">
        <v>19</v>
      </c>
      <c r="AN8" t="s">
        <v>19</v>
      </c>
      <c r="AO8" t="s">
        <v>19</v>
      </c>
      <c r="AP8" t="s">
        <v>25</v>
      </c>
      <c r="AQ8" t="s">
        <v>25</v>
      </c>
      <c r="AR8" t="s">
        <v>19</v>
      </c>
      <c r="AS8" t="s">
        <v>32</v>
      </c>
      <c r="AT8" t="s">
        <v>32</v>
      </c>
      <c r="AU8" t="s">
        <v>19</v>
      </c>
      <c r="AV8" t="s">
        <v>32</v>
      </c>
      <c r="AW8" t="s">
        <v>19</v>
      </c>
      <c r="AX8" t="s">
        <v>19</v>
      </c>
      <c r="AY8" t="s">
        <v>25</v>
      </c>
      <c r="AZ8" t="s">
        <v>25</v>
      </c>
      <c r="BA8" t="s">
        <v>32</v>
      </c>
      <c r="BB8" t="s">
        <v>19</v>
      </c>
      <c r="BC8" t="s">
        <v>25</v>
      </c>
      <c r="BD8" t="s">
        <v>32</v>
      </c>
      <c r="BE8" t="s">
        <v>32</v>
      </c>
      <c r="BF8" t="s">
        <v>25</v>
      </c>
      <c r="BG8" t="s">
        <v>32</v>
      </c>
    </row>
    <row r="9" spans="1:59" x14ac:dyDescent="0.25">
      <c r="A9" s="3">
        <v>100008</v>
      </c>
      <c r="B9" s="3" t="s">
        <v>36</v>
      </c>
      <c r="C9" s="3" t="s">
        <v>23</v>
      </c>
      <c r="D9" s="3">
        <v>2.746</v>
      </c>
      <c r="E9" s="3">
        <v>5.33</v>
      </c>
      <c r="F9" s="3" t="s">
        <v>18</v>
      </c>
      <c r="G9" s="3" t="s">
        <v>32</v>
      </c>
      <c r="H9" s="3">
        <v>3</v>
      </c>
      <c r="I9" s="3" t="b">
        <v>0</v>
      </c>
      <c r="J9" s="3">
        <v>18.45</v>
      </c>
      <c r="K9" s="3">
        <v>2</v>
      </c>
      <c r="L9" s="3" t="s">
        <v>37</v>
      </c>
      <c r="M9" s="3">
        <v>85.09</v>
      </c>
      <c r="N9" s="3"/>
      <c r="O9" s="3" t="str">
        <f>IF(M7&gt;35,"selected","not selected")</f>
        <v>selected</v>
      </c>
      <c r="P9" s="3" t="str" cm="1">
        <f t="array" ref="P9">_xlfn.IFS(J7&gt;=10,"very good",J7&gt;=5,"good",J7&gt;=1,"not enough")</f>
        <v>very good</v>
      </c>
      <c r="Q9" s="3" t="b">
        <f>OR(J7&gt;5,E7&gt;5)</f>
        <v>1</v>
      </c>
      <c r="R9" s="3" t="b">
        <f>AND(J7&gt;5,E7&gt;5)</f>
        <v>1</v>
      </c>
      <c r="S9" s="3" t="str">
        <f t="shared" si="0"/>
        <v>pass</v>
      </c>
      <c r="T9" s="3" t="str">
        <f t="shared" si="1"/>
        <v>pass</v>
      </c>
      <c r="U9" s="3" t="b">
        <f>NOT(D7&lt;=3)</f>
        <v>1</v>
      </c>
      <c r="X9" s="3"/>
      <c r="Y9" s="8" t="s">
        <v>7</v>
      </c>
      <c r="Z9" s="3">
        <v>1</v>
      </c>
      <c r="AA9" s="3">
        <v>5</v>
      </c>
      <c r="AB9" s="3">
        <v>2</v>
      </c>
      <c r="AC9" s="3">
        <v>4</v>
      </c>
      <c r="AD9" s="3">
        <v>4</v>
      </c>
      <c r="AE9" s="3">
        <v>1</v>
      </c>
      <c r="AF9" s="3">
        <v>5</v>
      </c>
      <c r="AG9" s="3">
        <v>3</v>
      </c>
      <c r="AH9">
        <v>2</v>
      </c>
      <c r="AI9">
        <v>2</v>
      </c>
      <c r="AJ9">
        <v>3</v>
      </c>
      <c r="AK9">
        <v>3</v>
      </c>
      <c r="AL9">
        <v>2</v>
      </c>
      <c r="AM9">
        <v>1</v>
      </c>
      <c r="AN9">
        <v>1</v>
      </c>
      <c r="AO9">
        <v>1</v>
      </c>
      <c r="AP9">
        <v>3</v>
      </c>
      <c r="AQ9">
        <v>4</v>
      </c>
      <c r="AR9">
        <v>1</v>
      </c>
      <c r="AS9">
        <v>4</v>
      </c>
      <c r="AT9">
        <v>4</v>
      </c>
      <c r="AU9">
        <v>1</v>
      </c>
      <c r="AV9">
        <v>2</v>
      </c>
      <c r="AW9">
        <v>1</v>
      </c>
      <c r="AX9">
        <v>1</v>
      </c>
      <c r="AY9">
        <v>4</v>
      </c>
      <c r="AZ9">
        <v>5</v>
      </c>
      <c r="BA9">
        <v>2</v>
      </c>
      <c r="BB9">
        <v>1</v>
      </c>
      <c r="BC9">
        <v>4</v>
      </c>
      <c r="BD9">
        <v>4</v>
      </c>
      <c r="BE9">
        <v>2</v>
      </c>
      <c r="BF9">
        <v>3</v>
      </c>
      <c r="BG9">
        <v>5</v>
      </c>
    </row>
    <row r="10" spans="1:59" x14ac:dyDescent="0.25">
      <c r="A10" s="3">
        <v>100009</v>
      </c>
      <c r="B10" s="3" t="s">
        <v>27</v>
      </c>
      <c r="C10" s="3" t="s">
        <v>34</v>
      </c>
      <c r="D10" s="3">
        <v>3.42</v>
      </c>
      <c r="E10" s="3">
        <v>2</v>
      </c>
      <c r="F10" s="3" t="s">
        <v>35</v>
      </c>
      <c r="G10" s="3" t="s">
        <v>19</v>
      </c>
      <c r="H10" s="3">
        <v>2</v>
      </c>
      <c r="I10" s="3" t="b">
        <v>1</v>
      </c>
      <c r="J10" s="3">
        <v>2.87</v>
      </c>
      <c r="K10" s="3">
        <v>1</v>
      </c>
      <c r="L10" s="3" t="s">
        <v>30</v>
      </c>
      <c r="M10" s="3">
        <v>55.71</v>
      </c>
      <c r="N10" s="3"/>
      <c r="O10" s="3" t="str">
        <f>IF(M8&gt;35,"selected","not selected")</f>
        <v>selected</v>
      </c>
      <c r="P10" s="3" t="str" cm="1">
        <f t="array" ref="P10">_xlfn.IFS(J8&gt;=10,"very good",J8&gt;=5,"good",J8&gt;=1,"not enough")</f>
        <v>very good</v>
      </c>
      <c r="Q10" s="3" t="b">
        <f>OR(J8&gt;5,E8&gt;5)</f>
        <v>1</v>
      </c>
      <c r="R10" s="3" t="b">
        <f>AND(J8&gt;5,E8&gt;5)</f>
        <v>1</v>
      </c>
      <c r="S10" s="3" t="str">
        <f t="shared" si="0"/>
        <v>pass</v>
      </c>
      <c r="T10" s="3" t="str">
        <f t="shared" si="1"/>
        <v>pass</v>
      </c>
      <c r="U10" s="3" t="b">
        <f>NOT(D8&lt;=3)</f>
        <v>1</v>
      </c>
      <c r="X10" s="3"/>
      <c r="Y10" s="8" t="s">
        <v>8</v>
      </c>
      <c r="Z10" s="3" t="b">
        <v>1</v>
      </c>
      <c r="AA10" s="3" t="b">
        <v>0</v>
      </c>
      <c r="AB10" s="3" t="b">
        <v>0</v>
      </c>
      <c r="AC10" s="3" t="b">
        <v>0</v>
      </c>
      <c r="AD10" s="3" t="b">
        <v>0</v>
      </c>
      <c r="AE10" s="3" t="b">
        <v>0</v>
      </c>
      <c r="AF10" s="3" t="b">
        <v>1</v>
      </c>
      <c r="AG10" s="3" t="b">
        <v>0</v>
      </c>
      <c r="AH10" t="b">
        <v>1</v>
      </c>
      <c r="AI10" t="b">
        <v>1</v>
      </c>
      <c r="AJ10" t="b">
        <v>0</v>
      </c>
      <c r="AK10" t="b">
        <v>0</v>
      </c>
      <c r="AL10" t="b">
        <v>0</v>
      </c>
      <c r="AM10" t="b">
        <v>0</v>
      </c>
      <c r="AN10" t="b">
        <v>0</v>
      </c>
      <c r="AO10" t="b">
        <v>1</v>
      </c>
      <c r="AP10" t="b">
        <v>0</v>
      </c>
      <c r="AQ10" t="b">
        <v>0</v>
      </c>
      <c r="AR10" t="b">
        <v>0</v>
      </c>
      <c r="AS10" t="b">
        <v>0</v>
      </c>
      <c r="AT10" t="b">
        <v>0</v>
      </c>
      <c r="AU10" t="b">
        <v>0</v>
      </c>
      <c r="AV10" t="b">
        <v>1</v>
      </c>
      <c r="AW10" t="b">
        <v>1</v>
      </c>
      <c r="AX10" t="b">
        <v>0</v>
      </c>
      <c r="AY10" t="b">
        <v>1</v>
      </c>
      <c r="AZ10" t="b">
        <v>1</v>
      </c>
      <c r="BA10" t="b">
        <v>1</v>
      </c>
      <c r="BB10" t="b">
        <v>0</v>
      </c>
      <c r="BC10" t="b">
        <v>1</v>
      </c>
      <c r="BD10" t="b">
        <v>1</v>
      </c>
      <c r="BE10" t="b">
        <v>0</v>
      </c>
      <c r="BF10" t="b">
        <v>0</v>
      </c>
      <c r="BG10" t="b">
        <v>0</v>
      </c>
    </row>
    <row r="11" spans="1:59" x14ac:dyDescent="0.25">
      <c r="A11" s="3">
        <v>100010</v>
      </c>
      <c r="B11" s="3" t="s">
        <v>27</v>
      </c>
      <c r="C11" s="3" t="s">
        <v>34</v>
      </c>
      <c r="D11" s="3">
        <v>3.0459999999999998</v>
      </c>
      <c r="E11" s="3">
        <v>19.989999999999998</v>
      </c>
      <c r="F11" s="3" t="s">
        <v>35</v>
      </c>
      <c r="G11" s="3" t="s">
        <v>32</v>
      </c>
      <c r="H11" s="3">
        <v>2</v>
      </c>
      <c r="I11" s="3" t="b">
        <v>1</v>
      </c>
      <c r="J11" s="3">
        <v>12.49</v>
      </c>
      <c r="K11" s="3">
        <v>3</v>
      </c>
      <c r="L11" s="3" t="s">
        <v>30</v>
      </c>
      <c r="M11" s="3">
        <v>87.18</v>
      </c>
      <c r="N11" s="3"/>
      <c r="O11" s="3" t="str">
        <f>IF(M9&gt;35,"selected","not selected")</f>
        <v>selected</v>
      </c>
      <c r="P11" s="3" t="str" cm="1">
        <f t="array" ref="P11">_xlfn.IFS(J9&gt;=10,"very good",J9&gt;=5,"good",J9&gt;=1,"not enough")</f>
        <v>very good</v>
      </c>
      <c r="Q11" s="3" t="b">
        <f>OR(J9&gt;5,E9&gt;5)</f>
        <v>1</v>
      </c>
      <c r="R11" s="3" t="b">
        <f>AND(J9&gt;5,E9&gt;5)</f>
        <v>1</v>
      </c>
      <c r="S11" s="3" t="str">
        <f t="shared" si="0"/>
        <v>pass</v>
      </c>
      <c r="T11" s="3" t="str">
        <f t="shared" si="1"/>
        <v>pass</v>
      </c>
      <c r="U11" s="3" t="b">
        <f>NOT(D9&lt;=3)</f>
        <v>0</v>
      </c>
      <c r="X11" s="3"/>
      <c r="Y11" s="8" t="s">
        <v>9</v>
      </c>
      <c r="Z11" s="3">
        <v>8.1300000000000008</v>
      </c>
      <c r="AA11" s="3">
        <v>16.649999999999999</v>
      </c>
      <c r="AB11" s="3">
        <v>10.35</v>
      </c>
      <c r="AC11" s="3">
        <v>15.23</v>
      </c>
      <c r="AD11" s="3">
        <v>12.55</v>
      </c>
      <c r="AE11" s="3">
        <v>14.19</v>
      </c>
      <c r="AF11" s="3">
        <v>13.11</v>
      </c>
      <c r="AG11" s="3">
        <v>18.45</v>
      </c>
      <c r="AH11">
        <v>2.87</v>
      </c>
      <c r="AI11">
        <v>12.49</v>
      </c>
      <c r="AJ11">
        <v>11.43</v>
      </c>
      <c r="AK11">
        <v>8.0500000000000007</v>
      </c>
      <c r="AL11">
        <v>8.9499999999999993</v>
      </c>
      <c r="AM11">
        <v>25.3</v>
      </c>
      <c r="AN11">
        <v>16.52</v>
      </c>
      <c r="AO11">
        <v>12.59</v>
      </c>
      <c r="AP11">
        <v>15.15</v>
      </c>
      <c r="AQ11">
        <v>10.7</v>
      </c>
      <c r="AR11">
        <v>10.84</v>
      </c>
      <c r="AS11">
        <v>3.69</v>
      </c>
      <c r="AT11">
        <v>18.71</v>
      </c>
      <c r="AU11">
        <v>15.78</v>
      </c>
      <c r="AV11">
        <v>2.75</v>
      </c>
      <c r="AW11">
        <v>10.61</v>
      </c>
      <c r="AX11">
        <v>8.24</v>
      </c>
      <c r="AY11">
        <v>11.33</v>
      </c>
      <c r="AZ11">
        <v>14.29</v>
      </c>
      <c r="BA11">
        <v>6.54</v>
      </c>
      <c r="BB11">
        <v>17.89</v>
      </c>
      <c r="BC11">
        <v>10.25</v>
      </c>
      <c r="BD11">
        <v>16.16</v>
      </c>
      <c r="BE11">
        <v>11.77</v>
      </c>
      <c r="BF11">
        <v>16.16</v>
      </c>
      <c r="BG11">
        <v>9.89</v>
      </c>
    </row>
    <row r="12" spans="1:59" x14ac:dyDescent="0.25">
      <c r="A12" s="3">
        <v>100011</v>
      </c>
      <c r="B12" s="3" t="s">
        <v>33</v>
      </c>
      <c r="C12" s="3" t="s">
        <v>38</v>
      </c>
      <c r="D12" s="3">
        <v>3.407</v>
      </c>
      <c r="E12" s="3">
        <v>5.16</v>
      </c>
      <c r="F12" s="3" t="s">
        <v>29</v>
      </c>
      <c r="G12" s="3" t="s">
        <v>25</v>
      </c>
      <c r="H12" s="3">
        <v>3</v>
      </c>
      <c r="I12" s="3" t="b">
        <v>0</v>
      </c>
      <c r="J12" s="3">
        <v>11.43</v>
      </c>
      <c r="K12" s="3">
        <v>5</v>
      </c>
      <c r="L12" s="3" t="s">
        <v>20</v>
      </c>
      <c r="M12" s="3">
        <v>95.42</v>
      </c>
      <c r="N12" s="3"/>
      <c r="O12" s="3" t="str">
        <f>IF(M10&gt;35,"selected","not selected")</f>
        <v>selected</v>
      </c>
      <c r="P12" s="3" t="str" cm="1">
        <f t="array" ref="P12">_xlfn.IFS(J10&gt;=10,"very good",J10&gt;=5,"good",J10&gt;=1,"not enough")</f>
        <v>not enough</v>
      </c>
      <c r="Q12" s="3" t="b">
        <f>OR(J10&gt;5,E10&gt;5)</f>
        <v>0</v>
      </c>
      <c r="R12" s="3" t="b">
        <f>AND(J10&gt;5,E10&gt;5)</f>
        <v>0</v>
      </c>
      <c r="S12" s="3" t="str">
        <f t="shared" si="0"/>
        <v>fail</v>
      </c>
      <c r="T12" s="3" t="str">
        <f t="shared" si="1"/>
        <v>fail</v>
      </c>
      <c r="U12" s="3" t="b">
        <f>NOT(D10&lt;=3)</f>
        <v>1</v>
      </c>
      <c r="X12" s="3"/>
      <c r="Y12" s="8" t="s">
        <v>10</v>
      </c>
      <c r="Z12" s="3">
        <v>5</v>
      </c>
      <c r="AA12" s="3">
        <v>3</v>
      </c>
      <c r="AB12" s="3">
        <v>5</v>
      </c>
      <c r="AC12" s="3">
        <v>2</v>
      </c>
      <c r="AD12" s="3">
        <v>4</v>
      </c>
      <c r="AE12" s="3">
        <v>4</v>
      </c>
      <c r="AF12" s="3">
        <v>8</v>
      </c>
      <c r="AG12" s="3">
        <v>2</v>
      </c>
      <c r="AH12">
        <v>1</v>
      </c>
      <c r="AI12">
        <v>3</v>
      </c>
      <c r="AJ12">
        <v>5</v>
      </c>
      <c r="AK12">
        <v>3</v>
      </c>
      <c r="AL12">
        <v>2</v>
      </c>
      <c r="AM12">
        <v>2</v>
      </c>
      <c r="AN12">
        <v>2</v>
      </c>
      <c r="AO12">
        <v>4</v>
      </c>
      <c r="AP12">
        <v>5</v>
      </c>
      <c r="AQ12">
        <v>4</v>
      </c>
      <c r="AR12">
        <v>1</v>
      </c>
      <c r="AS12">
        <v>1</v>
      </c>
      <c r="AT12">
        <v>4</v>
      </c>
      <c r="AU12">
        <v>2</v>
      </c>
      <c r="AV12">
        <v>2</v>
      </c>
      <c r="AW12">
        <v>1</v>
      </c>
      <c r="AX12">
        <v>8</v>
      </c>
      <c r="AY12">
        <v>2</v>
      </c>
      <c r="AZ12">
        <v>6</v>
      </c>
      <c r="BA12">
        <v>5</v>
      </c>
      <c r="BB12">
        <v>1</v>
      </c>
      <c r="BC12">
        <v>5</v>
      </c>
      <c r="BD12">
        <v>2</v>
      </c>
      <c r="BE12">
        <v>5</v>
      </c>
      <c r="BF12">
        <v>3</v>
      </c>
      <c r="BG12">
        <v>2</v>
      </c>
    </row>
    <row r="13" spans="1:59" x14ac:dyDescent="0.25">
      <c r="A13" s="3">
        <v>100012</v>
      </c>
      <c r="B13" s="3" t="s">
        <v>22</v>
      </c>
      <c r="C13" s="3" t="s">
        <v>23</v>
      </c>
      <c r="D13" s="3">
        <v>2.6269999999999998</v>
      </c>
      <c r="E13" s="3">
        <v>3.62</v>
      </c>
      <c r="F13" s="3" t="s">
        <v>39</v>
      </c>
      <c r="G13" s="3" t="s">
        <v>32</v>
      </c>
      <c r="H13" s="3">
        <v>3</v>
      </c>
      <c r="I13" s="3" t="b">
        <v>0</v>
      </c>
      <c r="J13" s="3">
        <v>8.0500000000000007</v>
      </c>
      <c r="K13" s="3">
        <v>3</v>
      </c>
      <c r="L13" s="3" t="s">
        <v>37</v>
      </c>
      <c r="M13" s="3">
        <v>72.41</v>
      </c>
      <c r="N13" s="3"/>
      <c r="O13" s="3" t="str">
        <f>IF(M11&gt;35,"selected","not selected")</f>
        <v>selected</v>
      </c>
      <c r="P13" s="3" t="str" cm="1">
        <f t="array" ref="P13">_xlfn.IFS(J11&gt;=10,"very good",J11&gt;=5,"good",J11&gt;=1,"not enough")</f>
        <v>very good</v>
      </c>
      <c r="Q13" s="3" t="b">
        <f>OR(J11&gt;5,E11&gt;5)</f>
        <v>1</v>
      </c>
      <c r="R13" s="3" t="b">
        <f>AND(J11&gt;5,E11&gt;5)</f>
        <v>1</v>
      </c>
      <c r="S13" s="3" t="str">
        <f t="shared" si="0"/>
        <v>pass</v>
      </c>
      <c r="T13" s="3" t="str">
        <f t="shared" si="1"/>
        <v>pass</v>
      </c>
      <c r="U13" s="3" t="b">
        <f>NOT(D11&lt;=3)</f>
        <v>1</v>
      </c>
      <c r="X13" s="3"/>
      <c r="Y13" s="8" t="s">
        <v>11</v>
      </c>
      <c r="Z13" s="3" t="s">
        <v>20</v>
      </c>
      <c r="AA13" s="3" t="s">
        <v>20</v>
      </c>
      <c r="AB13" s="3" t="s">
        <v>30</v>
      </c>
      <c r="AC13" s="3" t="s">
        <v>20</v>
      </c>
      <c r="AD13" s="3" t="s">
        <v>20</v>
      </c>
      <c r="AE13" s="3" t="s">
        <v>20</v>
      </c>
      <c r="AF13" s="3" t="s">
        <v>20</v>
      </c>
      <c r="AG13" s="3" t="s">
        <v>37</v>
      </c>
      <c r="AH13" t="s">
        <v>30</v>
      </c>
      <c r="AI13" t="s">
        <v>30</v>
      </c>
      <c r="AJ13" t="s">
        <v>20</v>
      </c>
      <c r="AK13" t="s">
        <v>37</v>
      </c>
      <c r="AL13" t="s">
        <v>37</v>
      </c>
      <c r="AM13" t="s">
        <v>20</v>
      </c>
      <c r="AN13" t="s">
        <v>20</v>
      </c>
      <c r="AO13" t="s">
        <v>20</v>
      </c>
      <c r="AP13" t="s">
        <v>30</v>
      </c>
      <c r="AQ13" t="s">
        <v>20</v>
      </c>
      <c r="AR13" t="s">
        <v>20</v>
      </c>
      <c r="AS13" t="s">
        <v>20</v>
      </c>
      <c r="AT13" t="s">
        <v>30</v>
      </c>
      <c r="AU13" t="s">
        <v>20</v>
      </c>
      <c r="AV13" t="s">
        <v>20</v>
      </c>
      <c r="AW13" t="s">
        <v>20</v>
      </c>
      <c r="AX13" t="s">
        <v>30</v>
      </c>
      <c r="AY13" t="s">
        <v>37</v>
      </c>
      <c r="AZ13" t="s">
        <v>20</v>
      </c>
      <c r="BA13" t="s">
        <v>20</v>
      </c>
      <c r="BB13" t="s">
        <v>37</v>
      </c>
      <c r="BC13" t="s">
        <v>20</v>
      </c>
      <c r="BD13" t="s">
        <v>20</v>
      </c>
      <c r="BE13" t="s">
        <v>20</v>
      </c>
      <c r="BF13" t="s">
        <v>20</v>
      </c>
      <c r="BG13" t="s">
        <v>20</v>
      </c>
    </row>
    <row r="14" spans="1:59" x14ac:dyDescent="0.25">
      <c r="A14" s="3">
        <v>100013</v>
      </c>
      <c r="B14" s="3" t="s">
        <v>36</v>
      </c>
      <c r="C14" s="3" t="s">
        <v>17</v>
      </c>
      <c r="D14" s="3">
        <v>3.4790000000000001</v>
      </c>
      <c r="E14" s="3">
        <v>2.86</v>
      </c>
      <c r="F14" s="3" t="s">
        <v>18</v>
      </c>
      <c r="G14" s="3" t="s">
        <v>19</v>
      </c>
      <c r="H14" s="3">
        <v>2</v>
      </c>
      <c r="I14" s="3" t="b">
        <v>0</v>
      </c>
      <c r="J14" s="3">
        <v>8.9499999999999993</v>
      </c>
      <c r="K14" s="3">
        <v>2</v>
      </c>
      <c r="L14" s="3" t="s">
        <v>37</v>
      </c>
      <c r="M14" s="3">
        <v>67.680000000000007</v>
      </c>
      <c r="N14" s="3"/>
      <c r="O14" s="3" t="str">
        <f>IF(M12&gt;35,"selected","not selected")</f>
        <v>selected</v>
      </c>
      <c r="P14" s="3" t="str" cm="1">
        <f t="array" ref="P14">_xlfn.IFS(J12&gt;=10,"very good",J12&gt;=5,"good",J12&gt;=1,"not enough")</f>
        <v>very good</v>
      </c>
      <c r="Q14" s="3" t="b">
        <f>OR(J12&gt;5,E12&gt;5)</f>
        <v>1</v>
      </c>
      <c r="R14" s="3" t="b">
        <f>AND(J12&gt;5,E12&gt;5)</f>
        <v>1</v>
      </c>
      <c r="S14" s="3" t="str">
        <f t="shared" si="0"/>
        <v>pass</v>
      </c>
      <c r="T14" s="3" t="str">
        <f t="shared" si="1"/>
        <v>pass</v>
      </c>
      <c r="U14" s="3" t="b">
        <f>NOT(D12&lt;=3)</f>
        <v>1</v>
      </c>
      <c r="X14" s="3"/>
      <c r="Y14" s="8" t="s">
        <v>12</v>
      </c>
      <c r="Z14" s="3">
        <v>6</v>
      </c>
      <c r="AA14" s="3">
        <v>9</v>
      </c>
      <c r="AB14" s="3">
        <v>9</v>
      </c>
      <c r="AC14" s="3">
        <v>2</v>
      </c>
      <c r="AD14" s="3">
        <v>4</v>
      </c>
      <c r="AE14" s="3">
        <v>5</v>
      </c>
      <c r="AF14" s="3">
        <v>7</v>
      </c>
      <c r="AG14" s="3">
        <v>1</v>
      </c>
      <c r="AH14">
        <v>5</v>
      </c>
      <c r="AI14">
        <v>8</v>
      </c>
      <c r="AJ14">
        <v>3</v>
      </c>
      <c r="AK14">
        <v>3</v>
      </c>
      <c r="AL14">
        <v>4</v>
      </c>
      <c r="AM14">
        <v>3</v>
      </c>
      <c r="AN14">
        <v>4</v>
      </c>
      <c r="AO14">
        <v>4</v>
      </c>
      <c r="AP14">
        <v>8</v>
      </c>
      <c r="AQ14">
        <v>5</v>
      </c>
      <c r="AR14">
        <v>2</v>
      </c>
      <c r="AS14">
        <v>4</v>
      </c>
      <c r="AT14">
        <v>3</v>
      </c>
      <c r="AU14">
        <v>6</v>
      </c>
      <c r="AV14">
        <v>3</v>
      </c>
      <c r="AW14">
        <v>8</v>
      </c>
      <c r="AX14">
        <v>7</v>
      </c>
      <c r="AY14">
        <v>2</v>
      </c>
      <c r="AZ14">
        <v>2</v>
      </c>
      <c r="BA14">
        <v>1</v>
      </c>
      <c r="BB14">
        <v>4</v>
      </c>
      <c r="BC14">
        <v>4</v>
      </c>
      <c r="BD14">
        <v>6</v>
      </c>
      <c r="BE14">
        <v>5</v>
      </c>
      <c r="BF14">
        <v>5</v>
      </c>
      <c r="BG14">
        <v>1</v>
      </c>
    </row>
    <row r="15" spans="1:59" x14ac:dyDescent="0.25">
      <c r="A15" s="3">
        <v>100014</v>
      </c>
      <c r="B15" s="3" t="s">
        <v>33</v>
      </c>
      <c r="C15" s="3" t="s">
        <v>23</v>
      </c>
      <c r="D15" s="3">
        <v>3.2250000000000001</v>
      </c>
      <c r="E15" s="3">
        <v>8.9499999999999993</v>
      </c>
      <c r="F15" s="3" t="s">
        <v>39</v>
      </c>
      <c r="G15" s="3" t="s">
        <v>19</v>
      </c>
      <c r="H15" s="3">
        <v>1</v>
      </c>
      <c r="I15" s="3" t="b">
        <v>0</v>
      </c>
      <c r="J15" s="3">
        <v>25.3</v>
      </c>
      <c r="K15" s="3">
        <v>2</v>
      </c>
      <c r="L15" s="3" t="s">
        <v>20</v>
      </c>
      <c r="M15" s="3">
        <v>31.47</v>
      </c>
      <c r="N15" s="3"/>
      <c r="O15" s="3" t="str">
        <f>IF(M13&gt;35,"selected","not selected")</f>
        <v>selected</v>
      </c>
      <c r="P15" s="3" t="str" cm="1">
        <f t="array" ref="P15">_xlfn.IFS(J13&gt;=10,"very good",J13&gt;=5,"good",J13&gt;=1,"not enough")</f>
        <v>good</v>
      </c>
      <c r="Q15" s="3" t="b">
        <f>OR(J13&gt;5,E13&gt;5)</f>
        <v>1</v>
      </c>
      <c r="R15" s="3" t="b">
        <f>AND(J13&gt;5,E13&gt;5)</f>
        <v>0</v>
      </c>
      <c r="S15" s="3" t="str">
        <f t="shared" si="0"/>
        <v>pass</v>
      </c>
      <c r="T15" s="3" t="str">
        <f t="shared" si="1"/>
        <v>fail</v>
      </c>
      <c r="U15" s="3" t="b">
        <f>NOT(D13&lt;=3)</f>
        <v>0</v>
      </c>
      <c r="X15" s="3"/>
      <c r="Y15" s="8" t="s">
        <v>13</v>
      </c>
      <c r="Z15" s="3">
        <v>2.3929999999999998</v>
      </c>
      <c r="AA15" s="3">
        <v>3.6960000000000002</v>
      </c>
      <c r="AB15" s="3">
        <v>3.4990000000000001</v>
      </c>
      <c r="AC15" s="3">
        <v>4</v>
      </c>
      <c r="AD15" s="3">
        <v>3.798</v>
      </c>
      <c r="AE15" s="3">
        <v>3.6659999999999999</v>
      </c>
      <c r="AF15" s="3">
        <v>4</v>
      </c>
      <c r="AG15" s="3">
        <v>2.9649999999999999</v>
      </c>
      <c r="AH15">
        <v>3.3959999999999999</v>
      </c>
      <c r="AI15">
        <v>2.9780000000000002</v>
      </c>
      <c r="AJ15">
        <v>3.617</v>
      </c>
      <c r="AK15">
        <v>2.6989999999999998</v>
      </c>
      <c r="AL15">
        <v>3.6120000000000001</v>
      </c>
      <c r="AM15">
        <v>3.9350000000000001</v>
      </c>
      <c r="AN15">
        <v>3.1219999999999999</v>
      </c>
      <c r="AO15">
        <v>2.2280000000000002</v>
      </c>
      <c r="AP15">
        <v>3.214</v>
      </c>
      <c r="AQ15">
        <v>3.39</v>
      </c>
      <c r="AR15">
        <v>3.4119999999999999</v>
      </c>
      <c r="AS15">
        <v>3.1869999999999998</v>
      </c>
      <c r="AT15">
        <v>2.758</v>
      </c>
      <c r="AU15">
        <v>3.3580000000000001</v>
      </c>
      <c r="AV15">
        <v>3.7490000000000001</v>
      </c>
      <c r="AW15">
        <v>3.76</v>
      </c>
      <c r="AX15">
        <v>2.5880000000000001</v>
      </c>
      <c r="AY15">
        <v>4</v>
      </c>
      <c r="AZ15">
        <v>3.8220000000000001</v>
      </c>
      <c r="BA15">
        <v>3.4870000000000001</v>
      </c>
      <c r="BB15">
        <v>3.0880000000000001</v>
      </c>
      <c r="BC15">
        <v>4</v>
      </c>
      <c r="BD15">
        <v>3.9889999999999999</v>
      </c>
      <c r="BE15">
        <v>1.3420000000000001</v>
      </c>
      <c r="BF15">
        <v>3.2759999999999998</v>
      </c>
      <c r="BG15">
        <v>3.335</v>
      </c>
    </row>
    <row r="16" spans="1:59" x14ac:dyDescent="0.25">
      <c r="A16" s="3">
        <v>100015</v>
      </c>
      <c r="B16" s="3" t="s">
        <v>33</v>
      </c>
      <c r="C16" s="3" t="s">
        <v>28</v>
      </c>
      <c r="D16" s="3">
        <v>3.202</v>
      </c>
      <c r="E16" s="3">
        <v>1.22</v>
      </c>
      <c r="F16" s="3" t="s">
        <v>18</v>
      </c>
      <c r="G16" s="3" t="s">
        <v>19</v>
      </c>
      <c r="H16" s="3">
        <v>1</v>
      </c>
      <c r="I16" s="3" t="b">
        <v>0</v>
      </c>
      <c r="J16" s="3">
        <v>16.52</v>
      </c>
      <c r="K16" s="3">
        <v>2</v>
      </c>
      <c r="L16" s="3" t="s">
        <v>20</v>
      </c>
      <c r="M16" s="3">
        <v>30.7</v>
      </c>
      <c r="N16" s="3"/>
      <c r="O16" s="3" t="str">
        <f>IF(M14&gt;35,"selected","not selected")</f>
        <v>selected</v>
      </c>
      <c r="P16" s="3" t="str" cm="1">
        <f t="array" ref="P16">_xlfn.IFS(J14&gt;=10,"very good",J14&gt;=5,"good",J14&gt;=1,"not enough")</f>
        <v>good</v>
      </c>
      <c r="Q16" s="3" t="b">
        <f>OR(J14&gt;5,E14&gt;5)</f>
        <v>1</v>
      </c>
      <c r="R16" s="3" t="b">
        <f>AND(J14&gt;5,E14&gt;5)</f>
        <v>0</v>
      </c>
      <c r="S16" s="3" t="str">
        <f t="shared" si="0"/>
        <v>pass</v>
      </c>
      <c r="T16" s="3" t="str">
        <f t="shared" si="1"/>
        <v>fail</v>
      </c>
      <c r="U16" s="3" t="b">
        <f>NOT(D14&lt;=3)</f>
        <v>1</v>
      </c>
      <c r="X16" s="3"/>
      <c r="Y16" s="8" t="s">
        <v>14</v>
      </c>
      <c r="Z16" s="3">
        <v>86.44</v>
      </c>
      <c r="AA16" s="3">
        <v>69.39</v>
      </c>
      <c r="AB16" s="3">
        <v>73.930000000000007</v>
      </c>
      <c r="AC16" s="3">
        <v>63.58</v>
      </c>
      <c r="AD16" s="3">
        <v>100</v>
      </c>
      <c r="AE16" s="3">
        <v>65.92</v>
      </c>
      <c r="AF16" s="3">
        <v>67.97</v>
      </c>
      <c r="AG16" s="3">
        <v>85.09</v>
      </c>
      <c r="AH16">
        <v>55.71</v>
      </c>
      <c r="AI16">
        <v>87.18</v>
      </c>
      <c r="AJ16">
        <v>95.42</v>
      </c>
      <c r="AK16">
        <v>72.41</v>
      </c>
      <c r="AL16">
        <v>67.680000000000007</v>
      </c>
      <c r="AM16">
        <v>64.47</v>
      </c>
      <c r="AN16">
        <v>70.7</v>
      </c>
      <c r="AO16">
        <v>70.66</v>
      </c>
      <c r="AP16">
        <v>59.69</v>
      </c>
      <c r="AQ16">
        <v>90.65</v>
      </c>
      <c r="AR16">
        <v>53.95</v>
      </c>
      <c r="AS16">
        <v>74.23</v>
      </c>
      <c r="AT16">
        <v>78.28</v>
      </c>
      <c r="AU16">
        <v>67.56</v>
      </c>
      <c r="AV16">
        <v>68.81</v>
      </c>
      <c r="AW16">
        <v>55.33</v>
      </c>
      <c r="AX16">
        <v>63.38</v>
      </c>
      <c r="AY16">
        <v>81.849999999999994</v>
      </c>
      <c r="AZ16">
        <v>82.36</v>
      </c>
      <c r="BA16">
        <v>67.739999999999995</v>
      </c>
      <c r="BB16">
        <v>74.67</v>
      </c>
      <c r="BC16">
        <v>61.29</v>
      </c>
      <c r="BD16">
        <v>88.44</v>
      </c>
      <c r="BE16">
        <v>56.81</v>
      </c>
      <c r="BF16">
        <v>74.03</v>
      </c>
      <c r="BG16">
        <v>89.14</v>
      </c>
    </row>
    <row r="17" spans="1:59" x14ac:dyDescent="0.25">
      <c r="A17" s="3">
        <v>100016</v>
      </c>
      <c r="B17" s="3" t="s">
        <v>33</v>
      </c>
      <c r="C17" s="3" t="s">
        <v>17</v>
      </c>
      <c r="D17" s="3">
        <v>2.0760000000000001</v>
      </c>
      <c r="E17" s="3">
        <v>14.74</v>
      </c>
      <c r="F17" s="3" t="s">
        <v>35</v>
      </c>
      <c r="G17" s="3" t="s">
        <v>19</v>
      </c>
      <c r="H17" s="3">
        <v>1</v>
      </c>
      <c r="I17" s="3" t="b">
        <v>1</v>
      </c>
      <c r="J17" s="3">
        <v>12.59</v>
      </c>
      <c r="K17" s="3">
        <v>4</v>
      </c>
      <c r="L17" s="3" t="s">
        <v>20</v>
      </c>
      <c r="M17" s="3">
        <v>70.66</v>
      </c>
      <c r="N17" s="3"/>
      <c r="O17" s="3" t="str">
        <f>IF(M15&gt;35,"selected","not selected")</f>
        <v>not selected</v>
      </c>
      <c r="P17" s="3" t="str" cm="1">
        <f t="array" ref="P17">_xlfn.IFS(J15&gt;=10,"very good",J15&gt;=5,"good",J15&gt;=1,"not enough")</f>
        <v>very good</v>
      </c>
      <c r="Q17" s="3" t="b">
        <f>OR(J15&gt;5,E15&gt;5)</f>
        <v>1</v>
      </c>
      <c r="R17" s="3" t="b">
        <f>AND(J15&gt;5,E15&gt;5)</f>
        <v>1</v>
      </c>
      <c r="S17" s="3" t="str">
        <f t="shared" si="0"/>
        <v>pass</v>
      </c>
      <c r="T17" s="3" t="str">
        <f t="shared" si="1"/>
        <v>pass</v>
      </c>
      <c r="U17" s="3" t="b">
        <f>NOT(D15&lt;=3)</f>
        <v>1</v>
      </c>
      <c r="X17" s="3"/>
      <c r="Y17" s="8" t="s">
        <v>15</v>
      </c>
      <c r="Z17" s="3" t="s">
        <v>21</v>
      </c>
      <c r="AA17" s="3" t="s">
        <v>26</v>
      </c>
      <c r="AB17" s="3" t="s">
        <v>31</v>
      </c>
      <c r="AC17" s="3" t="s">
        <v>31</v>
      </c>
      <c r="AD17" s="3" t="s">
        <v>31</v>
      </c>
      <c r="AE17" s="3" t="s">
        <v>21</v>
      </c>
      <c r="AF17" s="3" t="s">
        <v>31</v>
      </c>
      <c r="AG17" s="3" t="s">
        <v>31</v>
      </c>
      <c r="AH17" t="s">
        <v>31</v>
      </c>
      <c r="AI17" t="s">
        <v>21</v>
      </c>
      <c r="AJ17" t="s">
        <v>21</v>
      </c>
      <c r="AK17" t="s">
        <v>31</v>
      </c>
      <c r="AL17" t="s">
        <v>21</v>
      </c>
      <c r="AM17" t="s">
        <v>31</v>
      </c>
      <c r="AN17" t="s">
        <v>26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t="s">
        <v>26</v>
      </c>
      <c r="AU17" t="s">
        <v>26</v>
      </c>
      <c r="AV17" t="s">
        <v>31</v>
      </c>
      <c r="AW17" t="s">
        <v>26</v>
      </c>
      <c r="AX17" t="s">
        <v>31</v>
      </c>
      <c r="AY17" t="s">
        <v>21</v>
      </c>
      <c r="AZ17" t="s">
        <v>31</v>
      </c>
      <c r="BA17" t="s">
        <v>21</v>
      </c>
      <c r="BB17" t="s">
        <v>26</v>
      </c>
      <c r="BC17" t="s">
        <v>31</v>
      </c>
      <c r="BD17" t="s">
        <v>26</v>
      </c>
      <c r="BE17" t="s">
        <v>31</v>
      </c>
      <c r="BF17" t="s">
        <v>31</v>
      </c>
      <c r="BG17" t="s">
        <v>31</v>
      </c>
    </row>
    <row r="18" spans="1:59" x14ac:dyDescent="0.25">
      <c r="A18" s="3">
        <v>100017</v>
      </c>
      <c r="B18" s="3" t="s">
        <v>16</v>
      </c>
      <c r="C18" s="3" t="s">
        <v>34</v>
      </c>
      <c r="D18" s="3">
        <v>2.931</v>
      </c>
      <c r="E18" s="3">
        <v>2.08</v>
      </c>
      <c r="F18" s="3" t="s">
        <v>39</v>
      </c>
      <c r="G18" s="3" t="s">
        <v>25</v>
      </c>
      <c r="H18" s="3">
        <v>3</v>
      </c>
      <c r="I18" s="3" t="b">
        <v>0</v>
      </c>
      <c r="J18" s="3">
        <v>15.15</v>
      </c>
      <c r="K18" s="3">
        <v>5</v>
      </c>
      <c r="L18" s="3" t="s">
        <v>30</v>
      </c>
      <c r="M18" s="3">
        <v>59.69</v>
      </c>
      <c r="N18" s="3"/>
      <c r="O18" s="3" t="str">
        <f>IF(M16&gt;35,"selected","not selected")</f>
        <v>not selected</v>
      </c>
      <c r="P18" s="3" t="str" cm="1">
        <f t="array" ref="P18">_xlfn.IFS(J16&gt;=10,"very good",J16&gt;=5,"good",J16&gt;=1,"not enough")</f>
        <v>very good</v>
      </c>
      <c r="Q18" s="3" t="b">
        <f>OR(J16&gt;5,E16&gt;5)</f>
        <v>1</v>
      </c>
      <c r="R18" s="3" t="b">
        <f>AND(J16&gt;5,E16&gt;5)</f>
        <v>0</v>
      </c>
      <c r="S18" s="3" t="str">
        <f t="shared" si="0"/>
        <v>pass</v>
      </c>
      <c r="T18" s="3" t="str">
        <f t="shared" si="1"/>
        <v>fail</v>
      </c>
      <c r="U18" s="3" t="b">
        <f>NOT(D16&lt;=3)</f>
        <v>1</v>
      </c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59" x14ac:dyDescent="0.25">
      <c r="A19" s="3">
        <v>100018</v>
      </c>
      <c r="B19" s="3" t="s">
        <v>27</v>
      </c>
      <c r="C19" s="3" t="s">
        <v>17</v>
      </c>
      <c r="D19" s="3">
        <v>3.1560000000000001</v>
      </c>
      <c r="E19" s="3">
        <v>8.0299999999999994</v>
      </c>
      <c r="F19" s="3" t="s">
        <v>39</v>
      </c>
      <c r="G19" s="3" t="s">
        <v>25</v>
      </c>
      <c r="H19" s="3">
        <v>4</v>
      </c>
      <c r="I19" s="3" t="b">
        <v>0</v>
      </c>
      <c r="J19" s="3">
        <v>10.7</v>
      </c>
      <c r="K19" s="3">
        <v>4</v>
      </c>
      <c r="L19" s="3" t="s">
        <v>20</v>
      </c>
      <c r="M19" s="3">
        <v>90.65</v>
      </c>
      <c r="N19" s="3"/>
      <c r="O19" s="3" t="str">
        <f>IF(M17&gt;35,"selected","not selected")</f>
        <v>selected</v>
      </c>
      <c r="P19" s="3" t="str" cm="1">
        <f t="array" ref="P19">_xlfn.IFS(J17&gt;=10,"very good",J17&gt;=5,"good",J17&gt;=1,"not enough")</f>
        <v>very good</v>
      </c>
      <c r="Q19" s="3" t="b">
        <f>OR(J17&gt;5,E17&gt;5)</f>
        <v>1</v>
      </c>
      <c r="R19" s="3" t="b">
        <f>AND(J17&gt;5,E17&gt;5)</f>
        <v>1</v>
      </c>
      <c r="S19" s="3" t="str">
        <f t="shared" si="0"/>
        <v>pass</v>
      </c>
      <c r="T19" s="3" t="str">
        <f t="shared" si="1"/>
        <v>pass</v>
      </c>
      <c r="U19" s="3" t="b">
        <f>NOT(D17&lt;=3)</f>
        <v>0</v>
      </c>
      <c r="X19" s="3"/>
      <c r="Y19" s="7" t="s">
        <v>43</v>
      </c>
      <c r="Z19" s="3" t="s">
        <v>71</v>
      </c>
      <c r="AA19" s="3" t="s">
        <v>72</v>
      </c>
      <c r="AB19" s="3" t="s">
        <v>73</v>
      </c>
      <c r="AC19" s="3"/>
      <c r="AD19" s="3"/>
      <c r="AE19" s="3"/>
      <c r="AF19" s="3"/>
      <c r="AG19" s="3"/>
    </row>
    <row r="20" spans="1:59" x14ac:dyDescent="0.25">
      <c r="A20" s="3">
        <v>100019</v>
      </c>
      <c r="B20" s="3" t="s">
        <v>16</v>
      </c>
      <c r="C20" s="3" t="s">
        <v>23</v>
      </c>
      <c r="D20" s="3">
        <v>2.9750000000000001</v>
      </c>
      <c r="E20" s="3">
        <v>0.51</v>
      </c>
      <c r="F20" s="3" t="s">
        <v>29</v>
      </c>
      <c r="G20" s="3" t="s">
        <v>19</v>
      </c>
      <c r="H20" s="3">
        <v>1</v>
      </c>
      <c r="I20" s="3" t="b">
        <v>0</v>
      </c>
      <c r="J20" s="3">
        <v>10.84</v>
      </c>
      <c r="K20" s="3">
        <v>1</v>
      </c>
      <c r="L20" s="3" t="s">
        <v>20</v>
      </c>
      <c r="M20" s="3">
        <v>53.95</v>
      </c>
      <c r="N20" s="3"/>
      <c r="O20" s="3" t="str">
        <f>IF(M18&gt;35,"selected","not selected")</f>
        <v>selected</v>
      </c>
      <c r="P20" s="3" t="str" cm="1">
        <f t="array" ref="P20">_xlfn.IFS(J18&gt;=10,"very good",J18&gt;=5,"good",J18&gt;=1,"not enough")</f>
        <v>very good</v>
      </c>
      <c r="Q20" s="3" t="b">
        <f>OR(J18&gt;5,E18&gt;5)</f>
        <v>1</v>
      </c>
      <c r="R20" s="3" t="b">
        <f>AND(J18&gt;5,E18&gt;5)</f>
        <v>0</v>
      </c>
      <c r="S20" s="3" t="str">
        <f t="shared" si="0"/>
        <v>pass</v>
      </c>
      <c r="T20" s="3" t="str">
        <f t="shared" si="1"/>
        <v>fail</v>
      </c>
      <c r="U20" s="3" t="b">
        <f>NOT(D18&lt;=3)</f>
        <v>0</v>
      </c>
      <c r="X20" s="3"/>
      <c r="Y20" s="3"/>
      <c r="Z20" s="6" t="s">
        <v>44</v>
      </c>
      <c r="AA20" s="6" t="s">
        <v>45</v>
      </c>
      <c r="AB20" s="6" t="s">
        <v>46</v>
      </c>
      <c r="AC20" s="3"/>
      <c r="AD20" s="3"/>
      <c r="AE20" s="3"/>
      <c r="AF20" s="7" t="s">
        <v>49</v>
      </c>
      <c r="AG20" s="6" t="s">
        <v>50</v>
      </c>
    </row>
    <row r="21" spans="1:59" x14ac:dyDescent="0.25">
      <c r="A21" s="3">
        <v>100020</v>
      </c>
      <c r="B21" s="3" t="s">
        <v>33</v>
      </c>
      <c r="C21" s="3" t="s">
        <v>34</v>
      </c>
      <c r="D21" s="3">
        <v>3.3050000000000002</v>
      </c>
      <c r="E21" s="3">
        <v>0.2</v>
      </c>
      <c r="F21" s="3" t="s">
        <v>35</v>
      </c>
      <c r="G21" s="3" t="s">
        <v>32</v>
      </c>
      <c r="H21" s="3">
        <v>4</v>
      </c>
      <c r="I21" s="3" t="b">
        <v>0</v>
      </c>
      <c r="J21" s="3">
        <v>3.69</v>
      </c>
      <c r="K21" s="3">
        <v>1</v>
      </c>
      <c r="L21" s="3" t="s">
        <v>20</v>
      </c>
      <c r="M21" s="3">
        <v>74.23</v>
      </c>
      <c r="N21" s="3"/>
      <c r="O21" s="3" t="str">
        <f>IF(M19&gt;35,"selected","not selected")</f>
        <v>selected</v>
      </c>
      <c r="P21" s="3" t="str" cm="1">
        <f t="array" ref="P21">_xlfn.IFS(J19&gt;=10,"very good",J19&gt;=5,"good",J19&gt;=1,"not enough")</f>
        <v>very good</v>
      </c>
      <c r="Q21" s="3" t="b">
        <f>OR(J19&gt;5,E19&gt;5)</f>
        <v>1</v>
      </c>
      <c r="R21" s="3" t="b">
        <f>AND(J19&gt;5,E19&gt;5)</f>
        <v>1</v>
      </c>
      <c r="S21" s="3" t="str">
        <f t="shared" si="0"/>
        <v>pass</v>
      </c>
      <c r="T21" s="3" t="str">
        <f t="shared" si="1"/>
        <v>pass</v>
      </c>
      <c r="U21" s="3" t="b">
        <f>NOT(D19&lt;=3)</f>
        <v>1</v>
      </c>
      <c r="X21" s="3"/>
      <c r="Y21" s="3">
        <v>100008</v>
      </c>
      <c r="Z21" s="3" t="str">
        <f>HLOOKUP(AG2,Z2:BG17,3,0)</f>
        <v>Junior</v>
      </c>
      <c r="AA21" s="3">
        <f>HLOOKUP(AG2,Z2:AV17,5,0)</f>
        <v>5.33</v>
      </c>
      <c r="AB21" s="3" t="str">
        <f>HLOOKUP(AG2,Z2:AM17,16,0)</f>
        <v>Medium</v>
      </c>
      <c r="AC21" s="3"/>
      <c r="AD21" s="3"/>
      <c r="AE21" s="3"/>
      <c r="AF21" s="3">
        <v>100011</v>
      </c>
      <c r="AG21" s="3">
        <f>_xlfn.XLOOKUP(AJ2,Z2:BG2,Z11:BG11,"not Found",0,1)</f>
        <v>11.43</v>
      </c>
    </row>
    <row r="22" spans="1:59" x14ac:dyDescent="0.25">
      <c r="A22" s="3">
        <v>100021</v>
      </c>
      <c r="B22" s="3" t="s">
        <v>27</v>
      </c>
      <c r="C22" s="3" t="s">
        <v>34</v>
      </c>
      <c r="D22" s="3">
        <v>2.6360000000000001</v>
      </c>
      <c r="E22" s="3">
        <v>1.63</v>
      </c>
      <c r="F22" s="3" t="s">
        <v>18</v>
      </c>
      <c r="G22" s="3" t="s">
        <v>32</v>
      </c>
      <c r="H22" s="3">
        <v>4</v>
      </c>
      <c r="I22" s="3" t="b">
        <v>0</v>
      </c>
      <c r="J22" s="3">
        <v>18.71</v>
      </c>
      <c r="K22" s="3">
        <v>4</v>
      </c>
      <c r="L22" s="3" t="s">
        <v>30</v>
      </c>
      <c r="M22" s="3">
        <v>78.28</v>
      </c>
      <c r="N22" s="3"/>
      <c r="O22" s="3" t="str">
        <f>IF(M20&gt;35,"selected","not selected")</f>
        <v>selected</v>
      </c>
      <c r="P22" s="3" t="str" cm="1">
        <f t="array" ref="P22">_xlfn.IFS(J20&gt;=10,"very good",J20&gt;=5,"good",J20&gt;=1,"not enough")</f>
        <v>very good</v>
      </c>
      <c r="Q22" s="3" t="b">
        <f>OR(J20&gt;5,E20&gt;5)</f>
        <v>1</v>
      </c>
      <c r="R22" s="3" t="b">
        <f>AND(J20&gt;5,E20&gt;5)</f>
        <v>0</v>
      </c>
      <c r="S22" s="3" t="str">
        <f t="shared" si="0"/>
        <v>pass</v>
      </c>
      <c r="T22" s="3" t="str">
        <f t="shared" si="1"/>
        <v>fail</v>
      </c>
      <c r="U22" s="3" t="b">
        <f>NOT(D20&lt;=3)</f>
        <v>0</v>
      </c>
      <c r="X22" s="3"/>
      <c r="Y22" s="3">
        <v>100017</v>
      </c>
      <c r="Z22" s="3" t="str">
        <f>HLOOKUP(AP2,Z2:AT17,3,0)</f>
        <v>Sophomore</v>
      </c>
      <c r="AA22" s="3">
        <f>HLOOKUP(AP2,Z2:AV17,5,0)</f>
        <v>2.08</v>
      </c>
      <c r="AB22" s="3" t="str">
        <f>HLOOKUP(AP2,Z2:AT17,16,0)</f>
        <v>Medium</v>
      </c>
      <c r="AC22" s="3"/>
      <c r="AD22" s="3"/>
      <c r="AE22" s="3"/>
      <c r="AF22" s="3">
        <v>100015</v>
      </c>
      <c r="AG22" s="3">
        <f>_xlfn.XLOOKUP(AN2,Z2:AQ2,Z11:AQ11,"not Found",0,1)</f>
        <v>16.52</v>
      </c>
    </row>
    <row r="23" spans="1:59" x14ac:dyDescent="0.25">
      <c r="A23" s="3">
        <v>100022</v>
      </c>
      <c r="B23" s="3" t="s">
        <v>33</v>
      </c>
      <c r="C23" s="3" t="s">
        <v>17</v>
      </c>
      <c r="D23" s="3">
        <v>3.5289999999999999</v>
      </c>
      <c r="E23" s="3">
        <v>4.91</v>
      </c>
      <c r="F23" s="3" t="s">
        <v>35</v>
      </c>
      <c r="G23" s="3" t="s">
        <v>19</v>
      </c>
      <c r="H23" s="3">
        <v>1</v>
      </c>
      <c r="I23" s="3" t="b">
        <v>0</v>
      </c>
      <c r="J23" s="3">
        <v>15.78</v>
      </c>
      <c r="K23" s="3">
        <v>2</v>
      </c>
      <c r="L23" s="3" t="s">
        <v>20</v>
      </c>
      <c r="M23" s="3">
        <v>27.56</v>
      </c>
      <c r="N23" s="3"/>
      <c r="O23" s="3" t="str">
        <f>IF(M21&gt;35,"selected","not selected")</f>
        <v>selected</v>
      </c>
      <c r="P23" s="3" t="str" cm="1">
        <f t="array" ref="P23">_xlfn.IFS(J21&gt;=10,"very good",J21&gt;=5,"good",J21&gt;=1,"not enough")</f>
        <v>not enough</v>
      </c>
      <c r="Q23" s="3" t="b">
        <f>OR(J21&gt;5,E21&gt;5)</f>
        <v>0</v>
      </c>
      <c r="R23" s="3" t="b">
        <f>AND(J21&gt;5,E21&gt;5)</f>
        <v>0</v>
      </c>
      <c r="S23" s="3" t="str">
        <f t="shared" si="0"/>
        <v>fail</v>
      </c>
      <c r="T23" s="3" t="str">
        <f t="shared" si="1"/>
        <v>fail</v>
      </c>
      <c r="U23" s="3" t="b">
        <f>NOT(D21&lt;=3)</f>
        <v>1</v>
      </c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59" x14ac:dyDescent="0.25">
      <c r="A24" s="3">
        <v>100023</v>
      </c>
      <c r="B24" s="3" t="s">
        <v>33</v>
      </c>
      <c r="C24" s="3" t="s">
        <v>23</v>
      </c>
      <c r="D24" s="3">
        <v>3.5510000000000002</v>
      </c>
      <c r="E24" s="3">
        <v>10.48</v>
      </c>
      <c r="F24" s="3" t="s">
        <v>18</v>
      </c>
      <c r="G24" s="3" t="s">
        <v>32</v>
      </c>
      <c r="H24" s="3">
        <v>2</v>
      </c>
      <c r="I24" s="3" t="b">
        <v>1</v>
      </c>
      <c r="J24" s="3">
        <v>2.75</v>
      </c>
      <c r="K24" s="3">
        <v>2</v>
      </c>
      <c r="L24" s="3" t="s">
        <v>20</v>
      </c>
      <c r="M24" s="3">
        <v>68.81</v>
      </c>
      <c r="N24" s="3"/>
      <c r="O24" s="3" t="str">
        <f>IF(M22&gt;35,"selected","not selected")</f>
        <v>selected</v>
      </c>
      <c r="P24" s="3" t="str" cm="1">
        <f t="array" ref="P24">_xlfn.IFS(J22&gt;=10,"very good",J22&gt;=5,"good",J22&gt;=1,"not enough")</f>
        <v>very good</v>
      </c>
      <c r="Q24" s="3" t="b">
        <f>OR(J22&gt;5,E22&gt;5)</f>
        <v>1</v>
      </c>
      <c r="R24" s="3" t="b">
        <f>AND(J22&gt;5,E22&gt;5)</f>
        <v>0</v>
      </c>
      <c r="S24" s="3" t="str">
        <f t="shared" si="0"/>
        <v>pass</v>
      </c>
      <c r="T24" s="3" t="str">
        <f t="shared" si="1"/>
        <v>fail</v>
      </c>
      <c r="U24" s="3" t="b">
        <f>NOT(D22&lt;=3)</f>
        <v>0</v>
      </c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59" x14ac:dyDescent="0.25">
      <c r="A25" s="3">
        <v>100024</v>
      </c>
      <c r="B25" s="3" t="s">
        <v>16</v>
      </c>
      <c r="C25" s="3" t="s">
        <v>17</v>
      </c>
      <c r="D25" s="3">
        <v>3.5790000000000002</v>
      </c>
      <c r="E25" s="3">
        <v>0.45</v>
      </c>
      <c r="F25" s="3" t="s">
        <v>24</v>
      </c>
      <c r="G25" s="3" t="s">
        <v>19</v>
      </c>
      <c r="H25" s="3">
        <v>1</v>
      </c>
      <c r="I25" s="3" t="b">
        <v>1</v>
      </c>
      <c r="J25" s="3">
        <v>10.61</v>
      </c>
      <c r="K25" s="3">
        <v>1</v>
      </c>
      <c r="L25" s="3" t="s">
        <v>20</v>
      </c>
      <c r="M25" s="3">
        <v>55.33</v>
      </c>
      <c r="N25" s="3"/>
      <c r="O25" s="3" t="str">
        <f>IF(M23&gt;35,"selected","not selected")</f>
        <v>not selected</v>
      </c>
      <c r="P25" s="3" t="str" cm="1">
        <f t="array" ref="P25">_xlfn.IFS(J23&gt;=10,"very good",J23&gt;=5,"good",J23&gt;=1,"not enough")</f>
        <v>very good</v>
      </c>
      <c r="Q25" s="3" t="b">
        <f>OR(J23&gt;5,E23&gt;5)</f>
        <v>1</v>
      </c>
      <c r="R25" s="3" t="b">
        <f>AND(J23&gt;5,E23&gt;5)</f>
        <v>0</v>
      </c>
      <c r="S25" s="3" t="str">
        <f t="shared" si="0"/>
        <v>pass</v>
      </c>
      <c r="T25" s="3" t="str">
        <f t="shared" si="1"/>
        <v>fail</v>
      </c>
      <c r="U25" s="3" t="b">
        <f>NOT(D23&lt;=3)</f>
        <v>1</v>
      </c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59" x14ac:dyDescent="0.25">
      <c r="A26" s="3">
        <v>100025</v>
      </c>
      <c r="B26" s="3" t="s">
        <v>16</v>
      </c>
      <c r="C26" s="3" t="s">
        <v>28</v>
      </c>
      <c r="D26" s="3">
        <v>2.3639999999999999</v>
      </c>
      <c r="E26" s="3">
        <v>28.72</v>
      </c>
      <c r="F26" s="3" t="s">
        <v>18</v>
      </c>
      <c r="G26" s="3" t="s">
        <v>19</v>
      </c>
      <c r="H26" s="3">
        <v>1</v>
      </c>
      <c r="I26" s="3" t="b">
        <v>0</v>
      </c>
      <c r="J26" s="3">
        <v>8.24</v>
      </c>
      <c r="K26" s="3">
        <v>8</v>
      </c>
      <c r="L26" s="3" t="s">
        <v>30</v>
      </c>
      <c r="M26" s="3">
        <v>63.38</v>
      </c>
      <c r="N26" s="3"/>
      <c r="O26" s="3" t="str">
        <f>IF(M24&gt;35,"selected","not selected")</f>
        <v>selected</v>
      </c>
      <c r="P26" s="3" t="str" cm="1">
        <f t="array" ref="P26">_xlfn.IFS(J24&gt;=10,"very good",J24&gt;=5,"good",J24&gt;=1,"not enough")</f>
        <v>not enough</v>
      </c>
      <c r="Q26" s="3" t="b">
        <f>OR(J24&gt;5,E24&gt;5)</f>
        <v>1</v>
      </c>
      <c r="R26" s="3" t="b">
        <f>AND(J24&gt;5,E24&gt;5)</f>
        <v>0</v>
      </c>
      <c r="S26" s="3" t="str">
        <f t="shared" si="0"/>
        <v>pass</v>
      </c>
      <c r="T26" s="3" t="str">
        <f t="shared" si="1"/>
        <v>fail</v>
      </c>
      <c r="U26" s="3" t="b">
        <f>NOT(D24&lt;=3)</f>
        <v>1</v>
      </c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59" x14ac:dyDescent="0.25">
      <c r="A27" s="3">
        <v>100026</v>
      </c>
      <c r="B27" s="3" t="s">
        <v>36</v>
      </c>
      <c r="C27" s="3" t="s">
        <v>17</v>
      </c>
      <c r="D27" s="3">
        <v>3.3079999999999998</v>
      </c>
      <c r="E27" s="3">
        <v>2.38</v>
      </c>
      <c r="F27" s="3" t="s">
        <v>24</v>
      </c>
      <c r="G27" s="3" t="s">
        <v>25</v>
      </c>
      <c r="H27" s="3">
        <v>4</v>
      </c>
      <c r="I27" s="3" t="b">
        <v>1</v>
      </c>
      <c r="J27" s="3">
        <v>11.33</v>
      </c>
      <c r="K27" s="3">
        <v>2</v>
      </c>
      <c r="L27" s="3" t="s">
        <v>37</v>
      </c>
      <c r="M27" s="3">
        <v>81.849999999999994</v>
      </c>
      <c r="N27" s="3"/>
      <c r="O27" s="3" t="str">
        <f>IF(M25&gt;35,"selected","not selected")</f>
        <v>selected</v>
      </c>
      <c r="P27" s="3" t="str" cm="1">
        <f t="array" ref="P27">_xlfn.IFS(J25&gt;=10,"very good",J25&gt;=5,"good",J25&gt;=1,"not enough")</f>
        <v>very good</v>
      </c>
      <c r="Q27" s="3" t="b">
        <f>OR(J25&gt;5,E25&gt;5)</f>
        <v>1</v>
      </c>
      <c r="R27" s="3" t="b">
        <f>AND(J25&gt;5,E25&gt;5)</f>
        <v>0</v>
      </c>
      <c r="S27" s="3" t="str">
        <f t="shared" si="0"/>
        <v>pass</v>
      </c>
      <c r="T27" s="3" t="str">
        <f t="shared" si="1"/>
        <v>fail</v>
      </c>
      <c r="U27" s="3" t="b">
        <f>NOT(D25&lt;=3)</f>
        <v>1</v>
      </c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59" x14ac:dyDescent="0.25">
      <c r="A28" s="3">
        <v>100027</v>
      </c>
      <c r="B28" s="3" t="s">
        <v>33</v>
      </c>
      <c r="C28" s="3" t="s">
        <v>34</v>
      </c>
      <c r="D28" s="3">
        <v>3.3380000000000001</v>
      </c>
      <c r="E28" s="3">
        <v>18.62</v>
      </c>
      <c r="F28" s="3" t="s">
        <v>35</v>
      </c>
      <c r="G28" s="3" t="s">
        <v>25</v>
      </c>
      <c r="H28" s="3">
        <v>5</v>
      </c>
      <c r="I28" s="3" t="b">
        <v>1</v>
      </c>
      <c r="J28" s="3">
        <v>14.29</v>
      </c>
      <c r="K28" s="3">
        <v>6</v>
      </c>
      <c r="L28" s="3" t="s">
        <v>20</v>
      </c>
      <c r="M28" s="3">
        <v>82.36</v>
      </c>
      <c r="N28" s="3"/>
      <c r="O28" s="3" t="str">
        <f>IF(M26&gt;35,"selected","not selected")</f>
        <v>selected</v>
      </c>
      <c r="P28" s="3" t="str" cm="1">
        <f t="array" ref="P28">_xlfn.IFS(J26&gt;=10,"very good",J26&gt;=5,"good",J26&gt;=1,"not enough")</f>
        <v>good</v>
      </c>
      <c r="Q28" s="3" t="b">
        <f>OR(J26&gt;5,E26&gt;5)</f>
        <v>1</v>
      </c>
      <c r="R28" s="3" t="b">
        <f>AND(J26&gt;5,E26&gt;5)</f>
        <v>1</v>
      </c>
      <c r="S28" s="3" t="str">
        <f t="shared" si="0"/>
        <v>pass</v>
      </c>
      <c r="T28" s="3" t="str">
        <f t="shared" si="1"/>
        <v>pass</v>
      </c>
      <c r="U28" s="3" t="b">
        <f>NOT(D26&lt;=3)</f>
        <v>0</v>
      </c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59" x14ac:dyDescent="0.25">
      <c r="A29" s="3">
        <v>100028</v>
      </c>
      <c r="B29" s="3" t="s">
        <v>27</v>
      </c>
      <c r="C29" s="3" t="s">
        <v>23</v>
      </c>
      <c r="D29" s="3">
        <v>3.302</v>
      </c>
      <c r="E29" s="3">
        <v>23.96</v>
      </c>
      <c r="F29" s="3" t="s">
        <v>24</v>
      </c>
      <c r="G29" s="3" t="s">
        <v>32</v>
      </c>
      <c r="H29" s="3">
        <v>2</v>
      </c>
      <c r="I29" s="3" t="b">
        <v>1</v>
      </c>
      <c r="J29" s="3">
        <v>6.54</v>
      </c>
      <c r="K29" s="3">
        <v>5</v>
      </c>
      <c r="L29" s="3" t="s">
        <v>20</v>
      </c>
      <c r="M29" s="3">
        <v>67.739999999999995</v>
      </c>
      <c r="N29" s="3"/>
      <c r="O29" s="3" t="str">
        <f>IF(M27&gt;35,"selected","not selected")</f>
        <v>selected</v>
      </c>
      <c r="P29" s="3" t="str" cm="1">
        <f t="array" ref="P29">_xlfn.IFS(J27&gt;=10,"very good",J27&gt;=5,"good",J27&gt;=1,"not enough")</f>
        <v>very good</v>
      </c>
      <c r="Q29" s="3" t="b">
        <f>OR(J27&gt;5,E27&gt;5)</f>
        <v>1</v>
      </c>
      <c r="R29" s="3" t="b">
        <f>AND(J27&gt;5,E27&gt;5)</f>
        <v>0</v>
      </c>
      <c r="S29" s="3" t="str">
        <f t="shared" si="0"/>
        <v>pass</v>
      </c>
      <c r="T29" s="3" t="str">
        <f t="shared" si="1"/>
        <v>fail</v>
      </c>
      <c r="U29" s="3" t="b">
        <f>NOT(D27&lt;=3)</f>
        <v>1</v>
      </c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59" x14ac:dyDescent="0.25">
      <c r="A30" s="3">
        <v>100029</v>
      </c>
      <c r="B30" s="3" t="s">
        <v>27</v>
      </c>
      <c r="C30" s="3" t="s">
        <v>28</v>
      </c>
      <c r="D30" s="3">
        <v>3.282</v>
      </c>
      <c r="E30" s="3">
        <v>0.68</v>
      </c>
      <c r="F30" s="3" t="s">
        <v>24</v>
      </c>
      <c r="G30" s="3" t="s">
        <v>19</v>
      </c>
      <c r="H30" s="3">
        <v>1</v>
      </c>
      <c r="I30" s="3" t="b">
        <v>0</v>
      </c>
      <c r="J30" s="3">
        <v>17.89</v>
      </c>
      <c r="K30" s="3">
        <v>1</v>
      </c>
      <c r="L30" s="3" t="s">
        <v>37</v>
      </c>
      <c r="M30" s="3">
        <v>74.67</v>
      </c>
      <c r="N30" s="3"/>
      <c r="O30" s="3" t="str">
        <f>IF(M28&gt;35,"selected","not selected")</f>
        <v>selected</v>
      </c>
      <c r="P30" s="3" t="str" cm="1">
        <f t="array" ref="P30">_xlfn.IFS(J28&gt;=10,"very good",J28&gt;=5,"good",J28&gt;=1,"not enough")</f>
        <v>very good</v>
      </c>
      <c r="Q30" s="3" t="b">
        <f>OR(J28&gt;5,E28&gt;5)</f>
        <v>1</v>
      </c>
      <c r="R30" s="3" t="b">
        <f>AND(J28&gt;5,E28&gt;5)</f>
        <v>1</v>
      </c>
      <c r="S30" s="3" t="str">
        <f t="shared" si="0"/>
        <v>pass</v>
      </c>
      <c r="T30" s="3" t="str">
        <f t="shared" si="1"/>
        <v>pass</v>
      </c>
      <c r="U30" s="3" t="b">
        <f>NOT(D28&lt;=3)</f>
        <v>1</v>
      </c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59" x14ac:dyDescent="0.25">
      <c r="A31" s="3">
        <v>100030</v>
      </c>
      <c r="B31" s="3" t="s">
        <v>33</v>
      </c>
      <c r="C31" s="3" t="s">
        <v>34</v>
      </c>
      <c r="D31" s="3">
        <v>3.6379999999999999</v>
      </c>
      <c r="E31" s="3">
        <v>12.83</v>
      </c>
      <c r="F31" s="3" t="s">
        <v>35</v>
      </c>
      <c r="G31" s="3" t="s">
        <v>25</v>
      </c>
      <c r="H31" s="3">
        <v>4</v>
      </c>
      <c r="I31" s="3" t="b">
        <v>1</v>
      </c>
      <c r="J31" s="3">
        <v>10.25</v>
      </c>
      <c r="K31" s="3">
        <v>5</v>
      </c>
      <c r="L31" s="3" t="s">
        <v>20</v>
      </c>
      <c r="M31" s="3">
        <v>61.29</v>
      </c>
      <c r="N31" s="3"/>
      <c r="O31" s="3" t="str">
        <f>IF(M29&gt;35,"selected","not selected")</f>
        <v>selected</v>
      </c>
      <c r="P31" s="3" t="str" cm="1">
        <f t="array" ref="P31">_xlfn.IFS(J29&gt;=10,"very good",J29&gt;=5,"good",J29&gt;=1,"not enough")</f>
        <v>good</v>
      </c>
      <c r="Q31" s="3" t="b">
        <f>OR(J29&gt;5,E29&gt;5)</f>
        <v>1</v>
      </c>
      <c r="R31" s="3" t="b">
        <f>AND(J29&gt;5,E29&gt;5)</f>
        <v>1</v>
      </c>
      <c r="S31" s="3" t="str">
        <f t="shared" si="0"/>
        <v>pass</v>
      </c>
      <c r="T31" s="3" t="str">
        <f t="shared" si="1"/>
        <v>pass</v>
      </c>
      <c r="U31" s="3" t="b">
        <f>NOT(D29&lt;=3)</f>
        <v>1</v>
      </c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59" x14ac:dyDescent="0.25">
      <c r="A32" s="3">
        <v>100031</v>
      </c>
      <c r="B32" s="3" t="s">
        <v>27</v>
      </c>
      <c r="C32" s="3" t="s">
        <v>17</v>
      </c>
      <c r="D32" s="3">
        <v>3.7309999999999999</v>
      </c>
      <c r="E32" s="3">
        <v>1.26</v>
      </c>
      <c r="F32" s="3" t="s">
        <v>39</v>
      </c>
      <c r="G32" s="3" t="s">
        <v>32</v>
      </c>
      <c r="H32" s="3">
        <v>4</v>
      </c>
      <c r="I32" s="3" t="b">
        <v>1</v>
      </c>
      <c r="J32" s="3">
        <v>16.16</v>
      </c>
      <c r="K32" s="3">
        <v>2</v>
      </c>
      <c r="L32" s="3" t="s">
        <v>20</v>
      </c>
      <c r="M32" s="3">
        <v>88.44</v>
      </c>
      <c r="N32" s="3"/>
      <c r="O32" s="3" t="str">
        <f>IF(M30&gt;35,"selected","not selected")</f>
        <v>selected</v>
      </c>
      <c r="P32" s="3" t="str" cm="1">
        <f t="array" ref="P32">_xlfn.IFS(J30&gt;=10,"very good",J30&gt;=5,"good",J30&gt;=1,"not enough")</f>
        <v>very good</v>
      </c>
      <c r="Q32" s="3" t="b">
        <f>OR(J30&gt;5,E30&gt;5)</f>
        <v>1</v>
      </c>
      <c r="R32" s="3" t="b">
        <f>AND(J30&gt;5,E30&gt;5)</f>
        <v>0</v>
      </c>
      <c r="S32" s="3" t="str">
        <f t="shared" si="0"/>
        <v>pass</v>
      </c>
      <c r="T32" s="3" t="str">
        <f t="shared" si="1"/>
        <v>fail</v>
      </c>
      <c r="U32" s="3" t="b">
        <f>NOT(D30&lt;=3)</f>
        <v>1</v>
      </c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3">
        <v>100032</v>
      </c>
      <c r="B33" s="3" t="s">
        <v>33</v>
      </c>
      <c r="C33" s="3" t="s">
        <v>34</v>
      </c>
      <c r="D33" s="3">
        <v>1.4490000000000001</v>
      </c>
      <c r="E33" s="3">
        <v>0.72</v>
      </c>
      <c r="F33" s="3" t="s">
        <v>35</v>
      </c>
      <c r="G33" s="3" t="s">
        <v>32</v>
      </c>
      <c r="H33" s="3">
        <v>2</v>
      </c>
      <c r="I33" s="3" t="b">
        <v>0</v>
      </c>
      <c r="J33" s="3">
        <v>11.77</v>
      </c>
      <c r="K33" s="3">
        <v>5</v>
      </c>
      <c r="L33" s="3" t="s">
        <v>20</v>
      </c>
      <c r="M33" s="3">
        <v>56.81</v>
      </c>
      <c r="N33" s="3"/>
      <c r="O33" s="3" t="str">
        <f>IF(M31&gt;35,"selected","not selected")</f>
        <v>selected</v>
      </c>
      <c r="P33" s="3" t="str" cm="1">
        <f t="array" ref="P33">_xlfn.IFS(J31&gt;=10,"very good",J31&gt;=5,"good",J31&gt;=1,"not enough")</f>
        <v>very good</v>
      </c>
      <c r="Q33" s="3" t="b">
        <f>OR(J31&gt;5,E31&gt;5)</f>
        <v>1</v>
      </c>
      <c r="R33" s="3" t="b">
        <f>AND(J31&gt;5,E31&gt;5)</f>
        <v>1</v>
      </c>
      <c r="S33" s="3" t="str">
        <f t="shared" si="0"/>
        <v>pass</v>
      </c>
      <c r="T33" s="3" t="str">
        <f t="shared" si="1"/>
        <v>pass</v>
      </c>
      <c r="U33" s="3" t="b">
        <f>NOT(D31&lt;=3)</f>
        <v>1</v>
      </c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3">
        <v>100033</v>
      </c>
      <c r="B34" s="3" t="s">
        <v>33</v>
      </c>
      <c r="C34" s="3" t="s">
        <v>38</v>
      </c>
      <c r="D34" s="3">
        <v>2.8559999999999999</v>
      </c>
      <c r="E34" s="3">
        <v>1.27</v>
      </c>
      <c r="F34" s="3" t="s">
        <v>39</v>
      </c>
      <c r="G34" s="3" t="s">
        <v>25</v>
      </c>
      <c r="H34" s="3">
        <v>3</v>
      </c>
      <c r="I34" s="3" t="b">
        <v>0</v>
      </c>
      <c r="J34" s="3">
        <v>16.16</v>
      </c>
      <c r="K34" s="3">
        <v>3</v>
      </c>
      <c r="L34" s="3" t="s">
        <v>20</v>
      </c>
      <c r="M34" s="3">
        <v>74.03</v>
      </c>
      <c r="N34" s="3"/>
      <c r="O34" s="3" t="str">
        <f>IF(M32&gt;35,"selected","not selected")</f>
        <v>selected</v>
      </c>
      <c r="P34" s="3" t="str" cm="1">
        <f t="array" ref="P34">_xlfn.IFS(J32&gt;=10,"very good",J32&gt;=5,"good",J32&gt;=1,"not enough")</f>
        <v>very good</v>
      </c>
      <c r="Q34" s="3" t="b">
        <f>OR(J32&gt;5,E32&gt;5)</f>
        <v>1</v>
      </c>
      <c r="R34" s="3" t="b">
        <f>AND(J32&gt;5,E32&gt;5)</f>
        <v>0</v>
      </c>
      <c r="S34" s="3" t="str">
        <f t="shared" si="0"/>
        <v>pass</v>
      </c>
      <c r="T34" s="3" t="str">
        <f t="shared" si="1"/>
        <v>fail</v>
      </c>
      <c r="U34" s="3" t="b">
        <f>NOT(D32&lt;=3)</f>
        <v>1</v>
      </c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3">
        <v>100034</v>
      </c>
      <c r="B35" s="3" t="s">
        <v>22</v>
      </c>
      <c r="C35" s="3" t="s">
        <v>17</v>
      </c>
      <c r="D35" s="3">
        <v>3.1480000000000001</v>
      </c>
      <c r="E35" s="3">
        <v>5.56</v>
      </c>
      <c r="F35" s="3" t="s">
        <v>29</v>
      </c>
      <c r="G35" s="3" t="s">
        <v>32</v>
      </c>
      <c r="H35" s="3">
        <v>5</v>
      </c>
      <c r="I35" s="3" t="b">
        <v>0</v>
      </c>
      <c r="J35" s="3">
        <v>9.89</v>
      </c>
      <c r="K35" s="3">
        <v>2</v>
      </c>
      <c r="L35" s="3" t="s">
        <v>20</v>
      </c>
      <c r="M35" s="3">
        <v>89.14</v>
      </c>
      <c r="N35" s="3"/>
      <c r="O35" s="3" t="str">
        <f>IF(M33&gt;35,"selected","not selected")</f>
        <v>selected</v>
      </c>
      <c r="P35" s="3" t="str" cm="1">
        <f t="array" ref="P35">_xlfn.IFS(J33&gt;=10,"very good",J33&gt;=5,"good",J33&gt;=1,"not enough")</f>
        <v>very good</v>
      </c>
      <c r="Q35" s="3" t="b">
        <f>OR(J33&gt;5,E33&gt;5)</f>
        <v>1</v>
      </c>
      <c r="R35" s="3" t="b">
        <f>AND(J33&gt;5,E33&gt;5)</f>
        <v>0</v>
      </c>
      <c r="S35" s="3" t="str">
        <f t="shared" si="0"/>
        <v>pass</v>
      </c>
      <c r="T35" s="3" t="str">
        <f t="shared" si="1"/>
        <v>fail</v>
      </c>
      <c r="U35" s="3" t="b">
        <f>NOT(D33&lt;=3)</f>
        <v>0</v>
      </c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3">
        <v>100035</v>
      </c>
      <c r="B36" s="3" t="s">
        <v>22</v>
      </c>
      <c r="C36" s="3" t="s">
        <v>38</v>
      </c>
      <c r="D36" s="3">
        <v>3.12</v>
      </c>
      <c r="E36" s="3">
        <v>19.920000000000002</v>
      </c>
      <c r="F36" s="3" t="s">
        <v>29</v>
      </c>
      <c r="G36" s="3" t="s">
        <v>19</v>
      </c>
      <c r="H36" s="3">
        <v>2</v>
      </c>
      <c r="I36" s="3" t="b">
        <v>1</v>
      </c>
      <c r="J36" s="3">
        <v>1</v>
      </c>
      <c r="K36" s="3">
        <v>7</v>
      </c>
      <c r="L36" s="3" t="s">
        <v>20</v>
      </c>
      <c r="M36" s="3">
        <v>67.2</v>
      </c>
      <c r="N36" s="3"/>
      <c r="O36" s="3" t="str">
        <f>IF(M34&gt;35,"selected","not selected")</f>
        <v>selected</v>
      </c>
      <c r="P36" s="3" t="str" cm="1">
        <f t="array" ref="P36">_xlfn.IFS(J34&gt;=10,"very good",J34&gt;=5,"good",J34&gt;=1,"not enough")</f>
        <v>very good</v>
      </c>
      <c r="Q36" s="3" t="b">
        <f>OR(J34&gt;5,E34&gt;5)</f>
        <v>1</v>
      </c>
      <c r="R36" s="3" t="b">
        <f>AND(J34&gt;5,E34&gt;5)</f>
        <v>0</v>
      </c>
      <c r="S36" s="3" t="str">
        <f t="shared" si="0"/>
        <v>pass</v>
      </c>
      <c r="T36" s="3" t="str">
        <f t="shared" si="1"/>
        <v>fail</v>
      </c>
      <c r="U36" s="3" t="b">
        <f>NOT(D34&lt;=3)</f>
        <v>0</v>
      </c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3">
        <v>100036</v>
      </c>
      <c r="B37" s="3" t="s">
        <v>36</v>
      </c>
      <c r="C37" s="3" t="s">
        <v>34</v>
      </c>
      <c r="D37" s="3">
        <v>3.6320000000000001</v>
      </c>
      <c r="E37" s="3">
        <v>1.17</v>
      </c>
      <c r="F37" s="3" t="s">
        <v>39</v>
      </c>
      <c r="G37" s="3" t="s">
        <v>32</v>
      </c>
      <c r="H37" s="3">
        <v>4</v>
      </c>
      <c r="I37" s="3" t="b">
        <v>1</v>
      </c>
      <c r="J37" s="3">
        <v>3.67</v>
      </c>
      <c r="K37" s="3">
        <v>2</v>
      </c>
      <c r="L37" s="3" t="s">
        <v>30</v>
      </c>
      <c r="M37" s="3">
        <v>55.89</v>
      </c>
      <c r="N37" s="3"/>
      <c r="O37" s="3" t="str">
        <f>IF(M35&gt;35,"selected","not selected")</f>
        <v>selected</v>
      </c>
      <c r="P37" s="3" t="str" cm="1">
        <f t="array" ref="P37">_xlfn.IFS(J35&gt;=10,"very good",J35&gt;=5,"good",J35&gt;=1,"not enough")</f>
        <v>good</v>
      </c>
      <c r="Q37" s="3" t="b">
        <f>OR(J35&gt;5,E35&gt;5)</f>
        <v>1</v>
      </c>
      <c r="R37" s="3" t="b">
        <f>AND(J35&gt;5,E35&gt;5)</f>
        <v>1</v>
      </c>
      <c r="S37" s="3" t="str">
        <f t="shared" si="0"/>
        <v>pass</v>
      </c>
      <c r="T37" s="3" t="str">
        <f t="shared" si="1"/>
        <v>pass</v>
      </c>
      <c r="U37" s="3" t="b">
        <f>NOT(D35&lt;=3)</f>
        <v>1</v>
      </c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3">
        <v>100037</v>
      </c>
      <c r="B38" s="3" t="s">
        <v>16</v>
      </c>
      <c r="C38" s="3" t="s">
        <v>28</v>
      </c>
      <c r="D38" s="3">
        <v>3.3029999999999999</v>
      </c>
      <c r="E38" s="3">
        <v>0.28999999999999998</v>
      </c>
      <c r="F38" s="3" t="s">
        <v>18</v>
      </c>
      <c r="G38" s="3" t="s">
        <v>25</v>
      </c>
      <c r="H38" s="3">
        <v>3</v>
      </c>
      <c r="I38" s="3" t="b">
        <v>0</v>
      </c>
      <c r="J38" s="3">
        <v>7.46</v>
      </c>
      <c r="K38" s="3">
        <v>1</v>
      </c>
      <c r="L38" s="3" t="s">
        <v>20</v>
      </c>
      <c r="M38" s="3">
        <v>75.11</v>
      </c>
      <c r="N38" s="3"/>
      <c r="O38" s="3" t="str">
        <f>IF(M36&gt;35,"selected","not selected")</f>
        <v>selected</v>
      </c>
      <c r="P38" s="3" t="str" cm="1">
        <f t="array" ref="P38">_xlfn.IFS(J36&gt;=10,"very good",J36&gt;=5,"good",J36&gt;=1,"not enough")</f>
        <v>not enough</v>
      </c>
      <c r="Q38" s="3" t="b">
        <f>OR(J36&gt;5,E36&gt;5)</f>
        <v>1</v>
      </c>
      <c r="R38" s="3" t="b">
        <f>AND(J36&gt;5,E36&gt;5)</f>
        <v>0</v>
      </c>
      <c r="S38" s="3" t="str">
        <f t="shared" si="0"/>
        <v>pass</v>
      </c>
      <c r="T38" s="3" t="str">
        <f t="shared" si="1"/>
        <v>fail</v>
      </c>
      <c r="U38" s="3" t="b">
        <f>NOT(D36&lt;=3)</f>
        <v>1</v>
      </c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3">
        <v>100038</v>
      </c>
      <c r="B39" s="3" t="s">
        <v>33</v>
      </c>
      <c r="C39" s="3" t="s">
        <v>23</v>
      </c>
      <c r="D39" s="3">
        <v>3.6709999999999998</v>
      </c>
      <c r="E39" s="3">
        <v>16.77</v>
      </c>
      <c r="F39" s="3" t="s">
        <v>35</v>
      </c>
      <c r="G39" s="3" t="s">
        <v>32</v>
      </c>
      <c r="H39" s="3">
        <v>3</v>
      </c>
      <c r="I39" s="3" t="b">
        <v>1</v>
      </c>
      <c r="J39" s="3">
        <v>1</v>
      </c>
      <c r="K39" s="3">
        <v>5</v>
      </c>
      <c r="L39" s="3" t="s">
        <v>20</v>
      </c>
      <c r="M39" s="3">
        <v>96.68</v>
      </c>
      <c r="N39" s="3"/>
      <c r="O39" s="3" t="str">
        <f>IF(M37&gt;35,"selected","not selected")</f>
        <v>selected</v>
      </c>
      <c r="P39" s="3" t="str" cm="1">
        <f t="array" ref="P39">_xlfn.IFS(J37&gt;=10,"very good",J37&gt;=5,"good",J37&gt;=1,"not enough")</f>
        <v>not enough</v>
      </c>
      <c r="Q39" s="3" t="b">
        <f>OR(J37&gt;5,E37&gt;5)</f>
        <v>0</v>
      </c>
      <c r="R39" s="3" t="b">
        <f>AND(J37&gt;5,E37&gt;5)</f>
        <v>0</v>
      </c>
      <c r="S39" s="3" t="str">
        <f t="shared" si="0"/>
        <v>fail</v>
      </c>
      <c r="T39" s="3" t="str">
        <f t="shared" si="1"/>
        <v>fail</v>
      </c>
      <c r="U39" s="3" t="b">
        <f>NOT(D37&lt;=3)</f>
        <v>1</v>
      </c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3">
        <v>100039</v>
      </c>
      <c r="B40" s="3" t="s">
        <v>27</v>
      </c>
      <c r="C40" s="3" t="s">
        <v>34</v>
      </c>
      <c r="D40" s="3">
        <v>2.403</v>
      </c>
      <c r="E40" s="3">
        <v>1.58</v>
      </c>
      <c r="F40" s="3" t="s">
        <v>24</v>
      </c>
      <c r="G40" s="3" t="s">
        <v>32</v>
      </c>
      <c r="H40" s="3">
        <v>4</v>
      </c>
      <c r="I40" s="3" t="b">
        <v>1</v>
      </c>
      <c r="J40" s="3">
        <v>13.34</v>
      </c>
      <c r="K40" s="3">
        <v>1</v>
      </c>
      <c r="L40" s="3" t="s">
        <v>20</v>
      </c>
      <c r="M40" s="3">
        <v>74.3</v>
      </c>
      <c r="N40" s="3"/>
      <c r="O40" s="3" t="str">
        <f>IF(M38&gt;35,"selected","not selected")</f>
        <v>selected</v>
      </c>
      <c r="P40" s="3" t="str" cm="1">
        <f t="array" ref="P40">_xlfn.IFS(J38&gt;=10,"very good",J38&gt;=5,"good",J38&gt;=1,"not enough")</f>
        <v>good</v>
      </c>
      <c r="Q40" s="3" t="b">
        <f>OR(J38&gt;5,E38&gt;5)</f>
        <v>1</v>
      </c>
      <c r="R40" s="3" t="b">
        <f>AND(J38&gt;5,E38&gt;5)</f>
        <v>0</v>
      </c>
      <c r="S40" s="3" t="str">
        <f t="shared" si="0"/>
        <v>pass</v>
      </c>
      <c r="T40" s="3" t="str">
        <f t="shared" si="1"/>
        <v>fail</v>
      </c>
      <c r="U40" s="3" t="b">
        <f>NOT(D38&lt;=3)</f>
        <v>1</v>
      </c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3">
        <v>100040</v>
      </c>
      <c r="B41" s="3" t="s">
        <v>16</v>
      </c>
      <c r="C41" s="3" t="s">
        <v>23</v>
      </c>
      <c r="D41" s="3">
        <v>3.0859999999999999</v>
      </c>
      <c r="E41" s="3">
        <v>4.1900000000000004</v>
      </c>
      <c r="F41" s="3" t="s">
        <v>35</v>
      </c>
      <c r="G41" s="3" t="s">
        <v>32</v>
      </c>
      <c r="H41" s="3">
        <v>3</v>
      </c>
      <c r="I41" s="3" t="b">
        <v>0</v>
      </c>
      <c r="J41" s="3">
        <v>10.81</v>
      </c>
      <c r="K41" s="3">
        <v>2</v>
      </c>
      <c r="L41" s="3" t="s">
        <v>37</v>
      </c>
      <c r="M41" s="3">
        <v>92.44</v>
      </c>
      <c r="N41" s="3"/>
      <c r="O41" s="3" t="str">
        <f>IF(M39&gt;35,"selected","not selected")</f>
        <v>selected</v>
      </c>
      <c r="P41" s="3" t="str" cm="1">
        <f t="array" ref="P41">_xlfn.IFS(J39&gt;=10,"very good",J39&gt;=5,"good",J39&gt;=1,"not enough")</f>
        <v>not enough</v>
      </c>
      <c r="Q41" s="3" t="b">
        <f>OR(J39&gt;5,E39&gt;5)</f>
        <v>1</v>
      </c>
      <c r="R41" s="3" t="b">
        <f>AND(J39&gt;5,E39&gt;5)</f>
        <v>0</v>
      </c>
      <c r="S41" s="3" t="str">
        <f t="shared" si="0"/>
        <v>pass</v>
      </c>
      <c r="T41" s="3" t="str">
        <f t="shared" si="1"/>
        <v>fail</v>
      </c>
      <c r="U41" s="3" t="b">
        <f>NOT(D39&lt;=3)</f>
        <v>1</v>
      </c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3"/>
      <c r="B42" s="3"/>
      <c r="C42" s="3"/>
      <c r="D42" s="3"/>
      <c r="E42" s="3"/>
      <c r="F42" s="3"/>
      <c r="G42" s="3"/>
      <c r="H42" s="3"/>
      <c r="I42" s="3"/>
      <c r="K42" s="3"/>
      <c r="L42" s="3"/>
      <c r="M42" s="3"/>
      <c r="N42" s="3"/>
      <c r="O42" s="3" t="str">
        <f>IF(M40&gt;35,"selected","not selected")</f>
        <v>selected</v>
      </c>
      <c r="P42" s="3" t="str" cm="1">
        <f t="array" ref="P42">_xlfn.IFS(J40&gt;=10,"very good",J40&gt;=5,"good",J40&gt;=1,"not enough")</f>
        <v>very good</v>
      </c>
      <c r="Q42" s="3" t="b">
        <f>OR(J40&gt;5,E40&gt;5)</f>
        <v>1</v>
      </c>
      <c r="R42" s="3" t="b">
        <f>AND(J40&gt;5,E40&gt;5)</f>
        <v>0</v>
      </c>
      <c r="S42" s="3" t="str">
        <f t="shared" si="0"/>
        <v>pass</v>
      </c>
      <c r="T42" s="3" t="str">
        <f t="shared" si="1"/>
        <v>fail</v>
      </c>
      <c r="U42" s="3" t="b">
        <f>NOT(D40&lt;=3)</f>
        <v>0</v>
      </c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3"/>
      <c r="B43" s="3"/>
      <c r="C43" s="3"/>
      <c r="D43" s="3"/>
      <c r="E43" s="3"/>
      <c r="F43" s="3"/>
      <c r="G43" s="3"/>
      <c r="H43" s="3"/>
      <c r="I43" s="3"/>
      <c r="K43" s="3"/>
      <c r="L43" s="3"/>
      <c r="M43" s="3"/>
      <c r="N43" s="3"/>
      <c r="O43" s="3" t="str">
        <f>IF(M41&gt;35,"selected","not selected")</f>
        <v>selected</v>
      </c>
      <c r="P43" s="3" t="str" cm="1">
        <f t="array" ref="P43">_xlfn.IFS(J41&gt;=10,"very good",J41&gt;=5,"good",J41&gt;=1,"not enough")</f>
        <v>very good</v>
      </c>
      <c r="Q43" s="3" t="b">
        <f>OR(J41&gt;5,E41&gt;5)</f>
        <v>1</v>
      </c>
      <c r="R43" s="3" t="b">
        <f>AND(J41&gt;5,E41&gt;5)</f>
        <v>0</v>
      </c>
      <c r="S43" s="3" t="str">
        <f t="shared" si="0"/>
        <v>pass</v>
      </c>
      <c r="T43" s="3" t="str">
        <f t="shared" si="1"/>
        <v>fail</v>
      </c>
      <c r="U43" s="3" t="b">
        <f>NOT(D41&lt;=3)</f>
        <v>1</v>
      </c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3"/>
      <c r="B44" s="3"/>
      <c r="C44" s="3"/>
      <c r="D44" s="3"/>
      <c r="E44" s="3"/>
      <c r="F44" s="3"/>
      <c r="G44" s="3"/>
      <c r="H44" s="3"/>
      <c r="I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3"/>
      <c r="B45" s="3"/>
      <c r="C45" s="3"/>
      <c r="D45" s="3"/>
      <c r="E45" s="3"/>
      <c r="F45" s="3"/>
      <c r="G45" s="3"/>
      <c r="H45" s="3"/>
      <c r="I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3"/>
      <c r="B46" s="3"/>
      <c r="C46" s="3"/>
      <c r="D46" s="3"/>
      <c r="E46" s="3"/>
      <c r="F46" s="3"/>
      <c r="G46" s="3"/>
      <c r="H46" s="3"/>
      <c r="I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3"/>
      <c r="B47" s="3"/>
      <c r="I47" s="3"/>
      <c r="K47" s="3"/>
      <c r="L47" s="3"/>
      <c r="M47" s="3"/>
      <c r="N47" s="3"/>
      <c r="O47" s="3"/>
      <c r="P47" s="3" t="s">
        <v>61</v>
      </c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3"/>
      <c r="B48" s="3"/>
      <c r="I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3"/>
      <c r="B49" s="3"/>
      <c r="C49" s="3"/>
      <c r="D49" s="3"/>
      <c r="E49" s="3"/>
      <c r="F49" s="3"/>
      <c r="G49" s="3"/>
      <c r="H49" s="3"/>
      <c r="I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3"/>
      <c r="B50" s="3"/>
      <c r="C50" s="7" t="s">
        <v>40</v>
      </c>
      <c r="D50" s="6" t="s">
        <v>41</v>
      </c>
      <c r="E50" s="3"/>
      <c r="F50" s="6" t="s">
        <v>42</v>
      </c>
      <c r="G50" s="3"/>
      <c r="H50" s="3"/>
      <c r="I50" s="3"/>
      <c r="J50" s="3" t="s">
        <v>62</v>
      </c>
      <c r="K50" s="3" t="s">
        <v>63</v>
      </c>
      <c r="L50" s="3" t="s">
        <v>64</v>
      </c>
      <c r="M50" s="3" t="s">
        <v>65</v>
      </c>
      <c r="N50" s="3" t="s">
        <v>66</v>
      </c>
      <c r="O50" s="3" t="s">
        <v>67</v>
      </c>
      <c r="P50" s="3" t="s">
        <v>68</v>
      </c>
      <c r="Q50" s="3" t="s">
        <v>69</v>
      </c>
      <c r="R50" s="3" t="s">
        <v>70</v>
      </c>
      <c r="S50" s="3" t="s">
        <v>77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3"/>
      <c r="B51" s="3"/>
      <c r="C51" s="3">
        <v>100016</v>
      </c>
      <c r="D51" s="3">
        <f>VLOOKUP(A17,A2:M35,13,0)</f>
        <v>70.66</v>
      </c>
      <c r="E51" s="3"/>
      <c r="F51" s="3" t="str">
        <f>VLOOKUP(A17,A4:P22,2,0)</f>
        <v>STEM</v>
      </c>
      <c r="G51" s="3"/>
      <c r="H51" s="3"/>
      <c r="I51" s="3"/>
      <c r="J51" s="3">
        <f>COUNT(H:H)</f>
        <v>40</v>
      </c>
      <c r="K51" s="3">
        <f>COUNTA(H:H)</f>
        <v>41</v>
      </c>
      <c r="L51" s="3">
        <f>COUNTBLANK(H1:H49)</f>
        <v>8</v>
      </c>
      <c r="M51" s="3">
        <f>COUNTIF(H:H,"&gt;2")</f>
        <v>22</v>
      </c>
      <c r="N51" s="3">
        <f>COUNTIFS(E:E,"&lt;10",H:H,"&gt;3",D:D,"&lt;3")</f>
        <v>2</v>
      </c>
      <c r="O51" s="3">
        <f>AVERAGE(M2:M41)</f>
        <v>70.109499999999997</v>
      </c>
      <c r="P51" s="3">
        <f>MEDIAN(J2:J41)</f>
        <v>11.379999999999999</v>
      </c>
      <c r="Q51" s="3">
        <f>MODE(H:H)</f>
        <v>1</v>
      </c>
      <c r="R51" s="3">
        <f>STDEV(M2:M41)</f>
        <v>17.954873054696186</v>
      </c>
      <c r="S51" s="3">
        <f>_xlfn.VAR.S(H:H)</f>
        <v>1.8333333333333333</v>
      </c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3"/>
      <c r="B52" s="3"/>
      <c r="C52" s="3">
        <v>100027</v>
      </c>
      <c r="D52" s="3">
        <f>VLOOKUP(A28,A3:M36,13,0)</f>
        <v>82.36</v>
      </c>
      <c r="E52" s="3"/>
      <c r="F52" s="3" t="str">
        <f>VLOOKUP(A28,A4:P33,2,0)</f>
        <v>STEM</v>
      </c>
      <c r="G52" s="3"/>
      <c r="H52" s="3"/>
      <c r="I52" s="3"/>
      <c r="K52" s="3"/>
      <c r="L52" s="3"/>
      <c r="M52" s="3"/>
      <c r="N52" s="3"/>
      <c r="O52" s="3"/>
      <c r="P52" s="3"/>
      <c r="Q52" s="3" t="e">
        <f>MODE(W3:W42)</f>
        <v>#N/A</v>
      </c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3"/>
      <c r="B53" s="3"/>
      <c r="C53" s="3">
        <v>100031</v>
      </c>
      <c r="D53" s="3">
        <f>VLOOKUP(A32,A4:M37,13,0)</f>
        <v>88.44</v>
      </c>
      <c r="E53" s="3"/>
      <c r="F53" s="3" t="str">
        <f>VLOOKUP(100031,A2:P35,2,0)</f>
        <v>Business</v>
      </c>
      <c r="G53" s="3"/>
      <c r="H53" s="3"/>
      <c r="I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3"/>
      <c r="B54" s="3"/>
      <c r="C54" s="3">
        <v>100034</v>
      </c>
      <c r="D54" s="3">
        <f>VLOOKUP(A35,A5:M38,13,0)</f>
        <v>89.14</v>
      </c>
      <c r="E54" s="3"/>
      <c r="F54" s="3" t="str">
        <f>VLOOKUP(A35,A2:P41,2,0)</f>
        <v>Medical</v>
      </c>
      <c r="G54" s="3"/>
      <c r="H54" s="3"/>
      <c r="I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3"/>
      <c r="B55" s="3"/>
      <c r="C55" s="3"/>
      <c r="D55" s="3"/>
      <c r="E55" s="3"/>
      <c r="F55" s="3"/>
      <c r="G55" s="3"/>
      <c r="H55" s="3"/>
      <c r="I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3"/>
      <c r="B56" s="3"/>
      <c r="C56" s="3"/>
      <c r="D56" s="3"/>
      <c r="E56" s="3"/>
      <c r="F56" s="3"/>
      <c r="G56" s="3"/>
      <c r="H56" s="3"/>
      <c r="I56" s="3"/>
      <c r="K56" s="3"/>
      <c r="L56" s="3"/>
      <c r="M56" s="3" t="s">
        <v>69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3"/>
      <c r="B57" s="3"/>
      <c r="C57" s="3"/>
      <c r="D57" s="3"/>
      <c r="E57" s="3"/>
      <c r="F57" s="3"/>
      <c r="G57" s="3"/>
      <c r="H57" s="3"/>
      <c r="I57" s="3"/>
      <c r="K57" s="3"/>
      <c r="L57" s="3"/>
      <c r="M57" s="3" t="s">
        <v>107</v>
      </c>
      <c r="N57" s="3">
        <f>COUNTIF(Table5[Prompt_Engineering_Skill],G2)</f>
        <v>14</v>
      </c>
      <c r="O57" s="3" t="s">
        <v>108</v>
      </c>
      <c r="P57" s="3" t="s">
        <v>69</v>
      </c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3"/>
      <c r="B58" s="3"/>
      <c r="C58" s="7" t="s">
        <v>47</v>
      </c>
      <c r="D58" s="3"/>
      <c r="E58" s="3"/>
      <c r="F58" s="7" t="s">
        <v>48</v>
      </c>
      <c r="G58" s="6" t="s">
        <v>52</v>
      </c>
      <c r="H58" s="3"/>
      <c r="I58" s="3"/>
      <c r="K58" s="3"/>
      <c r="L58" s="3"/>
      <c r="M58" s="3" t="str" cm="1">
        <f t="array" ref="M58">INDEX(_xlfn.UNIQUE(Table5[Prompt_Engineering_Skill]),MATCH(MAX(COUNTIF(Table5[Prompt_Engineering_Skill],_xlfn.UNIQUE(Table5[Prompt_Engineering_Skill]))),COUNTIF(Table5[Prompt_Engineering_Skill],_xlfn.UNIQUE(Table5[Prompt_Engineering_Skill]))))</f>
        <v>Intermediate</v>
      </c>
      <c r="N58" s="3">
        <f>COUNTIF(Table5[Prompt_Engineering_Skill],G5)</f>
        <v>15</v>
      </c>
      <c r="O58" s="3" t="s">
        <v>109</v>
      </c>
      <c r="P58" s="3" t="str">
        <f>INDEX(Table5[Prompt_Engineering_Skill],MATCH(MIN(N57:N59),N57:N59,0))</f>
        <v>Beginner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3"/>
      <c r="B59" s="3"/>
      <c r="C59" s="3">
        <v>100006</v>
      </c>
      <c r="D59" s="3">
        <f>MATCH(Table2[[#This Row],[Column1]],A:A,0)</f>
        <v>7</v>
      </c>
      <c r="E59" s="3"/>
      <c r="F59" s="3">
        <v>100009</v>
      </c>
      <c r="G59" s="3" t="str">
        <f>INDEX(A2:M41,9,7)</f>
        <v>Beginner</v>
      </c>
      <c r="H59" s="3"/>
      <c r="I59" s="3"/>
      <c r="K59" s="3"/>
      <c r="L59" s="3"/>
      <c r="M59" s="3"/>
      <c r="N59" s="3">
        <f>COUNTIF(Table5[Prompt_Engineering_Skill],G3)</f>
        <v>11</v>
      </c>
      <c r="O59" s="3" t="s">
        <v>110</v>
      </c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3"/>
      <c r="B60" s="3"/>
      <c r="C60" s="3">
        <v>100021</v>
      </c>
      <c r="D60" s="3">
        <f>MATCH(Table2[[#This Row],[Column1]],A2:A41,0)</f>
        <v>21</v>
      </c>
      <c r="E60" s="3"/>
      <c r="F60" s="3">
        <v>100027</v>
      </c>
      <c r="G60" s="3" t="str">
        <f>INDEX(A1:M41,28,7)</f>
        <v>Advanced</v>
      </c>
      <c r="H60" s="3"/>
      <c r="I60" s="3"/>
      <c r="K60" s="3"/>
      <c r="L60" s="3"/>
      <c r="M60" s="3"/>
      <c r="N60" s="3"/>
      <c r="O60" s="3"/>
      <c r="P60" s="3" t="str">
        <f>INDEX(Table5[Prompt_Engineering_Skill],MATCH(MAX(N57:N59),N57:N59,1))</f>
        <v>Advanced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3"/>
      <c r="B61" s="3"/>
      <c r="C61" s="3">
        <v>110001</v>
      </c>
      <c r="D61" s="3" t="e">
        <f>MATCH(Table2[[#This Row],[Column1]],A:A,0)</f>
        <v>#N/A</v>
      </c>
      <c r="E61" s="3"/>
      <c r="F61" s="3">
        <v>100031</v>
      </c>
      <c r="G61" s="3" t="str">
        <f>INDEX(A1:M41,32,7)</f>
        <v>Intermediate</v>
      </c>
      <c r="H61" s="3"/>
      <c r="I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C62" s="3"/>
      <c r="D62" s="3"/>
      <c r="E62" s="3"/>
      <c r="F62" s="3"/>
      <c r="G62" s="3"/>
      <c r="H62" s="3"/>
    </row>
    <row r="64" spans="1:33" x14ac:dyDescent="0.25">
      <c r="C64" s="1" t="s">
        <v>49</v>
      </c>
      <c r="D64" s="2" t="s">
        <v>51</v>
      </c>
    </row>
    <row r="65" spans="3:4" x14ac:dyDescent="0.25">
      <c r="C65">
        <v>100020</v>
      </c>
      <c r="D65">
        <f>_xlfn.XLOOKUP(A21,A2:A41,J2:J41,"not found",2)</f>
        <v>3.69</v>
      </c>
    </row>
  </sheetData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ai_student_impact_dataset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2026-06-02T07:20:39Z</dcterms:created>
  <dcterms:modified xsi:type="dcterms:W3CDTF">2026-06-04T07:24:33Z</dcterms:modified>
</cp:coreProperties>
</file>