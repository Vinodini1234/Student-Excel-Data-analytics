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TS\Downloads\"/>
    </mc:Choice>
  </mc:AlternateContent>
  <xr:revisionPtr revIDLastSave="0" documentId="13_ncr:1_{4A5FDE01-C552-48FB-A1F3-B7C1FE433512}" xr6:coauthVersionLast="47" xr6:coauthVersionMax="47" xr10:uidLastSave="{00000000-0000-0000-0000-000000000000}"/>
  <bookViews>
    <workbookView xWindow="-120" yWindow="-120" windowWidth="29040" windowHeight="15720" xr2:uid="{2DD1F5FB-37A4-4B33-8FBC-C2D8146E9AD8}"/>
  </bookViews>
  <sheets>
    <sheet name="ai_student_impact_dataset (1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52" i="1" l="1"/>
  <c r="W3" i="1" a="1"/>
  <c r="W3" i="1"/>
  <c r="W4" i="1" a="1"/>
  <c r="W4" i="1"/>
  <c r="W5" i="1" a="1"/>
  <c r="W5" i="1"/>
  <c r="W6" i="1" a="1"/>
  <c r="W6" i="1"/>
  <c r="W7" i="1" a="1"/>
  <c r="W7" i="1"/>
  <c r="W8" i="1" a="1"/>
  <c r="W8" i="1"/>
  <c r="W9" i="1" a="1"/>
  <c r="W9" i="1"/>
  <c r="W10" i="1" a="1"/>
  <c r="W10" i="1"/>
  <c r="W11" i="1" a="1"/>
  <c r="W11" i="1"/>
  <c r="W12" i="1" a="1"/>
  <c r="W12" i="1"/>
  <c r="W13" i="1" a="1"/>
  <c r="W13" i="1"/>
  <c r="W14" i="1" a="1"/>
  <c r="W14" i="1"/>
  <c r="W15" i="1" a="1"/>
  <c r="W15" i="1"/>
  <c r="W16" i="1" a="1"/>
  <c r="W16" i="1"/>
  <c r="W17" i="1" a="1"/>
  <c r="W17" i="1"/>
  <c r="W18" i="1" a="1"/>
  <c r="W18" i="1"/>
  <c r="W19" i="1" a="1"/>
  <c r="W19" i="1"/>
  <c r="W20" i="1" a="1"/>
  <c r="W20" i="1"/>
  <c r="W21" i="1" a="1"/>
  <c r="W21" i="1"/>
  <c r="W22" i="1" a="1"/>
  <c r="W22" i="1"/>
  <c r="W23" i="1" a="1"/>
  <c r="W23" i="1"/>
  <c r="W24" i="1" a="1"/>
  <c r="W24" i="1"/>
  <c r="W25" i="1" a="1"/>
  <c r="W25" i="1"/>
  <c r="W26" i="1" a="1"/>
  <c r="W26" i="1"/>
  <c r="W27" i="1" a="1"/>
  <c r="W27" i="1"/>
  <c r="W28" i="1" a="1"/>
  <c r="W28" i="1"/>
  <c r="W29" i="1" a="1"/>
  <c r="W29" i="1"/>
  <c r="W30" i="1" a="1"/>
  <c r="W30" i="1"/>
  <c r="W31" i="1" a="1"/>
  <c r="W31" i="1"/>
  <c r="W32" i="1" a="1"/>
  <c r="W32" i="1"/>
  <c r="W33" i="1" a="1"/>
  <c r="W33" i="1"/>
  <c r="W34" i="1" a="1"/>
  <c r="W34" i="1"/>
  <c r="W35" i="1" a="1"/>
  <c r="W35" i="1"/>
  <c r="W36" i="1" a="1"/>
  <c r="W36" i="1"/>
  <c r="W37" i="1" a="1"/>
  <c r="W37" i="1"/>
  <c r="W38" i="1" a="1"/>
  <c r="W38" i="1"/>
  <c r="W39" i="1" a="1"/>
  <c r="W39" i="1"/>
  <c r="W40" i="1" a="1"/>
  <c r="W40" i="1"/>
  <c r="W41" i="1" a="1"/>
  <c r="W41" i="1"/>
  <c r="W2" i="1" a="1"/>
  <c r="W2" i="1"/>
  <c r="S51" i="1"/>
  <c r="D58" i="1"/>
  <c r="D60" i="1"/>
  <c r="D59" i="1"/>
  <c r="R51" i="1"/>
  <c r="Q51" i="1"/>
  <c r="P51" i="1"/>
  <c r="O51" i="1"/>
  <c r="N51" i="1"/>
  <c r="M51" i="1"/>
  <c r="L51" i="1"/>
  <c r="K51" i="1"/>
  <c r="J51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" i="1"/>
  <c r="T8" i="1"/>
  <c r="T9" i="1"/>
  <c r="T13" i="1"/>
  <c r="T15" i="1"/>
  <c r="T23" i="1"/>
  <c r="T26" i="1"/>
  <c r="T27" i="1"/>
  <c r="T28" i="1"/>
  <c r="T29" i="1"/>
  <c r="T32" i="1"/>
  <c r="T33" i="1"/>
  <c r="T38" i="1"/>
  <c r="T39" i="1"/>
  <c r="S10" i="1"/>
  <c r="S11" i="1"/>
  <c r="S13" i="1"/>
  <c r="S17" i="1"/>
  <c r="S23" i="1"/>
  <c r="S40" i="1"/>
  <c r="S41" i="1"/>
  <c r="S43" i="1"/>
  <c r="R15" i="1"/>
  <c r="R6" i="1"/>
  <c r="T6" i="1" s="1"/>
  <c r="R5" i="1"/>
  <c r="T5" i="1" s="1"/>
  <c r="Q39" i="1"/>
  <c r="S39" i="1" s="1"/>
  <c r="Q23" i="1"/>
  <c r="Q12" i="1"/>
  <c r="S12" i="1" s="1"/>
  <c r="Q4" i="1"/>
  <c r="S4" i="1" s="1"/>
  <c r="AG21" i="1"/>
  <c r="G60" i="1"/>
  <c r="G59" i="1"/>
  <c r="G58" i="1"/>
  <c r="D64" i="1"/>
  <c r="F53" i="1"/>
  <c r="F52" i="1"/>
  <c r="F51" i="1"/>
  <c r="F50" i="1"/>
  <c r="D53" i="1"/>
  <c r="D52" i="1"/>
  <c r="D51" i="1"/>
  <c r="D50" i="1"/>
  <c r="R7" i="1"/>
  <c r="T7" i="1" s="1"/>
  <c r="R8" i="1"/>
  <c r="R9" i="1"/>
  <c r="R10" i="1"/>
  <c r="T10" i="1" s="1"/>
  <c r="R11" i="1"/>
  <c r="T11" i="1" s="1"/>
  <c r="R12" i="1"/>
  <c r="T12" i="1" s="1"/>
  <c r="R13" i="1"/>
  <c r="R14" i="1"/>
  <c r="T14" i="1" s="1"/>
  <c r="R16" i="1"/>
  <c r="T16" i="1" s="1"/>
  <c r="R17" i="1"/>
  <c r="T17" i="1" s="1"/>
  <c r="R18" i="1"/>
  <c r="T18" i="1" s="1"/>
  <c r="R19" i="1"/>
  <c r="T19" i="1" s="1"/>
  <c r="R20" i="1"/>
  <c r="T20" i="1" s="1"/>
  <c r="R21" i="1"/>
  <c r="T21" i="1" s="1"/>
  <c r="R22" i="1"/>
  <c r="T22" i="1" s="1"/>
  <c r="R23" i="1"/>
  <c r="R24" i="1"/>
  <c r="T24" i="1" s="1"/>
  <c r="R25" i="1"/>
  <c r="T25" i="1" s="1"/>
  <c r="R26" i="1"/>
  <c r="R27" i="1"/>
  <c r="R28" i="1"/>
  <c r="R29" i="1"/>
  <c r="R30" i="1"/>
  <c r="T30" i="1" s="1"/>
  <c r="R31" i="1"/>
  <c r="T31" i="1" s="1"/>
  <c r="R32" i="1"/>
  <c r="R33" i="1"/>
  <c r="R34" i="1"/>
  <c r="T34" i="1" s="1"/>
  <c r="R35" i="1"/>
  <c r="T35" i="1" s="1"/>
  <c r="R36" i="1"/>
  <c r="T36" i="1" s="1"/>
  <c r="R37" i="1"/>
  <c r="T37" i="1" s="1"/>
  <c r="R38" i="1"/>
  <c r="R39" i="1"/>
  <c r="R40" i="1"/>
  <c r="T40" i="1" s="1"/>
  <c r="R41" i="1"/>
  <c r="T41" i="1" s="1"/>
  <c r="R42" i="1"/>
  <c r="T42" i="1" s="1"/>
  <c r="R43" i="1"/>
  <c r="T43" i="1" s="1"/>
  <c r="R4" i="1"/>
  <c r="T4" i="1" s="1"/>
  <c r="Q5" i="1"/>
  <c r="S5" i="1" s="1"/>
  <c r="Q6" i="1"/>
  <c r="S6" i="1" s="1"/>
  <c r="Q7" i="1"/>
  <c r="S7" i="1" s="1"/>
  <c r="Q8" i="1"/>
  <c r="S8" i="1" s="1"/>
  <c r="Q9" i="1"/>
  <c r="S9" i="1" s="1"/>
  <c r="Q10" i="1"/>
  <c r="Q11" i="1"/>
  <c r="Q13" i="1"/>
  <c r="Q14" i="1"/>
  <c r="S14" i="1" s="1"/>
  <c r="Q15" i="1"/>
  <c r="S15" i="1" s="1"/>
  <c r="Q16" i="1"/>
  <c r="S16" i="1" s="1"/>
  <c r="Q17" i="1"/>
  <c r="Q18" i="1"/>
  <c r="S18" i="1" s="1"/>
  <c r="Q19" i="1"/>
  <c r="S19" i="1" s="1"/>
  <c r="Q20" i="1"/>
  <c r="S20" i="1" s="1"/>
  <c r="Q21" i="1"/>
  <c r="S21" i="1" s="1"/>
  <c r="Q22" i="1"/>
  <c r="S22" i="1" s="1"/>
  <c r="Q24" i="1"/>
  <c r="S24" i="1" s="1"/>
  <c r="Q25" i="1"/>
  <c r="S25" i="1" s="1"/>
  <c r="Q26" i="1"/>
  <c r="S26" i="1" s="1"/>
  <c r="Q27" i="1"/>
  <c r="S27" i="1" s="1"/>
  <c r="Q28" i="1"/>
  <c r="S28" i="1" s="1"/>
  <c r="Q29" i="1"/>
  <c r="S29" i="1" s="1"/>
  <c r="Q30" i="1"/>
  <c r="S30" i="1" s="1"/>
  <c r="Q31" i="1"/>
  <c r="S31" i="1" s="1"/>
  <c r="Q32" i="1"/>
  <c r="S32" i="1" s="1"/>
  <c r="Q33" i="1"/>
  <c r="S33" i="1" s="1"/>
  <c r="Q34" i="1"/>
  <c r="S34" i="1" s="1"/>
  <c r="Q35" i="1"/>
  <c r="S35" i="1" s="1"/>
  <c r="Q36" i="1"/>
  <c r="S36" i="1" s="1"/>
  <c r="Q37" i="1"/>
  <c r="S37" i="1" s="1"/>
  <c r="Q38" i="1"/>
  <c r="S38" i="1" s="1"/>
  <c r="Q40" i="1"/>
  <c r="Q41" i="1"/>
  <c r="Q42" i="1"/>
  <c r="S42" i="1" s="1"/>
  <c r="Q43" i="1"/>
  <c r="P5" i="1" a="1"/>
  <c r="P5" i="1" s="1"/>
  <c r="P6" i="1" a="1"/>
  <c r="P6" i="1"/>
  <c r="P7" i="1" a="1"/>
  <c r="P7" i="1"/>
  <c r="P8" i="1" a="1"/>
  <c r="P8" i="1" s="1"/>
  <c r="P9" i="1" a="1"/>
  <c r="P9" i="1" s="1"/>
  <c r="P10" i="1" a="1"/>
  <c r="P10" i="1" s="1"/>
  <c r="P11" i="1" a="1"/>
  <c r="P11" i="1" s="1"/>
  <c r="P12" i="1" a="1"/>
  <c r="P12" i="1" s="1"/>
  <c r="P13" i="1" a="1"/>
  <c r="P13" i="1" s="1"/>
  <c r="P14" i="1" a="1"/>
  <c r="P14" i="1" s="1"/>
  <c r="P15" i="1" a="1"/>
  <c r="P15" i="1" s="1"/>
  <c r="P16" i="1" a="1"/>
  <c r="P16" i="1" s="1"/>
  <c r="P17" i="1" a="1"/>
  <c r="P17" i="1" s="1"/>
  <c r="P18" i="1" a="1"/>
  <c r="P18" i="1"/>
  <c r="P19" i="1" a="1"/>
  <c r="P19" i="1"/>
  <c r="P20" i="1" a="1"/>
  <c r="P20" i="1" s="1"/>
  <c r="P21" i="1" a="1"/>
  <c r="P21" i="1"/>
  <c r="P22" i="1" a="1"/>
  <c r="P22" i="1" s="1"/>
  <c r="P23" i="1" a="1"/>
  <c r="P23" i="1"/>
  <c r="P24" i="1" a="1"/>
  <c r="P24" i="1"/>
  <c r="P25" i="1" a="1"/>
  <c r="P25" i="1" s="1"/>
  <c r="P26" i="1" a="1"/>
  <c r="P26" i="1" s="1"/>
  <c r="P27" i="1" a="1"/>
  <c r="P27" i="1" s="1"/>
  <c r="P28" i="1" a="1"/>
  <c r="P28" i="1" s="1"/>
  <c r="P29" i="1" a="1"/>
  <c r="P29" i="1" s="1"/>
  <c r="P30" i="1" a="1"/>
  <c r="P30" i="1"/>
  <c r="P31" i="1" a="1"/>
  <c r="P31" i="1"/>
  <c r="P32" i="1" a="1"/>
  <c r="P32" i="1"/>
  <c r="P33" i="1" a="1"/>
  <c r="P33" i="1" s="1"/>
  <c r="P34" i="1" a="1"/>
  <c r="P34" i="1" s="1"/>
  <c r="P35" i="1" a="1"/>
  <c r="P35" i="1" s="1"/>
  <c r="P36" i="1" a="1"/>
  <c r="P36" i="1" s="1"/>
  <c r="P37" i="1" a="1"/>
  <c r="P37" i="1" s="1"/>
  <c r="P38" i="1" a="1"/>
  <c r="P38" i="1"/>
  <c r="P39" i="1" a="1"/>
  <c r="P39" i="1"/>
  <c r="P40" i="1" a="1"/>
  <c r="P40" i="1" s="1"/>
  <c r="P41" i="1" a="1"/>
  <c r="P41" i="1" s="1"/>
  <c r="P42" i="1" a="1"/>
  <c r="P42" i="1"/>
  <c r="P43" i="1" a="1"/>
  <c r="P43" i="1"/>
  <c r="P4" i="1" a="1"/>
  <c r="P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" i="1"/>
  <c r="AG22" i="1"/>
  <c r="AB22" i="1"/>
  <c r="AA22" i="1"/>
  <c r="Z22" i="1"/>
  <c r="AB21" i="1"/>
  <c r="AA21" i="1"/>
  <c r="Z21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<sst xmlns="http://schemas.openxmlformats.org/spreadsheetml/2006/main" count="476" uniqueCount="79">
  <si>
    <t>Student_ID</t>
  </si>
  <si>
    <t>Major_Category</t>
  </si>
  <si>
    <t>Year_of_Study</t>
  </si>
  <si>
    <t>Pre_Semester_GPA</t>
  </si>
  <si>
    <t>Weekly_GenAI_Hours</t>
  </si>
  <si>
    <t>Primary_Use_Case</t>
  </si>
  <si>
    <t>Prompt_Engineering_Skill</t>
  </si>
  <si>
    <t>Tool_Diversity</t>
  </si>
  <si>
    <t>Paid_Subscription</t>
  </si>
  <si>
    <t>Traditional_Study_Hours</t>
  </si>
  <si>
    <t>Perceived_AI_Dependency</t>
  </si>
  <si>
    <t>Institutional_Policy</t>
  </si>
  <si>
    <t>Anxiety_Level_During_Exams</t>
  </si>
  <si>
    <t>Post_Semester_GPA</t>
  </si>
  <si>
    <t>Skill_Retention_Score</t>
  </si>
  <si>
    <t>Burnout_Risk_Level</t>
  </si>
  <si>
    <t>Humanities</t>
  </si>
  <si>
    <t>Senior</t>
  </si>
  <si>
    <t>Copywriting/Drafting</t>
  </si>
  <si>
    <t>Beginner</t>
  </si>
  <si>
    <t>Allowed_With_Citation</t>
  </si>
  <si>
    <t>High</t>
  </si>
  <si>
    <t>Medical</t>
  </si>
  <si>
    <t>Junior</t>
  </si>
  <si>
    <t>Ideation</t>
  </si>
  <si>
    <t>Advanced</t>
  </si>
  <si>
    <t>Low</t>
  </si>
  <si>
    <t>Business</t>
  </si>
  <si>
    <t>Freshman</t>
  </si>
  <si>
    <t>Summarizing_Reading</t>
  </si>
  <si>
    <t>Strict_Ban</t>
  </si>
  <si>
    <t>Medium</t>
  </si>
  <si>
    <t>Intermediate</t>
  </si>
  <si>
    <t>STEM</t>
  </si>
  <si>
    <t>Sophomore</t>
  </si>
  <si>
    <t>Debugging/Troubleshooting</t>
  </si>
  <si>
    <t>Arts</t>
  </si>
  <si>
    <t>Actively_Encouraged</t>
  </si>
  <si>
    <t>Graduate</t>
  </si>
  <si>
    <t>Direct_Answer_Generation</t>
  </si>
  <si>
    <t>VLOOKUP</t>
  </si>
  <si>
    <t>Skill_retention_score</t>
  </si>
  <si>
    <t>Category</t>
  </si>
  <si>
    <t>Hlookup</t>
  </si>
  <si>
    <t>year_of_study</t>
  </si>
  <si>
    <t>weekly_genAi</t>
  </si>
  <si>
    <t>Burnout_risk_level</t>
  </si>
  <si>
    <t>match</t>
  </si>
  <si>
    <t>index</t>
  </si>
  <si>
    <t>xlookup</t>
  </si>
  <si>
    <t>treditional_study_hours</t>
  </si>
  <si>
    <t>traditional_study_hours</t>
  </si>
  <si>
    <t>prompt_engg_skills</t>
  </si>
  <si>
    <t>result</t>
  </si>
  <si>
    <t>Study_analysis</t>
  </si>
  <si>
    <t>or analysis</t>
  </si>
  <si>
    <t>And Analysis</t>
  </si>
  <si>
    <t>or result</t>
  </si>
  <si>
    <t>and result</t>
  </si>
  <si>
    <t>not analysis</t>
  </si>
  <si>
    <t>Logical analysis</t>
  </si>
  <si>
    <t>Statistical fuctions</t>
  </si>
  <si>
    <t>count</t>
  </si>
  <si>
    <t>counta</t>
  </si>
  <si>
    <t>count blank</t>
  </si>
  <si>
    <t>count if</t>
  </si>
  <si>
    <t>countifs</t>
  </si>
  <si>
    <t>mean</t>
  </si>
  <si>
    <t>median</t>
  </si>
  <si>
    <t>mode</t>
  </si>
  <si>
    <t>stdev</t>
  </si>
  <si>
    <t>Column1</t>
  </si>
  <si>
    <t>Column2</t>
  </si>
  <si>
    <t>Column3</t>
  </si>
  <si>
    <t>Column4</t>
  </si>
  <si>
    <t>Column5</t>
  </si>
  <si>
    <t>Column6</t>
  </si>
  <si>
    <t>variance</t>
  </si>
  <si>
    <t>promt_engg_with_values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</si>
</sst>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6"/>
      <color theme="4" tint="-0.249977111117893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6" fillId="2" borderId="0" xfId="6"/>
    <xf numFmtId="0" fontId="8" fillId="4" borderId="0" xfId="8"/>
    <xf numFmtId="0" fontId="0" fillId="0" borderId="10" xfId="0" applyBorder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0146508-5414-417C-96A9-B819C2CD3A42}" name="Table1" displayName="Table1" ref="J50:S52" totalsRowCount="1">
  <autoFilter ref="J50:S51" xr:uid="{80146508-5414-417C-96A9-B819C2CD3A42}"/>
  <tableColumns count="10">
    <tableColumn id="1" xr3:uid="{D7EE7E86-D5E7-458C-BDF2-51FA04C1DB04}" name="count">
      <calculatedColumnFormula>COUNT(H:H)</calculatedColumnFormula>
    </tableColumn>
    <tableColumn id="2" xr3:uid="{0DD7E1E5-2E52-4B1F-AEFD-31A7FDB0022C}" name="counta">
      <calculatedColumnFormula>COUNTA(H:H)</calculatedColumnFormula>
    </tableColumn>
    <tableColumn id="3" xr3:uid="{5A41D854-7DF6-4CCD-859C-91C8E265DC86}" name="count blank">
      <calculatedColumnFormula>COUNTBLANK(H1:H48)</calculatedColumnFormula>
    </tableColumn>
    <tableColumn id="4" xr3:uid="{2F6F708C-D819-4F52-921E-4C84242FF16E}" name="count if">
      <calculatedColumnFormula>COUNTIF(H:H,"&gt;2")</calculatedColumnFormula>
    </tableColumn>
    <tableColumn id="5" xr3:uid="{65408AD1-6B0F-4293-B5FC-76F277E32064}" name="countifs">
      <calculatedColumnFormula>COUNTIFS(E:E,"&lt;10",H:H,"&gt;3",D:D,"&lt;3")</calculatedColumnFormula>
    </tableColumn>
    <tableColumn id="6" xr3:uid="{508AE665-43B2-4FBD-AD70-605776069862}" name="mean">
      <calculatedColumnFormula>AVERAGE(M2:M41)</calculatedColumnFormula>
    </tableColumn>
    <tableColumn id="7" xr3:uid="{5D0FE15C-B062-4D74-B065-5CAA9B6CA685}" name="median">
      <calculatedColumnFormula>MEDIAN(J2:J41)</calculatedColumnFormula>
    </tableColumn>
    <tableColumn id="8" xr3:uid="{10DE87D4-0F3D-4B28-8992-4C3A0271CC02}" name="mode" totalsRowFunction="custom">
      <calculatedColumnFormula>MODE(H:H)</calculatedColumnFormula>
      <totalsRowFormula>MODE(W2:W41)</totalsRowFormula>
    </tableColumn>
    <tableColumn id="9" xr3:uid="{DB8F3A0A-E4FA-4473-865A-4CE207574CFD}" name="stdev">
      <calculatedColumnFormula>STDEV(M2:M41)</calculatedColumnFormula>
    </tableColumn>
    <tableColumn id="10" xr3:uid="{F2EDE973-FE11-4649-B6C2-9DC620157BDF}" name="variance">
      <calculatedColumnFormula>_xlfn.VAR.S(H:H)</calculatedColumnFormula>
    </tableColumn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224D668-9371-4C38-B950-862E07893439}" name="Table2" displayName="Table2" ref="C47:H64" totalsRowShown="0">
  <autoFilter ref="C47:H64" xr:uid="{3224D668-9371-4C38-B950-862E07893439}"/>
  <tableColumns count="6">
    <tableColumn id="1" xr3:uid="{A2EC28ED-F6BD-4F08-BE8E-0EF5356D1B0D}" name="Column1"/>
    <tableColumn id="2" xr3:uid="{42E07368-AAB0-4F85-AC52-82E7ED720D12}" name="Column2"/>
    <tableColumn id="3" xr3:uid="{CF832737-5DC1-4D60-BD14-D1B162638376}" name="Column3"/>
    <tableColumn id="4" xr3:uid="{92E0EFC1-C35C-489C-A96C-AFE1661B3A9E}" name="Column4"/>
    <tableColumn id="5" xr3:uid="{1BA93568-9716-4405-9611-EA1E84477BA2}" name="Column5"/>
    <tableColumn id="6" xr3:uid="{382C3CFB-092F-43C6-A69C-FD07CDDBC8F5}" name="Column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4E0E070-B685-4E56-9048-79429E8C3827}" name="Table3" displayName="Table3" ref="Y19:AB22" totalsRowShown="0">
  <autoFilter ref="Y19:AB22" xr:uid="{24E0E070-B685-4E56-9048-79429E8C3827}"/>
  <tableColumns count="4">
    <tableColumn id="1" xr3:uid="{D12F0A1A-73F4-4A55-BDAF-DA32D9F5C87B}" name="Hlookup"/>
    <tableColumn id="2" xr3:uid="{8C81F74C-D3D2-4443-B8BB-5A1A74E1C7AD}" name="Column1"/>
    <tableColumn id="3" xr3:uid="{6889F757-50C1-4201-B71A-782FE1C5C53E}" name="Column2"/>
    <tableColumn id="4" xr3:uid="{F3DF8637-EE8F-4B11-BF22-068B3F69D159}" name="Column3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AB4ECFA-BA0C-40C8-8481-E40D6FC4401A}" name="Table4" displayName="Table4" ref="AF20:AG22" totalsRowShown="0">
  <autoFilter ref="AF20:AG22" xr:uid="{6AB4ECFA-BA0C-40C8-8481-E40D6FC4401A}"/>
  <tableColumns count="2">
    <tableColumn id="1" xr3:uid="{CBCA94D1-FF4F-41A0-B604-D162C00E4D8D}" name="xlookup"/>
    <tableColumn id="2" xr3:uid="{2F4C347D-6F65-4807-B033-3A3DA86E0179}" name="treditional_study_hour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69F22-7B8C-44A6-B61D-40FB3FB9A794}">
  <dimension ref="A1:BG64"/>
  <sheetViews>
    <sheetView tabSelected="1" topLeftCell="A10" zoomScale="70" zoomScaleNormal="70" workbookViewId="0">
      <selection activeCell="Y51" sqref="Y51"/>
    </sheetView>
  </sheetViews>
  <sheetFormatPr defaultRowHeight="15" x14ac:dyDescent="0.25"/>
  <cols>
    <col min="3" max="3" width="14.5703125" customWidth="1"/>
    <col min="4" max="5" width="11.5703125" customWidth="1"/>
    <col min="6" max="6" width="15.5703125" customWidth="1"/>
    <col min="7" max="8" width="11.5703125" customWidth="1"/>
    <col min="9" max="9" width="6.85546875" customWidth="1"/>
    <col min="10" max="10" width="9.5703125" customWidth="1"/>
    <col min="11" max="11" width="10" customWidth="1"/>
    <col min="12" max="12" width="14.28515625" customWidth="1"/>
    <col min="13" max="13" width="10.140625" customWidth="1"/>
    <col min="14" max="14" width="10.85546875" customWidth="1"/>
    <col min="15" max="15" width="12.5703125" customWidth="1"/>
    <col min="16" max="16" width="10.140625" customWidth="1"/>
    <col min="20" max="20" width="12.28515625" customWidth="1"/>
    <col min="23" max="23" width="18.7109375" customWidth="1"/>
    <col min="25" max="25" width="21.85546875" customWidth="1"/>
    <col min="26" max="26" width="14.42578125" customWidth="1"/>
    <col min="27" max="27" width="14.5703125" customWidth="1"/>
    <col min="28" max="28" width="17.5703125" customWidth="1"/>
    <col min="32" max="32" width="10.5703125" customWidth="1"/>
    <col min="33" max="33" width="25.28515625" customWidth="1"/>
  </cols>
  <sheetData>
    <row r="1" spans="1:59" ht="33.75" x14ac:dyDescent="0.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14</v>
      </c>
      <c r="O1" s="3"/>
      <c r="P1" s="4" t="s">
        <v>60</v>
      </c>
      <c r="W1" t="s">
        <v>78</v>
      </c>
      <c r="Y1" t="s">
        <v>0</v>
      </c>
      <c r="Z1">
        <v>100001</v>
      </c>
      <c r="AA1">
        <v>100002</v>
      </c>
      <c r="AB1">
        <v>100003</v>
      </c>
      <c r="AC1">
        <v>100004</v>
      </c>
      <c r="AD1">
        <v>100005</v>
      </c>
      <c r="AE1">
        <v>100006</v>
      </c>
      <c r="AF1">
        <v>100007</v>
      </c>
      <c r="AG1">
        <v>100008</v>
      </c>
      <c r="AH1">
        <v>100009</v>
      </c>
      <c r="AI1">
        <v>100010</v>
      </c>
      <c r="AJ1">
        <v>100011</v>
      </c>
      <c r="AK1">
        <v>100012</v>
      </c>
      <c r="AL1">
        <v>100013</v>
      </c>
      <c r="AM1">
        <v>100014</v>
      </c>
      <c r="AN1">
        <v>100015</v>
      </c>
      <c r="AO1">
        <v>100016</v>
      </c>
      <c r="AP1">
        <v>100017</v>
      </c>
      <c r="AQ1">
        <v>100018</v>
      </c>
      <c r="AR1">
        <v>100019</v>
      </c>
      <c r="AS1">
        <v>100020</v>
      </c>
      <c r="AT1">
        <v>100021</v>
      </c>
      <c r="AU1">
        <v>100022</v>
      </c>
      <c r="AV1">
        <v>100023</v>
      </c>
      <c r="AW1">
        <v>100024</v>
      </c>
      <c r="AX1">
        <v>100025</v>
      </c>
      <c r="AY1">
        <v>100026</v>
      </c>
      <c r="AZ1">
        <v>100027</v>
      </c>
      <c r="BA1">
        <v>100028</v>
      </c>
      <c r="BB1">
        <v>100029</v>
      </c>
      <c r="BC1">
        <v>100030</v>
      </c>
      <c r="BD1">
        <v>100031</v>
      </c>
      <c r="BE1">
        <v>100032</v>
      </c>
      <c r="BF1">
        <v>100033</v>
      </c>
      <c r="BG1">
        <v>100034</v>
      </c>
    </row>
    <row r="2" spans="1:59" x14ac:dyDescent="0.25">
      <c r="A2">
        <v>100001</v>
      </c>
      <c r="B2" t="s">
        <v>16</v>
      </c>
      <c r="C2" t="s">
        <v>17</v>
      </c>
      <c r="D2">
        <v>2.4180000000000001</v>
      </c>
      <c r="E2">
        <v>23.31</v>
      </c>
      <c r="F2" t="s">
        <v>18</v>
      </c>
      <c r="G2" t="s">
        <v>19</v>
      </c>
      <c r="H2">
        <v>1</v>
      </c>
      <c r="I2" t="b">
        <v>1</v>
      </c>
      <c r="J2">
        <v>8.1300000000000008</v>
      </c>
      <c r="K2">
        <v>5</v>
      </c>
      <c r="L2" t="s">
        <v>20</v>
      </c>
      <c r="M2">
        <v>86.44</v>
      </c>
      <c r="W2" t="str" cm="1">
        <f t="array" ref="W2">_xlfn.IFS(G2="Beginner","1",G2="Intermediate","2",G2="Advanced","3")</f>
        <v>1</v>
      </c>
      <c r="Y2" t="s">
        <v>1</v>
      </c>
      <c r="Z2" t="s">
        <v>16</v>
      </c>
      <c r="AA2" t="s">
        <v>22</v>
      </c>
      <c r="AB2" t="s">
        <v>27</v>
      </c>
      <c r="AC2" t="s">
        <v>27</v>
      </c>
      <c r="AD2" t="s">
        <v>33</v>
      </c>
      <c r="AE2" t="s">
        <v>33</v>
      </c>
      <c r="AF2" t="s">
        <v>33</v>
      </c>
      <c r="AG2" t="s">
        <v>36</v>
      </c>
      <c r="AH2" t="s">
        <v>27</v>
      </c>
      <c r="AI2" t="s">
        <v>27</v>
      </c>
      <c r="AJ2" t="s">
        <v>33</v>
      </c>
      <c r="AK2" t="s">
        <v>22</v>
      </c>
      <c r="AL2" t="s">
        <v>36</v>
      </c>
      <c r="AM2" t="s">
        <v>33</v>
      </c>
      <c r="AN2" t="s">
        <v>33</v>
      </c>
      <c r="AO2" t="s">
        <v>33</v>
      </c>
      <c r="AP2" t="s">
        <v>16</v>
      </c>
      <c r="AQ2" t="s">
        <v>27</v>
      </c>
      <c r="AR2" t="s">
        <v>16</v>
      </c>
      <c r="AS2" t="s">
        <v>33</v>
      </c>
      <c r="AT2" t="s">
        <v>27</v>
      </c>
      <c r="AU2" t="s">
        <v>33</v>
      </c>
      <c r="AV2" t="s">
        <v>33</v>
      </c>
      <c r="AW2" t="s">
        <v>16</v>
      </c>
      <c r="AX2" t="s">
        <v>16</v>
      </c>
      <c r="AY2" t="s">
        <v>36</v>
      </c>
      <c r="AZ2" t="s">
        <v>33</v>
      </c>
      <c r="BA2" t="s">
        <v>27</v>
      </c>
      <c r="BB2" t="s">
        <v>27</v>
      </c>
      <c r="BC2" t="s">
        <v>33</v>
      </c>
      <c r="BD2" t="s">
        <v>27</v>
      </c>
      <c r="BE2" t="s">
        <v>33</v>
      </c>
      <c r="BF2" t="s">
        <v>33</v>
      </c>
      <c r="BG2" t="s">
        <v>22</v>
      </c>
    </row>
    <row r="3" spans="1:59" x14ac:dyDescent="0.25">
      <c r="A3">
        <v>100002</v>
      </c>
      <c r="B3" t="s">
        <v>22</v>
      </c>
      <c r="C3" t="s">
        <v>23</v>
      </c>
      <c r="D3">
        <v>3.8210000000000002</v>
      </c>
      <c r="E3">
        <v>1.1200000000000001</v>
      </c>
      <c r="F3" t="s">
        <v>24</v>
      </c>
      <c r="G3" t="s">
        <v>25</v>
      </c>
      <c r="H3">
        <v>5</v>
      </c>
      <c r="I3" t="b">
        <v>0</v>
      </c>
      <c r="J3">
        <v>16.649999999999999</v>
      </c>
      <c r="K3">
        <v>3</v>
      </c>
      <c r="L3" t="s">
        <v>20</v>
      </c>
      <c r="M3">
        <v>69.39</v>
      </c>
      <c r="O3" s="2" t="s">
        <v>53</v>
      </c>
      <c r="P3" s="2" t="s">
        <v>54</v>
      </c>
      <c r="Q3" s="2" t="s">
        <v>55</v>
      </c>
      <c r="R3" s="2" t="s">
        <v>56</v>
      </c>
      <c r="S3" s="2" t="s">
        <v>57</v>
      </c>
      <c r="T3" s="2" t="s">
        <v>58</v>
      </c>
      <c r="U3" s="2" t="s">
        <v>59</v>
      </c>
      <c r="W3" t="str" cm="1">
        <f t="array" ref="W3">_xlfn.IFS(G3="Beginner","1",G3="Intermediate","2",G3="Advanced","3")</f>
        <v>3</v>
      </c>
      <c r="Y3" t="s">
        <v>2</v>
      </c>
      <c r="Z3" t="s">
        <v>17</v>
      </c>
      <c r="AA3" t="s">
        <v>23</v>
      </c>
      <c r="AB3" t="s">
        <v>28</v>
      </c>
      <c r="AC3" t="s">
        <v>17</v>
      </c>
      <c r="AD3" t="s">
        <v>34</v>
      </c>
      <c r="AE3" t="s">
        <v>23</v>
      </c>
      <c r="AF3" t="s">
        <v>28</v>
      </c>
      <c r="AG3" t="s">
        <v>23</v>
      </c>
      <c r="AH3" t="s">
        <v>34</v>
      </c>
      <c r="AI3" t="s">
        <v>34</v>
      </c>
      <c r="AJ3" t="s">
        <v>38</v>
      </c>
      <c r="AK3" t="s">
        <v>23</v>
      </c>
      <c r="AL3" t="s">
        <v>17</v>
      </c>
      <c r="AM3" t="s">
        <v>23</v>
      </c>
      <c r="AN3" t="s">
        <v>28</v>
      </c>
      <c r="AO3" t="s">
        <v>17</v>
      </c>
      <c r="AP3" t="s">
        <v>34</v>
      </c>
      <c r="AQ3" t="s">
        <v>17</v>
      </c>
      <c r="AR3" t="s">
        <v>23</v>
      </c>
      <c r="AS3" t="s">
        <v>34</v>
      </c>
      <c r="AT3" t="s">
        <v>34</v>
      </c>
      <c r="AU3" t="s">
        <v>17</v>
      </c>
      <c r="AV3" t="s">
        <v>23</v>
      </c>
      <c r="AW3" t="s">
        <v>17</v>
      </c>
      <c r="AX3" t="s">
        <v>28</v>
      </c>
      <c r="AY3" t="s">
        <v>17</v>
      </c>
      <c r="AZ3" t="s">
        <v>34</v>
      </c>
      <c r="BA3" t="s">
        <v>23</v>
      </c>
      <c r="BB3" t="s">
        <v>28</v>
      </c>
      <c r="BC3" t="s">
        <v>34</v>
      </c>
      <c r="BD3" t="s">
        <v>17</v>
      </c>
      <c r="BE3" t="s">
        <v>34</v>
      </c>
      <c r="BF3" t="s">
        <v>38</v>
      </c>
      <c r="BG3" t="s">
        <v>17</v>
      </c>
    </row>
    <row r="4" spans="1:59" x14ac:dyDescent="0.25">
      <c r="A4">
        <v>100003</v>
      </c>
      <c r="B4" t="s">
        <v>27</v>
      </c>
      <c r="C4" t="s">
        <v>28</v>
      </c>
      <c r="D4">
        <v>3.3980000000000001</v>
      </c>
      <c r="E4">
        <v>21.26</v>
      </c>
      <c r="F4" t="s">
        <v>29</v>
      </c>
      <c r="G4" t="s">
        <v>19</v>
      </c>
      <c r="H4">
        <v>2</v>
      </c>
      <c r="I4" t="b">
        <v>0</v>
      </c>
      <c r="J4">
        <v>10.35</v>
      </c>
      <c r="K4">
        <v>5</v>
      </c>
      <c r="L4" t="s">
        <v>30</v>
      </c>
      <c r="M4">
        <v>73.930000000000007</v>
      </c>
      <c r="O4" t="str">
        <f>IF(M2&gt;35,"selected","not selected")</f>
        <v>selected</v>
      </c>
      <c r="P4" t="str" cm="1">
        <f t="array" ref="P4">_xlfn.IFS(J2&gt;=10,"very good",J2&gt;=5,"good",J2&gt;=1,"not enough")</f>
        <v>good</v>
      </c>
      <c r="Q4" t="b">
        <f>OR(J2&gt;5,E2&gt;5)</f>
        <v>1</v>
      </c>
      <c r="R4" t="b">
        <f>AND(J2&gt;5,E2&gt;5)</f>
        <v>1</v>
      </c>
      <c r="S4" t="str">
        <f>IF(Q4,"pass","fail")</f>
        <v>pass</v>
      </c>
      <c r="T4" t="str">
        <f>IF(R4,"pass","fail")</f>
        <v>pass</v>
      </c>
      <c r="U4" t="b">
        <f>NOT(D2&lt;=3)</f>
        <v>0</v>
      </c>
      <c r="W4" t="str" cm="1">
        <f t="array" ref="W4">_xlfn.IFS(G4="Beginner","1",G4="Intermediate","2",G4="Advanced","3")</f>
        <v>1</v>
      </c>
      <c r="Y4" t="s">
        <v>3</v>
      </c>
      <c r="Z4">
        <v>2.4180000000000001</v>
      </c>
      <c r="AA4">
        <v>3.8210000000000002</v>
      </c>
      <c r="AB4">
        <v>3.3980000000000001</v>
      </c>
      <c r="AC4">
        <v>3.7890000000000001</v>
      </c>
      <c r="AD4">
        <v>3.6349999999999998</v>
      </c>
      <c r="AE4">
        <v>3.4489999999999998</v>
      </c>
      <c r="AF4">
        <v>3.6219999999999999</v>
      </c>
      <c r="AG4">
        <v>2.746</v>
      </c>
      <c r="AH4">
        <v>3.42</v>
      </c>
      <c r="AI4">
        <v>3.0459999999999998</v>
      </c>
      <c r="AJ4">
        <v>3.407</v>
      </c>
      <c r="AK4">
        <v>2.6269999999999998</v>
      </c>
      <c r="AL4">
        <v>3.4790000000000001</v>
      </c>
      <c r="AM4">
        <v>3.2250000000000001</v>
      </c>
      <c r="AN4">
        <v>3.202</v>
      </c>
      <c r="AO4">
        <v>2.0760000000000001</v>
      </c>
      <c r="AP4">
        <v>2.931</v>
      </c>
      <c r="AQ4">
        <v>3.1560000000000001</v>
      </c>
      <c r="AR4">
        <v>2.9750000000000001</v>
      </c>
      <c r="AS4">
        <v>3.3050000000000002</v>
      </c>
      <c r="AT4">
        <v>2.6360000000000001</v>
      </c>
      <c r="AU4">
        <v>3.5289999999999999</v>
      </c>
      <c r="AV4">
        <v>3.5510000000000002</v>
      </c>
      <c r="AW4">
        <v>3.5790000000000002</v>
      </c>
      <c r="AX4">
        <v>2.3639999999999999</v>
      </c>
      <c r="AY4">
        <v>3.3079999999999998</v>
      </c>
      <c r="AZ4">
        <v>3.3380000000000001</v>
      </c>
      <c r="BA4">
        <v>3.302</v>
      </c>
      <c r="BB4">
        <v>3.282</v>
      </c>
      <c r="BC4">
        <v>3.6379999999999999</v>
      </c>
      <c r="BD4">
        <v>3.7309999999999999</v>
      </c>
      <c r="BE4">
        <v>1.4490000000000001</v>
      </c>
      <c r="BF4">
        <v>2.8559999999999999</v>
      </c>
      <c r="BG4">
        <v>3.1480000000000001</v>
      </c>
    </row>
    <row r="5" spans="1:59" x14ac:dyDescent="0.25">
      <c r="A5">
        <v>100004</v>
      </c>
      <c r="B5" t="s">
        <v>27</v>
      </c>
      <c r="C5" t="s">
        <v>17</v>
      </c>
      <c r="D5">
        <v>3.7890000000000001</v>
      </c>
      <c r="E5">
        <v>1.82</v>
      </c>
      <c r="F5" t="s">
        <v>18</v>
      </c>
      <c r="G5" t="s">
        <v>32</v>
      </c>
      <c r="H5">
        <v>4</v>
      </c>
      <c r="I5" t="b">
        <v>0</v>
      </c>
      <c r="J5">
        <v>15.23</v>
      </c>
      <c r="K5">
        <v>2</v>
      </c>
      <c r="L5" t="s">
        <v>20</v>
      </c>
      <c r="M5">
        <v>34.58</v>
      </c>
      <c r="O5" t="str">
        <f t="shared" ref="O5:O43" si="0">IF(M3&gt;35,"selected","not selected")</f>
        <v>selected</v>
      </c>
      <c r="P5" t="str" cm="1">
        <f t="array" ref="P5">_xlfn.IFS(J3&gt;=10,"very good",J3&gt;=5,"good",J3&gt;=1,"not enough")</f>
        <v>very good</v>
      </c>
      <c r="Q5" t="b">
        <f t="shared" ref="Q5:Q43" si="1">OR(J3&gt;5,E3&gt;5)</f>
        <v>1</v>
      </c>
      <c r="R5" t="b">
        <f>AND(J3&gt;5,E3&gt;5)</f>
        <v>0</v>
      </c>
      <c r="S5" t="str">
        <f t="shared" ref="S5:S43" si="2">IF(Q5,"pass","fail")</f>
        <v>pass</v>
      </c>
      <c r="T5" t="str">
        <f t="shared" ref="T5:T43" si="3">IF(R5,"pass","fail")</f>
        <v>fail</v>
      </c>
      <c r="U5" t="b">
        <f t="shared" ref="U5:U43" si="4">NOT(D3&lt;=3)</f>
        <v>1</v>
      </c>
      <c r="W5" t="str" cm="1">
        <f t="array" ref="W5">_xlfn.IFS(G5="Beginner","1",G5="Intermediate","2",G5="Advanced","3")</f>
        <v>2</v>
      </c>
      <c r="Y5" t="s">
        <v>4</v>
      </c>
      <c r="Z5">
        <v>23.31</v>
      </c>
      <c r="AA5">
        <v>1.1200000000000001</v>
      </c>
      <c r="AB5">
        <v>21.26</v>
      </c>
      <c r="AC5">
        <v>1.82</v>
      </c>
      <c r="AD5">
        <v>9.2899999999999991</v>
      </c>
      <c r="AE5">
        <v>6.5</v>
      </c>
      <c r="AF5">
        <v>31.41</v>
      </c>
      <c r="AG5">
        <v>5.33</v>
      </c>
      <c r="AH5">
        <v>2</v>
      </c>
      <c r="AI5">
        <v>19.989999999999998</v>
      </c>
      <c r="AJ5">
        <v>5.16</v>
      </c>
      <c r="AK5">
        <v>3.62</v>
      </c>
      <c r="AL5">
        <v>2.86</v>
      </c>
      <c r="AM5">
        <v>8.9499999999999993</v>
      </c>
      <c r="AN5">
        <v>1.22</v>
      </c>
      <c r="AO5">
        <v>14.74</v>
      </c>
      <c r="AP5">
        <v>2.08</v>
      </c>
      <c r="AQ5">
        <v>8.0299999999999994</v>
      </c>
      <c r="AR5">
        <v>0.51</v>
      </c>
      <c r="AS5">
        <v>0.2</v>
      </c>
      <c r="AT5">
        <v>1.63</v>
      </c>
      <c r="AU5">
        <v>4.91</v>
      </c>
      <c r="AV5">
        <v>10.48</v>
      </c>
      <c r="AW5">
        <v>0.45</v>
      </c>
      <c r="AX5">
        <v>28.72</v>
      </c>
      <c r="AY5">
        <v>2.38</v>
      </c>
      <c r="AZ5">
        <v>18.62</v>
      </c>
      <c r="BA5">
        <v>23.96</v>
      </c>
      <c r="BB5">
        <v>0.68</v>
      </c>
      <c r="BC5">
        <v>12.83</v>
      </c>
      <c r="BD5">
        <v>1.26</v>
      </c>
      <c r="BE5">
        <v>0.72</v>
      </c>
      <c r="BF5">
        <v>1.27</v>
      </c>
      <c r="BG5">
        <v>5.56</v>
      </c>
    </row>
    <row r="6" spans="1:59" x14ac:dyDescent="0.25">
      <c r="A6">
        <v>100005</v>
      </c>
      <c r="B6" t="s">
        <v>33</v>
      </c>
      <c r="C6" t="s">
        <v>34</v>
      </c>
      <c r="D6">
        <v>3.6349999999999998</v>
      </c>
      <c r="E6">
        <v>9.2899999999999991</v>
      </c>
      <c r="F6" t="s">
        <v>35</v>
      </c>
      <c r="G6" t="s">
        <v>25</v>
      </c>
      <c r="H6">
        <v>4</v>
      </c>
      <c r="I6" t="b">
        <v>0</v>
      </c>
      <c r="J6">
        <v>12.55</v>
      </c>
      <c r="K6">
        <v>4</v>
      </c>
      <c r="L6" t="s">
        <v>20</v>
      </c>
      <c r="M6">
        <v>100</v>
      </c>
      <c r="O6" t="str">
        <f t="shared" si="0"/>
        <v>selected</v>
      </c>
      <c r="P6" t="str" cm="1">
        <f t="array" ref="P6">_xlfn.IFS(J4&gt;=10,"very good",J4&gt;=5,"good",J4&gt;=1,"not enough")</f>
        <v>very good</v>
      </c>
      <c r="Q6" t="b">
        <f t="shared" si="1"/>
        <v>1</v>
      </c>
      <c r="R6" t="b">
        <f>AND(J4&gt;5,E4&gt;5)</f>
        <v>1</v>
      </c>
      <c r="S6" t="str">
        <f t="shared" si="2"/>
        <v>pass</v>
      </c>
      <c r="T6" t="str">
        <f t="shared" si="3"/>
        <v>pass</v>
      </c>
      <c r="U6" t="b">
        <f t="shared" si="4"/>
        <v>1</v>
      </c>
      <c r="W6" t="str" cm="1">
        <f t="array" ref="W6">_xlfn.IFS(G6="Beginner","1",G6="Intermediate","2",G6="Advanced","3")</f>
        <v>3</v>
      </c>
      <c r="Y6" t="s">
        <v>5</v>
      </c>
      <c r="Z6" t="s">
        <v>18</v>
      </c>
      <c r="AA6" t="s">
        <v>24</v>
      </c>
      <c r="AB6" t="s">
        <v>29</v>
      </c>
      <c r="AC6" t="s">
        <v>18</v>
      </c>
      <c r="AD6" t="s">
        <v>35</v>
      </c>
      <c r="AE6" t="s">
        <v>35</v>
      </c>
      <c r="AF6" t="s">
        <v>29</v>
      </c>
      <c r="AG6" t="s">
        <v>18</v>
      </c>
      <c r="AH6" t="s">
        <v>35</v>
      </c>
      <c r="AI6" t="s">
        <v>35</v>
      </c>
      <c r="AJ6" t="s">
        <v>29</v>
      </c>
      <c r="AK6" t="s">
        <v>39</v>
      </c>
      <c r="AL6" t="s">
        <v>18</v>
      </c>
      <c r="AM6" t="s">
        <v>39</v>
      </c>
      <c r="AN6" t="s">
        <v>18</v>
      </c>
      <c r="AO6" t="s">
        <v>35</v>
      </c>
      <c r="AP6" t="s">
        <v>39</v>
      </c>
      <c r="AQ6" t="s">
        <v>39</v>
      </c>
      <c r="AR6" t="s">
        <v>29</v>
      </c>
      <c r="AS6" t="s">
        <v>35</v>
      </c>
      <c r="AT6" t="s">
        <v>18</v>
      </c>
      <c r="AU6" t="s">
        <v>35</v>
      </c>
      <c r="AV6" t="s">
        <v>18</v>
      </c>
      <c r="AW6" t="s">
        <v>24</v>
      </c>
      <c r="AX6" t="s">
        <v>18</v>
      </c>
      <c r="AY6" t="s">
        <v>24</v>
      </c>
      <c r="AZ6" t="s">
        <v>35</v>
      </c>
      <c r="BA6" t="s">
        <v>24</v>
      </c>
      <c r="BB6" t="s">
        <v>24</v>
      </c>
      <c r="BC6" t="s">
        <v>35</v>
      </c>
      <c r="BD6" t="s">
        <v>39</v>
      </c>
      <c r="BE6" t="s">
        <v>35</v>
      </c>
      <c r="BF6" t="s">
        <v>39</v>
      </c>
      <c r="BG6" t="s">
        <v>29</v>
      </c>
    </row>
    <row r="7" spans="1:59" x14ac:dyDescent="0.25">
      <c r="A7">
        <v>100006</v>
      </c>
      <c r="B7" t="s">
        <v>33</v>
      </c>
      <c r="C7" t="s">
        <v>23</v>
      </c>
      <c r="D7">
        <v>3.4489999999999998</v>
      </c>
      <c r="E7">
        <v>6.5</v>
      </c>
      <c r="F7" t="s">
        <v>35</v>
      </c>
      <c r="G7" t="s">
        <v>19</v>
      </c>
      <c r="H7">
        <v>1</v>
      </c>
      <c r="I7" t="b">
        <v>0</v>
      </c>
      <c r="J7">
        <v>14.19</v>
      </c>
      <c r="K7">
        <v>4</v>
      </c>
      <c r="L7" t="s">
        <v>20</v>
      </c>
      <c r="M7">
        <v>65.92</v>
      </c>
      <c r="O7" t="str">
        <f t="shared" si="0"/>
        <v>not selected</v>
      </c>
      <c r="P7" t="str" cm="1">
        <f t="array" ref="P7">_xlfn.IFS(J5&gt;=10,"very good",J5&gt;=5,"good",J5&gt;=1,"not enough")</f>
        <v>very good</v>
      </c>
      <c r="Q7" t="b">
        <f t="shared" si="1"/>
        <v>1</v>
      </c>
      <c r="R7" t="b">
        <f t="shared" ref="R7:R43" si="5">AND(J5&gt;5,E5&gt;5)</f>
        <v>0</v>
      </c>
      <c r="S7" t="str">
        <f t="shared" si="2"/>
        <v>pass</v>
      </c>
      <c r="T7" t="str">
        <f t="shared" si="3"/>
        <v>fail</v>
      </c>
      <c r="U7" t="b">
        <f t="shared" si="4"/>
        <v>1</v>
      </c>
      <c r="W7" t="str" cm="1">
        <f t="array" ref="W7">_xlfn.IFS(G7="Beginner","1",G7="Intermediate","2",G7="Advanced","3")</f>
        <v>1</v>
      </c>
      <c r="Y7" t="s">
        <v>6</v>
      </c>
      <c r="Z7" t="s">
        <v>19</v>
      </c>
      <c r="AA7" t="s">
        <v>25</v>
      </c>
      <c r="AB7" t="s">
        <v>19</v>
      </c>
      <c r="AC7" t="s">
        <v>32</v>
      </c>
      <c r="AD7" t="s">
        <v>25</v>
      </c>
      <c r="AE7" t="s">
        <v>19</v>
      </c>
      <c r="AF7" t="s">
        <v>25</v>
      </c>
      <c r="AG7" t="s">
        <v>32</v>
      </c>
      <c r="AH7" t="s">
        <v>19</v>
      </c>
      <c r="AI7" t="s">
        <v>32</v>
      </c>
      <c r="AJ7" t="s">
        <v>25</v>
      </c>
      <c r="AK7" t="s">
        <v>32</v>
      </c>
      <c r="AL7" t="s">
        <v>19</v>
      </c>
      <c r="AM7" t="s">
        <v>19</v>
      </c>
      <c r="AN7" t="s">
        <v>19</v>
      </c>
      <c r="AO7" t="s">
        <v>19</v>
      </c>
      <c r="AP7" t="s">
        <v>25</v>
      </c>
      <c r="AQ7" t="s">
        <v>25</v>
      </c>
      <c r="AR7" t="s">
        <v>19</v>
      </c>
      <c r="AS7" t="s">
        <v>32</v>
      </c>
      <c r="AT7" t="s">
        <v>32</v>
      </c>
      <c r="AU7" t="s">
        <v>19</v>
      </c>
      <c r="AV7" t="s">
        <v>32</v>
      </c>
      <c r="AW7" t="s">
        <v>19</v>
      </c>
      <c r="AX7" t="s">
        <v>19</v>
      </c>
      <c r="AY7" t="s">
        <v>25</v>
      </c>
      <c r="AZ7" t="s">
        <v>25</v>
      </c>
      <c r="BA7" t="s">
        <v>32</v>
      </c>
      <c r="BB7" t="s">
        <v>19</v>
      </c>
      <c r="BC7" t="s">
        <v>25</v>
      </c>
      <c r="BD7" t="s">
        <v>32</v>
      </c>
      <c r="BE7" t="s">
        <v>32</v>
      </c>
      <c r="BF7" t="s">
        <v>25</v>
      </c>
      <c r="BG7" t="s">
        <v>32</v>
      </c>
    </row>
    <row r="8" spans="1:59" x14ac:dyDescent="0.25">
      <c r="A8">
        <v>100007</v>
      </c>
      <c r="B8" t="s">
        <v>33</v>
      </c>
      <c r="C8" t="s">
        <v>28</v>
      </c>
      <c r="D8">
        <v>3.6219999999999999</v>
      </c>
      <c r="E8">
        <v>31.41</v>
      </c>
      <c r="F8" t="s">
        <v>29</v>
      </c>
      <c r="G8" t="s">
        <v>25</v>
      </c>
      <c r="H8">
        <v>5</v>
      </c>
      <c r="I8" t="b">
        <v>1</v>
      </c>
      <c r="J8">
        <v>13.11</v>
      </c>
      <c r="K8">
        <v>8</v>
      </c>
      <c r="L8" t="s">
        <v>20</v>
      </c>
      <c r="M8">
        <v>67.97</v>
      </c>
      <c r="O8" t="str">
        <f t="shared" si="0"/>
        <v>selected</v>
      </c>
      <c r="P8" t="str" cm="1">
        <f t="array" ref="P8">_xlfn.IFS(J6&gt;=10,"very good",J6&gt;=5,"good",J6&gt;=1,"not enough")</f>
        <v>very good</v>
      </c>
      <c r="Q8" t="b">
        <f t="shared" si="1"/>
        <v>1</v>
      </c>
      <c r="R8" t="b">
        <f t="shared" si="5"/>
        <v>1</v>
      </c>
      <c r="S8" t="str">
        <f t="shared" si="2"/>
        <v>pass</v>
      </c>
      <c r="T8" t="str">
        <f t="shared" si="3"/>
        <v>pass</v>
      </c>
      <c r="U8" t="b">
        <f t="shared" si="4"/>
        <v>1</v>
      </c>
      <c r="W8" t="str" cm="1">
        <f t="array" ref="W8">_xlfn.IFS(G8="Beginner","1",G8="Intermediate","2",G8="Advanced","3")</f>
        <v>3</v>
      </c>
      <c r="Y8" t="s">
        <v>7</v>
      </c>
      <c r="Z8">
        <v>1</v>
      </c>
      <c r="AA8">
        <v>5</v>
      </c>
      <c r="AB8">
        <v>2</v>
      </c>
      <c r="AC8">
        <v>4</v>
      </c>
      <c r="AD8">
        <v>4</v>
      </c>
      <c r="AE8">
        <v>1</v>
      </c>
      <c r="AF8">
        <v>5</v>
      </c>
      <c r="AG8">
        <v>3</v>
      </c>
      <c r="AH8">
        <v>2</v>
      </c>
      <c r="AI8">
        <v>2</v>
      </c>
      <c r="AJ8">
        <v>3</v>
      </c>
      <c r="AK8">
        <v>3</v>
      </c>
      <c r="AL8">
        <v>2</v>
      </c>
      <c r="AM8">
        <v>1</v>
      </c>
      <c r="AN8">
        <v>1</v>
      </c>
      <c r="AO8">
        <v>1</v>
      </c>
      <c r="AP8">
        <v>3</v>
      </c>
      <c r="AQ8">
        <v>4</v>
      </c>
      <c r="AR8">
        <v>1</v>
      </c>
      <c r="AS8">
        <v>4</v>
      </c>
      <c r="AT8">
        <v>4</v>
      </c>
      <c r="AU8">
        <v>1</v>
      </c>
      <c r="AV8">
        <v>2</v>
      </c>
      <c r="AW8">
        <v>1</v>
      </c>
      <c r="AX8">
        <v>1</v>
      </c>
      <c r="AY8">
        <v>4</v>
      </c>
      <c r="AZ8">
        <v>5</v>
      </c>
      <c r="BA8">
        <v>2</v>
      </c>
      <c r="BB8">
        <v>1</v>
      </c>
      <c r="BC8">
        <v>4</v>
      </c>
      <c r="BD8">
        <v>4</v>
      </c>
      <c r="BE8">
        <v>2</v>
      </c>
      <c r="BF8">
        <v>3</v>
      </c>
      <c r="BG8">
        <v>5</v>
      </c>
    </row>
    <row r="9" spans="1:59" x14ac:dyDescent="0.25">
      <c r="A9">
        <v>100008</v>
      </c>
      <c r="B9" t="s">
        <v>36</v>
      </c>
      <c r="C9" t="s">
        <v>23</v>
      </c>
      <c r="D9">
        <v>2.746</v>
      </c>
      <c r="E9">
        <v>5.33</v>
      </c>
      <c r="F9" t="s">
        <v>18</v>
      </c>
      <c r="G9" t="s">
        <v>32</v>
      </c>
      <c r="H9">
        <v>3</v>
      </c>
      <c r="I9" t="b">
        <v>0</v>
      </c>
      <c r="J9">
        <v>18.45</v>
      </c>
      <c r="K9">
        <v>2</v>
      </c>
      <c r="L9" t="s">
        <v>37</v>
      </c>
      <c r="M9">
        <v>85.09</v>
      </c>
      <c r="O9" t="str">
        <f t="shared" si="0"/>
        <v>selected</v>
      </c>
      <c r="P9" t="str" cm="1">
        <f t="array" ref="P9">_xlfn.IFS(J7&gt;=10,"very good",J7&gt;=5,"good",J7&gt;=1,"not enough")</f>
        <v>very good</v>
      </c>
      <c r="Q9" t="b">
        <f t="shared" si="1"/>
        <v>1</v>
      </c>
      <c r="R9" t="b">
        <f t="shared" si="5"/>
        <v>1</v>
      </c>
      <c r="S9" t="str">
        <f t="shared" si="2"/>
        <v>pass</v>
      </c>
      <c r="T9" t="str">
        <f t="shared" si="3"/>
        <v>pass</v>
      </c>
      <c r="U9" t="b">
        <f t="shared" si="4"/>
        <v>1</v>
      </c>
      <c r="W9" t="str" cm="1">
        <f t="array" ref="W9">_xlfn.IFS(G9="Beginner","1",G9="Intermediate","2",G9="Advanced","3")</f>
        <v>2</v>
      </c>
      <c r="Y9" t="s">
        <v>8</v>
      </c>
      <c r="Z9" t="b">
        <v>1</v>
      </c>
      <c r="AA9" t="b">
        <v>0</v>
      </c>
      <c r="AB9" t="b">
        <v>0</v>
      </c>
      <c r="AC9" t="b">
        <v>0</v>
      </c>
      <c r="AD9" t="b">
        <v>0</v>
      </c>
      <c r="AE9" t="b">
        <v>0</v>
      </c>
      <c r="AF9" t="b">
        <v>1</v>
      </c>
      <c r="AG9" t="b">
        <v>0</v>
      </c>
      <c r="AH9" t="b">
        <v>1</v>
      </c>
      <c r="AI9" t="b">
        <v>1</v>
      </c>
      <c r="AJ9" t="b">
        <v>0</v>
      </c>
      <c r="AK9" t="b">
        <v>0</v>
      </c>
      <c r="AL9" t="b">
        <v>0</v>
      </c>
      <c r="AM9" t="b">
        <v>0</v>
      </c>
      <c r="AN9" t="b">
        <v>0</v>
      </c>
      <c r="AO9" t="b">
        <v>1</v>
      </c>
      <c r="AP9" t="b">
        <v>0</v>
      </c>
      <c r="AQ9" t="b">
        <v>0</v>
      </c>
      <c r="AR9" t="b">
        <v>0</v>
      </c>
      <c r="AS9" t="b">
        <v>0</v>
      </c>
      <c r="AT9" t="b">
        <v>0</v>
      </c>
      <c r="AU9" t="b">
        <v>0</v>
      </c>
      <c r="AV9" t="b">
        <v>1</v>
      </c>
      <c r="AW9" t="b">
        <v>1</v>
      </c>
      <c r="AX9" t="b">
        <v>0</v>
      </c>
      <c r="AY9" t="b">
        <v>1</v>
      </c>
      <c r="AZ9" t="b">
        <v>1</v>
      </c>
      <c r="BA9" t="b">
        <v>1</v>
      </c>
      <c r="BB9" t="b">
        <v>0</v>
      </c>
      <c r="BC9" t="b">
        <v>1</v>
      </c>
      <c r="BD9" t="b">
        <v>1</v>
      </c>
      <c r="BE9" t="b">
        <v>0</v>
      </c>
      <c r="BF9" t="b">
        <v>0</v>
      </c>
      <c r="BG9" t="b">
        <v>0</v>
      </c>
    </row>
    <row r="10" spans="1:59" x14ac:dyDescent="0.25">
      <c r="A10">
        <v>100009</v>
      </c>
      <c r="B10" t="s">
        <v>27</v>
      </c>
      <c r="C10" t="s">
        <v>34</v>
      </c>
      <c r="D10">
        <v>3.42</v>
      </c>
      <c r="E10">
        <v>2</v>
      </c>
      <c r="F10" t="s">
        <v>35</v>
      </c>
      <c r="G10" t="s">
        <v>19</v>
      </c>
      <c r="H10">
        <v>2</v>
      </c>
      <c r="I10" t="b">
        <v>1</v>
      </c>
      <c r="J10">
        <v>2.87</v>
      </c>
      <c r="K10">
        <v>1</v>
      </c>
      <c r="L10" t="s">
        <v>30</v>
      </c>
      <c r="M10">
        <v>55.71</v>
      </c>
      <c r="O10" t="str">
        <f t="shared" si="0"/>
        <v>selected</v>
      </c>
      <c r="P10" t="str" cm="1">
        <f t="array" ref="P10">_xlfn.IFS(J8&gt;=10,"very good",J8&gt;=5,"good",J8&gt;=1,"not enough")</f>
        <v>very good</v>
      </c>
      <c r="Q10" t="b">
        <f t="shared" si="1"/>
        <v>1</v>
      </c>
      <c r="R10" t="b">
        <f t="shared" si="5"/>
        <v>1</v>
      </c>
      <c r="S10" t="str">
        <f t="shared" si="2"/>
        <v>pass</v>
      </c>
      <c r="T10" t="str">
        <f t="shared" si="3"/>
        <v>pass</v>
      </c>
      <c r="U10" t="b">
        <f t="shared" si="4"/>
        <v>1</v>
      </c>
      <c r="W10" t="str" cm="1">
        <f t="array" ref="W10">_xlfn.IFS(G10="Beginner","1",G10="Intermediate","2",G10="Advanced","3")</f>
        <v>1</v>
      </c>
      <c r="Y10" t="s">
        <v>9</v>
      </c>
      <c r="Z10">
        <v>8.1300000000000008</v>
      </c>
      <c r="AA10">
        <v>16.649999999999999</v>
      </c>
      <c r="AB10">
        <v>10.35</v>
      </c>
      <c r="AC10">
        <v>15.23</v>
      </c>
      <c r="AD10">
        <v>12.55</v>
      </c>
      <c r="AE10">
        <v>14.19</v>
      </c>
      <c r="AF10">
        <v>13.11</v>
      </c>
      <c r="AG10">
        <v>18.45</v>
      </c>
      <c r="AH10">
        <v>2.87</v>
      </c>
      <c r="AI10">
        <v>12.49</v>
      </c>
      <c r="AJ10">
        <v>11.43</v>
      </c>
      <c r="AK10">
        <v>8.0500000000000007</v>
      </c>
      <c r="AL10">
        <v>8.9499999999999993</v>
      </c>
      <c r="AM10">
        <v>25.3</v>
      </c>
      <c r="AN10">
        <v>16.52</v>
      </c>
      <c r="AO10">
        <v>12.59</v>
      </c>
      <c r="AP10">
        <v>15.15</v>
      </c>
      <c r="AQ10">
        <v>10.7</v>
      </c>
      <c r="AR10">
        <v>10.84</v>
      </c>
      <c r="AS10">
        <v>3.69</v>
      </c>
      <c r="AT10">
        <v>18.71</v>
      </c>
      <c r="AU10">
        <v>15.78</v>
      </c>
      <c r="AV10">
        <v>2.75</v>
      </c>
      <c r="AW10">
        <v>10.61</v>
      </c>
      <c r="AX10">
        <v>8.24</v>
      </c>
      <c r="AY10">
        <v>11.33</v>
      </c>
      <c r="AZ10">
        <v>14.29</v>
      </c>
      <c r="BA10">
        <v>6.54</v>
      </c>
      <c r="BB10">
        <v>17.89</v>
      </c>
      <c r="BC10">
        <v>10.25</v>
      </c>
      <c r="BD10">
        <v>16.16</v>
      </c>
      <c r="BE10">
        <v>11.77</v>
      </c>
      <c r="BF10">
        <v>16.16</v>
      </c>
      <c r="BG10">
        <v>9.89</v>
      </c>
    </row>
    <row r="11" spans="1:59" x14ac:dyDescent="0.25">
      <c r="A11">
        <v>100010</v>
      </c>
      <c r="B11" t="s">
        <v>27</v>
      </c>
      <c r="C11" t="s">
        <v>34</v>
      </c>
      <c r="D11">
        <v>3.0459999999999998</v>
      </c>
      <c r="E11">
        <v>19.989999999999998</v>
      </c>
      <c r="F11" t="s">
        <v>35</v>
      </c>
      <c r="G11" t="s">
        <v>32</v>
      </c>
      <c r="H11">
        <v>2</v>
      </c>
      <c r="I11" t="b">
        <v>1</v>
      </c>
      <c r="J11">
        <v>12.49</v>
      </c>
      <c r="K11">
        <v>3</v>
      </c>
      <c r="L11" t="s">
        <v>30</v>
      </c>
      <c r="M11">
        <v>87.18</v>
      </c>
      <c r="O11" t="str">
        <f t="shared" si="0"/>
        <v>selected</v>
      </c>
      <c r="P11" t="str" cm="1">
        <f t="array" ref="P11">_xlfn.IFS(J9&gt;=10,"very good",J9&gt;=5,"good",J9&gt;=1,"not enough")</f>
        <v>very good</v>
      </c>
      <c r="Q11" t="b">
        <f t="shared" si="1"/>
        <v>1</v>
      </c>
      <c r="R11" t="b">
        <f t="shared" si="5"/>
        <v>1</v>
      </c>
      <c r="S11" t="str">
        <f t="shared" si="2"/>
        <v>pass</v>
      </c>
      <c r="T11" t="str">
        <f t="shared" si="3"/>
        <v>pass</v>
      </c>
      <c r="U11" t="b">
        <f t="shared" si="4"/>
        <v>0</v>
      </c>
      <c r="W11" t="str" cm="1">
        <f t="array" ref="W11">_xlfn.IFS(G11="Beginner","1",G11="Intermediate","2",G11="Advanced","3")</f>
        <v>2</v>
      </c>
      <c r="Y11" t="s">
        <v>10</v>
      </c>
      <c r="Z11">
        <v>5</v>
      </c>
      <c r="AA11">
        <v>3</v>
      </c>
      <c r="AB11">
        <v>5</v>
      </c>
      <c r="AC11">
        <v>2</v>
      </c>
      <c r="AD11">
        <v>4</v>
      </c>
      <c r="AE11">
        <v>4</v>
      </c>
      <c r="AF11">
        <v>8</v>
      </c>
      <c r="AG11">
        <v>2</v>
      </c>
      <c r="AH11">
        <v>1</v>
      </c>
      <c r="AI11">
        <v>3</v>
      </c>
      <c r="AJ11">
        <v>5</v>
      </c>
      <c r="AK11">
        <v>3</v>
      </c>
      <c r="AL11">
        <v>2</v>
      </c>
      <c r="AM11">
        <v>2</v>
      </c>
      <c r="AN11">
        <v>2</v>
      </c>
      <c r="AO11">
        <v>4</v>
      </c>
      <c r="AP11">
        <v>5</v>
      </c>
      <c r="AQ11">
        <v>4</v>
      </c>
      <c r="AR11">
        <v>1</v>
      </c>
      <c r="AS11">
        <v>1</v>
      </c>
      <c r="AT11">
        <v>4</v>
      </c>
      <c r="AU11">
        <v>2</v>
      </c>
      <c r="AV11">
        <v>2</v>
      </c>
      <c r="AW11">
        <v>1</v>
      </c>
      <c r="AX11">
        <v>8</v>
      </c>
      <c r="AY11">
        <v>2</v>
      </c>
      <c r="AZ11">
        <v>6</v>
      </c>
      <c r="BA11">
        <v>5</v>
      </c>
      <c r="BB11">
        <v>1</v>
      </c>
      <c r="BC11">
        <v>5</v>
      </c>
      <c r="BD11">
        <v>2</v>
      </c>
      <c r="BE11">
        <v>5</v>
      </c>
      <c r="BF11">
        <v>3</v>
      </c>
      <c r="BG11">
        <v>2</v>
      </c>
    </row>
    <row r="12" spans="1:59" x14ac:dyDescent="0.25">
      <c r="A12">
        <v>100011</v>
      </c>
      <c r="B12" t="s">
        <v>33</v>
      </c>
      <c r="C12" t="s">
        <v>38</v>
      </c>
      <c r="D12">
        <v>3.407</v>
      </c>
      <c r="E12">
        <v>5.16</v>
      </c>
      <c r="F12" t="s">
        <v>29</v>
      </c>
      <c r="G12" t="s">
        <v>25</v>
      </c>
      <c r="H12">
        <v>3</v>
      </c>
      <c r="I12" t="b">
        <v>0</v>
      </c>
      <c r="J12">
        <v>11.43</v>
      </c>
      <c r="K12">
        <v>5</v>
      </c>
      <c r="L12" t="s">
        <v>20</v>
      </c>
      <c r="M12">
        <v>95.42</v>
      </c>
      <c r="O12" t="str">
        <f t="shared" si="0"/>
        <v>selected</v>
      </c>
      <c r="P12" t="str" cm="1">
        <f t="array" ref="P12">_xlfn.IFS(J10&gt;=10,"very good",J10&gt;=5,"good",J10&gt;=1,"not enough")</f>
        <v>not enough</v>
      </c>
      <c r="Q12" t="b">
        <f>OR(J10&gt;5,E10&gt;5)</f>
        <v>0</v>
      </c>
      <c r="R12" t="b">
        <f t="shared" si="5"/>
        <v>0</v>
      </c>
      <c r="S12" t="str">
        <f t="shared" si="2"/>
        <v>fail</v>
      </c>
      <c r="T12" t="str">
        <f t="shared" si="3"/>
        <v>fail</v>
      </c>
      <c r="U12" t="b">
        <f t="shared" si="4"/>
        <v>1</v>
      </c>
      <c r="W12" t="str" cm="1">
        <f t="array" ref="W12">_xlfn.IFS(G12="Beginner","1",G12="Intermediate","2",G12="Advanced","3")</f>
        <v>3</v>
      </c>
      <c r="Y12" t="s">
        <v>11</v>
      </c>
      <c r="Z12" t="s">
        <v>20</v>
      </c>
      <c r="AA12" t="s">
        <v>20</v>
      </c>
      <c r="AB12" t="s">
        <v>30</v>
      </c>
      <c r="AC12" t="s">
        <v>20</v>
      </c>
      <c r="AD12" t="s">
        <v>20</v>
      </c>
      <c r="AE12" t="s">
        <v>20</v>
      </c>
      <c r="AF12" t="s">
        <v>20</v>
      </c>
      <c r="AG12" t="s">
        <v>37</v>
      </c>
      <c r="AH12" t="s">
        <v>30</v>
      </c>
      <c r="AI12" t="s">
        <v>30</v>
      </c>
      <c r="AJ12" t="s">
        <v>20</v>
      </c>
      <c r="AK12" t="s">
        <v>37</v>
      </c>
      <c r="AL12" t="s">
        <v>37</v>
      </c>
      <c r="AM12" t="s">
        <v>20</v>
      </c>
      <c r="AN12" t="s">
        <v>20</v>
      </c>
      <c r="AO12" t="s">
        <v>20</v>
      </c>
      <c r="AP12" t="s">
        <v>30</v>
      </c>
      <c r="AQ12" t="s">
        <v>20</v>
      </c>
      <c r="AR12" t="s">
        <v>20</v>
      </c>
      <c r="AS12" t="s">
        <v>20</v>
      </c>
      <c r="AT12" t="s">
        <v>30</v>
      </c>
      <c r="AU12" t="s">
        <v>20</v>
      </c>
      <c r="AV12" t="s">
        <v>20</v>
      </c>
      <c r="AW12" t="s">
        <v>20</v>
      </c>
      <c r="AX12" t="s">
        <v>30</v>
      </c>
      <c r="AY12" t="s">
        <v>37</v>
      </c>
      <c r="AZ12" t="s">
        <v>20</v>
      </c>
      <c r="BA12" t="s">
        <v>20</v>
      </c>
      <c r="BB12" t="s">
        <v>37</v>
      </c>
      <c r="BC12" t="s">
        <v>20</v>
      </c>
      <c r="BD12" t="s">
        <v>20</v>
      </c>
      <c r="BE12" t="s">
        <v>20</v>
      </c>
      <c r="BF12" t="s">
        <v>20</v>
      </c>
      <c r="BG12" t="s">
        <v>20</v>
      </c>
    </row>
    <row r="13" spans="1:59" x14ac:dyDescent="0.25">
      <c r="A13">
        <v>100012</v>
      </c>
      <c r="B13" t="s">
        <v>22</v>
      </c>
      <c r="C13" t="s">
        <v>23</v>
      </c>
      <c r="D13">
        <v>2.6269999999999998</v>
      </c>
      <c r="E13">
        <v>3.62</v>
      </c>
      <c r="F13" t="s">
        <v>39</v>
      </c>
      <c r="G13" t="s">
        <v>32</v>
      </c>
      <c r="H13">
        <v>3</v>
      </c>
      <c r="I13" t="b">
        <v>0</v>
      </c>
      <c r="J13">
        <v>8.0500000000000007</v>
      </c>
      <c r="K13">
        <v>3</v>
      </c>
      <c r="L13" t="s">
        <v>37</v>
      </c>
      <c r="M13">
        <v>72.41</v>
      </c>
      <c r="O13" t="str">
        <f t="shared" si="0"/>
        <v>selected</v>
      </c>
      <c r="P13" t="str" cm="1">
        <f t="array" ref="P13">_xlfn.IFS(J11&gt;=10,"very good",J11&gt;=5,"good",J11&gt;=1,"not enough")</f>
        <v>very good</v>
      </c>
      <c r="Q13" t="b">
        <f t="shared" si="1"/>
        <v>1</v>
      </c>
      <c r="R13" t="b">
        <f t="shared" si="5"/>
        <v>1</v>
      </c>
      <c r="S13" t="str">
        <f t="shared" si="2"/>
        <v>pass</v>
      </c>
      <c r="T13" t="str">
        <f t="shared" si="3"/>
        <v>pass</v>
      </c>
      <c r="U13" t="b">
        <f t="shared" si="4"/>
        <v>1</v>
      </c>
      <c r="W13" t="str" cm="1">
        <f t="array" ref="W13">_xlfn.IFS(G13="Beginner","1",G13="Intermediate","2",G13="Advanced","3")</f>
        <v>2</v>
      </c>
      <c r="Y13" t="s">
        <v>12</v>
      </c>
      <c r="Z13">
        <v>6</v>
      </c>
      <c r="AA13">
        <v>9</v>
      </c>
      <c r="AB13">
        <v>9</v>
      </c>
      <c r="AC13">
        <v>2</v>
      </c>
      <c r="AD13">
        <v>4</v>
      </c>
      <c r="AE13">
        <v>5</v>
      </c>
      <c r="AF13">
        <v>7</v>
      </c>
      <c r="AG13">
        <v>1</v>
      </c>
      <c r="AH13">
        <v>5</v>
      </c>
      <c r="AI13">
        <v>8</v>
      </c>
      <c r="AJ13">
        <v>3</v>
      </c>
      <c r="AK13">
        <v>3</v>
      </c>
      <c r="AL13">
        <v>4</v>
      </c>
      <c r="AM13">
        <v>3</v>
      </c>
      <c r="AN13">
        <v>4</v>
      </c>
      <c r="AO13">
        <v>4</v>
      </c>
      <c r="AP13">
        <v>8</v>
      </c>
      <c r="AQ13">
        <v>5</v>
      </c>
      <c r="AR13">
        <v>2</v>
      </c>
      <c r="AS13">
        <v>4</v>
      </c>
      <c r="AT13">
        <v>3</v>
      </c>
      <c r="AU13">
        <v>6</v>
      </c>
      <c r="AV13">
        <v>3</v>
      </c>
      <c r="AW13">
        <v>8</v>
      </c>
      <c r="AX13">
        <v>7</v>
      </c>
      <c r="AY13">
        <v>2</v>
      </c>
      <c r="AZ13">
        <v>2</v>
      </c>
      <c r="BA13">
        <v>1</v>
      </c>
      <c r="BB13">
        <v>4</v>
      </c>
      <c r="BC13">
        <v>4</v>
      </c>
      <c r="BD13">
        <v>6</v>
      </c>
      <c r="BE13">
        <v>5</v>
      </c>
      <c r="BF13">
        <v>5</v>
      </c>
      <c r="BG13">
        <v>1</v>
      </c>
    </row>
    <row r="14" spans="1:59" x14ac:dyDescent="0.25">
      <c r="A14">
        <v>100013</v>
      </c>
      <c r="B14" t="s">
        <v>36</v>
      </c>
      <c r="C14" t="s">
        <v>17</v>
      </c>
      <c r="D14">
        <v>3.4790000000000001</v>
      </c>
      <c r="E14">
        <v>2.86</v>
      </c>
      <c r="F14" t="s">
        <v>18</v>
      </c>
      <c r="G14" t="s">
        <v>19</v>
      </c>
      <c r="H14">
        <v>2</v>
      </c>
      <c r="I14" t="b">
        <v>0</v>
      </c>
      <c r="J14">
        <v>8.9499999999999993</v>
      </c>
      <c r="K14">
        <v>2</v>
      </c>
      <c r="L14" t="s">
        <v>37</v>
      </c>
      <c r="M14">
        <v>67.680000000000007</v>
      </c>
      <c r="O14" t="str">
        <f t="shared" si="0"/>
        <v>selected</v>
      </c>
      <c r="P14" t="str" cm="1">
        <f t="array" ref="P14">_xlfn.IFS(J12&gt;=10,"very good",J12&gt;=5,"good",J12&gt;=1,"not enough")</f>
        <v>very good</v>
      </c>
      <c r="Q14" t="b">
        <f t="shared" si="1"/>
        <v>1</v>
      </c>
      <c r="R14" t="b">
        <f t="shared" si="5"/>
        <v>1</v>
      </c>
      <c r="S14" t="str">
        <f t="shared" si="2"/>
        <v>pass</v>
      </c>
      <c r="T14" t="str">
        <f t="shared" si="3"/>
        <v>pass</v>
      </c>
      <c r="U14" t="b">
        <f t="shared" si="4"/>
        <v>1</v>
      </c>
      <c r="W14" t="str" cm="1">
        <f t="array" ref="W14">_xlfn.IFS(G14="Beginner","1",G14="Intermediate","2",G14="Advanced","3")</f>
        <v>1</v>
      </c>
      <c r="Y14" t="s">
        <v>13</v>
      </c>
      <c r="Z14">
        <v>2.3929999999999998</v>
      </c>
      <c r="AA14">
        <v>3.6960000000000002</v>
      </c>
      <c r="AB14">
        <v>3.4990000000000001</v>
      </c>
      <c r="AC14">
        <v>4</v>
      </c>
      <c r="AD14">
        <v>3.798</v>
      </c>
      <c r="AE14">
        <v>3.6659999999999999</v>
      </c>
      <c r="AF14">
        <v>4</v>
      </c>
      <c r="AG14">
        <v>2.9649999999999999</v>
      </c>
      <c r="AH14">
        <v>3.3959999999999999</v>
      </c>
      <c r="AI14">
        <v>2.9780000000000002</v>
      </c>
      <c r="AJ14">
        <v>3.617</v>
      </c>
      <c r="AK14">
        <v>2.6989999999999998</v>
      </c>
      <c r="AL14">
        <v>3.6120000000000001</v>
      </c>
      <c r="AM14">
        <v>3.9350000000000001</v>
      </c>
      <c r="AN14">
        <v>3.1219999999999999</v>
      </c>
      <c r="AO14">
        <v>2.2280000000000002</v>
      </c>
      <c r="AP14">
        <v>3.214</v>
      </c>
      <c r="AQ14">
        <v>3.39</v>
      </c>
      <c r="AR14">
        <v>3.4119999999999999</v>
      </c>
      <c r="AS14">
        <v>3.1869999999999998</v>
      </c>
      <c r="AT14">
        <v>2.758</v>
      </c>
      <c r="AU14">
        <v>3.3580000000000001</v>
      </c>
      <c r="AV14">
        <v>3.7490000000000001</v>
      </c>
      <c r="AW14">
        <v>3.76</v>
      </c>
      <c r="AX14">
        <v>2.5880000000000001</v>
      </c>
      <c r="AY14">
        <v>4</v>
      </c>
      <c r="AZ14">
        <v>3.8220000000000001</v>
      </c>
      <c r="BA14">
        <v>3.4870000000000001</v>
      </c>
      <c r="BB14">
        <v>3.0880000000000001</v>
      </c>
      <c r="BC14">
        <v>4</v>
      </c>
      <c r="BD14">
        <v>3.9889999999999999</v>
      </c>
      <c r="BE14">
        <v>1.3420000000000001</v>
      </c>
      <c r="BF14">
        <v>3.2759999999999998</v>
      </c>
      <c r="BG14">
        <v>3.335</v>
      </c>
    </row>
    <row r="15" spans="1:59" x14ac:dyDescent="0.25">
      <c r="A15">
        <v>100014</v>
      </c>
      <c r="B15" t="s">
        <v>33</v>
      </c>
      <c r="C15" t="s">
        <v>23</v>
      </c>
      <c r="D15">
        <v>3.2250000000000001</v>
      </c>
      <c r="E15">
        <v>8.9499999999999993</v>
      </c>
      <c r="F15" t="s">
        <v>39</v>
      </c>
      <c r="G15" t="s">
        <v>19</v>
      </c>
      <c r="H15">
        <v>1</v>
      </c>
      <c r="I15" t="b">
        <v>0</v>
      </c>
      <c r="J15">
        <v>25.3</v>
      </c>
      <c r="K15">
        <v>2</v>
      </c>
      <c r="L15" t="s">
        <v>20</v>
      </c>
      <c r="M15">
        <v>31.47</v>
      </c>
      <c r="O15" t="str">
        <f t="shared" si="0"/>
        <v>selected</v>
      </c>
      <c r="P15" t="str" cm="1">
        <f t="array" ref="P15">_xlfn.IFS(J13&gt;=10,"very good",J13&gt;=5,"good",J13&gt;=1,"not enough")</f>
        <v>good</v>
      </c>
      <c r="Q15" t="b">
        <f t="shared" si="1"/>
        <v>1</v>
      </c>
      <c r="R15" t="b">
        <f>AND(J13&gt;5,E13&gt;5)</f>
        <v>0</v>
      </c>
      <c r="S15" t="str">
        <f t="shared" si="2"/>
        <v>pass</v>
      </c>
      <c r="T15" t="str">
        <f t="shared" si="3"/>
        <v>fail</v>
      </c>
      <c r="U15" t="b">
        <f t="shared" si="4"/>
        <v>0</v>
      </c>
      <c r="W15" t="str" cm="1">
        <f t="array" ref="W15">_xlfn.IFS(G15="Beginner","1",G15="Intermediate","2",G15="Advanced","3")</f>
        <v>1</v>
      </c>
      <c r="Y15" t="s">
        <v>14</v>
      </c>
      <c r="Z15">
        <v>86.44</v>
      </c>
      <c r="AA15">
        <v>69.39</v>
      </c>
      <c r="AB15">
        <v>73.930000000000007</v>
      </c>
      <c r="AC15">
        <v>63.58</v>
      </c>
      <c r="AD15">
        <v>100</v>
      </c>
      <c r="AE15">
        <v>65.92</v>
      </c>
      <c r="AF15">
        <v>67.97</v>
      </c>
      <c r="AG15">
        <v>85.09</v>
      </c>
      <c r="AH15">
        <v>55.71</v>
      </c>
      <c r="AI15">
        <v>87.18</v>
      </c>
      <c r="AJ15">
        <v>95.42</v>
      </c>
      <c r="AK15">
        <v>72.41</v>
      </c>
      <c r="AL15">
        <v>67.680000000000007</v>
      </c>
      <c r="AM15">
        <v>64.47</v>
      </c>
      <c r="AN15">
        <v>70.7</v>
      </c>
      <c r="AO15">
        <v>70.66</v>
      </c>
      <c r="AP15">
        <v>59.69</v>
      </c>
      <c r="AQ15">
        <v>90.65</v>
      </c>
      <c r="AR15">
        <v>53.95</v>
      </c>
      <c r="AS15">
        <v>74.23</v>
      </c>
      <c r="AT15">
        <v>78.28</v>
      </c>
      <c r="AU15">
        <v>67.56</v>
      </c>
      <c r="AV15">
        <v>68.81</v>
      </c>
      <c r="AW15">
        <v>55.33</v>
      </c>
      <c r="AX15">
        <v>63.38</v>
      </c>
      <c r="AY15">
        <v>81.849999999999994</v>
      </c>
      <c r="AZ15">
        <v>82.36</v>
      </c>
      <c r="BA15">
        <v>67.739999999999995</v>
      </c>
      <c r="BB15">
        <v>74.67</v>
      </c>
      <c r="BC15">
        <v>61.29</v>
      </c>
      <c r="BD15">
        <v>88.44</v>
      </c>
      <c r="BE15">
        <v>56.81</v>
      </c>
      <c r="BF15">
        <v>74.03</v>
      </c>
      <c r="BG15">
        <v>89.14</v>
      </c>
    </row>
    <row r="16" spans="1:59" x14ac:dyDescent="0.25">
      <c r="A16">
        <v>100015</v>
      </c>
      <c r="B16" t="s">
        <v>33</v>
      </c>
      <c r="C16" t="s">
        <v>28</v>
      </c>
      <c r="D16">
        <v>3.202</v>
      </c>
      <c r="E16">
        <v>1.22</v>
      </c>
      <c r="F16" t="s">
        <v>18</v>
      </c>
      <c r="G16" t="s">
        <v>19</v>
      </c>
      <c r="H16">
        <v>1</v>
      </c>
      <c r="I16" t="b">
        <v>0</v>
      </c>
      <c r="J16">
        <v>16.52</v>
      </c>
      <c r="K16">
        <v>2</v>
      </c>
      <c r="L16" t="s">
        <v>20</v>
      </c>
      <c r="M16">
        <v>30.7</v>
      </c>
      <c r="O16" t="str">
        <f t="shared" si="0"/>
        <v>selected</v>
      </c>
      <c r="P16" t="str" cm="1">
        <f t="array" ref="P16">_xlfn.IFS(J14&gt;=10,"very good",J14&gt;=5,"good",J14&gt;=1,"not enough")</f>
        <v>good</v>
      </c>
      <c r="Q16" t="b">
        <f t="shared" si="1"/>
        <v>1</v>
      </c>
      <c r="R16" t="b">
        <f t="shared" si="5"/>
        <v>0</v>
      </c>
      <c r="S16" t="str">
        <f t="shared" si="2"/>
        <v>pass</v>
      </c>
      <c r="T16" t="str">
        <f t="shared" si="3"/>
        <v>fail</v>
      </c>
      <c r="U16" t="b">
        <f t="shared" si="4"/>
        <v>1</v>
      </c>
      <c r="W16" t="str" cm="1">
        <f t="array" ref="W16">_xlfn.IFS(G16="Beginner","1",G16="Intermediate","2",G16="Advanced","3")</f>
        <v>1</v>
      </c>
      <c r="Y16" t="s">
        <v>15</v>
      </c>
      <c r="Z16" t="s">
        <v>21</v>
      </c>
      <c r="AA16" t="s">
        <v>26</v>
      </c>
      <c r="AB16" t="s">
        <v>31</v>
      </c>
      <c r="AC16" t="s">
        <v>31</v>
      </c>
      <c r="AD16" t="s">
        <v>31</v>
      </c>
      <c r="AE16" t="s">
        <v>21</v>
      </c>
      <c r="AF16" t="s">
        <v>31</v>
      </c>
      <c r="AG16" t="s">
        <v>31</v>
      </c>
      <c r="AH16" t="s">
        <v>31</v>
      </c>
      <c r="AI16" t="s">
        <v>21</v>
      </c>
      <c r="AJ16" t="s">
        <v>21</v>
      </c>
      <c r="AK16" t="s">
        <v>31</v>
      </c>
      <c r="AL16" t="s">
        <v>21</v>
      </c>
      <c r="AM16" t="s">
        <v>31</v>
      </c>
      <c r="AN16" t="s">
        <v>26</v>
      </c>
      <c r="AO16" t="s">
        <v>31</v>
      </c>
      <c r="AP16" t="s">
        <v>31</v>
      </c>
      <c r="AQ16" t="s">
        <v>31</v>
      </c>
      <c r="AR16" t="s">
        <v>31</v>
      </c>
      <c r="AS16" t="s">
        <v>31</v>
      </c>
      <c r="AT16" t="s">
        <v>26</v>
      </c>
      <c r="AU16" t="s">
        <v>26</v>
      </c>
      <c r="AV16" t="s">
        <v>31</v>
      </c>
      <c r="AW16" t="s">
        <v>26</v>
      </c>
      <c r="AX16" t="s">
        <v>31</v>
      </c>
      <c r="AY16" t="s">
        <v>21</v>
      </c>
      <c r="AZ16" t="s">
        <v>31</v>
      </c>
      <c r="BA16" t="s">
        <v>21</v>
      </c>
      <c r="BB16" t="s">
        <v>26</v>
      </c>
      <c r="BC16" t="s">
        <v>31</v>
      </c>
      <c r="BD16" t="s">
        <v>26</v>
      </c>
      <c r="BE16" t="s">
        <v>31</v>
      </c>
      <c r="BF16" t="s">
        <v>31</v>
      </c>
      <c r="BG16" t="s">
        <v>31</v>
      </c>
    </row>
    <row r="17" spans="1:33" x14ac:dyDescent="0.25">
      <c r="A17">
        <v>100016</v>
      </c>
      <c r="B17" t="s">
        <v>33</v>
      </c>
      <c r="C17" t="s">
        <v>17</v>
      </c>
      <c r="D17">
        <v>2.0760000000000001</v>
      </c>
      <c r="E17">
        <v>14.74</v>
      </c>
      <c r="F17" t="s">
        <v>35</v>
      </c>
      <c r="G17" t="s">
        <v>19</v>
      </c>
      <c r="H17">
        <v>1</v>
      </c>
      <c r="I17" t="b">
        <v>1</v>
      </c>
      <c r="J17">
        <v>12.59</v>
      </c>
      <c r="K17">
        <v>4</v>
      </c>
      <c r="L17" t="s">
        <v>20</v>
      </c>
      <c r="M17">
        <v>70.66</v>
      </c>
      <c r="O17" t="str">
        <f t="shared" si="0"/>
        <v>not selected</v>
      </c>
      <c r="P17" t="str" cm="1">
        <f t="array" ref="P17">_xlfn.IFS(J15&gt;=10,"very good",J15&gt;=5,"good",J15&gt;=1,"not enough")</f>
        <v>very good</v>
      </c>
      <c r="Q17" t="b">
        <f t="shared" si="1"/>
        <v>1</v>
      </c>
      <c r="R17" t="b">
        <f t="shared" si="5"/>
        <v>1</v>
      </c>
      <c r="S17" t="str">
        <f t="shared" si="2"/>
        <v>pass</v>
      </c>
      <c r="T17" t="str">
        <f t="shared" si="3"/>
        <v>pass</v>
      </c>
      <c r="U17" t="b">
        <f t="shared" si="4"/>
        <v>1</v>
      </c>
      <c r="W17" t="str" cm="1">
        <f t="array" ref="W17">_xlfn.IFS(G17="Beginner","1",G17="Intermediate","2",G17="Advanced","3")</f>
        <v>1</v>
      </c>
    </row>
    <row r="18" spans="1:33" x14ac:dyDescent="0.25">
      <c r="A18">
        <v>100017</v>
      </c>
      <c r="B18" t="s">
        <v>16</v>
      </c>
      <c r="C18" t="s">
        <v>34</v>
      </c>
      <c r="D18">
        <v>2.931</v>
      </c>
      <c r="E18">
        <v>2.08</v>
      </c>
      <c r="F18" t="s">
        <v>39</v>
      </c>
      <c r="G18" t="s">
        <v>25</v>
      </c>
      <c r="H18">
        <v>3</v>
      </c>
      <c r="I18" t="b">
        <v>0</v>
      </c>
      <c r="J18">
        <v>15.15</v>
      </c>
      <c r="K18">
        <v>5</v>
      </c>
      <c r="L18" t="s">
        <v>30</v>
      </c>
      <c r="M18">
        <v>59.69</v>
      </c>
      <c r="O18" t="str">
        <f t="shared" si="0"/>
        <v>not selected</v>
      </c>
      <c r="P18" t="str" cm="1">
        <f t="array" ref="P18">_xlfn.IFS(J16&gt;=10,"very good",J16&gt;=5,"good",J16&gt;=1,"not enough")</f>
        <v>very good</v>
      </c>
      <c r="Q18" t="b">
        <f t="shared" si="1"/>
        <v>1</v>
      </c>
      <c r="R18" t="b">
        <f t="shared" si="5"/>
        <v>0</v>
      </c>
      <c r="S18" t="str">
        <f t="shared" si="2"/>
        <v>pass</v>
      </c>
      <c r="T18" t="str">
        <f t="shared" si="3"/>
        <v>fail</v>
      </c>
      <c r="U18" t="b">
        <f t="shared" si="4"/>
        <v>1</v>
      </c>
      <c r="W18" t="str" cm="1">
        <f t="array" ref="W18">_xlfn.IFS(G18="Beginner","1",G18="Intermediate","2",G18="Advanced","3")</f>
        <v>3</v>
      </c>
    </row>
    <row r="19" spans="1:33" x14ac:dyDescent="0.25">
      <c r="A19">
        <v>100018</v>
      </c>
      <c r="B19" t="s">
        <v>27</v>
      </c>
      <c r="C19" t="s">
        <v>17</v>
      </c>
      <c r="D19">
        <v>3.1560000000000001</v>
      </c>
      <c r="E19">
        <v>8.0299999999999994</v>
      </c>
      <c r="F19" t="s">
        <v>39</v>
      </c>
      <c r="G19" t="s">
        <v>25</v>
      </c>
      <c r="H19">
        <v>4</v>
      </c>
      <c r="I19" t="b">
        <v>0</v>
      </c>
      <c r="J19">
        <v>10.7</v>
      </c>
      <c r="K19">
        <v>4</v>
      </c>
      <c r="L19" t="s">
        <v>20</v>
      </c>
      <c r="M19">
        <v>90.65</v>
      </c>
      <c r="O19" t="str">
        <f t="shared" si="0"/>
        <v>selected</v>
      </c>
      <c r="P19" t="str" cm="1">
        <f t="array" ref="P19">_xlfn.IFS(J17&gt;=10,"very good",J17&gt;=5,"good",J17&gt;=1,"not enough")</f>
        <v>very good</v>
      </c>
      <c r="Q19" t="b">
        <f t="shared" si="1"/>
        <v>1</v>
      </c>
      <c r="R19" t="b">
        <f t="shared" si="5"/>
        <v>1</v>
      </c>
      <c r="S19" t="str">
        <f t="shared" si="2"/>
        <v>pass</v>
      </c>
      <c r="T19" t="str">
        <f t="shared" si="3"/>
        <v>pass</v>
      </c>
      <c r="U19" t="b">
        <f t="shared" si="4"/>
        <v>0</v>
      </c>
      <c r="W19" t="str" cm="1">
        <f t="array" ref="W19">_xlfn.IFS(G19="Beginner","1",G19="Intermediate","2",G19="Advanced","3")</f>
        <v>3</v>
      </c>
      <c r="Y19" s="1" t="s">
        <v>43</v>
      </c>
      <c r="Z19" t="s">
        <v>71</v>
      </c>
      <c r="AA19" t="s">
        <v>72</v>
      </c>
      <c r="AB19" t="s">
        <v>73</v>
      </c>
    </row>
    <row r="20" spans="1:33" x14ac:dyDescent="0.25">
      <c r="A20">
        <v>100019</v>
      </c>
      <c r="B20" t="s">
        <v>16</v>
      </c>
      <c r="C20" t="s">
        <v>23</v>
      </c>
      <c r="D20">
        <v>2.9750000000000001</v>
      </c>
      <c r="E20">
        <v>0.51</v>
      </c>
      <c r="F20" t="s">
        <v>29</v>
      </c>
      <c r="G20" t="s">
        <v>19</v>
      </c>
      <c r="H20">
        <v>1</v>
      </c>
      <c r="I20" t="b">
        <v>0</v>
      </c>
      <c r="J20">
        <v>10.84</v>
      </c>
      <c r="K20">
        <v>1</v>
      </c>
      <c r="L20" t="s">
        <v>20</v>
      </c>
      <c r="M20">
        <v>53.95</v>
      </c>
      <c r="O20" t="str">
        <f t="shared" si="0"/>
        <v>selected</v>
      </c>
      <c r="P20" t="str" cm="1">
        <f t="array" ref="P20">_xlfn.IFS(J18&gt;=10,"very good",J18&gt;=5,"good",J18&gt;=1,"not enough")</f>
        <v>very good</v>
      </c>
      <c r="Q20" t="b">
        <f t="shared" si="1"/>
        <v>1</v>
      </c>
      <c r="R20" t="b">
        <f t="shared" si="5"/>
        <v>0</v>
      </c>
      <c r="S20" t="str">
        <f t="shared" si="2"/>
        <v>pass</v>
      </c>
      <c r="T20" t="str">
        <f t="shared" si="3"/>
        <v>fail</v>
      </c>
      <c r="U20" t="b">
        <f t="shared" si="4"/>
        <v>0</v>
      </c>
      <c r="W20" t="str" cm="1">
        <f t="array" ref="W20">_xlfn.IFS(G20="Beginner","1",G20="Intermediate","2",G20="Advanced","3")</f>
        <v>1</v>
      </c>
      <c r="Z20" s="2" t="s">
        <v>44</v>
      </c>
      <c r="AA20" s="2" t="s">
        <v>45</v>
      </c>
      <c r="AB20" s="2" t="s">
        <v>46</v>
      </c>
      <c r="AF20" s="1" t="s">
        <v>49</v>
      </c>
      <c r="AG20" s="2" t="s">
        <v>50</v>
      </c>
    </row>
    <row r="21" spans="1:33" x14ac:dyDescent="0.25">
      <c r="A21">
        <v>100020</v>
      </c>
      <c r="B21" t="s">
        <v>33</v>
      </c>
      <c r="C21" t="s">
        <v>34</v>
      </c>
      <c r="D21">
        <v>3.3050000000000002</v>
      </c>
      <c r="E21">
        <v>0.2</v>
      </c>
      <c r="F21" t="s">
        <v>35</v>
      </c>
      <c r="G21" t="s">
        <v>32</v>
      </c>
      <c r="H21">
        <v>4</v>
      </c>
      <c r="I21" t="b">
        <v>0</v>
      </c>
      <c r="J21">
        <v>3.69</v>
      </c>
      <c r="K21">
        <v>1</v>
      </c>
      <c r="L21" t="s">
        <v>20</v>
      </c>
      <c r="M21">
        <v>74.23</v>
      </c>
      <c r="O21" t="str">
        <f t="shared" si="0"/>
        <v>selected</v>
      </c>
      <c r="P21" t="str" cm="1">
        <f t="array" ref="P21">_xlfn.IFS(J19&gt;=10,"very good",J19&gt;=5,"good",J19&gt;=1,"not enough")</f>
        <v>very good</v>
      </c>
      <c r="Q21" t="b">
        <f t="shared" si="1"/>
        <v>1</v>
      </c>
      <c r="R21" t="b">
        <f t="shared" si="5"/>
        <v>1</v>
      </c>
      <c r="S21" t="str">
        <f t="shared" si="2"/>
        <v>pass</v>
      </c>
      <c r="T21" t="str">
        <f t="shared" si="3"/>
        <v>pass</v>
      </c>
      <c r="U21" t="b">
        <f t="shared" si="4"/>
        <v>1</v>
      </c>
      <c r="W21" t="str" cm="1">
        <f t="array" ref="W21">_xlfn.IFS(G21="Beginner","1",G21="Intermediate","2",G21="Advanced","3")</f>
        <v>2</v>
      </c>
      <c r="Y21">
        <v>100008</v>
      </c>
      <c r="Z21" t="str">
        <f>HLOOKUP(AG1,Z1:BG16,3,0)</f>
        <v>Junior</v>
      </c>
      <c r="AA21">
        <f>HLOOKUP(AG1,Z1:AV16,5,0)</f>
        <v>5.33</v>
      </c>
      <c r="AB21" t="str">
        <f>HLOOKUP(AG1,Z1:AM16,16,0)</f>
        <v>Medium</v>
      </c>
      <c r="AF21">
        <v>100011</v>
      </c>
      <c r="AG21">
        <f>_xlfn.XLOOKUP(AJ1,Z1:BG1,Z10:BG10,"not Found",0,1)</f>
        <v>11.43</v>
      </c>
    </row>
    <row r="22" spans="1:33" x14ac:dyDescent="0.25">
      <c r="A22">
        <v>100021</v>
      </c>
      <c r="B22" t="s">
        <v>27</v>
      </c>
      <c r="C22" t="s">
        <v>34</v>
      </c>
      <c r="D22">
        <v>2.6360000000000001</v>
      </c>
      <c r="E22">
        <v>1.63</v>
      </c>
      <c r="F22" t="s">
        <v>18</v>
      </c>
      <c r="G22" t="s">
        <v>32</v>
      </c>
      <c r="H22">
        <v>4</v>
      </c>
      <c r="I22" t="b">
        <v>0</v>
      </c>
      <c r="J22">
        <v>18.71</v>
      </c>
      <c r="K22">
        <v>4</v>
      </c>
      <c r="L22" t="s">
        <v>30</v>
      </c>
      <c r="M22">
        <v>78.28</v>
      </c>
      <c r="O22" t="str">
        <f t="shared" si="0"/>
        <v>selected</v>
      </c>
      <c r="P22" t="str" cm="1">
        <f t="array" ref="P22">_xlfn.IFS(J20&gt;=10,"very good",J20&gt;=5,"good",J20&gt;=1,"not enough")</f>
        <v>very good</v>
      </c>
      <c r="Q22" t="b">
        <f t="shared" si="1"/>
        <v>1</v>
      </c>
      <c r="R22" t="b">
        <f t="shared" si="5"/>
        <v>0</v>
      </c>
      <c r="S22" t="str">
        <f t="shared" si="2"/>
        <v>pass</v>
      </c>
      <c r="T22" t="str">
        <f t="shared" si="3"/>
        <v>fail</v>
      </c>
      <c r="U22" t="b">
        <f t="shared" si="4"/>
        <v>0</v>
      </c>
      <c r="W22" t="str" cm="1">
        <f t="array" ref="W22">_xlfn.IFS(G22="Beginner","1",G22="Intermediate","2",G22="Advanced","3")</f>
        <v>2</v>
      </c>
      <c r="Y22">
        <v>100017</v>
      </c>
      <c r="Z22" t="str">
        <f>HLOOKUP(AP1,Z1:AT16,3,0)</f>
        <v>Sophomore</v>
      </c>
      <c r="AA22">
        <f>HLOOKUP(AP1,Z1:AV16,5,0)</f>
        <v>2.08</v>
      </c>
      <c r="AB22" t="str">
        <f>HLOOKUP(AP1,Z1:AT16,16,0)</f>
        <v>Medium</v>
      </c>
      <c r="AF22">
        <v>100015</v>
      </c>
      <c r="AG22">
        <f>_xlfn.XLOOKUP(AN1,Z1:AQ1,Z10:AQ10,"not Found",0,1)</f>
        <v>16.52</v>
      </c>
    </row>
    <row r="23" spans="1:33" x14ac:dyDescent="0.25">
      <c r="A23">
        <v>100022</v>
      </c>
      <c r="B23" t="s">
        <v>33</v>
      </c>
      <c r="C23" t="s">
        <v>17</v>
      </c>
      <c r="D23">
        <v>3.5289999999999999</v>
      </c>
      <c r="E23">
        <v>4.91</v>
      </c>
      <c r="F23" t="s">
        <v>35</v>
      </c>
      <c r="G23" t="s">
        <v>19</v>
      </c>
      <c r="H23">
        <v>1</v>
      </c>
      <c r="I23" t="b">
        <v>0</v>
      </c>
      <c r="J23">
        <v>15.78</v>
      </c>
      <c r="K23">
        <v>2</v>
      </c>
      <c r="L23" t="s">
        <v>20</v>
      </c>
      <c r="M23">
        <v>27.56</v>
      </c>
      <c r="O23" t="str">
        <f t="shared" si="0"/>
        <v>selected</v>
      </c>
      <c r="P23" t="str" cm="1">
        <f t="array" ref="P23">_xlfn.IFS(J21&gt;=10,"very good",J21&gt;=5,"good",J21&gt;=1,"not enough")</f>
        <v>not enough</v>
      </c>
      <c r="Q23" t="b">
        <f>OR(J21&gt;5,E21&gt;5)</f>
        <v>0</v>
      </c>
      <c r="R23" t="b">
        <f t="shared" si="5"/>
        <v>0</v>
      </c>
      <c r="S23" t="str">
        <f t="shared" si="2"/>
        <v>fail</v>
      </c>
      <c r="T23" t="str">
        <f t="shared" si="3"/>
        <v>fail</v>
      </c>
      <c r="U23" t="b">
        <f t="shared" si="4"/>
        <v>1</v>
      </c>
      <c r="W23" t="str" cm="1">
        <f t="array" ref="W23">_xlfn.IFS(G23="Beginner","1",G23="Intermediate","2",G23="Advanced","3")</f>
        <v>1</v>
      </c>
    </row>
    <row r="24" spans="1:33" x14ac:dyDescent="0.25">
      <c r="A24">
        <v>100023</v>
      </c>
      <c r="B24" t="s">
        <v>33</v>
      </c>
      <c r="C24" t="s">
        <v>23</v>
      </c>
      <c r="D24">
        <v>3.5510000000000002</v>
      </c>
      <c r="E24">
        <v>10.48</v>
      </c>
      <c r="F24" t="s">
        <v>18</v>
      </c>
      <c r="G24" t="s">
        <v>32</v>
      </c>
      <c r="H24">
        <v>2</v>
      </c>
      <c r="I24" t="b">
        <v>1</v>
      </c>
      <c r="J24">
        <v>2.75</v>
      </c>
      <c r="K24">
        <v>2</v>
      </c>
      <c r="L24" t="s">
        <v>20</v>
      </c>
      <c r="M24">
        <v>68.81</v>
      </c>
      <c r="O24" t="str">
        <f t="shared" si="0"/>
        <v>selected</v>
      </c>
      <c r="P24" t="str" cm="1">
        <f t="array" ref="P24">_xlfn.IFS(J22&gt;=10,"very good",J22&gt;=5,"good",J22&gt;=1,"not enough")</f>
        <v>very good</v>
      </c>
      <c r="Q24" t="b">
        <f t="shared" si="1"/>
        <v>1</v>
      </c>
      <c r="R24" t="b">
        <f t="shared" si="5"/>
        <v>0</v>
      </c>
      <c r="S24" t="str">
        <f t="shared" si="2"/>
        <v>pass</v>
      </c>
      <c r="T24" t="str">
        <f t="shared" si="3"/>
        <v>fail</v>
      </c>
      <c r="U24" t="b">
        <f t="shared" si="4"/>
        <v>0</v>
      </c>
      <c r="W24" t="str" cm="1">
        <f t="array" ref="W24">_xlfn.IFS(G24="Beginner","1",G24="Intermediate","2",G24="Advanced","3")</f>
        <v>2</v>
      </c>
    </row>
    <row r="25" spans="1:33" x14ac:dyDescent="0.25">
      <c r="A25">
        <v>100024</v>
      </c>
      <c r="B25" t="s">
        <v>16</v>
      </c>
      <c r="C25" t="s">
        <v>17</v>
      </c>
      <c r="D25">
        <v>3.5790000000000002</v>
      </c>
      <c r="E25">
        <v>0.45</v>
      </c>
      <c r="F25" t="s">
        <v>24</v>
      </c>
      <c r="G25" t="s">
        <v>19</v>
      </c>
      <c r="H25">
        <v>1</v>
      </c>
      <c r="I25" t="b">
        <v>1</v>
      </c>
      <c r="J25">
        <v>10.61</v>
      </c>
      <c r="K25">
        <v>1</v>
      </c>
      <c r="L25" t="s">
        <v>20</v>
      </c>
      <c r="M25">
        <v>55.33</v>
      </c>
      <c r="O25" t="str">
        <f t="shared" si="0"/>
        <v>not selected</v>
      </c>
      <c r="P25" t="str" cm="1">
        <f t="array" ref="P25">_xlfn.IFS(J23&gt;=10,"very good",J23&gt;=5,"good",J23&gt;=1,"not enough")</f>
        <v>very good</v>
      </c>
      <c r="Q25" t="b">
        <f t="shared" si="1"/>
        <v>1</v>
      </c>
      <c r="R25" t="b">
        <f t="shared" si="5"/>
        <v>0</v>
      </c>
      <c r="S25" t="str">
        <f t="shared" si="2"/>
        <v>pass</v>
      </c>
      <c r="T25" t="str">
        <f t="shared" si="3"/>
        <v>fail</v>
      </c>
      <c r="U25" t="b">
        <f t="shared" si="4"/>
        <v>1</v>
      </c>
      <c r="W25" t="str" cm="1">
        <f t="array" ref="W25">_xlfn.IFS(G25="Beginner","1",G25="Intermediate","2",G25="Advanced","3")</f>
        <v>1</v>
      </c>
    </row>
    <row r="26" spans="1:33" x14ac:dyDescent="0.25">
      <c r="A26">
        <v>100025</v>
      </c>
      <c r="B26" t="s">
        <v>16</v>
      </c>
      <c r="C26" t="s">
        <v>28</v>
      </c>
      <c r="D26">
        <v>2.3639999999999999</v>
      </c>
      <c r="E26">
        <v>28.72</v>
      </c>
      <c r="F26" t="s">
        <v>18</v>
      </c>
      <c r="G26" t="s">
        <v>19</v>
      </c>
      <c r="H26">
        <v>1</v>
      </c>
      <c r="I26" t="b">
        <v>0</v>
      </c>
      <c r="J26">
        <v>8.24</v>
      </c>
      <c r="K26">
        <v>8</v>
      </c>
      <c r="L26" t="s">
        <v>30</v>
      </c>
      <c r="M26">
        <v>63.38</v>
      </c>
      <c r="O26" t="str">
        <f t="shared" si="0"/>
        <v>selected</v>
      </c>
      <c r="P26" t="str" cm="1">
        <f t="array" ref="P26">_xlfn.IFS(J24&gt;=10,"very good",J24&gt;=5,"good",J24&gt;=1,"not enough")</f>
        <v>not enough</v>
      </c>
      <c r="Q26" t="b">
        <f t="shared" si="1"/>
        <v>1</v>
      </c>
      <c r="R26" t="b">
        <f t="shared" si="5"/>
        <v>0</v>
      </c>
      <c r="S26" t="str">
        <f t="shared" si="2"/>
        <v>pass</v>
      </c>
      <c r="T26" t="str">
        <f t="shared" si="3"/>
        <v>fail</v>
      </c>
      <c r="U26" t="b">
        <f t="shared" si="4"/>
        <v>1</v>
      </c>
      <c r="W26" t="str" cm="1">
        <f t="array" ref="W26">_xlfn.IFS(G26="Beginner","1",G26="Intermediate","2",G26="Advanced","3")</f>
        <v>1</v>
      </c>
    </row>
    <row r="27" spans="1:33" x14ac:dyDescent="0.25">
      <c r="A27">
        <v>100026</v>
      </c>
      <c r="B27" t="s">
        <v>36</v>
      </c>
      <c r="C27" t="s">
        <v>17</v>
      </c>
      <c r="D27">
        <v>3.3079999999999998</v>
      </c>
      <c r="E27">
        <v>2.38</v>
      </c>
      <c r="F27" t="s">
        <v>24</v>
      </c>
      <c r="G27" t="s">
        <v>25</v>
      </c>
      <c r="H27">
        <v>4</v>
      </c>
      <c r="I27" t="b">
        <v>1</v>
      </c>
      <c r="J27">
        <v>11.33</v>
      </c>
      <c r="K27">
        <v>2</v>
      </c>
      <c r="L27" t="s">
        <v>37</v>
      </c>
      <c r="M27">
        <v>81.849999999999994</v>
      </c>
      <c r="O27" t="str">
        <f t="shared" si="0"/>
        <v>selected</v>
      </c>
      <c r="P27" t="str" cm="1">
        <f t="array" ref="P27">_xlfn.IFS(J25&gt;=10,"very good",J25&gt;=5,"good",J25&gt;=1,"not enough")</f>
        <v>very good</v>
      </c>
      <c r="Q27" t="b">
        <f t="shared" si="1"/>
        <v>1</v>
      </c>
      <c r="R27" t="b">
        <f t="shared" si="5"/>
        <v>0</v>
      </c>
      <c r="S27" t="str">
        <f t="shared" si="2"/>
        <v>pass</v>
      </c>
      <c r="T27" t="str">
        <f t="shared" si="3"/>
        <v>fail</v>
      </c>
      <c r="U27" t="b">
        <f t="shared" si="4"/>
        <v>1</v>
      </c>
      <c r="W27" t="str" cm="1">
        <f t="array" ref="W27">_xlfn.IFS(G27="Beginner","1",G27="Intermediate","2",G27="Advanced","3")</f>
        <v>3</v>
      </c>
    </row>
    <row r="28" spans="1:33" x14ac:dyDescent="0.25">
      <c r="A28">
        <v>100027</v>
      </c>
      <c r="B28" t="s">
        <v>33</v>
      </c>
      <c r="C28" t="s">
        <v>34</v>
      </c>
      <c r="D28">
        <v>3.3380000000000001</v>
      </c>
      <c r="E28">
        <v>18.62</v>
      </c>
      <c r="F28" t="s">
        <v>35</v>
      </c>
      <c r="G28" t="s">
        <v>25</v>
      </c>
      <c r="H28">
        <v>5</v>
      </c>
      <c r="I28" t="b">
        <v>1</v>
      </c>
      <c r="J28">
        <v>14.29</v>
      </c>
      <c r="K28">
        <v>6</v>
      </c>
      <c r="L28" t="s">
        <v>20</v>
      </c>
      <c r="M28">
        <v>82.36</v>
      </c>
      <c r="O28" t="str">
        <f t="shared" si="0"/>
        <v>selected</v>
      </c>
      <c r="P28" t="str" cm="1">
        <f t="array" ref="P28">_xlfn.IFS(J26&gt;=10,"very good",J26&gt;=5,"good",J26&gt;=1,"not enough")</f>
        <v>good</v>
      </c>
      <c r="Q28" t="b">
        <f t="shared" si="1"/>
        <v>1</v>
      </c>
      <c r="R28" t="b">
        <f t="shared" si="5"/>
        <v>1</v>
      </c>
      <c r="S28" t="str">
        <f t="shared" si="2"/>
        <v>pass</v>
      </c>
      <c r="T28" t="str">
        <f t="shared" si="3"/>
        <v>pass</v>
      </c>
      <c r="U28" t="b">
        <f t="shared" si="4"/>
        <v>0</v>
      </c>
      <c r="W28" t="str" cm="1">
        <f t="array" ref="W28">_xlfn.IFS(G28="Beginner","1",G28="Intermediate","2",G28="Advanced","3")</f>
        <v>3</v>
      </c>
    </row>
    <row r="29" spans="1:33" x14ac:dyDescent="0.25">
      <c r="A29">
        <v>100028</v>
      </c>
      <c r="B29" t="s">
        <v>27</v>
      </c>
      <c r="C29" t="s">
        <v>23</v>
      </c>
      <c r="D29">
        <v>3.302</v>
      </c>
      <c r="E29">
        <v>23.96</v>
      </c>
      <c r="F29" t="s">
        <v>24</v>
      </c>
      <c r="G29" t="s">
        <v>32</v>
      </c>
      <c r="H29">
        <v>2</v>
      </c>
      <c r="I29" t="b">
        <v>1</v>
      </c>
      <c r="J29">
        <v>6.54</v>
      </c>
      <c r="K29">
        <v>5</v>
      </c>
      <c r="L29" t="s">
        <v>20</v>
      </c>
      <c r="M29">
        <v>67.739999999999995</v>
      </c>
      <c r="O29" t="str">
        <f t="shared" si="0"/>
        <v>selected</v>
      </c>
      <c r="P29" t="str" cm="1">
        <f t="array" ref="P29">_xlfn.IFS(J27&gt;=10,"very good",J27&gt;=5,"good",J27&gt;=1,"not enough")</f>
        <v>very good</v>
      </c>
      <c r="Q29" t="b">
        <f t="shared" si="1"/>
        <v>1</v>
      </c>
      <c r="R29" t="b">
        <f t="shared" si="5"/>
        <v>0</v>
      </c>
      <c r="S29" t="str">
        <f t="shared" si="2"/>
        <v>pass</v>
      </c>
      <c r="T29" t="str">
        <f t="shared" si="3"/>
        <v>fail</v>
      </c>
      <c r="U29" t="b">
        <f t="shared" si="4"/>
        <v>1</v>
      </c>
      <c r="W29" t="str" cm="1">
        <f t="array" ref="W29">_xlfn.IFS(G29="Beginner","1",G29="Intermediate","2",G29="Advanced","3")</f>
        <v>2</v>
      </c>
    </row>
    <row r="30" spans="1:33" x14ac:dyDescent="0.25">
      <c r="A30">
        <v>100029</v>
      </c>
      <c r="B30" t="s">
        <v>27</v>
      </c>
      <c r="C30" t="s">
        <v>28</v>
      </c>
      <c r="D30">
        <v>3.282</v>
      </c>
      <c r="E30">
        <v>0.68</v>
      </c>
      <c r="F30" t="s">
        <v>24</v>
      </c>
      <c r="G30" t="s">
        <v>19</v>
      </c>
      <c r="H30">
        <v>1</v>
      </c>
      <c r="I30" t="b">
        <v>0</v>
      </c>
      <c r="J30">
        <v>17.89</v>
      </c>
      <c r="K30">
        <v>1</v>
      </c>
      <c r="L30" t="s">
        <v>37</v>
      </c>
      <c r="M30">
        <v>74.67</v>
      </c>
      <c r="O30" t="str">
        <f t="shared" si="0"/>
        <v>selected</v>
      </c>
      <c r="P30" t="str" cm="1">
        <f t="array" ref="P30">_xlfn.IFS(J28&gt;=10,"very good",J28&gt;=5,"good",J28&gt;=1,"not enough")</f>
        <v>very good</v>
      </c>
      <c r="Q30" t="b">
        <f t="shared" si="1"/>
        <v>1</v>
      </c>
      <c r="R30" t="b">
        <f t="shared" si="5"/>
        <v>1</v>
      </c>
      <c r="S30" t="str">
        <f t="shared" si="2"/>
        <v>pass</v>
      </c>
      <c r="T30" t="str">
        <f t="shared" si="3"/>
        <v>pass</v>
      </c>
      <c r="U30" t="b">
        <f t="shared" si="4"/>
        <v>1</v>
      </c>
      <c r="W30" t="str" cm="1">
        <f t="array" ref="W30">_xlfn.IFS(G30="Beginner","1",G30="Intermediate","2",G30="Advanced","3")</f>
        <v>1</v>
      </c>
    </row>
    <row r="31" spans="1:33" x14ac:dyDescent="0.25">
      <c r="A31">
        <v>100030</v>
      </c>
      <c r="B31" t="s">
        <v>33</v>
      </c>
      <c r="C31" t="s">
        <v>34</v>
      </c>
      <c r="D31">
        <v>3.6379999999999999</v>
      </c>
      <c r="E31">
        <v>12.83</v>
      </c>
      <c r="F31" t="s">
        <v>35</v>
      </c>
      <c r="G31" t="s">
        <v>25</v>
      </c>
      <c r="H31">
        <v>4</v>
      </c>
      <c r="I31" t="b">
        <v>1</v>
      </c>
      <c r="J31">
        <v>10.25</v>
      </c>
      <c r="K31">
        <v>5</v>
      </c>
      <c r="L31" t="s">
        <v>20</v>
      </c>
      <c r="M31">
        <v>61.29</v>
      </c>
      <c r="O31" t="str">
        <f t="shared" si="0"/>
        <v>selected</v>
      </c>
      <c r="P31" t="str" cm="1">
        <f t="array" ref="P31">_xlfn.IFS(J29&gt;=10,"very good",J29&gt;=5,"good",J29&gt;=1,"not enough")</f>
        <v>good</v>
      </c>
      <c r="Q31" t="b">
        <f t="shared" si="1"/>
        <v>1</v>
      </c>
      <c r="R31" t="b">
        <f t="shared" si="5"/>
        <v>1</v>
      </c>
      <c r="S31" t="str">
        <f t="shared" si="2"/>
        <v>pass</v>
      </c>
      <c r="T31" t="str">
        <f t="shared" si="3"/>
        <v>pass</v>
      </c>
      <c r="U31" t="b">
        <f t="shared" si="4"/>
        <v>1</v>
      </c>
      <c r="W31" t="str" cm="1">
        <f t="array" ref="W31">_xlfn.IFS(G31="Beginner","1",G31="Intermediate","2",G31="Advanced","3")</f>
        <v>3</v>
      </c>
    </row>
    <row r="32" spans="1:33" x14ac:dyDescent="0.25">
      <c r="A32">
        <v>100031</v>
      </c>
      <c r="B32" t="s">
        <v>27</v>
      </c>
      <c r="C32" t="s">
        <v>17</v>
      </c>
      <c r="D32">
        <v>3.7309999999999999</v>
      </c>
      <c r="E32">
        <v>1.26</v>
      </c>
      <c r="F32" t="s">
        <v>39</v>
      </c>
      <c r="G32" t="s">
        <v>32</v>
      </c>
      <c r="H32">
        <v>4</v>
      </c>
      <c r="I32" t="b">
        <v>1</v>
      </c>
      <c r="J32">
        <v>16.16</v>
      </c>
      <c r="K32">
        <v>2</v>
      </c>
      <c r="L32" t="s">
        <v>20</v>
      </c>
      <c r="M32">
        <v>88.44</v>
      </c>
      <c r="O32" t="str">
        <f t="shared" si="0"/>
        <v>selected</v>
      </c>
      <c r="P32" t="str" cm="1">
        <f t="array" ref="P32">_xlfn.IFS(J30&gt;=10,"very good",J30&gt;=5,"good",J30&gt;=1,"not enough")</f>
        <v>very good</v>
      </c>
      <c r="Q32" t="b">
        <f t="shared" si="1"/>
        <v>1</v>
      </c>
      <c r="R32" t="b">
        <f t="shared" si="5"/>
        <v>0</v>
      </c>
      <c r="S32" t="str">
        <f t="shared" si="2"/>
        <v>pass</v>
      </c>
      <c r="T32" t="str">
        <f t="shared" si="3"/>
        <v>fail</v>
      </c>
      <c r="U32" t="b">
        <f t="shared" si="4"/>
        <v>1</v>
      </c>
      <c r="W32" t="str" cm="1">
        <f t="array" ref="W32">_xlfn.IFS(G32="Beginner","1",G32="Intermediate","2",G32="Advanced","3")</f>
        <v>2</v>
      </c>
    </row>
    <row r="33" spans="1:23" x14ac:dyDescent="0.25">
      <c r="A33">
        <v>100032</v>
      </c>
      <c r="B33" t="s">
        <v>33</v>
      </c>
      <c r="C33" t="s">
        <v>34</v>
      </c>
      <c r="D33">
        <v>1.4490000000000001</v>
      </c>
      <c r="E33">
        <v>0.72</v>
      </c>
      <c r="F33" t="s">
        <v>35</v>
      </c>
      <c r="G33" t="s">
        <v>32</v>
      </c>
      <c r="H33">
        <v>2</v>
      </c>
      <c r="I33" t="b">
        <v>0</v>
      </c>
      <c r="J33">
        <v>11.77</v>
      </c>
      <c r="K33">
        <v>5</v>
      </c>
      <c r="L33" t="s">
        <v>20</v>
      </c>
      <c r="M33">
        <v>56.81</v>
      </c>
      <c r="O33" t="str">
        <f t="shared" si="0"/>
        <v>selected</v>
      </c>
      <c r="P33" t="str" cm="1">
        <f t="array" ref="P33">_xlfn.IFS(J31&gt;=10,"very good",J31&gt;=5,"good",J31&gt;=1,"not enough")</f>
        <v>very good</v>
      </c>
      <c r="Q33" t="b">
        <f t="shared" si="1"/>
        <v>1</v>
      </c>
      <c r="R33" t="b">
        <f t="shared" si="5"/>
        <v>1</v>
      </c>
      <c r="S33" t="str">
        <f t="shared" si="2"/>
        <v>pass</v>
      </c>
      <c r="T33" t="str">
        <f t="shared" si="3"/>
        <v>pass</v>
      </c>
      <c r="U33" t="b">
        <f t="shared" si="4"/>
        <v>1</v>
      </c>
      <c r="W33" t="str" cm="1">
        <f t="array" ref="W33">_xlfn.IFS(G33="Beginner","1",G33="Intermediate","2",G33="Advanced","3")</f>
        <v>2</v>
      </c>
    </row>
    <row r="34" spans="1:23" x14ac:dyDescent="0.25">
      <c r="A34">
        <v>100033</v>
      </c>
      <c r="B34" t="s">
        <v>33</v>
      </c>
      <c r="C34" t="s">
        <v>38</v>
      </c>
      <c r="D34">
        <v>2.8559999999999999</v>
      </c>
      <c r="E34">
        <v>1.27</v>
      </c>
      <c r="F34" t="s">
        <v>39</v>
      </c>
      <c r="G34" t="s">
        <v>25</v>
      </c>
      <c r="H34">
        <v>3</v>
      </c>
      <c r="I34" t="b">
        <v>0</v>
      </c>
      <c r="J34">
        <v>16.16</v>
      </c>
      <c r="K34">
        <v>3</v>
      </c>
      <c r="L34" t="s">
        <v>20</v>
      </c>
      <c r="M34">
        <v>74.03</v>
      </c>
      <c r="O34" t="str">
        <f t="shared" si="0"/>
        <v>selected</v>
      </c>
      <c r="P34" t="str" cm="1">
        <f t="array" ref="P34">_xlfn.IFS(J32&gt;=10,"very good",J32&gt;=5,"good",J32&gt;=1,"not enough")</f>
        <v>very good</v>
      </c>
      <c r="Q34" t="b">
        <f t="shared" si="1"/>
        <v>1</v>
      </c>
      <c r="R34" t="b">
        <f t="shared" si="5"/>
        <v>0</v>
      </c>
      <c r="S34" t="str">
        <f t="shared" si="2"/>
        <v>pass</v>
      </c>
      <c r="T34" t="str">
        <f t="shared" si="3"/>
        <v>fail</v>
      </c>
      <c r="U34" t="b">
        <f t="shared" si="4"/>
        <v>1</v>
      </c>
      <c r="W34" t="str" cm="1">
        <f t="array" ref="W34">_xlfn.IFS(G34="Beginner","1",G34="Intermediate","2",G34="Advanced","3")</f>
        <v>3</v>
      </c>
    </row>
    <row r="35" spans="1:23" x14ac:dyDescent="0.25">
      <c r="A35">
        <v>100034</v>
      </c>
      <c r="B35" t="s">
        <v>22</v>
      </c>
      <c r="C35" t="s">
        <v>17</v>
      </c>
      <c r="D35">
        <v>3.1480000000000001</v>
      </c>
      <c r="E35">
        <v>5.56</v>
      </c>
      <c r="F35" t="s">
        <v>29</v>
      </c>
      <c r="G35" t="s">
        <v>32</v>
      </c>
      <c r="H35">
        <v>5</v>
      </c>
      <c r="I35" t="b">
        <v>0</v>
      </c>
      <c r="J35">
        <v>9.89</v>
      </c>
      <c r="K35">
        <v>2</v>
      </c>
      <c r="L35" t="s">
        <v>20</v>
      </c>
      <c r="M35">
        <v>89.14</v>
      </c>
      <c r="O35" t="str">
        <f t="shared" si="0"/>
        <v>selected</v>
      </c>
      <c r="P35" t="str" cm="1">
        <f t="array" ref="P35">_xlfn.IFS(J33&gt;=10,"very good",J33&gt;=5,"good",J33&gt;=1,"not enough")</f>
        <v>very good</v>
      </c>
      <c r="Q35" t="b">
        <f t="shared" si="1"/>
        <v>1</v>
      </c>
      <c r="R35" t="b">
        <f t="shared" si="5"/>
        <v>0</v>
      </c>
      <c r="S35" t="str">
        <f t="shared" si="2"/>
        <v>pass</v>
      </c>
      <c r="T35" t="str">
        <f t="shared" si="3"/>
        <v>fail</v>
      </c>
      <c r="U35" t="b">
        <f t="shared" si="4"/>
        <v>0</v>
      </c>
      <c r="W35" t="str" cm="1">
        <f t="array" ref="W35">_xlfn.IFS(G35="Beginner","1",G35="Intermediate","2",G35="Advanced","3")</f>
        <v>2</v>
      </c>
    </row>
    <row r="36" spans="1:23" x14ac:dyDescent="0.25">
      <c r="A36">
        <v>100035</v>
      </c>
      <c r="B36" t="s">
        <v>22</v>
      </c>
      <c r="C36" t="s">
        <v>38</v>
      </c>
      <c r="D36">
        <v>3.12</v>
      </c>
      <c r="E36">
        <v>19.920000000000002</v>
      </c>
      <c r="F36" t="s">
        <v>29</v>
      </c>
      <c r="G36" t="s">
        <v>19</v>
      </c>
      <c r="H36">
        <v>2</v>
      </c>
      <c r="I36" t="b">
        <v>1</v>
      </c>
      <c r="J36">
        <v>1</v>
      </c>
      <c r="K36">
        <v>7</v>
      </c>
      <c r="L36" t="s">
        <v>20</v>
      </c>
      <c r="M36">
        <v>67.2</v>
      </c>
      <c r="O36" t="str">
        <f t="shared" si="0"/>
        <v>selected</v>
      </c>
      <c r="P36" t="str" cm="1">
        <f t="array" ref="P36">_xlfn.IFS(J34&gt;=10,"very good",J34&gt;=5,"good",J34&gt;=1,"not enough")</f>
        <v>very good</v>
      </c>
      <c r="Q36" t="b">
        <f t="shared" si="1"/>
        <v>1</v>
      </c>
      <c r="R36" t="b">
        <f t="shared" si="5"/>
        <v>0</v>
      </c>
      <c r="S36" t="str">
        <f t="shared" si="2"/>
        <v>pass</v>
      </c>
      <c r="T36" t="str">
        <f t="shared" si="3"/>
        <v>fail</v>
      </c>
      <c r="U36" t="b">
        <f t="shared" si="4"/>
        <v>0</v>
      </c>
      <c r="W36" t="str" cm="1">
        <f t="array" ref="W36">_xlfn.IFS(G36="Beginner","1",G36="Intermediate","2",G36="Advanced","3")</f>
        <v>1</v>
      </c>
    </row>
    <row r="37" spans="1:23" x14ac:dyDescent="0.25">
      <c r="A37">
        <v>100036</v>
      </c>
      <c r="B37" t="s">
        <v>36</v>
      </c>
      <c r="C37" t="s">
        <v>34</v>
      </c>
      <c r="D37">
        <v>3.6320000000000001</v>
      </c>
      <c r="E37">
        <v>1.17</v>
      </c>
      <c r="F37" t="s">
        <v>39</v>
      </c>
      <c r="G37" t="s">
        <v>32</v>
      </c>
      <c r="H37">
        <v>4</v>
      </c>
      <c r="I37" t="b">
        <v>1</v>
      </c>
      <c r="J37">
        <v>3.67</v>
      </c>
      <c r="K37">
        <v>2</v>
      </c>
      <c r="L37" t="s">
        <v>30</v>
      </c>
      <c r="M37">
        <v>55.89</v>
      </c>
      <c r="O37" t="str">
        <f t="shared" si="0"/>
        <v>selected</v>
      </c>
      <c r="P37" t="str" cm="1">
        <f t="array" ref="P37">_xlfn.IFS(J35&gt;=10,"very good",J35&gt;=5,"good",J35&gt;=1,"not enough")</f>
        <v>good</v>
      </c>
      <c r="Q37" t="b">
        <f t="shared" si="1"/>
        <v>1</v>
      </c>
      <c r="R37" t="b">
        <f t="shared" si="5"/>
        <v>1</v>
      </c>
      <c r="S37" t="str">
        <f t="shared" si="2"/>
        <v>pass</v>
      </c>
      <c r="T37" t="str">
        <f t="shared" si="3"/>
        <v>pass</v>
      </c>
      <c r="U37" t="b">
        <f t="shared" si="4"/>
        <v>1</v>
      </c>
      <c r="W37" t="str" cm="1">
        <f t="array" ref="W37">_xlfn.IFS(G37="Beginner","1",G37="Intermediate","2",G37="Advanced","3")</f>
        <v>2</v>
      </c>
    </row>
    <row r="38" spans="1:23" x14ac:dyDescent="0.25">
      <c r="A38">
        <v>100037</v>
      </c>
      <c r="B38" t="s">
        <v>16</v>
      </c>
      <c r="C38" t="s">
        <v>28</v>
      </c>
      <c r="D38">
        <v>3.3029999999999999</v>
      </c>
      <c r="E38">
        <v>0.28999999999999998</v>
      </c>
      <c r="F38" t="s">
        <v>18</v>
      </c>
      <c r="G38" t="s">
        <v>25</v>
      </c>
      <c r="H38">
        <v>3</v>
      </c>
      <c r="I38" t="b">
        <v>0</v>
      </c>
      <c r="J38">
        <v>7.46</v>
      </c>
      <c r="K38">
        <v>1</v>
      </c>
      <c r="L38" t="s">
        <v>20</v>
      </c>
      <c r="M38">
        <v>75.11</v>
      </c>
      <c r="O38" t="str">
        <f t="shared" si="0"/>
        <v>selected</v>
      </c>
      <c r="P38" t="str" cm="1">
        <f t="array" ref="P38">_xlfn.IFS(J36&gt;=10,"very good",J36&gt;=5,"good",J36&gt;=1,"not enough")</f>
        <v>not enough</v>
      </c>
      <c r="Q38" t="b">
        <f t="shared" si="1"/>
        <v>1</v>
      </c>
      <c r="R38" t="b">
        <f t="shared" si="5"/>
        <v>0</v>
      </c>
      <c r="S38" t="str">
        <f t="shared" si="2"/>
        <v>pass</v>
      </c>
      <c r="T38" t="str">
        <f t="shared" si="3"/>
        <v>fail</v>
      </c>
      <c r="U38" t="b">
        <f t="shared" si="4"/>
        <v>1</v>
      </c>
      <c r="W38" t="str" cm="1">
        <f t="array" ref="W38">_xlfn.IFS(G38="Beginner","1",G38="Intermediate","2",G38="Advanced","3")</f>
        <v>3</v>
      </c>
    </row>
    <row r="39" spans="1:23" x14ac:dyDescent="0.25">
      <c r="A39">
        <v>100038</v>
      </c>
      <c r="B39" t="s">
        <v>33</v>
      </c>
      <c r="C39" t="s">
        <v>23</v>
      </c>
      <c r="D39">
        <v>3.6709999999999998</v>
      </c>
      <c r="E39">
        <v>16.77</v>
      </c>
      <c r="F39" t="s">
        <v>35</v>
      </c>
      <c r="G39" t="s">
        <v>32</v>
      </c>
      <c r="H39">
        <v>3</v>
      </c>
      <c r="I39" t="b">
        <v>1</v>
      </c>
      <c r="J39">
        <v>1</v>
      </c>
      <c r="K39">
        <v>5</v>
      </c>
      <c r="L39" t="s">
        <v>20</v>
      </c>
      <c r="M39">
        <v>96.68</v>
      </c>
      <c r="O39" t="str">
        <f t="shared" si="0"/>
        <v>selected</v>
      </c>
      <c r="P39" t="str" cm="1">
        <f t="array" ref="P39">_xlfn.IFS(J37&gt;=10,"very good",J37&gt;=5,"good",J37&gt;=1,"not enough")</f>
        <v>not enough</v>
      </c>
      <c r="Q39" t="b">
        <f>OR(J37&gt;5,E37&gt;5)</f>
        <v>0</v>
      </c>
      <c r="R39" t="b">
        <f t="shared" si="5"/>
        <v>0</v>
      </c>
      <c r="S39" t="str">
        <f t="shared" si="2"/>
        <v>fail</v>
      </c>
      <c r="T39" t="str">
        <f t="shared" si="3"/>
        <v>fail</v>
      </c>
      <c r="U39" t="b">
        <f t="shared" si="4"/>
        <v>1</v>
      </c>
      <c r="W39" t="str" cm="1">
        <f t="array" ref="W39">_xlfn.IFS(G39="Beginner","1",G39="Intermediate","2",G39="Advanced","3")</f>
        <v>2</v>
      </c>
    </row>
    <row r="40" spans="1:23" x14ac:dyDescent="0.25">
      <c r="A40">
        <v>100039</v>
      </c>
      <c r="B40" t="s">
        <v>27</v>
      </c>
      <c r="C40" t="s">
        <v>34</v>
      </c>
      <c r="D40">
        <v>2.403</v>
      </c>
      <c r="E40">
        <v>1.58</v>
      </c>
      <c r="F40" t="s">
        <v>24</v>
      </c>
      <c r="G40" t="s">
        <v>32</v>
      </c>
      <c r="H40">
        <v>4</v>
      </c>
      <c r="I40" t="b">
        <v>1</v>
      </c>
      <c r="J40">
        <v>13.34</v>
      </c>
      <c r="K40">
        <v>1</v>
      </c>
      <c r="L40" t="s">
        <v>20</v>
      </c>
      <c r="M40">
        <v>74.3</v>
      </c>
      <c r="O40" t="str">
        <f t="shared" si="0"/>
        <v>selected</v>
      </c>
      <c r="P40" t="str" cm="1">
        <f t="array" ref="P40">_xlfn.IFS(J38&gt;=10,"very good",J38&gt;=5,"good",J38&gt;=1,"not enough")</f>
        <v>good</v>
      </c>
      <c r="Q40" t="b">
        <f t="shared" si="1"/>
        <v>1</v>
      </c>
      <c r="R40" t="b">
        <f t="shared" si="5"/>
        <v>0</v>
      </c>
      <c r="S40" t="str">
        <f t="shared" si="2"/>
        <v>pass</v>
      </c>
      <c r="T40" t="str">
        <f t="shared" si="3"/>
        <v>fail</v>
      </c>
      <c r="U40" t="b">
        <f t="shared" si="4"/>
        <v>1</v>
      </c>
      <c r="W40" t="str" cm="1">
        <f t="array" ref="W40">_xlfn.IFS(G40="Beginner","1",G40="Intermediate","2",G40="Advanced","3")</f>
        <v>2</v>
      </c>
    </row>
    <row r="41" spans="1:23" x14ac:dyDescent="0.25">
      <c r="A41">
        <v>100040</v>
      </c>
      <c r="B41" t="s">
        <v>16</v>
      </c>
      <c r="C41" t="s">
        <v>23</v>
      </c>
      <c r="D41">
        <v>3.0859999999999999</v>
      </c>
      <c r="E41">
        <v>4.1900000000000004</v>
      </c>
      <c r="F41" t="s">
        <v>35</v>
      </c>
      <c r="G41" t="s">
        <v>32</v>
      </c>
      <c r="H41">
        <v>3</v>
      </c>
      <c r="I41" t="b">
        <v>0</v>
      </c>
      <c r="J41">
        <v>10.81</v>
      </c>
      <c r="K41">
        <v>2</v>
      </c>
      <c r="L41" t="s">
        <v>37</v>
      </c>
      <c r="M41">
        <v>92.44</v>
      </c>
      <c r="O41" t="str">
        <f t="shared" si="0"/>
        <v>selected</v>
      </c>
      <c r="P41" t="str" cm="1">
        <f t="array" ref="P41">_xlfn.IFS(J39&gt;=10,"very good",J39&gt;=5,"good",J39&gt;=1,"not enough")</f>
        <v>not enough</v>
      </c>
      <c r="Q41" t="b">
        <f t="shared" si="1"/>
        <v>1</v>
      </c>
      <c r="R41" t="b">
        <f t="shared" si="5"/>
        <v>0</v>
      </c>
      <c r="S41" t="str">
        <f t="shared" si="2"/>
        <v>pass</v>
      </c>
      <c r="T41" t="str">
        <f t="shared" si="3"/>
        <v>fail</v>
      </c>
      <c r="U41" t="b">
        <f t="shared" si="4"/>
        <v>1</v>
      </c>
      <c r="W41" t="str" cm="1">
        <f t="array" ref="W41">_xlfn.IFS(G41="Beginner","1",G41="Intermediate","2",G41="Advanced","3")</f>
        <v>2</v>
      </c>
    </row>
    <row r="42" spans="1:23" x14ac:dyDescent="0.25">
      <c r="O42" t="str">
        <f t="shared" si="0"/>
        <v>selected</v>
      </c>
      <c r="P42" t="str" cm="1">
        <f t="array" ref="P42">_xlfn.IFS(J40&gt;=10,"very good",J40&gt;=5,"good",J40&gt;=1,"not enough")</f>
        <v>very good</v>
      </c>
      <c r="Q42" t="b">
        <f t="shared" si="1"/>
        <v>1</v>
      </c>
      <c r="R42" t="b">
        <f t="shared" si="5"/>
        <v>0</v>
      </c>
      <c r="S42" t="str">
        <f t="shared" si="2"/>
        <v>pass</v>
      </c>
      <c r="T42" t="str">
        <f t="shared" si="3"/>
        <v>fail</v>
      </c>
      <c r="U42" t="b">
        <f t="shared" si="4"/>
        <v>0</v>
      </c>
    </row>
    <row r="43" spans="1:23" x14ac:dyDescent="0.25">
      <c r="O43" t="str">
        <f t="shared" si="0"/>
        <v>selected</v>
      </c>
      <c r="P43" t="str" cm="1">
        <f t="array" ref="P43">_xlfn.IFS(J41&gt;=10,"very good",J41&gt;=5,"good",J41&gt;=1,"not enough")</f>
        <v>very good</v>
      </c>
      <c r="Q43" t="b">
        <f t="shared" si="1"/>
        <v>1</v>
      </c>
      <c r="R43" t="b">
        <f t="shared" si="5"/>
        <v>0</v>
      </c>
      <c r="S43" t="str">
        <f t="shared" si="2"/>
        <v>pass</v>
      </c>
      <c r="T43" t="str">
        <f t="shared" si="3"/>
        <v>fail</v>
      </c>
      <c r="U43" t="b">
        <f t="shared" si="4"/>
        <v>1</v>
      </c>
    </row>
    <row r="47" spans="1:23" x14ac:dyDescent="0.25">
      <c r="C47" t="s">
        <v>71</v>
      </c>
      <c r="D47" t="s">
        <v>72</v>
      </c>
      <c r="E47" t="s">
        <v>73</v>
      </c>
      <c r="F47" t="s">
        <v>74</v>
      </c>
      <c r="G47" t="s">
        <v>75</v>
      </c>
      <c r="H47" t="s">
        <v>76</v>
      </c>
      <c r="P47" t="s">
        <v>61</v>
      </c>
    </row>
    <row r="49" spans="3:19" x14ac:dyDescent="0.25">
      <c r="C49" s="1" t="s">
        <v>40</v>
      </c>
      <c r="D49" s="2" t="s">
        <v>41</v>
      </c>
      <c r="F49" s="2" t="s">
        <v>42</v>
      </c>
    </row>
    <row r="50" spans="3:19" x14ac:dyDescent="0.25">
      <c r="C50">
        <v>100016</v>
      </c>
      <c r="D50">
        <f>VLOOKUP(A17,A2:M35,13,0)</f>
        <v>70.66</v>
      </c>
      <c r="F50" t="str">
        <f>VLOOKUP(A17,A4:P22,2,0)</f>
        <v>STEM</v>
      </c>
      <c r="J50" t="s">
        <v>62</v>
      </c>
      <c r="K50" t="s">
        <v>63</v>
      </c>
      <c r="L50" t="s">
        <v>64</v>
      </c>
      <c r="M50" t="s">
        <v>65</v>
      </c>
      <c r="N50" t="s">
        <v>66</v>
      </c>
      <c r="O50" t="s">
        <v>67</v>
      </c>
      <c r="P50" t="s">
        <v>68</v>
      </c>
      <c r="Q50" t="s">
        <v>69</v>
      </c>
      <c r="R50" t="s">
        <v>70</v>
      </c>
      <c r="S50" t="s">
        <v>77</v>
      </c>
    </row>
    <row r="51" spans="3:19" x14ac:dyDescent="0.25">
      <c r="C51">
        <v>100027</v>
      </c>
      <c r="D51">
        <f>VLOOKUP(A28,A3:M36,13,0)</f>
        <v>82.36</v>
      </c>
      <c r="F51" t="str">
        <f>VLOOKUP(A28,A4:P33,2,0)</f>
        <v>STEM</v>
      </c>
      <c r="J51">
        <f>COUNT(H:H)</f>
        <v>40</v>
      </c>
      <c r="K51">
        <f>COUNTA(H:H)</f>
        <v>42</v>
      </c>
      <c r="L51">
        <f>COUNTBLANK(H1:H48)</f>
        <v>6</v>
      </c>
      <c r="M51">
        <f>COUNTIF(H:H,"&gt;2")</f>
        <v>22</v>
      </c>
      <c r="N51">
        <f>COUNTIFS(E:E,"&lt;10",H:H,"&gt;3",D:D,"&lt;3")</f>
        <v>2</v>
      </c>
      <c r="O51">
        <f>AVERAGE(M2:M41)</f>
        <v>70.109499999999997</v>
      </c>
      <c r="P51">
        <f>MEDIAN(J2:J41)</f>
        <v>11.379999999999999</v>
      </c>
      <c r="Q51">
        <f>MODE(H:H)</f>
        <v>1</v>
      </c>
      <c r="R51">
        <f>STDEV(M2:M41)</f>
        <v>17.954873054696186</v>
      </c>
      <c r="S51">
        <f>_xlfn.VAR.S(H:H)</f>
        <v>1.8333333333333333</v>
      </c>
    </row>
    <row r="52" spans="3:19" x14ac:dyDescent="0.25">
      <c r="C52">
        <v>100031</v>
      </c>
      <c r="D52">
        <f>VLOOKUP(A32,A4:M37,13,0)</f>
        <v>88.44</v>
      </c>
      <c r="F52" t="str">
        <f>VLOOKUP(100031,A2:P35,2,0)</f>
        <v>Business</v>
      </c>
      <c r="Q52" t="e">
        <f>MODE(W2:W41)</f>
        <v>#N/A</v>
      </c>
    </row>
    <row r="53" spans="3:19" x14ac:dyDescent="0.25">
      <c r="C53">
        <v>100034</v>
      </c>
      <c r="D53">
        <f>VLOOKUP(A35,A5:M38,13,0)</f>
        <v>89.14</v>
      </c>
      <c r="F53" t="str">
        <f>VLOOKUP(A35,A2:P41,2,0)</f>
        <v>Medical</v>
      </c>
    </row>
    <row r="57" spans="3:19" x14ac:dyDescent="0.25">
      <c r="C57" s="1" t="s">
        <v>47</v>
      </c>
      <c r="F57" s="1" t="s">
        <v>48</v>
      </c>
      <c r="G57" s="2" t="s">
        <v>52</v>
      </c>
    </row>
    <row r="58" spans="3:19" x14ac:dyDescent="0.25">
      <c r="C58">
        <v>100006</v>
      </c>
      <c r="D58">
        <f>MATCH(Table2[[#This Row],[Column1]],A:A,0)</f>
        <v>7</v>
      </c>
      <c r="F58">
        <v>100009</v>
      </c>
      <c r="G58" t="str">
        <f>INDEX(A2:M41,9,7)</f>
        <v>Beginner</v>
      </c>
    </row>
    <row r="59" spans="3:19" x14ac:dyDescent="0.25">
      <c r="C59">
        <v>100021</v>
      </c>
      <c r="D59">
        <f>MATCH(Table2[[#This Row],[Column1]],A2:A41,0)</f>
        <v>21</v>
      </c>
      <c r="F59">
        <v>100027</v>
      </c>
      <c r="G59" t="str">
        <f>INDEX(A1:M41,28,7)</f>
        <v>Advanced</v>
      </c>
    </row>
    <row r="60" spans="3:19" x14ac:dyDescent="0.25">
      <c r="C60">
        <v>110001</v>
      </c>
      <c r="D60" t="e">
        <f>MATCH(Table2[[#This Row],[Column1]],A:A,0)</f>
        <v>#N/A</v>
      </c>
      <c r="F60">
        <v>100031</v>
      </c>
      <c r="G60" t="str">
        <f>INDEX(A1:M41,32,7)</f>
        <v>Intermediate</v>
      </c>
    </row>
    <row r="63" spans="3:19" x14ac:dyDescent="0.25">
      <c r="C63" s="1" t="s">
        <v>49</v>
      </c>
      <c r="D63" s="2" t="s">
        <v>51</v>
      </c>
    </row>
    <row r="64" spans="3:19" x14ac:dyDescent="0.25">
      <c r="C64">
        <v>100020</v>
      </c>
      <c r="D64">
        <f>_xlfn.XLOOKUP(A21,A2:A41,J2:J41,"not found",2)</f>
        <v>3.69</v>
      </c>
    </row>
  </sheetData>
  <pageMargins left="0.7" right="0.7" top="0.75" bottom="0.75" header="0.3" footer="0.3"/>
  <pageSetup orientation="portrait" r:id="rId1"/>
  <tableParts count="4">
    <tablePart r:id="rId2"/>
    <tablePart r:id="rId3"/>
    <tablePart r:id="rId4"/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ai_student_impact_dataset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MITS</cp:lastModifiedBy>
  <dcterms:created xsi:type="dcterms:W3CDTF">2026-06-02T07:20:39Z</dcterms:created>
  <dcterms:modified xsi:type="dcterms:W3CDTF">2026-06-02T10:09:15Z</dcterms:modified>
</cp:coreProperties>
</file>